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<sst xmlns="http://schemas.openxmlformats.org/spreadsheetml/2006/main" count="9" uniqueCount="9">
  <si>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 xml:space="preserve">CEO </t>
  </si>
  <si>
    <t>P</t>
  </si>
  <si>
    <t xml:space="preserve">CFO </t>
  </si>
  <si>
    <t>S</t>
  </si>
  <si>
    <t>Q126</t>
  </si>
  <si>
    <t>MC</t>
  </si>
  <si>
    <t>C</t>
  </si>
  <si>
    <t>D</t>
  </si>
  <si>
    <t>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</si>
</sst>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2" t="s">
        <v>1</v>
      </c>
      <c r="K2" s="2">
        <v>39.14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2</v>
      </c>
      <c r="C3" s="1"/>
      <c r="D3" s="1"/>
      <c r="E3" s="1"/>
      <c r="F3" s="1"/>
      <c r="G3" s="1"/>
      <c r="H3" s="1"/>
      <c r="I3" s="1"/>
      <c r="J3" s="2" t="s">
        <v>3</v>
      </c>
      <c r="K3" s="2">
        <v>11.106973</v>
      </c>
      <c r="L3" s="2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2" t="s">
        <v>5</v>
      </c>
      <c r="K4" s="1">
        <f>K2*K3</f>
        <v>434.7269232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2" t="s">
        <v>6</v>
      </c>
      <c r="K5" s="1">
        <f>27.122</f>
        <v>27.122</v>
      </c>
      <c r="L5" s="1" t="str">
        <f>L3</f>
        <v>Q126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2" t="s">
        <v>7</v>
      </c>
      <c r="K6" s="1">
        <f>0+45.346</f>
        <v>45.346</v>
      </c>
      <c r="L6" s="1" t="str">
        <f>L5</f>
        <v>Q126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2" t="s">
        <v>8</v>
      </c>
      <c r="K7" s="1">
        <f>K4-K5+K6</f>
        <v>452.9509232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