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7FC87151-6C9D-F24B-AC0B-2F4097B0D116}" xr6:coauthVersionLast="47" xr6:coauthVersionMax="47" xr10:uidLastSave="{00000000-0000-0000-0000-000000000000}"/>
  <bookViews>
    <workbookView xWindow="6540" yWindow="1100" windowWidth="43160" windowHeight="26640" xr2:uid="{00000000-000D-0000-FFFF-FFFF00000000}"/>
  </bookViews>
  <sheets>
    <sheet name="M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" l="1"/>
  <c r="V7" i="1" l="1"/>
  <c r="E41" i="1"/>
  <c r="L40" i="1"/>
  <c r="I40" i="1"/>
  <c r="M40" i="1" s="1"/>
  <c r="E40" i="1"/>
  <c r="L39" i="1"/>
  <c r="I39" i="1"/>
  <c r="M39" i="1" s="1"/>
  <c r="E39" i="1"/>
  <c r="B39" i="1"/>
  <c r="B40" i="1" s="1"/>
  <c r="B41" i="1" s="1"/>
  <c r="L38" i="1"/>
  <c r="I38" i="1"/>
  <c r="M38" i="1" s="1"/>
  <c r="E38" i="1"/>
  <c r="L36" i="1"/>
  <c r="I36" i="1"/>
  <c r="M36" i="1" s="1"/>
  <c r="E36" i="1"/>
  <c r="L35" i="1"/>
  <c r="I35" i="1"/>
  <c r="M35" i="1" s="1"/>
  <c r="E35" i="1"/>
  <c r="B35" i="1"/>
  <c r="B36" i="1" s="1"/>
  <c r="L34" i="1"/>
  <c r="I34" i="1"/>
  <c r="M34" i="1" s="1"/>
  <c r="E34" i="1"/>
  <c r="I32" i="1"/>
  <c r="E32" i="1"/>
  <c r="M31" i="1"/>
  <c r="L31" i="1"/>
  <c r="I31" i="1"/>
  <c r="E31" i="1"/>
  <c r="L30" i="1"/>
  <c r="I30" i="1"/>
  <c r="M30" i="1" s="1"/>
  <c r="E30" i="1"/>
  <c r="M29" i="1"/>
  <c r="L29" i="1"/>
  <c r="I29" i="1"/>
  <c r="E29" i="1"/>
  <c r="L28" i="1"/>
  <c r="I28" i="1"/>
  <c r="M28" i="1" s="1"/>
  <c r="E28" i="1"/>
  <c r="M27" i="1"/>
  <c r="L27" i="1"/>
  <c r="I27" i="1"/>
  <c r="E27" i="1"/>
  <c r="L26" i="1"/>
  <c r="I26" i="1"/>
  <c r="M26" i="1" s="1"/>
  <c r="E26" i="1"/>
  <c r="M25" i="1"/>
  <c r="L25" i="1"/>
  <c r="I25" i="1"/>
  <c r="E25" i="1"/>
  <c r="L24" i="1"/>
  <c r="I24" i="1"/>
  <c r="M24" i="1" s="1"/>
  <c r="E24" i="1"/>
  <c r="M23" i="1"/>
  <c r="L23" i="1"/>
  <c r="I23" i="1"/>
  <c r="E23" i="1"/>
  <c r="L22" i="1"/>
  <c r="I22" i="1"/>
  <c r="M22" i="1" s="1"/>
  <c r="E22" i="1"/>
  <c r="M21" i="1"/>
  <c r="L21" i="1"/>
  <c r="I21" i="1"/>
  <c r="E21" i="1"/>
  <c r="L20" i="1"/>
  <c r="I20" i="1"/>
  <c r="M20" i="1" s="1"/>
  <c r="E20" i="1"/>
  <c r="M19" i="1"/>
  <c r="L19" i="1"/>
  <c r="I19" i="1"/>
  <c r="E19" i="1"/>
  <c r="L18" i="1"/>
  <c r="I18" i="1"/>
  <c r="M18" i="1" s="1"/>
  <c r="E18" i="1"/>
  <c r="M17" i="1"/>
  <c r="L17" i="1"/>
  <c r="I17" i="1"/>
  <c r="E17" i="1"/>
  <c r="L16" i="1"/>
  <c r="I16" i="1"/>
  <c r="M16" i="1" s="1"/>
  <c r="E16" i="1"/>
  <c r="V15" i="1"/>
  <c r="P15" i="1"/>
  <c r="M15" i="1"/>
  <c r="L15" i="1"/>
  <c r="I15" i="1"/>
  <c r="E15" i="1"/>
  <c r="L14" i="1"/>
  <c r="I14" i="1"/>
  <c r="M14" i="1" s="1"/>
  <c r="E14" i="1"/>
  <c r="V13" i="1"/>
  <c r="P13" i="1"/>
  <c r="L13" i="1"/>
  <c r="I13" i="1"/>
  <c r="M13" i="1" s="1"/>
  <c r="E13" i="1"/>
  <c r="L12" i="1"/>
  <c r="I12" i="1"/>
  <c r="M12" i="1" s="1"/>
  <c r="E12" i="1"/>
  <c r="L11" i="1"/>
  <c r="I11" i="1"/>
  <c r="M11" i="1" s="1"/>
  <c r="E11" i="1"/>
  <c r="L10" i="1"/>
  <c r="I10" i="1"/>
  <c r="M10" i="1" s="1"/>
  <c r="E10" i="1"/>
  <c r="L9" i="1"/>
  <c r="I9" i="1"/>
  <c r="M9" i="1" s="1"/>
  <c r="E9" i="1"/>
  <c r="L8" i="1"/>
  <c r="I8" i="1"/>
  <c r="M8" i="1" s="1"/>
  <c r="E8" i="1"/>
  <c r="L7" i="1"/>
  <c r="I7" i="1"/>
  <c r="M7" i="1" s="1"/>
  <c r="E7" i="1"/>
  <c r="V6" i="1"/>
  <c r="L6" i="1"/>
  <c r="I6" i="1"/>
  <c r="M6" i="1" s="1"/>
  <c r="E6" i="1"/>
  <c r="V5" i="1"/>
  <c r="L5" i="1"/>
  <c r="I5" i="1"/>
  <c r="P5" i="1" s="1"/>
  <c r="E5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V4" i="1"/>
  <c r="L4" i="1"/>
  <c r="I4" i="1"/>
  <c r="P4" i="1" s="1"/>
  <c r="E4" i="1"/>
  <c r="P6" i="1" l="1"/>
  <c r="P7" i="1"/>
  <c r="M5" i="1"/>
  <c r="M4" i="1"/>
</calcChain>
</file>

<file path=xl/sharedStrings.xml><?xml version="1.0" encoding="utf-8"?>
<sst xmlns="http://schemas.openxmlformats.org/spreadsheetml/2006/main" count="111" uniqueCount="106">
  <si>
    <t>$M</t>
  </si>
  <si>
    <t>Company</t>
  </si>
  <si>
    <t>26Open</t>
  </si>
  <si>
    <t>YTD</t>
  </si>
  <si>
    <t>Ticker</t>
  </si>
  <si>
    <t>Price</t>
  </si>
  <si>
    <t>Shares</t>
  </si>
  <si>
    <t>MC</t>
  </si>
  <si>
    <t>Cash</t>
  </si>
  <si>
    <t>Debt</t>
  </si>
  <si>
    <t xml:space="preserve">Net Cash </t>
  </si>
  <si>
    <t>EV</t>
  </si>
  <si>
    <t xml:space="preserve">Rate </t>
  </si>
  <si>
    <t>NPV</t>
  </si>
  <si>
    <t>Upside</t>
  </si>
  <si>
    <t>26R</t>
  </si>
  <si>
    <t>27R</t>
  </si>
  <si>
    <t>DSO</t>
  </si>
  <si>
    <t>DIO</t>
  </si>
  <si>
    <t>DPO</t>
  </si>
  <si>
    <t>CCC</t>
  </si>
  <si>
    <t xml:space="preserve">Nearest Maturity </t>
  </si>
  <si>
    <t>Bond Price</t>
  </si>
  <si>
    <t>Last Updated</t>
  </si>
  <si>
    <t xml:space="preserve">Next Event </t>
  </si>
  <si>
    <t>Notes</t>
  </si>
  <si>
    <t xml:space="preserve">Apparel Retail </t>
  </si>
  <si>
    <t>TJX Companies Inc</t>
  </si>
  <si>
    <t>TJX</t>
  </si>
  <si>
    <t xml:space="preserve">Q227 beat with 4% SSS &amp; storng HomeGoods/Intl growth, but Marmaxx underperformed and Q3 SSS guide came in below expectations depsite a raised FY EPS outlook </t>
  </si>
  <si>
    <t>Ross Stores Inc</t>
  </si>
  <si>
    <t>ROST</t>
  </si>
  <si>
    <t>Q226 beat, 13% rev growth, 10% SSS, EPS beat, increased outlook</t>
  </si>
  <si>
    <t>Burlington Stores Inc</t>
  </si>
  <si>
    <t>BURL</t>
  </si>
  <si>
    <t>Gap Inc</t>
  </si>
  <si>
    <t>GAP</t>
  </si>
  <si>
    <t>Victoria's Secret &amp; Co</t>
  </si>
  <si>
    <t>VSXY</t>
  </si>
  <si>
    <t>Urban Outfitters Inc</t>
  </si>
  <si>
    <t>URBN</t>
  </si>
  <si>
    <t>Abercrombie &amp; Fitch Co</t>
  </si>
  <si>
    <t>ANF</t>
  </si>
  <si>
    <t>Boot Barn Holdings Inc</t>
  </si>
  <si>
    <t>BOOT</t>
  </si>
  <si>
    <t>Sidswe</t>
  </si>
  <si>
    <t>American Eagle Outfitters Inc</t>
  </si>
  <si>
    <t>AEO</t>
  </si>
  <si>
    <t>Buckle Inc</t>
  </si>
  <si>
    <t>BKE</t>
  </si>
  <si>
    <t>n/a</t>
  </si>
  <si>
    <t>Carters Inc</t>
  </si>
  <si>
    <t>CRI</t>
  </si>
  <si>
    <t>Citi Trends Inc</t>
  </si>
  <si>
    <t>CTRN</t>
  </si>
  <si>
    <t>Stitch Fix Inc</t>
  </si>
  <si>
    <t>SFIX</t>
  </si>
  <si>
    <t>Caleres Inc</t>
  </si>
  <si>
    <t>CAL</t>
  </si>
  <si>
    <t>Genesco Inc</t>
  </si>
  <si>
    <t>GCO</t>
  </si>
  <si>
    <t>Shoe Station Group Inc</t>
  </si>
  <si>
    <t>SHOE</t>
  </si>
  <si>
    <t>Lands' End Inc</t>
  </si>
  <si>
    <t>LE</t>
  </si>
  <si>
    <t>Zumiez Inc</t>
  </si>
  <si>
    <t>ZUMZ</t>
  </si>
  <si>
    <t>J.Jill Inc</t>
  </si>
  <si>
    <t>JILL</t>
  </si>
  <si>
    <t>Torrid Holdings Inc</t>
  </si>
  <si>
    <t>CURV</t>
  </si>
  <si>
    <t>Duluth Holdings Inc</t>
  </si>
  <si>
    <t>DLTH</t>
  </si>
  <si>
    <t>Rent the Runway Inc</t>
  </si>
  <si>
    <t>RENT</t>
  </si>
  <si>
    <t>a.k.a. Brands Holding Corp</t>
  </si>
  <si>
    <t>AKA</t>
  </si>
  <si>
    <t>Tillys Inc</t>
  </si>
  <si>
    <t>TLYS</t>
  </si>
  <si>
    <t>Cato Corp</t>
  </si>
  <si>
    <t>CATO</t>
  </si>
  <si>
    <t>Lulus Fashion Lounge Holdings Inc</t>
  </si>
  <si>
    <t>LVLU</t>
  </si>
  <si>
    <t>Destination XL Group Inc</t>
  </si>
  <si>
    <t>DXLG</t>
  </si>
  <si>
    <t>Digital Brands Group Inc</t>
  </si>
  <si>
    <t>DBGI</t>
  </si>
  <si>
    <t>Reformation Inc</t>
  </si>
  <si>
    <t>RREF</t>
  </si>
  <si>
    <t>Department Stores</t>
  </si>
  <si>
    <t>Dillard's Inc</t>
  </si>
  <si>
    <t>DDS</t>
  </si>
  <si>
    <t>Macy's Inc</t>
  </si>
  <si>
    <t>M</t>
  </si>
  <si>
    <t>Kohl's Corp</t>
  </si>
  <si>
    <t>KSS</t>
  </si>
  <si>
    <t xml:space="preserve">Specialty Retail </t>
  </si>
  <si>
    <t>Movado Group Inc</t>
  </si>
  <si>
    <t xml:space="preserve">MOV </t>
  </si>
  <si>
    <t>Tapestry Inc</t>
  </si>
  <si>
    <t>TPR</t>
  </si>
  <si>
    <t>Therealreal Inc</t>
  </si>
  <si>
    <t>REAL</t>
  </si>
  <si>
    <t xml:space="preserve">Brilliant Earth group </t>
  </si>
  <si>
    <t>BRLT</t>
  </si>
  <si>
    <t>Q226 slight miss drvien by old navy SSS -4%, but GM strength ~53% &amp; new Vet to lead old navy: Micheal Francis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</si>
</sst>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yy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1155CC"/>
      <name val="Arial"/>
      <family val="2"/>
      <scheme val="minor"/>
    </font>
    <font>
      <sz val="8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3" fontId="1" fillId="0" borderId="0" xfId="0" applyNumberFormat="1" applyFont="1"/>
    <xf numFmtId="3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3" fillId="0" borderId="0" xfId="0" applyNumberFormat="1" applyFont="1"/>
    <xf numFmtId="3" fontId="4" fillId="0" borderId="0" xfId="0" applyNumberFormat="1" applyFont="1"/>
    <xf numFmtId="3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3" fontId="6" fillId="0" borderId="0" xfId="0" applyNumberFormat="1" applyFont="1"/>
    <xf numFmtId="0" fontId="5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1" applyNumberFormat="1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SFIX.xlsx" TargetMode="External"/><Relationship Id="rId18" Type="http://schemas.openxmlformats.org/officeDocument/2006/relationships/hyperlink" Target="ZUMS.xlsx" TargetMode="External"/><Relationship Id="rId26" Type="http://schemas.openxmlformats.org/officeDocument/2006/relationships/hyperlink" Target="LVLU.xlsx" TargetMode="External"/><Relationship Id="rId3" Type="http://schemas.openxmlformats.org/officeDocument/2006/relationships/hyperlink" Target="BURL.xlsx" TargetMode="External"/><Relationship Id="rId21" Type="http://schemas.openxmlformats.org/officeDocument/2006/relationships/hyperlink" Target="DLTH.xlsx" TargetMode="External"/><Relationship Id="rId34" Type="http://schemas.openxmlformats.org/officeDocument/2006/relationships/hyperlink" Target="TPR.xlsx" TargetMode="External"/><Relationship Id="rId7" Type="http://schemas.openxmlformats.org/officeDocument/2006/relationships/hyperlink" Target="ANF.xlsx" TargetMode="External"/><Relationship Id="rId12" Type="http://schemas.openxmlformats.org/officeDocument/2006/relationships/hyperlink" Target="CTRN.xlsx" TargetMode="External"/><Relationship Id="rId17" Type="http://schemas.openxmlformats.org/officeDocument/2006/relationships/hyperlink" Target="LE.xlsx" TargetMode="External"/><Relationship Id="rId25" Type="http://schemas.openxmlformats.org/officeDocument/2006/relationships/hyperlink" Target="CATO.xlsx" TargetMode="External"/><Relationship Id="rId33" Type="http://schemas.openxmlformats.org/officeDocument/2006/relationships/hyperlink" Target="MOV.xlsx" TargetMode="External"/><Relationship Id="rId2" Type="http://schemas.openxmlformats.org/officeDocument/2006/relationships/hyperlink" Target="ROST.xlsx" TargetMode="External"/><Relationship Id="rId16" Type="http://schemas.openxmlformats.org/officeDocument/2006/relationships/hyperlink" Target="https://docs.google.com/spreadsheets/d/133Am1RdjkzLXNFNRw-WLlTHKCBPd9Z121bCngNbYpIc/edit?gid=0" TargetMode="External"/><Relationship Id="rId20" Type="http://schemas.openxmlformats.org/officeDocument/2006/relationships/hyperlink" Target="CURV.xlsx" TargetMode="External"/><Relationship Id="rId29" Type="http://schemas.openxmlformats.org/officeDocument/2006/relationships/hyperlink" Target="RREF.xlsx" TargetMode="External"/><Relationship Id="rId1" Type="http://schemas.openxmlformats.org/officeDocument/2006/relationships/hyperlink" Target="TJX.xlsx" TargetMode="External"/><Relationship Id="rId6" Type="http://schemas.openxmlformats.org/officeDocument/2006/relationships/hyperlink" Target="URBN.xlsx" TargetMode="External"/><Relationship Id="rId11" Type="http://schemas.openxmlformats.org/officeDocument/2006/relationships/hyperlink" Target="CRI.xlsx" TargetMode="External"/><Relationship Id="rId24" Type="http://schemas.openxmlformats.org/officeDocument/2006/relationships/hyperlink" Target="TLYS.xlsx" TargetMode="External"/><Relationship Id="rId32" Type="http://schemas.openxmlformats.org/officeDocument/2006/relationships/hyperlink" Target="KSS.xlsx" TargetMode="External"/><Relationship Id="rId5" Type="http://schemas.openxmlformats.org/officeDocument/2006/relationships/hyperlink" Target="VVSXY.xlsx" TargetMode="External"/><Relationship Id="rId15" Type="http://schemas.openxmlformats.org/officeDocument/2006/relationships/hyperlink" Target="GCO.xlsx" TargetMode="External"/><Relationship Id="rId23" Type="http://schemas.openxmlformats.org/officeDocument/2006/relationships/hyperlink" Target="AKA.xlsx" TargetMode="External"/><Relationship Id="rId28" Type="http://schemas.openxmlformats.org/officeDocument/2006/relationships/hyperlink" Target="DBGI.xlsx" TargetMode="External"/><Relationship Id="rId10" Type="http://schemas.openxmlformats.org/officeDocument/2006/relationships/hyperlink" Target="BKE.xlsx" TargetMode="External"/><Relationship Id="rId19" Type="http://schemas.openxmlformats.org/officeDocument/2006/relationships/hyperlink" Target="JILL.xlsx" TargetMode="External"/><Relationship Id="rId31" Type="http://schemas.openxmlformats.org/officeDocument/2006/relationships/hyperlink" Target="M.xlsx" TargetMode="External"/><Relationship Id="rId4" Type="http://schemas.openxmlformats.org/officeDocument/2006/relationships/hyperlink" Target="GAP.xlsx" TargetMode="External"/><Relationship Id="rId9" Type="http://schemas.openxmlformats.org/officeDocument/2006/relationships/hyperlink" Target="AEO.xlsx" TargetMode="External"/><Relationship Id="rId14" Type="http://schemas.openxmlformats.org/officeDocument/2006/relationships/hyperlink" Target="CAL.xlsx" TargetMode="External"/><Relationship Id="rId22" Type="http://schemas.openxmlformats.org/officeDocument/2006/relationships/hyperlink" Target="RENT.xlsx" TargetMode="External"/><Relationship Id="rId27" Type="http://schemas.openxmlformats.org/officeDocument/2006/relationships/hyperlink" Target="DXLG.xlsx" TargetMode="External"/><Relationship Id="rId30" Type="http://schemas.openxmlformats.org/officeDocument/2006/relationships/hyperlink" Target="DDS.xlsx" TargetMode="External"/><Relationship Id="rId35" Type="http://schemas.openxmlformats.org/officeDocument/2006/relationships/hyperlink" Target="https://docs.google.com/spreadsheets/u/0/d/1Qsk7PWxbi8fgirzo9z_P6g2QbKTGj4hXXziTLdnGlYw/edit" TargetMode="External"/><Relationship Id="rId8" Type="http://schemas.openxmlformats.org/officeDocument/2006/relationships/hyperlink" Target="BOO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48"/>
  <sheetViews>
    <sheetView showGridLines="0" tabSelected="1" zoomScale="180" workbookViewId="0">
      <pane xSplit="3" ySplit="2" topLeftCell="D35" activePane="bottomRight" state="frozen"/>
      <selection pane="topRight" activeCell="D1" sqref="D1"/>
      <selection pane="bottomLeft" activeCell="A3" sqref="A3"/>
      <selection pane="bottomRight" activeCell="C9" sqref="C9"/>
    </sheetView>
  </sheetViews>
  <sheetFormatPr baseColWidth="10" defaultColWidth="12.6640625" defaultRowHeight="15.75" customHeight="1" x14ac:dyDescent="0.15"/>
  <cols>
    <col min="1" max="2" width="3.6640625" customWidth="1"/>
    <col min="3" max="3" width="27" style="19" customWidth="1"/>
    <col min="4" max="4" width="7.1640625" customWidth="1"/>
    <col min="5" max="5" width="5.6640625" bestFit="1" customWidth="1"/>
    <col min="6" max="6" width="6.5" customWidth="1"/>
    <col min="7" max="7" width="4.6640625" customWidth="1"/>
    <col min="8" max="8" width="6.1640625" customWidth="1"/>
    <col min="9" max="9" width="7" customWidth="1"/>
    <col min="10" max="11" width="5.1640625" customWidth="1"/>
    <col min="12" max="12" width="8.33203125" customWidth="1"/>
    <col min="13" max="13" width="7" customWidth="1"/>
    <col min="14" max="14" width="5.1640625" customWidth="1"/>
    <col min="15" max="15" width="7" customWidth="1"/>
    <col min="16" max="16" width="6.1640625" customWidth="1"/>
    <col min="17" max="18" width="5.1640625" customWidth="1"/>
    <col min="19" max="19" width="4.6640625" customWidth="1"/>
    <col min="20" max="20" width="4" customWidth="1"/>
    <col min="21" max="22" width="4.6640625" customWidth="1"/>
    <col min="23" max="23" width="13.6640625" customWidth="1"/>
    <col min="24" max="24" width="9.1640625" customWidth="1"/>
    <col min="25" max="25" width="10.83203125" customWidth="1"/>
    <col min="26" max="26" width="9.6640625" customWidth="1"/>
  </cols>
  <sheetData>
    <row r="1" spans="1:37" ht="12.75" customHeight="1" x14ac:dyDescent="0.15">
      <c r="A1" s="1"/>
      <c r="B1" s="1"/>
      <c r="C1" s="1"/>
      <c r="D1" s="2"/>
      <c r="E1" s="3"/>
      <c r="F1" s="2"/>
      <c r="G1" s="2"/>
      <c r="H1" s="2"/>
      <c r="I1" s="2"/>
      <c r="J1" s="2"/>
      <c r="K1" s="2"/>
      <c r="L1" s="2"/>
      <c r="M1" s="2"/>
      <c r="N1" s="4"/>
      <c r="O1" s="2"/>
      <c r="P1" s="3"/>
      <c r="Q1" s="3"/>
      <c r="R1" s="3"/>
      <c r="S1" s="2"/>
      <c r="T1" s="2"/>
      <c r="U1" s="2"/>
      <c r="V1" s="2"/>
      <c r="W1" s="2"/>
      <c r="X1" s="2"/>
      <c r="Y1" s="2"/>
      <c r="Z1" s="2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2.75" customHeight="1" x14ac:dyDescent="0.15">
      <c r="A2" s="1" t="s">
        <v>0</v>
      </c>
      <c r="B2" s="1"/>
      <c r="C2" s="1" t="s">
        <v>1</v>
      </c>
      <c r="D2" s="5" t="s">
        <v>2</v>
      </c>
      <c r="E2" s="6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7" t="s">
        <v>12</v>
      </c>
      <c r="O2" s="5" t="s">
        <v>13</v>
      </c>
      <c r="P2" s="8" t="s">
        <v>14</v>
      </c>
      <c r="Q2" s="8" t="s">
        <v>15</v>
      </c>
      <c r="R2" s="8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2" t="s">
        <v>24</v>
      </c>
      <c r="AA2" s="1" t="s">
        <v>25</v>
      </c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12.75" customHeight="1" x14ac:dyDescent="0.15">
      <c r="A3" s="1"/>
      <c r="B3" s="9"/>
      <c r="C3" s="10" t="s">
        <v>26</v>
      </c>
      <c r="D3" s="2"/>
      <c r="E3" s="3"/>
      <c r="F3" s="2"/>
      <c r="G3" s="2"/>
      <c r="H3" s="2"/>
      <c r="I3" s="2"/>
      <c r="J3" s="2"/>
      <c r="K3" s="2"/>
      <c r="L3" s="2"/>
      <c r="M3" s="2"/>
      <c r="N3" s="4"/>
      <c r="O3" s="2"/>
      <c r="P3" s="3"/>
      <c r="Q3" s="3"/>
      <c r="R3" s="3"/>
      <c r="S3" s="2"/>
      <c r="T3" s="2"/>
      <c r="U3" s="2"/>
      <c r="V3" s="5"/>
      <c r="W3" s="2"/>
      <c r="X3" s="2"/>
      <c r="Y3" s="2"/>
      <c r="Z3" s="2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2.75" customHeight="1" x14ac:dyDescent="0.15">
      <c r="A4" s="1"/>
      <c r="B4" s="1">
        <v>1</v>
      </c>
      <c r="C4" s="18" t="s">
        <v>27</v>
      </c>
      <c r="D4" s="2">
        <v>151.84</v>
      </c>
      <c r="E4" s="3">
        <f t="shared" ref="E4:E32" si="0">G4/D4-1</f>
        <v>-3.9449420442571159E-2</v>
      </c>
      <c r="F4" s="2" t="s">
        <v>28</v>
      </c>
      <c r="G4" s="11">
        <v>145.85</v>
      </c>
      <c r="H4" s="11">
        <v>1105</v>
      </c>
      <c r="I4" s="2">
        <f t="shared" ref="I4:I32" si="1">G4*H4</f>
        <v>161164.25</v>
      </c>
      <c r="J4" s="11">
        <v>5580</v>
      </c>
      <c r="K4" s="11">
        <v>2870</v>
      </c>
      <c r="L4" s="2">
        <f t="shared" ref="L4:L31" si="2">J4-K4</f>
        <v>2710</v>
      </c>
      <c r="M4" s="2">
        <f t="shared" ref="M4:M31" si="3">I4-J4+K4</f>
        <v>158454.25</v>
      </c>
      <c r="N4" s="12">
        <v>0.08</v>
      </c>
      <c r="O4" s="11">
        <v>154380</v>
      </c>
      <c r="P4" s="6">
        <f t="shared" ref="P4:P8" si="4">O4/I4-1</f>
        <v>-4.2095253755097706E-2</v>
      </c>
      <c r="Q4" s="13">
        <v>7.0000000000000007E-2</v>
      </c>
      <c r="R4" s="13">
        <v>0.08</v>
      </c>
      <c r="S4" s="11">
        <v>9</v>
      </c>
      <c r="T4" s="11">
        <v>70</v>
      </c>
      <c r="U4" s="11">
        <v>45</v>
      </c>
      <c r="V4" s="5">
        <f t="shared" ref="V4:V7" si="5">S4+T4-U4</f>
        <v>34</v>
      </c>
      <c r="W4" s="11"/>
      <c r="X4" s="11"/>
      <c r="Y4" s="14">
        <v>46253</v>
      </c>
      <c r="Z4" s="14">
        <v>46253</v>
      </c>
      <c r="AA4" s="1" t="s">
        <v>29</v>
      </c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2.75" customHeight="1" x14ac:dyDescent="0.15">
      <c r="A5" s="1"/>
      <c r="B5" s="1">
        <f t="shared" ref="B5:B32" si="6">B4+1</f>
        <v>2</v>
      </c>
      <c r="C5" s="18" t="s">
        <v>30</v>
      </c>
      <c r="D5" s="2">
        <v>179.85</v>
      </c>
      <c r="E5" s="3">
        <f t="shared" si="0"/>
        <v>0.38215179316096748</v>
      </c>
      <c r="F5" s="2" t="s">
        <v>31</v>
      </c>
      <c r="G5" s="11">
        <v>248.58</v>
      </c>
      <c r="H5" s="11">
        <v>319</v>
      </c>
      <c r="I5" s="2">
        <f t="shared" si="1"/>
        <v>79297.02</v>
      </c>
      <c r="J5" s="11">
        <v>4288</v>
      </c>
      <c r="K5" s="11">
        <v>1019</v>
      </c>
      <c r="L5" s="2">
        <f t="shared" si="2"/>
        <v>3269</v>
      </c>
      <c r="M5" s="2">
        <f t="shared" si="3"/>
        <v>76028.02</v>
      </c>
      <c r="N5" s="12">
        <v>0.08</v>
      </c>
      <c r="O5" s="11">
        <v>80015</v>
      </c>
      <c r="P5" s="6">
        <f t="shared" si="4"/>
        <v>9.0543125075821518E-3</v>
      </c>
      <c r="Q5" s="13">
        <v>0.13</v>
      </c>
      <c r="R5" s="13">
        <v>0.12</v>
      </c>
      <c r="S5" s="11">
        <v>4</v>
      </c>
      <c r="T5" s="11">
        <v>67</v>
      </c>
      <c r="U5" s="11">
        <v>57</v>
      </c>
      <c r="V5" s="5">
        <f t="shared" si="5"/>
        <v>14</v>
      </c>
      <c r="W5" s="14">
        <v>46492</v>
      </c>
      <c r="X5" s="11">
        <v>99.936999999999998</v>
      </c>
      <c r="Y5" s="14">
        <v>46254</v>
      </c>
      <c r="Z5" s="14">
        <v>46254</v>
      </c>
      <c r="AA5" s="1" t="s">
        <v>32</v>
      </c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12.75" customHeight="1" x14ac:dyDescent="0.15">
      <c r="A6" s="1"/>
      <c r="B6" s="1">
        <f t="shared" si="6"/>
        <v>3</v>
      </c>
      <c r="C6" s="18" t="s">
        <v>33</v>
      </c>
      <c r="D6" s="2">
        <v>287.24</v>
      </c>
      <c r="E6" s="3">
        <f t="shared" si="0"/>
        <v>-4.95752680685142E-2</v>
      </c>
      <c r="F6" s="2" t="s">
        <v>34</v>
      </c>
      <c r="G6" s="11">
        <v>273</v>
      </c>
      <c r="H6" s="11">
        <v>63</v>
      </c>
      <c r="I6" s="2">
        <f t="shared" si="1"/>
        <v>17199</v>
      </c>
      <c r="J6" s="11">
        <v>704</v>
      </c>
      <c r="K6" s="11">
        <v>1914</v>
      </c>
      <c r="L6" s="2">
        <f t="shared" si="2"/>
        <v>-1210</v>
      </c>
      <c r="M6" s="2">
        <f t="shared" si="3"/>
        <v>18409</v>
      </c>
      <c r="N6" s="12">
        <v>0.08</v>
      </c>
      <c r="O6" s="11">
        <v>28346</v>
      </c>
      <c r="P6" s="6">
        <f t="shared" si="4"/>
        <v>0.64811907669050517</v>
      </c>
      <c r="Q6" s="13">
        <v>0.1</v>
      </c>
      <c r="R6" s="13">
        <v>0.08</v>
      </c>
      <c r="S6" s="11">
        <v>4</v>
      </c>
      <c r="T6" s="11">
        <v>85</v>
      </c>
      <c r="U6" s="11">
        <v>59</v>
      </c>
      <c r="V6" s="5">
        <f t="shared" si="5"/>
        <v>30</v>
      </c>
      <c r="W6" s="11"/>
      <c r="X6" s="11"/>
      <c r="Y6" s="14">
        <v>46262</v>
      </c>
      <c r="Z6" s="14">
        <v>46261</v>
      </c>
      <c r="AA6" s="1" t="s">
        <v>105</v>
      </c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12.75" customHeight="1" x14ac:dyDescent="0.15">
      <c r="A7" s="1"/>
      <c r="B7" s="1">
        <f t="shared" si="6"/>
        <v>4</v>
      </c>
      <c r="C7" s="18" t="s">
        <v>35</v>
      </c>
      <c r="D7" s="2">
        <v>25.21</v>
      </c>
      <c r="E7" s="3">
        <f t="shared" si="0"/>
        <v>-8.7663625545418511E-2</v>
      </c>
      <c r="F7" s="2" t="s">
        <v>36</v>
      </c>
      <c r="G7" s="11">
        <v>23</v>
      </c>
      <c r="H7" s="11">
        <v>351.27</v>
      </c>
      <c r="I7" s="2">
        <f t="shared" si="1"/>
        <v>8079.2099999999991</v>
      </c>
      <c r="J7" s="11">
        <v>2485</v>
      </c>
      <c r="K7" s="11">
        <v>1493</v>
      </c>
      <c r="L7" s="2">
        <f t="shared" si="2"/>
        <v>992</v>
      </c>
      <c r="M7" s="2">
        <f t="shared" si="3"/>
        <v>7087.2099999999991</v>
      </c>
      <c r="N7" s="12">
        <v>0.08</v>
      </c>
      <c r="O7" s="11">
        <v>13258</v>
      </c>
      <c r="P7" s="6">
        <f t="shared" si="4"/>
        <v>0.64100202866369371</v>
      </c>
      <c r="Q7" s="13">
        <v>-0.01</v>
      </c>
      <c r="R7" s="13">
        <v>-0.01</v>
      </c>
      <c r="S7" s="11">
        <v>0</v>
      </c>
      <c r="T7" s="11">
        <v>91</v>
      </c>
      <c r="U7" s="11">
        <v>56</v>
      </c>
      <c r="V7" s="5">
        <f t="shared" si="5"/>
        <v>35</v>
      </c>
      <c r="W7" s="11"/>
      <c r="X7" s="11"/>
      <c r="Y7" s="14">
        <v>46262</v>
      </c>
      <c r="Z7" s="14">
        <v>46261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12.75" customHeight="1" x14ac:dyDescent="0.15">
      <c r="A8" s="1"/>
      <c r="B8" s="1">
        <f t="shared" si="6"/>
        <v>5</v>
      </c>
      <c r="C8" s="18" t="s">
        <v>37</v>
      </c>
      <c r="D8" s="2">
        <v>54.94</v>
      </c>
      <c r="E8" s="3">
        <f t="shared" si="0"/>
        <v>0.59901710957408083</v>
      </c>
      <c r="F8" s="2" t="s">
        <v>38</v>
      </c>
      <c r="G8" s="11">
        <v>87.85</v>
      </c>
      <c r="H8" s="11">
        <v>79</v>
      </c>
      <c r="I8" s="2">
        <f t="shared" si="1"/>
        <v>6940.15</v>
      </c>
      <c r="J8" s="11">
        <v>207</v>
      </c>
      <c r="K8" s="11">
        <v>990</v>
      </c>
      <c r="L8" s="2">
        <f t="shared" si="2"/>
        <v>-783</v>
      </c>
      <c r="M8" s="2">
        <f t="shared" si="3"/>
        <v>7723.15</v>
      </c>
      <c r="N8" s="12">
        <v>0.08</v>
      </c>
      <c r="O8" s="11">
        <v>5954</v>
      </c>
      <c r="P8" s="6">
        <f t="shared" si="4"/>
        <v>-0.14209347060222033</v>
      </c>
      <c r="Q8" s="13">
        <v>0.1</v>
      </c>
      <c r="R8" s="13">
        <v>0.08</v>
      </c>
      <c r="S8" s="11"/>
      <c r="T8" s="11"/>
      <c r="U8" s="11"/>
      <c r="V8" s="5"/>
      <c r="W8" s="11"/>
      <c r="X8" s="11"/>
      <c r="Y8" s="14">
        <v>46262</v>
      </c>
      <c r="Z8" s="14">
        <v>46268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12.75" customHeight="1" x14ac:dyDescent="0.15">
      <c r="A9" s="1"/>
      <c r="B9" s="1">
        <f t="shared" si="6"/>
        <v>6</v>
      </c>
      <c r="C9" s="18" t="s">
        <v>39</v>
      </c>
      <c r="D9" s="2">
        <v>75.290000000000006</v>
      </c>
      <c r="E9" s="3">
        <f t="shared" si="0"/>
        <v>3.5994155930402449E-2</v>
      </c>
      <c r="F9" s="2" t="s">
        <v>40</v>
      </c>
      <c r="G9" s="11">
        <v>78</v>
      </c>
      <c r="H9" s="11">
        <v>86</v>
      </c>
      <c r="I9" s="2">
        <f t="shared" si="1"/>
        <v>6708</v>
      </c>
      <c r="J9" s="11">
        <v>413</v>
      </c>
      <c r="K9" s="11">
        <v>0</v>
      </c>
      <c r="L9" s="2">
        <f t="shared" si="2"/>
        <v>413</v>
      </c>
      <c r="M9" s="2">
        <f t="shared" si="3"/>
        <v>6295</v>
      </c>
      <c r="N9" s="12"/>
      <c r="O9" s="11"/>
      <c r="P9" s="6"/>
      <c r="Q9" s="13"/>
      <c r="R9" s="13"/>
      <c r="S9" s="11"/>
      <c r="T9" s="11"/>
      <c r="U9" s="11"/>
      <c r="V9" s="5"/>
      <c r="W9" s="11"/>
      <c r="X9" s="11"/>
      <c r="Y9" s="11"/>
      <c r="Z9" s="14">
        <v>46260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12.75" customHeight="1" x14ac:dyDescent="0.15">
      <c r="A10" s="1"/>
      <c r="B10" s="1">
        <f t="shared" si="6"/>
        <v>7</v>
      </c>
      <c r="C10" s="18" t="s">
        <v>41</v>
      </c>
      <c r="D10" s="2">
        <v>125.89</v>
      </c>
      <c r="E10" s="3">
        <f t="shared" si="0"/>
        <v>-0.13416474700135039</v>
      </c>
      <c r="F10" s="2" t="s">
        <v>42</v>
      </c>
      <c r="G10" s="11">
        <v>109</v>
      </c>
      <c r="H10" s="11">
        <v>44</v>
      </c>
      <c r="I10" s="2">
        <f t="shared" si="1"/>
        <v>4796</v>
      </c>
      <c r="J10" s="11">
        <v>619</v>
      </c>
      <c r="K10" s="11">
        <v>0</v>
      </c>
      <c r="L10" s="2">
        <f t="shared" si="2"/>
        <v>619</v>
      </c>
      <c r="M10" s="2">
        <f t="shared" si="3"/>
        <v>4177</v>
      </c>
      <c r="N10" s="12"/>
      <c r="O10" s="11"/>
      <c r="P10" s="6"/>
      <c r="Q10" s="13"/>
      <c r="R10" s="13"/>
      <c r="S10" s="11"/>
      <c r="T10" s="11"/>
      <c r="U10" s="11"/>
      <c r="V10" s="5"/>
      <c r="W10" s="11"/>
      <c r="X10" s="11"/>
      <c r="Y10" s="11"/>
      <c r="Z10" s="14">
        <v>46260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12.75" customHeight="1" x14ac:dyDescent="0.15">
      <c r="A11" s="1"/>
      <c r="B11" s="1">
        <f t="shared" si="6"/>
        <v>8</v>
      </c>
      <c r="C11" s="18" t="s">
        <v>43</v>
      </c>
      <c r="D11" s="2">
        <v>177.87</v>
      </c>
      <c r="E11" s="3">
        <f t="shared" si="0"/>
        <v>-0.10608871647832685</v>
      </c>
      <c r="F11" s="2" t="s">
        <v>44</v>
      </c>
      <c r="G11" s="11">
        <v>159</v>
      </c>
      <c r="H11" s="11">
        <v>30</v>
      </c>
      <c r="I11" s="2">
        <f t="shared" si="1"/>
        <v>4770</v>
      </c>
      <c r="J11" s="11">
        <v>139</v>
      </c>
      <c r="K11" s="11">
        <v>0</v>
      </c>
      <c r="L11" s="2">
        <f t="shared" si="2"/>
        <v>139</v>
      </c>
      <c r="M11" s="2">
        <f t="shared" si="3"/>
        <v>4631</v>
      </c>
      <c r="N11" s="12"/>
      <c r="O11" s="11"/>
      <c r="P11" s="6"/>
      <c r="Q11" s="13"/>
      <c r="R11" s="13"/>
      <c r="S11" s="11"/>
      <c r="T11" s="11"/>
      <c r="U11" s="11"/>
      <c r="V11" s="5"/>
      <c r="W11" s="11"/>
      <c r="X11" s="11"/>
      <c r="Y11" s="11"/>
      <c r="Z11" s="14">
        <v>46232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ht="12.75" customHeight="1" x14ac:dyDescent="0.15">
      <c r="A12" s="15" t="s">
        <v>45</v>
      </c>
      <c r="B12" s="1">
        <f t="shared" si="6"/>
        <v>9</v>
      </c>
      <c r="C12" s="18" t="s">
        <v>46</v>
      </c>
      <c r="D12" s="2">
        <v>25.85</v>
      </c>
      <c r="E12" s="3">
        <f t="shared" si="0"/>
        <v>-0.30367504835589942</v>
      </c>
      <c r="F12" s="2" t="s">
        <v>47</v>
      </c>
      <c r="G12" s="11">
        <v>18</v>
      </c>
      <c r="H12" s="11">
        <v>168</v>
      </c>
      <c r="I12" s="2">
        <f t="shared" si="1"/>
        <v>3024</v>
      </c>
      <c r="J12" s="11">
        <v>103</v>
      </c>
      <c r="K12" s="11">
        <v>85</v>
      </c>
      <c r="L12" s="2">
        <f t="shared" si="2"/>
        <v>18</v>
      </c>
      <c r="M12" s="2">
        <f t="shared" si="3"/>
        <v>3006</v>
      </c>
      <c r="N12" s="12"/>
      <c r="O12" s="11"/>
      <c r="P12" s="6"/>
      <c r="Q12" s="13"/>
      <c r="R12" s="13"/>
      <c r="S12" s="11"/>
      <c r="T12" s="11"/>
      <c r="U12" s="11"/>
      <c r="V12" s="5"/>
      <c r="W12" s="11"/>
      <c r="X12" s="11"/>
      <c r="Y12" s="11"/>
      <c r="Z12" s="14">
        <v>46170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ht="12.75" customHeight="1" x14ac:dyDescent="0.15">
      <c r="A13" s="1"/>
      <c r="B13" s="1">
        <f t="shared" si="6"/>
        <v>10</v>
      </c>
      <c r="C13" s="18" t="s">
        <v>48</v>
      </c>
      <c r="D13" s="2">
        <v>52.62</v>
      </c>
      <c r="E13" s="3">
        <f t="shared" si="0"/>
        <v>-0.12580767768909151</v>
      </c>
      <c r="F13" s="2" t="s">
        <v>49</v>
      </c>
      <c r="G13" s="11">
        <v>46</v>
      </c>
      <c r="H13" s="11">
        <v>52</v>
      </c>
      <c r="I13" s="2">
        <f t="shared" si="1"/>
        <v>2392</v>
      </c>
      <c r="J13" s="11">
        <v>290</v>
      </c>
      <c r="K13" s="11">
        <v>0</v>
      </c>
      <c r="L13" s="2">
        <f t="shared" si="2"/>
        <v>290</v>
      </c>
      <c r="M13" s="2">
        <f t="shared" si="3"/>
        <v>2102</v>
      </c>
      <c r="N13" s="12">
        <v>0.08</v>
      </c>
      <c r="O13" s="11">
        <v>3231</v>
      </c>
      <c r="P13" s="6">
        <f>O13/I13-1</f>
        <v>0.35075250836120397</v>
      </c>
      <c r="Q13" s="13">
        <v>0.04</v>
      </c>
      <c r="R13" s="13">
        <v>0.01</v>
      </c>
      <c r="S13" s="11">
        <v>2</v>
      </c>
      <c r="T13" s="11">
        <v>87</v>
      </c>
      <c r="U13" s="11">
        <v>35</v>
      </c>
      <c r="V13" s="5">
        <f>S13+T13-U13</f>
        <v>54</v>
      </c>
      <c r="W13" s="11" t="s">
        <v>50</v>
      </c>
      <c r="X13" s="11" t="s">
        <v>50</v>
      </c>
      <c r="Y13" s="14">
        <v>46262</v>
      </c>
      <c r="Z13" s="14">
        <v>46255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ht="12.75" customHeight="1" x14ac:dyDescent="0.15">
      <c r="A14" s="1"/>
      <c r="B14" s="1">
        <f t="shared" si="6"/>
        <v>11</v>
      </c>
      <c r="C14" s="18" t="s">
        <v>51</v>
      </c>
      <c r="D14" s="2">
        <v>32.200000000000003</v>
      </c>
      <c r="E14" s="3">
        <f t="shared" si="0"/>
        <v>0.2422360248447204</v>
      </c>
      <c r="F14" s="2" t="s">
        <v>52</v>
      </c>
      <c r="G14" s="11">
        <v>40</v>
      </c>
      <c r="H14" s="11">
        <v>37</v>
      </c>
      <c r="I14" s="2">
        <f t="shared" si="1"/>
        <v>1480</v>
      </c>
      <c r="J14" s="11">
        <v>654</v>
      </c>
      <c r="K14" s="11">
        <v>568</v>
      </c>
      <c r="L14" s="2">
        <f t="shared" si="2"/>
        <v>86</v>
      </c>
      <c r="M14" s="2">
        <f t="shared" si="3"/>
        <v>1394</v>
      </c>
      <c r="N14" s="12"/>
      <c r="O14" s="11"/>
      <c r="P14" s="6"/>
      <c r="Q14" s="13"/>
      <c r="R14" s="13"/>
      <c r="S14" s="11"/>
      <c r="T14" s="11"/>
      <c r="U14" s="11"/>
      <c r="V14" s="5"/>
      <c r="W14" s="11"/>
      <c r="X14" s="11"/>
      <c r="Y14" s="11"/>
      <c r="Z14" s="14">
        <v>46234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ht="12.75" customHeight="1" x14ac:dyDescent="0.15">
      <c r="A15" s="1"/>
      <c r="B15" s="1">
        <f t="shared" si="6"/>
        <v>12</v>
      </c>
      <c r="C15" s="18" t="s">
        <v>53</v>
      </c>
      <c r="D15" s="2">
        <v>41.62</v>
      </c>
      <c r="E15" s="3">
        <f t="shared" si="0"/>
        <v>0.70591061989428172</v>
      </c>
      <c r="F15" s="2" t="s">
        <v>54</v>
      </c>
      <c r="G15" s="11">
        <v>71</v>
      </c>
      <c r="H15" s="11">
        <v>8</v>
      </c>
      <c r="I15" s="2">
        <f t="shared" si="1"/>
        <v>568</v>
      </c>
      <c r="J15" s="11">
        <v>81</v>
      </c>
      <c r="K15" s="11">
        <v>0</v>
      </c>
      <c r="L15" s="2">
        <f t="shared" si="2"/>
        <v>81</v>
      </c>
      <c r="M15" s="2">
        <f t="shared" si="3"/>
        <v>487</v>
      </c>
      <c r="N15" s="12">
        <v>0.08</v>
      </c>
      <c r="O15" s="11">
        <v>768</v>
      </c>
      <c r="P15" s="6">
        <f>O15/I15-1</f>
        <v>0.352112676056338</v>
      </c>
      <c r="Q15" s="13">
        <v>0.1</v>
      </c>
      <c r="R15" s="13">
        <v>0.03</v>
      </c>
      <c r="S15" s="11">
        <v>6</v>
      </c>
      <c r="T15" s="11">
        <v>75</v>
      </c>
      <c r="U15" s="11">
        <v>74</v>
      </c>
      <c r="V15" s="5">
        <f>S15+T15-U15</f>
        <v>7</v>
      </c>
      <c r="W15" s="11" t="s">
        <v>50</v>
      </c>
      <c r="X15" s="11" t="s">
        <v>50</v>
      </c>
      <c r="Y15" s="14">
        <v>46254</v>
      </c>
      <c r="Z15" s="14">
        <v>46259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ht="12.75" customHeight="1" x14ac:dyDescent="0.15">
      <c r="A16" s="1"/>
      <c r="B16" s="1">
        <f t="shared" si="6"/>
        <v>13</v>
      </c>
      <c r="C16" s="18" t="s">
        <v>55</v>
      </c>
      <c r="D16" s="2">
        <v>5.28</v>
      </c>
      <c r="E16" s="3">
        <f t="shared" si="0"/>
        <v>-0.24242424242424243</v>
      </c>
      <c r="F16" s="2" t="s">
        <v>56</v>
      </c>
      <c r="G16" s="11">
        <v>4</v>
      </c>
      <c r="H16" s="11">
        <v>133</v>
      </c>
      <c r="I16" s="2">
        <f t="shared" si="1"/>
        <v>532</v>
      </c>
      <c r="J16" s="11">
        <v>187</v>
      </c>
      <c r="K16" s="11">
        <v>0</v>
      </c>
      <c r="L16" s="2">
        <f t="shared" si="2"/>
        <v>187</v>
      </c>
      <c r="M16" s="2">
        <f t="shared" si="3"/>
        <v>345</v>
      </c>
      <c r="N16" s="12"/>
      <c r="O16" s="11"/>
      <c r="P16" s="6"/>
      <c r="Q16" s="13"/>
      <c r="R16" s="13"/>
      <c r="S16" s="11"/>
      <c r="T16" s="11"/>
      <c r="U16" s="11"/>
      <c r="V16" s="5"/>
      <c r="W16" s="11"/>
      <c r="X16" s="11"/>
      <c r="Y16" s="11"/>
      <c r="Z16" s="14">
        <v>46183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ht="12.75" customHeight="1" x14ac:dyDescent="0.15">
      <c r="A17" s="1"/>
      <c r="B17" s="1">
        <f t="shared" si="6"/>
        <v>14</v>
      </c>
      <c r="C17" s="18" t="s">
        <v>57</v>
      </c>
      <c r="D17" s="2">
        <v>12.16</v>
      </c>
      <c r="E17" s="3">
        <f t="shared" si="0"/>
        <v>0.15131578947368429</v>
      </c>
      <c r="F17" s="2" t="s">
        <v>58</v>
      </c>
      <c r="G17" s="11">
        <v>14</v>
      </c>
      <c r="H17" s="11">
        <v>34</v>
      </c>
      <c r="I17" s="2">
        <f t="shared" si="1"/>
        <v>476</v>
      </c>
      <c r="J17" s="11">
        <v>38</v>
      </c>
      <c r="K17" s="11">
        <v>348</v>
      </c>
      <c r="L17" s="2">
        <f t="shared" si="2"/>
        <v>-310</v>
      </c>
      <c r="M17" s="2">
        <f t="shared" si="3"/>
        <v>786</v>
      </c>
      <c r="N17" s="12"/>
      <c r="O17" s="11"/>
      <c r="P17" s="6"/>
      <c r="Q17" s="13"/>
      <c r="R17" s="13"/>
      <c r="S17" s="11"/>
      <c r="T17" s="11"/>
      <c r="U17" s="11"/>
      <c r="V17" s="5"/>
      <c r="W17" s="11"/>
      <c r="X17" s="11"/>
      <c r="Y17" s="11"/>
      <c r="Z17" s="14">
        <v>46177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ht="12.75" customHeight="1" x14ac:dyDescent="0.15">
      <c r="A18" s="1"/>
      <c r="B18" s="1">
        <f t="shared" si="6"/>
        <v>15</v>
      </c>
      <c r="C18" s="18" t="s">
        <v>59</v>
      </c>
      <c r="D18" s="2">
        <v>25</v>
      </c>
      <c r="E18" s="3">
        <f t="shared" si="0"/>
        <v>0.56000000000000005</v>
      </c>
      <c r="F18" s="2" t="s">
        <v>60</v>
      </c>
      <c r="G18" s="11">
        <v>39</v>
      </c>
      <c r="H18" s="11">
        <v>11</v>
      </c>
      <c r="I18" s="2">
        <f t="shared" si="1"/>
        <v>429</v>
      </c>
      <c r="J18" s="11">
        <v>27</v>
      </c>
      <c r="K18" s="11">
        <v>45</v>
      </c>
      <c r="L18" s="2">
        <f t="shared" si="2"/>
        <v>-18</v>
      </c>
      <c r="M18" s="2">
        <f t="shared" si="3"/>
        <v>447</v>
      </c>
      <c r="N18" s="12"/>
      <c r="O18" s="11"/>
      <c r="P18" s="6"/>
      <c r="Q18" s="13"/>
      <c r="R18" s="13"/>
      <c r="S18" s="11"/>
      <c r="T18" s="11"/>
      <c r="U18" s="11"/>
      <c r="V18" s="5"/>
      <c r="W18" s="11"/>
      <c r="X18" s="11"/>
      <c r="Y18" s="11"/>
      <c r="Z18" s="14">
        <v>46171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ht="12.75" customHeight="1" x14ac:dyDescent="0.15">
      <c r="A19" s="1"/>
      <c r="B19" s="1">
        <f t="shared" si="6"/>
        <v>16</v>
      </c>
      <c r="C19" s="1" t="s">
        <v>61</v>
      </c>
      <c r="D19" s="2">
        <v>16.57</v>
      </c>
      <c r="E19" s="3">
        <f t="shared" si="0"/>
        <v>-9.4749547374773702E-2</v>
      </c>
      <c r="F19" s="2" t="s">
        <v>62</v>
      </c>
      <c r="G19" s="11">
        <v>15</v>
      </c>
      <c r="H19" s="11">
        <v>10</v>
      </c>
      <c r="I19" s="2">
        <f t="shared" si="1"/>
        <v>150</v>
      </c>
      <c r="J19" s="11">
        <v>0</v>
      </c>
      <c r="K19" s="11">
        <v>17</v>
      </c>
      <c r="L19" s="2">
        <f t="shared" si="2"/>
        <v>-17</v>
      </c>
      <c r="M19" s="2">
        <f t="shared" si="3"/>
        <v>167</v>
      </c>
      <c r="N19" s="12"/>
      <c r="O19" s="11"/>
      <c r="P19" s="6"/>
      <c r="Q19" s="13"/>
      <c r="R19" s="13"/>
      <c r="S19" s="11"/>
      <c r="T19" s="11"/>
      <c r="U19" s="11"/>
      <c r="V19" s="5"/>
      <c r="W19" s="11"/>
      <c r="X19" s="11"/>
      <c r="Y19" s="11"/>
      <c r="Z19" s="14">
        <v>46163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ht="12.75" customHeight="1" x14ac:dyDescent="0.15">
      <c r="A20" s="1"/>
      <c r="B20" s="1">
        <f t="shared" si="6"/>
        <v>17</v>
      </c>
      <c r="C20" s="18" t="s">
        <v>63</v>
      </c>
      <c r="D20" s="2">
        <v>14.54</v>
      </c>
      <c r="E20" s="3">
        <f t="shared" si="0"/>
        <v>-0.17469050894085281</v>
      </c>
      <c r="F20" s="2" t="s">
        <v>64</v>
      </c>
      <c r="G20" s="11">
        <v>12</v>
      </c>
      <c r="H20" s="11">
        <v>31</v>
      </c>
      <c r="I20" s="2">
        <f t="shared" si="1"/>
        <v>372</v>
      </c>
      <c r="J20" s="11">
        <v>24</v>
      </c>
      <c r="K20" s="11">
        <v>30</v>
      </c>
      <c r="L20" s="2">
        <f t="shared" si="2"/>
        <v>-6</v>
      </c>
      <c r="M20" s="2">
        <f t="shared" si="3"/>
        <v>378</v>
      </c>
      <c r="N20" s="12"/>
      <c r="O20" s="11"/>
      <c r="P20" s="6"/>
      <c r="Q20" s="13"/>
      <c r="R20" s="13"/>
      <c r="S20" s="11"/>
      <c r="T20" s="11"/>
      <c r="U20" s="11"/>
      <c r="V20" s="5"/>
      <c r="W20" s="11"/>
      <c r="X20" s="11"/>
      <c r="Y20" s="11"/>
      <c r="Z20" s="14">
        <v>46182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ht="12.75" customHeight="1" x14ac:dyDescent="0.15">
      <c r="A21" s="1"/>
      <c r="B21" s="1">
        <f t="shared" si="6"/>
        <v>18</v>
      </c>
      <c r="C21" s="18" t="s">
        <v>65</v>
      </c>
      <c r="D21" s="2">
        <v>26.07</v>
      </c>
      <c r="E21" s="3">
        <f t="shared" si="0"/>
        <v>-0.23283467587265061</v>
      </c>
      <c r="F21" s="2" t="s">
        <v>66</v>
      </c>
      <c r="G21" s="11">
        <v>20</v>
      </c>
      <c r="H21" s="11">
        <v>17</v>
      </c>
      <c r="I21" s="2">
        <f t="shared" si="1"/>
        <v>340</v>
      </c>
      <c r="J21" s="11">
        <v>124</v>
      </c>
      <c r="K21" s="11">
        <v>0</v>
      </c>
      <c r="L21" s="2">
        <f t="shared" si="2"/>
        <v>124</v>
      </c>
      <c r="M21" s="2">
        <f t="shared" si="3"/>
        <v>216</v>
      </c>
      <c r="N21" s="12"/>
      <c r="O21" s="11"/>
      <c r="P21" s="6"/>
      <c r="Q21" s="13"/>
      <c r="R21" s="13"/>
      <c r="S21" s="11"/>
      <c r="T21" s="11"/>
      <c r="U21" s="11"/>
      <c r="V21" s="5"/>
      <c r="W21" s="11"/>
      <c r="X21" s="11"/>
      <c r="Y21" s="11"/>
      <c r="Z21" s="14">
        <v>46177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2.75" customHeight="1" x14ac:dyDescent="0.15">
      <c r="A22" s="1"/>
      <c r="B22" s="1">
        <f t="shared" si="6"/>
        <v>19</v>
      </c>
      <c r="C22" s="18" t="s">
        <v>67</v>
      </c>
      <c r="D22" s="2">
        <v>13.48</v>
      </c>
      <c r="E22" s="3">
        <f t="shared" si="0"/>
        <v>0.40949554896142426</v>
      </c>
      <c r="F22" s="2" t="s">
        <v>68</v>
      </c>
      <c r="G22" s="11">
        <v>19</v>
      </c>
      <c r="H22" s="11">
        <v>15</v>
      </c>
      <c r="I22" s="2">
        <f t="shared" si="1"/>
        <v>285</v>
      </c>
      <c r="J22" s="11">
        <v>36</v>
      </c>
      <c r="K22" s="11">
        <v>73</v>
      </c>
      <c r="L22" s="2">
        <f t="shared" si="2"/>
        <v>-37</v>
      </c>
      <c r="M22" s="2">
        <f t="shared" si="3"/>
        <v>322</v>
      </c>
      <c r="N22" s="12"/>
      <c r="O22" s="11"/>
      <c r="P22" s="6"/>
      <c r="Q22" s="13"/>
      <c r="R22" s="13"/>
      <c r="S22" s="11"/>
      <c r="T22" s="11"/>
      <c r="U22" s="11"/>
      <c r="V22" s="5"/>
      <c r="W22" s="11"/>
      <c r="X22" s="11"/>
      <c r="Y22" s="11"/>
      <c r="Z22" s="14">
        <v>46183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ht="12.75" customHeight="1" x14ac:dyDescent="0.15">
      <c r="A23" s="1"/>
      <c r="B23" s="1">
        <f t="shared" si="6"/>
        <v>20</v>
      </c>
      <c r="C23" s="18" t="s">
        <v>69</v>
      </c>
      <c r="D23" s="2">
        <v>0.99</v>
      </c>
      <c r="E23" s="3">
        <f t="shared" si="0"/>
        <v>2.0303030303030303</v>
      </c>
      <c r="F23" s="2" t="s">
        <v>70</v>
      </c>
      <c r="G23" s="11">
        <v>3</v>
      </c>
      <c r="H23" s="11">
        <v>100</v>
      </c>
      <c r="I23" s="2">
        <f t="shared" si="1"/>
        <v>300</v>
      </c>
      <c r="J23" s="11">
        <v>23</v>
      </c>
      <c r="K23" s="11">
        <v>315</v>
      </c>
      <c r="L23" s="2">
        <f t="shared" si="2"/>
        <v>-292</v>
      </c>
      <c r="M23" s="2">
        <f t="shared" si="3"/>
        <v>592</v>
      </c>
      <c r="N23" s="12"/>
      <c r="O23" s="11"/>
      <c r="P23" s="6"/>
      <c r="Q23" s="13"/>
      <c r="R23" s="13"/>
      <c r="S23" s="11"/>
      <c r="T23" s="11"/>
      <c r="U23" s="11"/>
      <c r="V23" s="5"/>
      <c r="W23" s="11"/>
      <c r="X23" s="11"/>
      <c r="Y23" s="11"/>
      <c r="Z23" s="14">
        <v>46177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12.75" customHeight="1" x14ac:dyDescent="0.15">
      <c r="A24" s="1"/>
      <c r="B24" s="1">
        <f t="shared" si="6"/>
        <v>21</v>
      </c>
      <c r="C24" s="18" t="s">
        <v>71</v>
      </c>
      <c r="D24" s="2">
        <v>2.08</v>
      </c>
      <c r="E24" s="3">
        <f t="shared" si="0"/>
        <v>0.92307692307692291</v>
      </c>
      <c r="F24" s="2" t="s">
        <v>72</v>
      </c>
      <c r="G24" s="11">
        <v>4</v>
      </c>
      <c r="H24" s="11">
        <v>38</v>
      </c>
      <c r="I24" s="2">
        <f t="shared" si="1"/>
        <v>152</v>
      </c>
      <c r="J24" s="11">
        <v>6</v>
      </c>
      <c r="K24" s="11">
        <v>29</v>
      </c>
      <c r="L24" s="2">
        <f t="shared" si="2"/>
        <v>-23</v>
      </c>
      <c r="M24" s="2">
        <f t="shared" si="3"/>
        <v>175</v>
      </c>
      <c r="N24" s="12"/>
      <c r="O24" s="11"/>
      <c r="P24" s="6"/>
      <c r="Q24" s="13"/>
      <c r="R24" s="13"/>
      <c r="S24" s="11"/>
      <c r="T24" s="11"/>
      <c r="U24" s="11"/>
      <c r="V24" s="5"/>
      <c r="W24" s="11"/>
      <c r="X24" s="11"/>
      <c r="Y24" s="11"/>
      <c r="Z24" s="14">
        <v>46181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ht="12.75" customHeight="1" x14ac:dyDescent="0.15">
      <c r="A25" s="1"/>
      <c r="B25" s="1">
        <f t="shared" si="6"/>
        <v>22</v>
      </c>
      <c r="C25" s="18" t="s">
        <v>73</v>
      </c>
      <c r="D25" s="2">
        <v>8</v>
      </c>
      <c r="E25" s="3">
        <f t="shared" si="0"/>
        <v>-0.5</v>
      </c>
      <c r="F25" s="2" t="s">
        <v>74</v>
      </c>
      <c r="G25" s="11">
        <v>4</v>
      </c>
      <c r="H25" s="11">
        <v>34</v>
      </c>
      <c r="I25" s="2">
        <f t="shared" si="1"/>
        <v>136</v>
      </c>
      <c r="J25" s="11">
        <v>41</v>
      </c>
      <c r="K25" s="11">
        <v>157</v>
      </c>
      <c r="L25" s="2">
        <f t="shared" si="2"/>
        <v>-116</v>
      </c>
      <c r="M25" s="2">
        <f t="shared" si="3"/>
        <v>252</v>
      </c>
      <c r="N25" s="12"/>
      <c r="O25" s="11"/>
      <c r="P25" s="13"/>
      <c r="Q25" s="13"/>
      <c r="R25" s="13"/>
      <c r="S25" s="11"/>
      <c r="T25" s="11"/>
      <c r="U25" s="11"/>
      <c r="V25" s="5"/>
      <c r="W25" s="11"/>
      <c r="X25" s="11"/>
      <c r="Y25" s="11"/>
      <c r="Z25" s="14">
        <v>46176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ht="12.75" customHeight="1" x14ac:dyDescent="0.15">
      <c r="A26" s="1"/>
      <c r="B26" s="1">
        <f t="shared" si="6"/>
        <v>23</v>
      </c>
      <c r="C26" s="18" t="s">
        <v>75</v>
      </c>
      <c r="D26" s="2">
        <v>10.61</v>
      </c>
      <c r="E26" s="3">
        <f t="shared" si="0"/>
        <v>3.6757775683317728E-2</v>
      </c>
      <c r="F26" s="2" t="s">
        <v>76</v>
      </c>
      <c r="G26" s="11">
        <v>11</v>
      </c>
      <c r="H26" s="11">
        <v>11</v>
      </c>
      <c r="I26" s="2">
        <f t="shared" si="1"/>
        <v>121</v>
      </c>
      <c r="J26" s="11">
        <v>13</v>
      </c>
      <c r="K26" s="11">
        <v>103</v>
      </c>
      <c r="L26" s="2">
        <f t="shared" si="2"/>
        <v>-90</v>
      </c>
      <c r="M26" s="2">
        <f t="shared" si="3"/>
        <v>211</v>
      </c>
      <c r="N26" s="12"/>
      <c r="O26" s="11"/>
      <c r="P26" s="13"/>
      <c r="Q26" s="13"/>
      <c r="R26" s="13"/>
      <c r="S26" s="11"/>
      <c r="T26" s="11"/>
      <c r="U26" s="11"/>
      <c r="V26" s="5"/>
      <c r="W26" s="11"/>
      <c r="X26" s="11"/>
      <c r="Y26" s="11"/>
      <c r="Z26" s="14">
        <v>46239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ht="12.75" customHeight="1" x14ac:dyDescent="0.15">
      <c r="A27" s="1"/>
      <c r="B27" s="1">
        <f t="shared" si="6"/>
        <v>24</v>
      </c>
      <c r="C27" s="18" t="s">
        <v>77</v>
      </c>
      <c r="D27" s="2">
        <v>1.96</v>
      </c>
      <c r="E27" s="3">
        <f t="shared" si="0"/>
        <v>1.0408163265306123</v>
      </c>
      <c r="F27" s="2" t="s">
        <v>78</v>
      </c>
      <c r="G27" s="11">
        <v>4</v>
      </c>
      <c r="H27" s="11">
        <v>30</v>
      </c>
      <c r="I27" s="2">
        <f t="shared" si="1"/>
        <v>120</v>
      </c>
      <c r="J27" s="11">
        <v>41</v>
      </c>
      <c r="K27" s="11">
        <v>0</v>
      </c>
      <c r="L27" s="2">
        <f t="shared" si="2"/>
        <v>41</v>
      </c>
      <c r="M27" s="2">
        <f t="shared" si="3"/>
        <v>79</v>
      </c>
      <c r="N27" s="12"/>
      <c r="O27" s="11"/>
      <c r="P27" s="13"/>
      <c r="Q27" s="13"/>
      <c r="R27" s="13"/>
      <c r="S27" s="11"/>
      <c r="T27" s="11"/>
      <c r="U27" s="11"/>
      <c r="V27" s="5"/>
      <c r="W27" s="11"/>
      <c r="X27" s="11"/>
      <c r="Y27" s="11"/>
      <c r="Z27" s="14">
        <v>46176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ht="12.75" customHeight="1" x14ac:dyDescent="0.15">
      <c r="A28" s="1"/>
      <c r="B28" s="1">
        <f t="shared" si="6"/>
        <v>25</v>
      </c>
      <c r="C28" s="18" t="s">
        <v>79</v>
      </c>
      <c r="D28" s="2">
        <v>44.46</v>
      </c>
      <c r="E28" s="3">
        <f t="shared" si="0"/>
        <v>-0.93252361673414308</v>
      </c>
      <c r="F28" s="2" t="s">
        <v>80</v>
      </c>
      <c r="G28" s="11">
        <v>3</v>
      </c>
      <c r="H28" s="11">
        <v>20</v>
      </c>
      <c r="I28" s="2">
        <f t="shared" si="1"/>
        <v>60</v>
      </c>
      <c r="J28" s="11">
        <v>84</v>
      </c>
      <c r="K28" s="11">
        <v>0</v>
      </c>
      <c r="L28" s="2">
        <f t="shared" si="2"/>
        <v>84</v>
      </c>
      <c r="M28" s="2">
        <f t="shared" si="3"/>
        <v>-24</v>
      </c>
      <c r="N28" s="12"/>
      <c r="O28" s="11"/>
      <c r="P28" s="13"/>
      <c r="Q28" s="13">
        <v>0.01</v>
      </c>
      <c r="R28" s="13">
        <v>0.01</v>
      </c>
      <c r="S28" s="11"/>
      <c r="T28" s="11"/>
      <c r="U28" s="11"/>
      <c r="V28" s="5"/>
      <c r="W28" s="11" t="s">
        <v>50</v>
      </c>
      <c r="X28" s="11" t="s">
        <v>50</v>
      </c>
      <c r="Y28" s="14">
        <v>46238</v>
      </c>
      <c r="Z28" s="14">
        <v>46163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12.75" customHeight="1" x14ac:dyDescent="0.15">
      <c r="A29" s="1"/>
      <c r="B29" s="1">
        <f t="shared" si="6"/>
        <v>26</v>
      </c>
      <c r="C29" s="18" t="s">
        <v>81</v>
      </c>
      <c r="D29" s="2">
        <v>5.28</v>
      </c>
      <c r="E29" s="3">
        <f t="shared" si="0"/>
        <v>2.5984848484848482</v>
      </c>
      <c r="F29" s="2" t="s">
        <v>82</v>
      </c>
      <c r="G29" s="11">
        <v>19</v>
      </c>
      <c r="H29" s="11">
        <v>3</v>
      </c>
      <c r="I29" s="2">
        <f t="shared" si="1"/>
        <v>57</v>
      </c>
      <c r="J29" s="11">
        <v>7</v>
      </c>
      <c r="K29" s="11">
        <v>13</v>
      </c>
      <c r="L29" s="2">
        <f t="shared" si="2"/>
        <v>-6</v>
      </c>
      <c r="M29" s="2">
        <f t="shared" si="3"/>
        <v>63</v>
      </c>
      <c r="N29" s="12"/>
      <c r="O29" s="11"/>
      <c r="P29" s="13"/>
      <c r="Q29" s="13"/>
      <c r="R29" s="13"/>
      <c r="S29" s="11"/>
      <c r="T29" s="11"/>
      <c r="U29" s="11"/>
      <c r="V29" s="5"/>
      <c r="W29" s="11"/>
      <c r="X29" s="11"/>
      <c r="Y29" s="11"/>
      <c r="Z29" s="14">
        <v>46246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12.75" customHeight="1" x14ac:dyDescent="0.15">
      <c r="A30" s="1"/>
      <c r="B30" s="1">
        <f t="shared" si="6"/>
        <v>27</v>
      </c>
      <c r="C30" s="18" t="s">
        <v>83</v>
      </c>
      <c r="D30" s="2">
        <v>0.95</v>
      </c>
      <c r="E30" s="3">
        <f t="shared" si="0"/>
        <v>5.2631578947368363E-2</v>
      </c>
      <c r="F30" s="2" t="s">
        <v>84</v>
      </c>
      <c r="G30" s="11">
        <v>1</v>
      </c>
      <c r="H30" s="11">
        <v>55</v>
      </c>
      <c r="I30" s="2">
        <f t="shared" si="1"/>
        <v>55</v>
      </c>
      <c r="J30" s="11">
        <v>16</v>
      </c>
      <c r="K30" s="11">
        <v>0</v>
      </c>
      <c r="L30" s="2">
        <f t="shared" si="2"/>
        <v>16</v>
      </c>
      <c r="M30" s="2">
        <f t="shared" si="3"/>
        <v>39</v>
      </c>
      <c r="N30" s="12"/>
      <c r="O30" s="11"/>
      <c r="P30" s="13"/>
      <c r="Q30" s="13"/>
      <c r="R30" s="13"/>
      <c r="S30" s="11"/>
      <c r="T30" s="11"/>
      <c r="U30" s="11"/>
      <c r="V30" s="5"/>
      <c r="W30" s="11"/>
      <c r="X30" s="11"/>
      <c r="Y30" s="11"/>
      <c r="Z30" s="14">
        <v>46176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12.75" customHeight="1" x14ac:dyDescent="0.15">
      <c r="A31" s="1"/>
      <c r="B31" s="1">
        <f t="shared" si="6"/>
        <v>28</v>
      </c>
      <c r="C31" s="18" t="s">
        <v>85</v>
      </c>
      <c r="D31" s="2">
        <v>526.4</v>
      </c>
      <c r="E31" s="3">
        <f t="shared" si="0"/>
        <v>-0.96580547112462001</v>
      </c>
      <c r="F31" s="2" t="s">
        <v>86</v>
      </c>
      <c r="G31" s="11">
        <v>18</v>
      </c>
      <c r="H31" s="11">
        <v>23</v>
      </c>
      <c r="I31" s="2">
        <f t="shared" si="1"/>
        <v>414</v>
      </c>
      <c r="J31" s="11">
        <v>5</v>
      </c>
      <c r="K31" s="11">
        <v>9</v>
      </c>
      <c r="L31" s="2">
        <f t="shared" si="2"/>
        <v>-4</v>
      </c>
      <c r="M31" s="2">
        <f t="shared" si="3"/>
        <v>418</v>
      </c>
      <c r="N31" s="12"/>
      <c r="O31" s="11"/>
      <c r="P31" s="13"/>
      <c r="Q31" s="13"/>
      <c r="R31" s="13"/>
      <c r="S31" s="11"/>
      <c r="T31" s="11"/>
      <c r="U31" s="11"/>
      <c r="V31" s="5"/>
      <c r="W31" s="11"/>
      <c r="X31" s="11"/>
      <c r="Y31" s="11"/>
      <c r="Z31" s="14">
        <v>46232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ht="12.75" customHeight="1" x14ac:dyDescent="0.15">
      <c r="A32" s="1"/>
      <c r="B32" s="1">
        <f t="shared" si="6"/>
        <v>29</v>
      </c>
      <c r="C32" s="18" t="s">
        <v>87</v>
      </c>
      <c r="D32" s="2">
        <v>15</v>
      </c>
      <c r="E32" s="3">
        <f t="shared" si="0"/>
        <v>0.12080000000000002</v>
      </c>
      <c r="F32" s="2" t="s">
        <v>88</v>
      </c>
      <c r="G32" s="11">
        <v>16.812000000000001</v>
      </c>
      <c r="H32" s="11">
        <v>14.0625</v>
      </c>
      <c r="I32" s="2">
        <f t="shared" si="1"/>
        <v>236.41875000000002</v>
      </c>
      <c r="J32" s="11"/>
      <c r="K32" s="11"/>
      <c r="L32" s="2"/>
      <c r="M32" s="2"/>
      <c r="N32" s="12"/>
      <c r="O32" s="11"/>
      <c r="P32" s="13"/>
      <c r="Q32" s="13"/>
      <c r="R32" s="13"/>
      <c r="S32" s="11"/>
      <c r="T32" s="11"/>
      <c r="U32" s="11"/>
      <c r="V32" s="5"/>
      <c r="W32" s="11"/>
      <c r="X32" s="11"/>
      <c r="Y32" s="11"/>
      <c r="Z32" s="1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ht="12.75" customHeight="1" x14ac:dyDescent="0.15">
      <c r="A33" s="1"/>
      <c r="B33" s="9"/>
      <c r="C33" s="10" t="s">
        <v>89</v>
      </c>
      <c r="D33" s="2"/>
      <c r="E33" s="3"/>
      <c r="F33" s="2"/>
      <c r="G33" s="11"/>
      <c r="H33" s="11"/>
      <c r="I33" s="2"/>
      <c r="J33" s="11"/>
      <c r="K33" s="11"/>
      <c r="L33" s="2"/>
      <c r="M33" s="2"/>
      <c r="N33" s="12"/>
      <c r="O33" s="11"/>
      <c r="P33" s="13"/>
      <c r="Q33" s="13"/>
      <c r="R33" s="13"/>
      <c r="S33" s="11"/>
      <c r="T33" s="11"/>
      <c r="U33" s="11"/>
      <c r="V33" s="5"/>
      <c r="W33" s="11"/>
      <c r="X33" s="11"/>
      <c r="Y33" s="11"/>
      <c r="Z33" s="1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12.75" customHeight="1" x14ac:dyDescent="0.15">
      <c r="A34" s="1"/>
      <c r="B34" s="1">
        <v>1</v>
      </c>
      <c r="C34" s="18" t="s">
        <v>90</v>
      </c>
      <c r="D34" s="2">
        <v>605.66999999999996</v>
      </c>
      <c r="E34" s="3">
        <f t="shared" ref="E34:E36" si="7">G34/D34-1</f>
        <v>-4.2911156240196813E-2</v>
      </c>
      <c r="F34" s="2" t="s">
        <v>91</v>
      </c>
      <c r="G34" s="11">
        <v>579.67999999999995</v>
      </c>
      <c r="H34" s="11">
        <v>16</v>
      </c>
      <c r="I34" s="2">
        <f t="shared" ref="I34:I36" si="8">G34*H34</f>
        <v>9274.8799999999992</v>
      </c>
      <c r="J34" s="11">
        <v>1212</v>
      </c>
      <c r="K34" s="11">
        <v>322</v>
      </c>
      <c r="L34" s="2">
        <f t="shared" ref="L34:L36" si="9">J34-K34</f>
        <v>890</v>
      </c>
      <c r="M34" s="2">
        <f t="shared" ref="M34:M36" si="10">I34-J34+K34</f>
        <v>8384.8799999999992</v>
      </c>
      <c r="N34" s="12">
        <v>7.0000000000000007E-2</v>
      </c>
      <c r="O34" s="11">
        <v>7258</v>
      </c>
      <c r="P34" s="13"/>
      <c r="Q34" s="13">
        <v>-0.04</v>
      </c>
      <c r="R34" s="13">
        <v>-0.04</v>
      </c>
      <c r="S34" s="11"/>
      <c r="T34" s="11"/>
      <c r="U34" s="11"/>
      <c r="V34" s="5"/>
      <c r="W34" s="11"/>
      <c r="X34" s="11"/>
      <c r="Y34" s="14">
        <v>46251</v>
      </c>
      <c r="Z34" s="14">
        <v>46247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12.75" customHeight="1" x14ac:dyDescent="0.15">
      <c r="A35" s="1"/>
      <c r="B35" s="1">
        <f t="shared" ref="B35:B36" si="11">B34+1</f>
        <v>2</v>
      </c>
      <c r="C35" s="18" t="s">
        <v>92</v>
      </c>
      <c r="D35" s="2">
        <v>21.82</v>
      </c>
      <c r="E35" s="3">
        <f t="shared" si="7"/>
        <v>-0.26397800183318065</v>
      </c>
      <c r="F35" s="2" t="s">
        <v>93</v>
      </c>
      <c r="G35" s="11">
        <v>16.059999999999999</v>
      </c>
      <c r="H35" s="11">
        <v>263</v>
      </c>
      <c r="I35" s="2">
        <f t="shared" si="8"/>
        <v>4223.78</v>
      </c>
      <c r="J35" s="11">
        <v>1294</v>
      </c>
      <c r="K35" s="11">
        <v>2432</v>
      </c>
      <c r="L35" s="2">
        <f t="shared" si="9"/>
        <v>-1138</v>
      </c>
      <c r="M35" s="2">
        <f t="shared" si="10"/>
        <v>5361.78</v>
      </c>
      <c r="N35" s="12"/>
      <c r="O35" s="11"/>
      <c r="P35" s="13"/>
      <c r="Q35" s="13"/>
      <c r="R35" s="13"/>
      <c r="S35" s="11"/>
      <c r="T35" s="11"/>
      <c r="U35" s="11"/>
      <c r="V35" s="5"/>
      <c r="W35" s="11"/>
      <c r="X35" s="11"/>
      <c r="Y35" s="11"/>
      <c r="Z35" s="14">
        <v>46176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12.75" customHeight="1" x14ac:dyDescent="0.15">
      <c r="A36" s="1"/>
      <c r="B36" s="1">
        <f t="shared" si="11"/>
        <v>3</v>
      </c>
      <c r="C36" s="18" t="s">
        <v>94</v>
      </c>
      <c r="D36" s="2">
        <v>20.350000000000001</v>
      </c>
      <c r="E36" s="3">
        <f t="shared" si="7"/>
        <v>-0.31203931203931212</v>
      </c>
      <c r="F36" s="2" t="s">
        <v>95</v>
      </c>
      <c r="G36" s="11">
        <v>14</v>
      </c>
      <c r="H36" s="11">
        <v>122</v>
      </c>
      <c r="I36" s="2">
        <f t="shared" si="8"/>
        <v>1708</v>
      </c>
      <c r="J36" s="11">
        <v>153</v>
      </c>
      <c r="K36" s="11">
        <v>2072</v>
      </c>
      <c r="L36" s="2">
        <f t="shared" si="9"/>
        <v>-1919</v>
      </c>
      <c r="M36" s="2">
        <f t="shared" si="10"/>
        <v>3627</v>
      </c>
      <c r="N36" s="12"/>
      <c r="O36" s="11"/>
      <c r="P36" s="13"/>
      <c r="Q36" s="13"/>
      <c r="R36" s="13"/>
      <c r="S36" s="11"/>
      <c r="T36" s="11"/>
      <c r="U36" s="11"/>
      <c r="V36" s="5"/>
      <c r="W36" s="11"/>
      <c r="X36" s="11"/>
      <c r="Y36" s="11"/>
      <c r="Z36" s="14">
        <v>46170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2.75" customHeight="1" x14ac:dyDescent="0.15">
      <c r="A37" s="1"/>
      <c r="B37" s="1"/>
      <c r="C37" s="10" t="s">
        <v>96</v>
      </c>
      <c r="D37" s="2"/>
      <c r="E37" s="3"/>
      <c r="F37" s="2"/>
      <c r="G37" s="11"/>
      <c r="H37" s="11"/>
      <c r="I37" s="2"/>
      <c r="J37" s="11"/>
      <c r="K37" s="11"/>
      <c r="L37" s="2"/>
      <c r="M37" s="2"/>
      <c r="N37" s="12"/>
      <c r="O37" s="11"/>
      <c r="P37" s="13"/>
      <c r="Q37" s="13"/>
      <c r="R37" s="13"/>
      <c r="S37" s="11"/>
      <c r="T37" s="11"/>
      <c r="U37" s="11"/>
      <c r="V37" s="5"/>
      <c r="W37" s="11"/>
      <c r="X37" s="11"/>
      <c r="Y37" s="11"/>
      <c r="Z37" s="1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12.75" customHeight="1" x14ac:dyDescent="0.15">
      <c r="A38" s="1"/>
      <c r="B38" s="1">
        <v>1</v>
      </c>
      <c r="C38" s="18" t="s">
        <v>97</v>
      </c>
      <c r="D38" s="2">
        <v>20.18</v>
      </c>
      <c r="E38" s="3">
        <f t="shared" ref="E38:E41" si="12">G38/D38-1</f>
        <v>0.75569871159563928</v>
      </c>
      <c r="F38" s="2" t="s">
        <v>98</v>
      </c>
      <c r="G38" s="11">
        <v>35.43</v>
      </c>
      <c r="H38" s="11">
        <v>22</v>
      </c>
      <c r="I38" s="2">
        <f t="shared" ref="I38:I40" si="13">G38*H38</f>
        <v>779.46</v>
      </c>
      <c r="J38" s="11">
        <v>225</v>
      </c>
      <c r="K38" s="11">
        <v>0</v>
      </c>
      <c r="L38" s="2">
        <f t="shared" ref="L38:L40" si="14">J38-K38</f>
        <v>225</v>
      </c>
      <c r="M38" s="2">
        <f t="shared" ref="M38:M40" si="15">I38-J38+K38</f>
        <v>554.46</v>
      </c>
      <c r="N38" s="12"/>
      <c r="O38" s="11"/>
      <c r="P38" s="13"/>
      <c r="Q38" s="13"/>
      <c r="R38" s="13"/>
      <c r="S38" s="11"/>
      <c r="T38" s="11"/>
      <c r="U38" s="11"/>
      <c r="V38" s="5"/>
      <c r="W38" s="11"/>
      <c r="X38" s="11"/>
      <c r="Y38" s="11"/>
      <c r="Z38" s="14">
        <v>46169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2.75" customHeight="1" x14ac:dyDescent="0.15">
      <c r="A39" s="1"/>
      <c r="B39" s="1">
        <f t="shared" ref="B39:B41" si="16">B38+1</f>
        <v>2</v>
      </c>
      <c r="C39" s="18" t="s">
        <v>99</v>
      </c>
      <c r="D39" s="2">
        <v>128.51</v>
      </c>
      <c r="E39" s="3">
        <f t="shared" si="12"/>
        <v>0.21103416076569914</v>
      </c>
      <c r="F39" s="2" t="s">
        <v>100</v>
      </c>
      <c r="G39" s="11">
        <v>155.63</v>
      </c>
      <c r="H39" s="11">
        <v>202</v>
      </c>
      <c r="I39" s="2">
        <f t="shared" si="13"/>
        <v>31437.26</v>
      </c>
      <c r="J39" s="11">
        <v>1069</v>
      </c>
      <c r="K39" s="11">
        <v>2377</v>
      </c>
      <c r="L39" s="2">
        <f t="shared" si="14"/>
        <v>-1308</v>
      </c>
      <c r="M39" s="2">
        <f t="shared" si="15"/>
        <v>32745.26</v>
      </c>
      <c r="N39" s="12"/>
      <c r="O39" s="11"/>
      <c r="P39" s="13"/>
      <c r="Q39" s="13"/>
      <c r="R39" s="13"/>
      <c r="S39" s="11"/>
      <c r="T39" s="11"/>
      <c r="U39" s="11"/>
      <c r="V39" s="5"/>
      <c r="W39" s="11"/>
      <c r="X39" s="11"/>
      <c r="Y39" s="11"/>
      <c r="Z39" s="14">
        <v>46247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2.75" customHeight="1" x14ac:dyDescent="0.15">
      <c r="A40" s="1"/>
      <c r="B40" s="1">
        <f t="shared" si="16"/>
        <v>3</v>
      </c>
      <c r="C40" s="1" t="s">
        <v>101</v>
      </c>
      <c r="D40" s="2">
        <v>15.74</v>
      </c>
      <c r="E40" s="3">
        <f t="shared" si="12"/>
        <v>-0.17407878017789069</v>
      </c>
      <c r="F40" s="2" t="s">
        <v>102</v>
      </c>
      <c r="G40" s="11">
        <v>13</v>
      </c>
      <c r="H40" s="11">
        <v>202</v>
      </c>
      <c r="I40" s="2">
        <f t="shared" si="13"/>
        <v>2626</v>
      </c>
      <c r="J40" s="11">
        <v>124</v>
      </c>
      <c r="K40" s="11">
        <v>375</v>
      </c>
      <c r="L40" s="2">
        <f t="shared" si="14"/>
        <v>-251</v>
      </c>
      <c r="M40" s="2">
        <f t="shared" si="15"/>
        <v>2877</v>
      </c>
      <c r="N40" s="12"/>
      <c r="O40" s="11"/>
      <c r="P40" s="13"/>
      <c r="Q40" s="13"/>
      <c r="R40" s="13"/>
      <c r="S40" s="11"/>
      <c r="T40" s="11"/>
      <c r="U40" s="11"/>
      <c r="V40" s="5"/>
      <c r="W40" s="11"/>
      <c r="X40" s="11"/>
      <c r="Y40" s="11"/>
      <c r="Z40" s="14">
        <v>46240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2.75" customHeight="1" x14ac:dyDescent="0.15">
      <c r="A41" s="1"/>
      <c r="B41" s="1">
        <f t="shared" si="16"/>
        <v>4</v>
      </c>
      <c r="C41" s="1" t="s">
        <v>103</v>
      </c>
      <c r="D41" s="2">
        <v>1.77</v>
      </c>
      <c r="E41" s="3">
        <f t="shared" si="12"/>
        <v>-0.31073446327683618</v>
      </c>
      <c r="F41" s="2" t="s">
        <v>104</v>
      </c>
      <c r="G41" s="11">
        <v>1.22</v>
      </c>
      <c r="H41" s="11"/>
      <c r="I41" s="2"/>
      <c r="J41" s="11"/>
      <c r="K41" s="11"/>
      <c r="L41" s="2"/>
      <c r="M41" s="2"/>
      <c r="N41" s="12"/>
      <c r="O41" s="11"/>
      <c r="P41" s="13"/>
      <c r="Q41" s="13"/>
      <c r="R41" s="13"/>
      <c r="S41" s="11"/>
      <c r="T41" s="11"/>
      <c r="U41" s="11"/>
      <c r="V41" s="5"/>
      <c r="W41" s="11"/>
      <c r="X41" s="11"/>
      <c r="Y41" s="11"/>
      <c r="Z41" s="14">
        <v>46240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2.75" customHeight="1" x14ac:dyDescent="0.15">
      <c r="A42" s="1"/>
      <c r="B42" s="1"/>
      <c r="C42" s="1"/>
      <c r="D42" s="2"/>
      <c r="E42" s="3"/>
      <c r="F42" s="2"/>
      <c r="G42" s="16"/>
      <c r="H42" s="16"/>
      <c r="I42" s="2"/>
      <c r="J42" s="16"/>
      <c r="K42" s="16"/>
      <c r="L42" s="2"/>
      <c r="M42" s="2"/>
      <c r="N42" s="4"/>
      <c r="O42" s="2"/>
      <c r="P42" s="3"/>
      <c r="Q42" s="3"/>
      <c r="R42" s="3"/>
      <c r="S42" s="17"/>
      <c r="T42" s="17"/>
      <c r="U42" s="17"/>
      <c r="V42" s="17"/>
      <c r="W42" s="17"/>
      <c r="X42" s="17"/>
      <c r="Y42" s="2"/>
      <c r="Z42" s="2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12.75" customHeight="1" x14ac:dyDescent="0.15">
      <c r="A43" s="1"/>
      <c r="B43" s="1"/>
      <c r="C43" s="1"/>
      <c r="D43" s="2"/>
      <c r="E43" s="3"/>
      <c r="F43" s="2"/>
      <c r="G43" s="16"/>
      <c r="H43" s="16"/>
      <c r="I43" s="2"/>
      <c r="J43" s="16"/>
      <c r="K43" s="16"/>
      <c r="L43" s="2"/>
      <c r="M43" s="2"/>
      <c r="N43" s="4"/>
      <c r="O43" s="2"/>
      <c r="P43" s="3"/>
      <c r="Q43" s="3"/>
      <c r="R43" s="3"/>
      <c r="S43" s="17"/>
      <c r="T43" s="17"/>
      <c r="U43" s="17"/>
      <c r="V43" s="17"/>
      <c r="W43" s="17"/>
      <c r="X43" s="17"/>
      <c r="Y43" s="2"/>
      <c r="Z43" s="2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2.75" customHeight="1" x14ac:dyDescent="0.15">
      <c r="A44" s="1"/>
      <c r="B44" s="1"/>
      <c r="C44" s="1"/>
      <c r="D44" s="2"/>
      <c r="E44" s="3"/>
      <c r="F44" s="2"/>
      <c r="G44" s="16"/>
      <c r="H44" s="16"/>
      <c r="I44" s="2"/>
      <c r="J44" s="16"/>
      <c r="K44" s="16"/>
      <c r="L44" s="2"/>
      <c r="M44" s="2"/>
      <c r="N44" s="4"/>
      <c r="O44" s="2"/>
      <c r="P44" s="3"/>
      <c r="Q44" s="3"/>
      <c r="R44" s="3"/>
      <c r="S44" s="2"/>
      <c r="T44" s="2"/>
      <c r="U44" s="2"/>
      <c r="V44" s="2"/>
      <c r="W44" s="2"/>
      <c r="X44" s="2"/>
      <c r="Y44" s="2"/>
      <c r="Z44" s="2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12.75" customHeight="1" x14ac:dyDescent="0.15">
      <c r="A45" s="1"/>
      <c r="B45" s="1"/>
      <c r="C45" s="1"/>
      <c r="D45" s="2"/>
      <c r="E45" s="3"/>
      <c r="F45" s="2"/>
      <c r="G45" s="11"/>
      <c r="H45" s="11"/>
      <c r="I45" s="2"/>
      <c r="J45" s="11"/>
      <c r="K45" s="11"/>
      <c r="L45" s="2"/>
      <c r="M45" s="2"/>
      <c r="N45" s="4"/>
      <c r="O45" s="2"/>
      <c r="P45" s="3"/>
      <c r="Q45" s="3"/>
      <c r="R45" s="3"/>
      <c r="S45" s="2"/>
      <c r="T45" s="2"/>
      <c r="U45" s="2"/>
      <c r="V45" s="2"/>
      <c r="W45" s="2"/>
      <c r="X45" s="2"/>
      <c r="Y45" s="2"/>
      <c r="Z45" s="2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12.75" customHeight="1" x14ac:dyDescent="0.15">
      <c r="A46" s="1"/>
      <c r="B46" s="1"/>
      <c r="C46" s="1"/>
      <c r="D46" s="2"/>
      <c r="E46" s="3"/>
      <c r="F46" s="2"/>
      <c r="G46" s="11"/>
      <c r="H46" s="11"/>
      <c r="I46" s="2"/>
      <c r="J46" s="11"/>
      <c r="K46" s="11"/>
      <c r="L46" s="2"/>
      <c r="M46" s="2"/>
      <c r="N46" s="4"/>
      <c r="O46" s="2"/>
      <c r="P46" s="3"/>
      <c r="Q46" s="3"/>
      <c r="R46" s="3"/>
      <c r="S46" s="2"/>
      <c r="T46" s="2"/>
      <c r="U46" s="2"/>
      <c r="V46" s="2"/>
      <c r="W46" s="2"/>
      <c r="X46" s="2"/>
      <c r="Y46" s="2"/>
      <c r="Z46" s="2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12.75" customHeight="1" x14ac:dyDescent="0.15">
      <c r="A47" s="1"/>
      <c r="B47" s="1"/>
      <c r="C47" s="1"/>
      <c r="D47" s="2"/>
      <c r="E47" s="3"/>
      <c r="F47" s="2"/>
      <c r="G47" s="11"/>
      <c r="H47" s="11"/>
      <c r="I47" s="2"/>
      <c r="J47" s="11"/>
      <c r="K47" s="11"/>
      <c r="L47" s="2"/>
      <c r="M47" s="2"/>
      <c r="N47" s="4"/>
      <c r="O47" s="2"/>
      <c r="P47" s="3"/>
      <c r="Q47" s="3"/>
      <c r="R47" s="3"/>
      <c r="S47" s="2"/>
      <c r="T47" s="2"/>
      <c r="U47" s="2"/>
      <c r="V47" s="2"/>
      <c r="W47" s="2"/>
      <c r="X47" s="2"/>
      <c r="Y47" s="2"/>
      <c r="Z47" s="2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2.75" customHeight="1" x14ac:dyDescent="0.15">
      <c r="A48" s="1"/>
      <c r="B48" s="1"/>
      <c r="C48" s="1"/>
      <c r="D48" s="2"/>
      <c r="E48" s="3"/>
      <c r="F48" s="2"/>
      <c r="G48" s="11"/>
      <c r="H48" s="11"/>
      <c r="I48" s="2"/>
      <c r="J48" s="11"/>
      <c r="K48" s="11"/>
      <c r="L48" s="2"/>
      <c r="M48" s="2"/>
      <c r="N48" s="4"/>
      <c r="O48" s="2"/>
      <c r="P48" s="3"/>
      <c r="Q48" s="3"/>
      <c r="R48" s="3"/>
      <c r="S48" s="2"/>
      <c r="T48" s="2"/>
      <c r="U48" s="2"/>
      <c r="V48" s="2"/>
      <c r="W48" s="2"/>
      <c r="X48" s="2"/>
      <c r="Y48" s="2"/>
      <c r="Z48" s="2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</sheetData>
  <hyperlinks>
    <hyperlink ref="C4" r:id="rId1" xr:uid="{00000000-0004-0000-0000-000000000000}"/>
    <hyperlink ref="C5" r:id="rId2" xr:uid="{00000000-0004-0000-0000-000001000000}"/>
    <hyperlink ref="C6" r:id="rId3" xr:uid="{00000000-0004-0000-0000-000002000000}"/>
    <hyperlink ref="C7" r:id="rId4" xr:uid="{00000000-0004-0000-0000-000003000000}"/>
    <hyperlink ref="C8" r:id="rId5" xr:uid="{00000000-0004-0000-0000-000004000000}"/>
    <hyperlink ref="C9" r:id="rId6" xr:uid="{00000000-0004-0000-0000-000005000000}"/>
    <hyperlink ref="C10" r:id="rId7" xr:uid="{00000000-0004-0000-0000-000006000000}"/>
    <hyperlink ref="C11" r:id="rId8" xr:uid="{00000000-0004-0000-0000-000007000000}"/>
    <hyperlink ref="C12" r:id="rId9" xr:uid="{00000000-0004-0000-0000-000008000000}"/>
    <hyperlink ref="C13" r:id="rId10" xr:uid="{00000000-0004-0000-0000-000009000000}"/>
    <hyperlink ref="C14" r:id="rId11" xr:uid="{00000000-0004-0000-0000-00000A000000}"/>
    <hyperlink ref="C15" r:id="rId12" xr:uid="{00000000-0004-0000-0000-00000B000000}"/>
    <hyperlink ref="C16" r:id="rId13" xr:uid="{00000000-0004-0000-0000-00000C000000}"/>
    <hyperlink ref="C17" r:id="rId14" xr:uid="{00000000-0004-0000-0000-00000D000000}"/>
    <hyperlink ref="C18" r:id="rId15" xr:uid="{00000000-0004-0000-0000-00000E000000}"/>
    <hyperlink ref="C19" r:id="rId16" location="gid=0" xr:uid="{00000000-0004-0000-0000-00000F000000}"/>
    <hyperlink ref="C20" r:id="rId17" xr:uid="{00000000-0004-0000-0000-000010000000}"/>
    <hyperlink ref="C21" r:id="rId18" xr:uid="{00000000-0004-0000-0000-000011000000}"/>
    <hyperlink ref="C22" r:id="rId19" xr:uid="{00000000-0004-0000-0000-000012000000}"/>
    <hyperlink ref="C23" r:id="rId20" xr:uid="{00000000-0004-0000-0000-000013000000}"/>
    <hyperlink ref="C24" r:id="rId21" xr:uid="{00000000-0004-0000-0000-000014000000}"/>
    <hyperlink ref="C25" r:id="rId22" xr:uid="{00000000-0004-0000-0000-000015000000}"/>
    <hyperlink ref="C26" r:id="rId23" xr:uid="{00000000-0004-0000-0000-000016000000}"/>
    <hyperlink ref="C27" r:id="rId24" xr:uid="{00000000-0004-0000-0000-000017000000}"/>
    <hyperlink ref="C28" r:id="rId25" xr:uid="{00000000-0004-0000-0000-000018000000}"/>
    <hyperlink ref="C29" r:id="rId26" xr:uid="{00000000-0004-0000-0000-000019000000}"/>
    <hyperlink ref="C30" r:id="rId27" xr:uid="{00000000-0004-0000-0000-00001A000000}"/>
    <hyperlink ref="C31" r:id="rId28" xr:uid="{00000000-0004-0000-0000-00001B000000}"/>
    <hyperlink ref="C32" r:id="rId29" xr:uid="{00000000-0004-0000-0000-00001C000000}"/>
    <hyperlink ref="C34" r:id="rId30" xr:uid="{00000000-0004-0000-0000-00001D000000}"/>
    <hyperlink ref="C35" r:id="rId31" xr:uid="{00000000-0004-0000-0000-00001E000000}"/>
    <hyperlink ref="C36" r:id="rId32" xr:uid="{00000000-0004-0000-0000-00001F000000}"/>
    <hyperlink ref="C38" r:id="rId33" xr:uid="{00000000-0004-0000-0000-000020000000}"/>
    <hyperlink ref="C39" r:id="rId34" xr:uid="{00000000-0004-0000-0000-000021000000}"/>
    <hyperlink ref="C40" r:id="rId35" xr:uid="{00000000-0004-0000-0000-00002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Jameel Brannon</cp:lastModifiedBy>
  <dcterms:modified xsi:type="dcterms:W3CDTF">2026-08-30T23:35:02Z</dcterms:modified>
</cp:coreProperties>
</file>