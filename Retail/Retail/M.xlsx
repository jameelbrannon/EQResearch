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Main" sheetId="2" r:id="rId5"/>
  </sheets>
  <definedNames/>
  <calcPr/>
  <extLst>
    <ext uri="GoogleSheetsCustomDataVersion2">
      <go:sheetsCustomData xmlns:go="http://customooxmlschemas.google.com/" r:id="rId6" roundtripDataChecksum="FKAYxzqiMQhj1toAsLvSayxOsJ6yBsizPa2tIr5F94Q="/>
    </ext>
  </extLst>
</workbook>
</file>

<file path=xl/sharedStrings.xml><?xml version="1.0" encoding="utf-8"?>
<sst xmlns="http://schemas.openxmlformats.org/spreadsheetml/2006/main" count="87" uniqueCount="80">
  <si>
    <t>CEO</t>
  </si>
  <si>
    <t xml:space="preserve">Tony Spring </t>
  </si>
  <si>
    <t xml:space="preserve">CFO </t>
  </si>
  <si>
    <t xml:space="preserve">Adjustment </t>
  </si>
  <si>
    <t>Founded</t>
  </si>
  <si>
    <t>P</t>
  </si>
  <si>
    <t>Founder</t>
  </si>
  <si>
    <t>Rowland Hussey Macy; ownership remained in the family until 1862</t>
  </si>
  <si>
    <t>S</t>
  </si>
  <si>
    <t>Q126</t>
  </si>
  <si>
    <t xml:space="preserve">1992 bankruptcy </t>
  </si>
  <si>
    <t>MC</t>
  </si>
  <si>
    <t>C</t>
  </si>
  <si>
    <t>D</t>
  </si>
  <si>
    <t>EV</t>
  </si>
  <si>
    <t>Fin Releases</t>
  </si>
  <si>
    <t>News</t>
  </si>
  <si>
    <t xml:space="preserve">Contains </t>
  </si>
  <si>
    <t>Q125</t>
  </si>
  <si>
    <t xml:space="preserve">BoD announces 18.24 cent dividend </t>
  </si>
  <si>
    <t>Q424</t>
  </si>
  <si>
    <t>Q225 earnings date: 9/3/25</t>
  </si>
  <si>
    <t>Q123</t>
  </si>
  <si>
    <t>Q223</t>
  </si>
  <si>
    <t>Q323</t>
  </si>
  <si>
    <t>Q423</t>
  </si>
  <si>
    <t>Q124</t>
  </si>
  <si>
    <t>Q224</t>
  </si>
  <si>
    <t>Q324</t>
  </si>
  <si>
    <t>Q225</t>
  </si>
  <si>
    <t>Q325</t>
  </si>
  <si>
    <t>Q425</t>
  </si>
  <si>
    <t xml:space="preserve">Amending Ttnder offer on bonds </t>
  </si>
  <si>
    <t>NC</t>
  </si>
  <si>
    <t>Pricing of Senior Notes;$500m @  7.3755</t>
  </si>
  <si>
    <t>Annoucing tender offer</t>
  </si>
  <si>
    <t>Sales</t>
  </si>
  <si>
    <t xml:space="preserve">Other </t>
  </si>
  <si>
    <t xml:space="preserve">Total Revenue </t>
  </si>
  <si>
    <t>SG&amp;A</t>
  </si>
  <si>
    <t>Operating Income</t>
  </si>
  <si>
    <t>Interest Expense</t>
  </si>
  <si>
    <t xml:space="preserve">EBT </t>
  </si>
  <si>
    <t>Taxes</t>
  </si>
  <si>
    <t xml:space="preserve">Net Income </t>
  </si>
  <si>
    <t>Growth Y/Y</t>
  </si>
  <si>
    <t>GM%</t>
  </si>
  <si>
    <t>OM%</t>
  </si>
  <si>
    <t xml:space="preserve">Terminal </t>
  </si>
  <si>
    <t xml:space="preserve">Net Cash </t>
  </si>
  <si>
    <t xml:space="preserve">Discount </t>
  </si>
  <si>
    <t>Cash</t>
  </si>
  <si>
    <t>NPV</t>
  </si>
  <si>
    <t>A/R</t>
  </si>
  <si>
    <t>Shares</t>
  </si>
  <si>
    <t xml:space="preserve">Inventories </t>
  </si>
  <si>
    <t>Estimate</t>
  </si>
  <si>
    <t>Prepaid Exp</t>
  </si>
  <si>
    <t xml:space="preserve">Current </t>
  </si>
  <si>
    <t>Income taxes</t>
  </si>
  <si>
    <t>PPE</t>
  </si>
  <si>
    <t>Rigth of use assets</t>
  </si>
  <si>
    <t>EV/24E</t>
  </si>
  <si>
    <t>Goodwill</t>
  </si>
  <si>
    <t>Other Intangibles</t>
  </si>
  <si>
    <t>OA</t>
  </si>
  <si>
    <t xml:space="preserve">Total Assets </t>
  </si>
  <si>
    <t xml:space="preserve">Short term debt </t>
  </si>
  <si>
    <t>Merch A/P</t>
  </si>
  <si>
    <t>A/P &amp; Accrued</t>
  </si>
  <si>
    <t>LTD</t>
  </si>
  <si>
    <t>LT Lease</t>
  </si>
  <si>
    <t>Deferred I/t</t>
  </si>
  <si>
    <t>OL</t>
  </si>
  <si>
    <t>Equity</t>
  </si>
  <si>
    <t>TL + Equity</t>
  </si>
  <si>
    <t>Total Debt</t>
  </si>
  <si>
    <t xml:space="preserve">Total Capital </t>
  </si>
  <si>
    <t xml:space="preserve">Debt to Capital </t>
  </si>
  <si>
    <t>Cash to 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</si>
</sst>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\x"/>
  </numFmts>
  <fonts count="7"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1" xfId="0" applyAlignment="1" applyFont="1" applyNumberFormat="1">
      <alignment horizontal="center"/>
    </xf>
    <xf borderId="0" fillId="0" fontId="1" numFmtId="4" xfId="0" applyFont="1" applyNumberFormat="1"/>
    <xf borderId="0" fillId="0" fontId="1" numFmtId="3" xfId="0" applyAlignment="1" applyFont="1" applyNumberFormat="1">
      <alignment readingOrder="0"/>
    </xf>
    <xf borderId="1" fillId="0" fontId="1" numFmtId="3" xfId="0" applyBorder="1" applyFont="1" applyNumberFormat="1"/>
    <xf borderId="0" fillId="0" fontId="1" numFmtId="3" xfId="0" applyAlignment="1" applyFont="1" applyNumberFormat="1">
      <alignment horizontal="center"/>
    </xf>
    <xf borderId="0" fillId="0" fontId="1" numFmtId="9" xfId="0" applyFont="1" applyNumberFormat="1"/>
    <xf borderId="0" fillId="0" fontId="2" numFmtId="3" xfId="0" applyFont="1" applyNumberFormat="1"/>
    <xf borderId="0" fillId="0" fontId="3" numFmtId="14" xfId="0" applyFont="1" applyNumberFormat="1"/>
    <xf borderId="0" fillId="0" fontId="1" numFmtId="1" xfId="0" applyFont="1" applyNumberFormat="1"/>
    <xf borderId="0" fillId="0" fontId="1" numFmtId="14" xfId="0" applyFont="1" applyNumberFormat="1"/>
    <xf borderId="0" fillId="0" fontId="4" numFmtId="3" xfId="0" applyFont="1" applyNumberFormat="1"/>
    <xf borderId="0" fillId="0" fontId="5" numFmtId="3" xfId="0" applyFont="1" applyNumberFormat="1"/>
    <xf borderId="0" fillId="0" fontId="1" numFmtId="164" xfId="0" applyFont="1" applyNumberFormat="1"/>
    <xf borderId="0" fillId="0" fontId="6" numFmtId="3" xfId="0" applyFont="1" applyNumberFormat="1"/>
    <xf borderId="0" fillId="0" fontId="1" numFmtId="10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9525</xdr:rowOff>
    </xdr:from>
    <xdr:ext cx="38100" cy="10734675"/>
    <xdr:grpSp>
      <xdr:nvGrpSpPr>
        <xdr:cNvPr id="2" name="Shape 2"/>
        <xdr:cNvGrpSpPr/>
      </xdr:nvGrpSpPr>
      <xdr:grpSpPr>
        <a:xfrm>
          <a:off x="5341238" y="0"/>
          <a:ext cx="9525" cy="7560000"/>
          <a:chOff x="5341238" y="0"/>
          <a:chExt cx="9525" cy="7560000"/>
        </a:xfrm>
      </xdr:grpSpPr>
      <xdr:cxnSp>
        <xdr:nvCxnSpPr>
          <xdr:cNvPr id="3" name="Shape 3"/>
          <xdr:cNvCxnSpPr/>
        </xdr:nvCxnSpPr>
        <xdr:spPr>
          <a:xfrm>
            <a:off x="5341238" y="0"/>
            <a:ext cx="9525" cy="7560000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25</xdr:col>
      <xdr:colOff>476250</xdr:colOff>
      <xdr:row>0</xdr:row>
      <xdr:rowOff>0</xdr:rowOff>
    </xdr:from>
    <xdr:ext cx="38100" cy="8143875"/>
    <xdr:grpSp>
      <xdr:nvGrpSpPr>
        <xdr:cNvPr id="2" name="Shape 2"/>
        <xdr:cNvGrpSpPr/>
      </xdr:nvGrpSpPr>
      <xdr:grpSpPr>
        <a:xfrm>
          <a:off x="5346000" y="0"/>
          <a:ext cx="0" cy="7560000"/>
          <a:chOff x="5346000" y="0"/>
          <a:chExt cx="0" cy="7560000"/>
        </a:xfrm>
      </xdr:grpSpPr>
      <xdr:cxnSp>
        <xdr:nvCxnSpPr>
          <xdr:cNvPr id="4" name="Shape 4"/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523875</xdr:colOff>
      <xdr:row>13</xdr:row>
      <xdr:rowOff>161925</xdr:rowOff>
    </xdr:from>
    <xdr:ext cx="3124200" cy="2828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202.q4cdn.com/285121676/files/doc_financials/2025/q1/1Q25-Earnings-Release-5-28-25.pdf" TargetMode="External"/><Relationship Id="rId2" Type="http://schemas.openxmlformats.org/officeDocument/2006/relationships/hyperlink" Target="https://www.macysinc.com/newsroom/news/news-details/2025/Macys-Inc--Board-of-Directors-Declares-Quarterly-Dividend-190f07093/default.aspx" TargetMode="External"/><Relationship Id="rId3" Type="http://schemas.openxmlformats.org/officeDocument/2006/relationships/hyperlink" Target="https://www.macysinc.com/newsroom/news/news-details/2025/Macys-Inc.-Reports-Fourth-Quarter-and-Fiscal-Year-2024-Results/default.aspx" TargetMode="External"/><Relationship Id="rId4" Type="http://schemas.openxmlformats.org/officeDocument/2006/relationships/hyperlink" Target="https://www.macysinc.com/newsroom/news/news-details/2025/Macys-Inc--to-Report-Second-Quarter-2025-Results-and-Participate-in-Goldman-Sachs-Retailing-Conference/default.aspx" TargetMode="External"/><Relationship Id="rId5" Type="http://schemas.openxmlformats.org/officeDocument/2006/relationships/hyperlink" Target="https://www.macysinc.com/newsroom/news/news-details/2025/Macys-Inc--Announces-Early-Tender-Results-and-Upsizing-of-Debt-Tender-Offer/default.aspx" TargetMode="External"/><Relationship Id="rId6" Type="http://schemas.openxmlformats.org/officeDocument/2006/relationships/hyperlink" Target="https://www.macysinc.com/newsroom/news/news-details/2025/Macys-Inc--Announces-Pricing-of-Senior-Notes/default.aspx" TargetMode="External"/><Relationship Id="rId7" Type="http://schemas.openxmlformats.org/officeDocument/2006/relationships/hyperlink" Target="https://www.macysinc.com/newsroom/news/news-details/2025/Macys-Inc--Announces-Debt-Tender-Offer/default.aspx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.5"/>
    <col customWidth="1" min="2" max="2" width="15.0"/>
    <col customWidth="1" min="3" max="11" width="6.63"/>
    <col customWidth="1" min="12" max="12" width="5.5"/>
    <col customWidth="1" min="13" max="15" width="5.63"/>
    <col customWidth="1" min="16" max="16" width="10.88"/>
    <col customWidth="1" min="17" max="20" width="5.13"/>
    <col customWidth="1" min="21" max="35" width="6.63"/>
    <col customWidth="1" min="36" max="36" width="5.13"/>
    <col customWidth="1" min="37" max="37" width="8.38"/>
    <col customWidth="1" min="38" max="38" width="7.5"/>
    <col customWidth="1" min="39" max="235" width="5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</row>
    <row r="2" ht="12.75" customHeight="1">
      <c r="A2" s="10"/>
      <c r="B2" s="10"/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20</v>
      </c>
      <c r="K2" s="10" t="s">
        <v>18</v>
      </c>
      <c r="L2" s="10" t="s">
        <v>29</v>
      </c>
      <c r="M2" s="10" t="s">
        <v>30</v>
      </c>
      <c r="N2" s="10" t="s">
        <v>31</v>
      </c>
      <c r="O2" s="10"/>
      <c r="P2" s="10"/>
      <c r="Q2" s="10">
        <v>2015.0</v>
      </c>
      <c r="R2" s="10">
        <f t="shared" ref="R2:IA2" si="1">+Q2+1</f>
        <v>2016</v>
      </c>
      <c r="S2" s="10">
        <f t="shared" si="1"/>
        <v>2017</v>
      </c>
      <c r="T2" s="10">
        <f t="shared" si="1"/>
        <v>2018</v>
      </c>
      <c r="U2" s="10">
        <f t="shared" si="1"/>
        <v>2019</v>
      </c>
      <c r="V2" s="10">
        <f t="shared" si="1"/>
        <v>2020</v>
      </c>
      <c r="W2" s="10">
        <f t="shared" si="1"/>
        <v>2021</v>
      </c>
      <c r="X2" s="10">
        <f t="shared" si="1"/>
        <v>2022</v>
      </c>
      <c r="Y2" s="10">
        <f t="shared" si="1"/>
        <v>2023</v>
      </c>
      <c r="Z2" s="10">
        <f t="shared" si="1"/>
        <v>2024</v>
      </c>
      <c r="AA2" s="10">
        <f t="shared" si="1"/>
        <v>2025</v>
      </c>
      <c r="AB2" s="10">
        <f t="shared" si="1"/>
        <v>2026</v>
      </c>
      <c r="AC2" s="10">
        <f t="shared" si="1"/>
        <v>2027</v>
      </c>
      <c r="AD2" s="10">
        <f t="shared" si="1"/>
        <v>2028</v>
      </c>
      <c r="AE2" s="10">
        <f t="shared" si="1"/>
        <v>2029</v>
      </c>
      <c r="AF2" s="10">
        <f t="shared" si="1"/>
        <v>2030</v>
      </c>
      <c r="AG2" s="10">
        <f t="shared" si="1"/>
        <v>2031</v>
      </c>
      <c r="AH2" s="10">
        <f t="shared" si="1"/>
        <v>2032</v>
      </c>
      <c r="AI2" s="10">
        <f t="shared" si="1"/>
        <v>2033</v>
      </c>
      <c r="AJ2" s="10">
        <f t="shared" si="1"/>
        <v>2034</v>
      </c>
      <c r="AK2" s="10">
        <f t="shared" si="1"/>
        <v>2035</v>
      </c>
      <c r="AL2" s="10">
        <f t="shared" si="1"/>
        <v>2036</v>
      </c>
      <c r="AM2" s="10">
        <f t="shared" si="1"/>
        <v>2037</v>
      </c>
      <c r="AN2" s="10">
        <f t="shared" si="1"/>
        <v>2038</v>
      </c>
      <c r="AO2" s="10">
        <f t="shared" si="1"/>
        <v>2039</v>
      </c>
      <c r="AP2" s="10">
        <f t="shared" si="1"/>
        <v>2040</v>
      </c>
      <c r="AQ2" s="10">
        <f t="shared" si="1"/>
        <v>2041</v>
      </c>
      <c r="AR2" s="10">
        <f t="shared" si="1"/>
        <v>2042</v>
      </c>
      <c r="AS2" s="10">
        <f t="shared" si="1"/>
        <v>2043</v>
      </c>
      <c r="AT2" s="10">
        <f t="shared" si="1"/>
        <v>2044</v>
      </c>
      <c r="AU2" s="10">
        <f t="shared" si="1"/>
        <v>2045</v>
      </c>
      <c r="AV2" s="10">
        <f t="shared" si="1"/>
        <v>2046</v>
      </c>
      <c r="AW2" s="10">
        <f t="shared" si="1"/>
        <v>2047</v>
      </c>
      <c r="AX2" s="10">
        <f t="shared" si="1"/>
        <v>2048</v>
      </c>
      <c r="AY2" s="10">
        <f t="shared" si="1"/>
        <v>2049</v>
      </c>
      <c r="AZ2" s="10">
        <f t="shared" si="1"/>
        <v>2050</v>
      </c>
      <c r="BA2" s="10">
        <f t="shared" si="1"/>
        <v>2051</v>
      </c>
      <c r="BB2" s="10">
        <f t="shared" si="1"/>
        <v>2052</v>
      </c>
      <c r="BC2" s="10">
        <f t="shared" si="1"/>
        <v>2053</v>
      </c>
      <c r="BD2" s="10">
        <f t="shared" si="1"/>
        <v>2054</v>
      </c>
      <c r="BE2" s="10">
        <f t="shared" si="1"/>
        <v>2055</v>
      </c>
      <c r="BF2" s="10">
        <f t="shared" si="1"/>
        <v>2056</v>
      </c>
      <c r="BG2" s="10">
        <f t="shared" si="1"/>
        <v>2057</v>
      </c>
      <c r="BH2" s="10">
        <f t="shared" si="1"/>
        <v>2058</v>
      </c>
      <c r="BI2" s="10">
        <f t="shared" si="1"/>
        <v>2059</v>
      </c>
      <c r="BJ2" s="10">
        <f t="shared" si="1"/>
        <v>2060</v>
      </c>
      <c r="BK2" s="10">
        <f t="shared" si="1"/>
        <v>2061</v>
      </c>
      <c r="BL2" s="10">
        <f t="shared" si="1"/>
        <v>2062</v>
      </c>
      <c r="BM2" s="10">
        <f t="shared" si="1"/>
        <v>2063</v>
      </c>
      <c r="BN2" s="10">
        <f t="shared" si="1"/>
        <v>2064</v>
      </c>
      <c r="BO2" s="10">
        <f t="shared" si="1"/>
        <v>2065</v>
      </c>
      <c r="BP2" s="10">
        <f t="shared" si="1"/>
        <v>2066</v>
      </c>
      <c r="BQ2" s="10">
        <f t="shared" si="1"/>
        <v>2067</v>
      </c>
      <c r="BR2" s="10">
        <f t="shared" si="1"/>
        <v>2068</v>
      </c>
      <c r="BS2" s="10">
        <f t="shared" si="1"/>
        <v>2069</v>
      </c>
      <c r="BT2" s="10">
        <f t="shared" si="1"/>
        <v>2070</v>
      </c>
      <c r="BU2" s="10">
        <f t="shared" si="1"/>
        <v>2071</v>
      </c>
      <c r="BV2" s="10">
        <f t="shared" si="1"/>
        <v>2072</v>
      </c>
      <c r="BW2" s="10">
        <f t="shared" si="1"/>
        <v>2073</v>
      </c>
      <c r="BX2" s="10">
        <f t="shared" si="1"/>
        <v>2074</v>
      </c>
      <c r="BY2" s="10">
        <f t="shared" si="1"/>
        <v>2075</v>
      </c>
      <c r="BZ2" s="10">
        <f t="shared" si="1"/>
        <v>2076</v>
      </c>
      <c r="CA2" s="10">
        <f t="shared" si="1"/>
        <v>2077</v>
      </c>
      <c r="CB2" s="10">
        <f t="shared" si="1"/>
        <v>2078</v>
      </c>
      <c r="CC2" s="10">
        <f t="shared" si="1"/>
        <v>2079</v>
      </c>
      <c r="CD2" s="10">
        <f t="shared" si="1"/>
        <v>2080</v>
      </c>
      <c r="CE2" s="10">
        <f t="shared" si="1"/>
        <v>2081</v>
      </c>
      <c r="CF2" s="10">
        <f t="shared" si="1"/>
        <v>2082</v>
      </c>
      <c r="CG2" s="10">
        <f t="shared" si="1"/>
        <v>2083</v>
      </c>
      <c r="CH2" s="10">
        <f t="shared" si="1"/>
        <v>2084</v>
      </c>
      <c r="CI2" s="10">
        <f t="shared" si="1"/>
        <v>2085</v>
      </c>
      <c r="CJ2" s="10">
        <f t="shared" si="1"/>
        <v>2086</v>
      </c>
      <c r="CK2" s="10">
        <f t="shared" si="1"/>
        <v>2087</v>
      </c>
      <c r="CL2" s="10">
        <f t="shared" si="1"/>
        <v>2088</v>
      </c>
      <c r="CM2" s="10">
        <f t="shared" si="1"/>
        <v>2089</v>
      </c>
      <c r="CN2" s="10">
        <f t="shared" si="1"/>
        <v>2090</v>
      </c>
      <c r="CO2" s="10">
        <f t="shared" si="1"/>
        <v>2091</v>
      </c>
      <c r="CP2" s="10">
        <f t="shared" si="1"/>
        <v>2092</v>
      </c>
      <c r="CQ2" s="10">
        <f t="shared" si="1"/>
        <v>2093</v>
      </c>
      <c r="CR2" s="10">
        <f t="shared" si="1"/>
        <v>2094</v>
      </c>
      <c r="CS2" s="10">
        <f t="shared" si="1"/>
        <v>2095</v>
      </c>
      <c r="CT2" s="10">
        <f t="shared" si="1"/>
        <v>2096</v>
      </c>
      <c r="CU2" s="10">
        <f t="shared" si="1"/>
        <v>2097</v>
      </c>
      <c r="CV2" s="10">
        <f t="shared" si="1"/>
        <v>2098</v>
      </c>
      <c r="CW2" s="10">
        <f t="shared" si="1"/>
        <v>2099</v>
      </c>
      <c r="CX2" s="10">
        <f t="shared" si="1"/>
        <v>2100</v>
      </c>
      <c r="CY2" s="10">
        <f t="shared" si="1"/>
        <v>2101</v>
      </c>
      <c r="CZ2" s="10">
        <f t="shared" si="1"/>
        <v>2102</v>
      </c>
      <c r="DA2" s="10">
        <f t="shared" si="1"/>
        <v>2103</v>
      </c>
      <c r="DB2" s="10">
        <f t="shared" si="1"/>
        <v>2104</v>
      </c>
      <c r="DC2" s="10">
        <f t="shared" si="1"/>
        <v>2105</v>
      </c>
      <c r="DD2" s="10">
        <f t="shared" si="1"/>
        <v>2106</v>
      </c>
      <c r="DE2" s="10">
        <f t="shared" si="1"/>
        <v>2107</v>
      </c>
      <c r="DF2" s="10">
        <f t="shared" si="1"/>
        <v>2108</v>
      </c>
      <c r="DG2" s="10">
        <f t="shared" si="1"/>
        <v>2109</v>
      </c>
      <c r="DH2" s="10">
        <f t="shared" si="1"/>
        <v>2110</v>
      </c>
      <c r="DI2" s="10">
        <f t="shared" si="1"/>
        <v>2111</v>
      </c>
      <c r="DJ2" s="10">
        <f t="shared" si="1"/>
        <v>2112</v>
      </c>
      <c r="DK2" s="10">
        <f t="shared" si="1"/>
        <v>2113</v>
      </c>
      <c r="DL2" s="10">
        <f t="shared" si="1"/>
        <v>2114</v>
      </c>
      <c r="DM2" s="10">
        <f t="shared" si="1"/>
        <v>2115</v>
      </c>
      <c r="DN2" s="10">
        <f t="shared" si="1"/>
        <v>2116</v>
      </c>
      <c r="DO2" s="10">
        <f t="shared" si="1"/>
        <v>2117</v>
      </c>
      <c r="DP2" s="10">
        <f t="shared" si="1"/>
        <v>2118</v>
      </c>
      <c r="DQ2" s="10">
        <f t="shared" si="1"/>
        <v>2119</v>
      </c>
      <c r="DR2" s="10">
        <f t="shared" si="1"/>
        <v>2120</v>
      </c>
      <c r="DS2" s="10">
        <f t="shared" si="1"/>
        <v>2121</v>
      </c>
      <c r="DT2" s="10">
        <f t="shared" si="1"/>
        <v>2122</v>
      </c>
      <c r="DU2" s="10">
        <f t="shared" si="1"/>
        <v>2123</v>
      </c>
      <c r="DV2" s="10">
        <f t="shared" si="1"/>
        <v>2124</v>
      </c>
      <c r="DW2" s="10">
        <f t="shared" si="1"/>
        <v>2125</v>
      </c>
      <c r="DX2" s="10">
        <f t="shared" si="1"/>
        <v>2126</v>
      </c>
      <c r="DY2" s="10">
        <f t="shared" si="1"/>
        <v>2127</v>
      </c>
      <c r="DZ2" s="10">
        <f t="shared" si="1"/>
        <v>2128</v>
      </c>
      <c r="EA2" s="10">
        <f t="shared" si="1"/>
        <v>2129</v>
      </c>
      <c r="EB2" s="10">
        <f t="shared" si="1"/>
        <v>2130</v>
      </c>
      <c r="EC2" s="10">
        <f t="shared" si="1"/>
        <v>2131</v>
      </c>
      <c r="ED2" s="10">
        <f t="shared" si="1"/>
        <v>2132</v>
      </c>
      <c r="EE2" s="10">
        <f t="shared" si="1"/>
        <v>2133</v>
      </c>
      <c r="EF2" s="10">
        <f t="shared" si="1"/>
        <v>2134</v>
      </c>
      <c r="EG2" s="10">
        <f t="shared" si="1"/>
        <v>2135</v>
      </c>
      <c r="EH2" s="10">
        <f t="shared" si="1"/>
        <v>2136</v>
      </c>
      <c r="EI2" s="10">
        <f t="shared" si="1"/>
        <v>2137</v>
      </c>
      <c r="EJ2" s="10">
        <f t="shared" si="1"/>
        <v>2138</v>
      </c>
      <c r="EK2" s="10">
        <f t="shared" si="1"/>
        <v>2139</v>
      </c>
      <c r="EL2" s="10">
        <f t="shared" si="1"/>
        <v>2140</v>
      </c>
      <c r="EM2" s="10">
        <f t="shared" si="1"/>
        <v>2141</v>
      </c>
      <c r="EN2" s="10">
        <f t="shared" si="1"/>
        <v>2142</v>
      </c>
      <c r="EO2" s="10">
        <f t="shared" si="1"/>
        <v>2143</v>
      </c>
      <c r="EP2" s="10">
        <f t="shared" si="1"/>
        <v>2144</v>
      </c>
      <c r="EQ2" s="10">
        <f t="shared" si="1"/>
        <v>2145</v>
      </c>
      <c r="ER2" s="10">
        <f t="shared" si="1"/>
        <v>2146</v>
      </c>
      <c r="ES2" s="10">
        <f t="shared" si="1"/>
        <v>2147</v>
      </c>
      <c r="ET2" s="10">
        <f t="shared" si="1"/>
        <v>2148</v>
      </c>
      <c r="EU2" s="10">
        <f t="shared" si="1"/>
        <v>2149</v>
      </c>
      <c r="EV2" s="10">
        <f t="shared" si="1"/>
        <v>2150</v>
      </c>
      <c r="EW2" s="10">
        <f t="shared" si="1"/>
        <v>2151</v>
      </c>
      <c r="EX2" s="10">
        <f t="shared" si="1"/>
        <v>2152</v>
      </c>
      <c r="EY2" s="10">
        <f t="shared" si="1"/>
        <v>2153</v>
      </c>
      <c r="EZ2" s="10">
        <f t="shared" si="1"/>
        <v>2154</v>
      </c>
      <c r="FA2" s="10">
        <f t="shared" si="1"/>
        <v>2155</v>
      </c>
      <c r="FB2" s="10">
        <f t="shared" si="1"/>
        <v>2156</v>
      </c>
      <c r="FC2" s="10">
        <f t="shared" si="1"/>
        <v>2157</v>
      </c>
      <c r="FD2" s="10">
        <f t="shared" si="1"/>
        <v>2158</v>
      </c>
      <c r="FE2" s="10">
        <f t="shared" si="1"/>
        <v>2159</v>
      </c>
      <c r="FF2" s="10">
        <f t="shared" si="1"/>
        <v>2160</v>
      </c>
      <c r="FG2" s="10">
        <f t="shared" si="1"/>
        <v>2161</v>
      </c>
      <c r="FH2" s="10">
        <f t="shared" si="1"/>
        <v>2162</v>
      </c>
      <c r="FI2" s="10">
        <f t="shared" si="1"/>
        <v>2163</v>
      </c>
      <c r="FJ2" s="10">
        <f t="shared" si="1"/>
        <v>2164</v>
      </c>
      <c r="FK2" s="10">
        <f t="shared" si="1"/>
        <v>2165</v>
      </c>
      <c r="FL2" s="10">
        <f t="shared" si="1"/>
        <v>2166</v>
      </c>
      <c r="FM2" s="10">
        <f t="shared" si="1"/>
        <v>2167</v>
      </c>
      <c r="FN2" s="10">
        <f t="shared" si="1"/>
        <v>2168</v>
      </c>
      <c r="FO2" s="10">
        <f t="shared" si="1"/>
        <v>2169</v>
      </c>
      <c r="FP2" s="10">
        <f t="shared" si="1"/>
        <v>2170</v>
      </c>
      <c r="FQ2" s="10">
        <f t="shared" si="1"/>
        <v>2171</v>
      </c>
      <c r="FR2" s="10">
        <f t="shared" si="1"/>
        <v>2172</v>
      </c>
      <c r="FS2" s="10">
        <f t="shared" si="1"/>
        <v>2173</v>
      </c>
      <c r="FT2" s="10">
        <f t="shared" si="1"/>
        <v>2174</v>
      </c>
      <c r="FU2" s="10">
        <f t="shared" si="1"/>
        <v>2175</v>
      </c>
      <c r="FV2" s="10">
        <f t="shared" si="1"/>
        <v>2176</v>
      </c>
      <c r="FW2" s="10">
        <f t="shared" si="1"/>
        <v>2177</v>
      </c>
      <c r="FX2" s="10">
        <f t="shared" si="1"/>
        <v>2178</v>
      </c>
      <c r="FY2" s="10">
        <f t="shared" si="1"/>
        <v>2179</v>
      </c>
      <c r="FZ2" s="10">
        <f t="shared" si="1"/>
        <v>2180</v>
      </c>
      <c r="GA2" s="10">
        <f t="shared" si="1"/>
        <v>2181</v>
      </c>
      <c r="GB2" s="10">
        <f t="shared" si="1"/>
        <v>2182</v>
      </c>
      <c r="GC2" s="10">
        <f t="shared" si="1"/>
        <v>2183</v>
      </c>
      <c r="GD2" s="10">
        <f t="shared" si="1"/>
        <v>2184</v>
      </c>
      <c r="GE2" s="10">
        <f t="shared" si="1"/>
        <v>2185</v>
      </c>
      <c r="GF2" s="10">
        <f t="shared" si="1"/>
        <v>2186</v>
      </c>
      <c r="GG2" s="10">
        <f t="shared" si="1"/>
        <v>2187</v>
      </c>
      <c r="GH2" s="10">
        <f t="shared" si="1"/>
        <v>2188</v>
      </c>
      <c r="GI2" s="10">
        <f t="shared" si="1"/>
        <v>2189</v>
      </c>
      <c r="GJ2" s="10">
        <f t="shared" si="1"/>
        <v>2190</v>
      </c>
      <c r="GK2" s="10">
        <f t="shared" si="1"/>
        <v>2191</v>
      </c>
      <c r="GL2" s="10">
        <f t="shared" si="1"/>
        <v>2192</v>
      </c>
      <c r="GM2" s="10">
        <f t="shared" si="1"/>
        <v>2193</v>
      </c>
      <c r="GN2" s="10">
        <f t="shared" si="1"/>
        <v>2194</v>
      </c>
      <c r="GO2" s="10">
        <f t="shared" si="1"/>
        <v>2195</v>
      </c>
      <c r="GP2" s="10">
        <f t="shared" si="1"/>
        <v>2196</v>
      </c>
      <c r="GQ2" s="10">
        <f t="shared" si="1"/>
        <v>2197</v>
      </c>
      <c r="GR2" s="10">
        <f t="shared" si="1"/>
        <v>2198</v>
      </c>
      <c r="GS2" s="10">
        <f t="shared" si="1"/>
        <v>2199</v>
      </c>
      <c r="GT2" s="10">
        <f t="shared" si="1"/>
        <v>2200</v>
      </c>
      <c r="GU2" s="10">
        <f t="shared" si="1"/>
        <v>2201</v>
      </c>
      <c r="GV2" s="10">
        <f t="shared" si="1"/>
        <v>2202</v>
      </c>
      <c r="GW2" s="10">
        <f t="shared" si="1"/>
        <v>2203</v>
      </c>
      <c r="GX2" s="10">
        <f t="shared" si="1"/>
        <v>2204</v>
      </c>
      <c r="GY2" s="10">
        <f t="shared" si="1"/>
        <v>2205</v>
      </c>
      <c r="GZ2" s="10">
        <f t="shared" si="1"/>
        <v>2206</v>
      </c>
      <c r="HA2" s="10">
        <f t="shared" si="1"/>
        <v>2207</v>
      </c>
      <c r="HB2" s="10">
        <f t="shared" si="1"/>
        <v>2208</v>
      </c>
      <c r="HC2" s="10">
        <f t="shared" si="1"/>
        <v>2209</v>
      </c>
      <c r="HD2" s="10">
        <f t="shared" si="1"/>
        <v>2210</v>
      </c>
      <c r="HE2" s="10">
        <f t="shared" si="1"/>
        <v>2211</v>
      </c>
      <c r="HF2" s="10">
        <f t="shared" si="1"/>
        <v>2212</v>
      </c>
      <c r="HG2" s="10">
        <f t="shared" si="1"/>
        <v>2213</v>
      </c>
      <c r="HH2" s="10">
        <f t="shared" si="1"/>
        <v>2214</v>
      </c>
      <c r="HI2" s="10">
        <f t="shared" si="1"/>
        <v>2215</v>
      </c>
      <c r="HJ2" s="10">
        <f t="shared" si="1"/>
        <v>2216</v>
      </c>
      <c r="HK2" s="10">
        <f t="shared" si="1"/>
        <v>2217</v>
      </c>
      <c r="HL2" s="10">
        <f t="shared" si="1"/>
        <v>2218</v>
      </c>
      <c r="HM2" s="10">
        <f t="shared" si="1"/>
        <v>2219</v>
      </c>
      <c r="HN2" s="10">
        <f t="shared" si="1"/>
        <v>2220</v>
      </c>
      <c r="HO2" s="10">
        <f t="shared" si="1"/>
        <v>2221</v>
      </c>
      <c r="HP2" s="10">
        <f t="shared" si="1"/>
        <v>2222</v>
      </c>
      <c r="HQ2" s="10">
        <f t="shared" si="1"/>
        <v>2223</v>
      </c>
      <c r="HR2" s="10">
        <f t="shared" si="1"/>
        <v>2224</v>
      </c>
      <c r="HS2" s="10">
        <f t="shared" si="1"/>
        <v>2225</v>
      </c>
      <c r="HT2" s="10">
        <f t="shared" si="1"/>
        <v>2226</v>
      </c>
      <c r="HU2" s="10">
        <f t="shared" si="1"/>
        <v>2227</v>
      </c>
      <c r="HV2" s="10">
        <f t="shared" si="1"/>
        <v>2228</v>
      </c>
      <c r="HW2" s="10">
        <f t="shared" si="1"/>
        <v>2229</v>
      </c>
      <c r="HX2" s="10">
        <f t="shared" si="1"/>
        <v>2230</v>
      </c>
      <c r="HY2" s="10">
        <f t="shared" si="1"/>
        <v>2231</v>
      </c>
      <c r="HZ2" s="10">
        <f t="shared" si="1"/>
        <v>2232</v>
      </c>
      <c r="IA2" s="10">
        <f t="shared" si="1"/>
        <v>2233</v>
      </c>
    </row>
    <row r="3" ht="12.75" customHeight="1">
      <c r="A3" s="1"/>
      <c r="B3" s="1" t="s">
        <v>36</v>
      </c>
      <c r="C3" s="1">
        <v>4982.0</v>
      </c>
      <c r="D3" s="1">
        <v>5130.0</v>
      </c>
      <c r="E3" s="1">
        <v>4860.0</v>
      </c>
      <c r="F3" s="1">
        <f t="shared" ref="F3:F12" si="2">+Y3-SUM(C3:E3)</f>
        <v>8120</v>
      </c>
      <c r="G3" s="1">
        <v>4846.0</v>
      </c>
      <c r="H3" s="1">
        <v>4937.0</v>
      </c>
      <c r="I3" s="1">
        <v>4742.0</v>
      </c>
      <c r="J3" s="1">
        <f t="shared" ref="J3:J12" si="3">+Z3-SUM(G3:I3)</f>
        <v>7768</v>
      </c>
      <c r="K3" s="1">
        <v>4599.0</v>
      </c>
      <c r="L3" s="1"/>
      <c r="M3" s="1"/>
      <c r="N3" s="1"/>
      <c r="O3" s="1"/>
      <c r="P3" s="1"/>
      <c r="Q3" s="1"/>
      <c r="R3" s="1"/>
      <c r="S3" s="1"/>
      <c r="T3" s="1"/>
      <c r="U3" s="1"/>
      <c r="V3" s="1">
        <v>17346.0</v>
      </c>
      <c r="W3" s="1">
        <v>24460.0</v>
      </c>
      <c r="X3" s="1">
        <v>24442.0</v>
      </c>
      <c r="Y3" s="1">
        <v>23092.0</v>
      </c>
      <c r="Z3" s="1">
        <v>22293.0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</row>
    <row r="4" ht="12.75" customHeight="1">
      <c r="A4" s="1"/>
      <c r="B4" s="1" t="s">
        <v>37</v>
      </c>
      <c r="C4" s="1">
        <v>191.0</v>
      </c>
      <c r="D4" s="1">
        <v>150.0</v>
      </c>
      <c r="E4" s="1">
        <v>178.0</v>
      </c>
      <c r="F4" s="1">
        <f t="shared" si="2"/>
        <v>255</v>
      </c>
      <c r="G4" s="1">
        <v>154.0</v>
      </c>
      <c r="H4" s="1">
        <v>159.0</v>
      </c>
      <c r="I4" s="1">
        <v>161.0</v>
      </c>
      <c r="J4" s="1">
        <f t="shared" si="3"/>
        <v>239</v>
      </c>
      <c r="K4" s="1">
        <v>194.0</v>
      </c>
      <c r="L4" s="1"/>
      <c r="M4" s="1"/>
      <c r="N4" s="1"/>
      <c r="O4" s="1"/>
      <c r="P4" s="1"/>
      <c r="Q4" s="1"/>
      <c r="R4" s="1"/>
      <c r="S4" s="1"/>
      <c r="T4" s="1"/>
      <c r="U4" s="1"/>
      <c r="V4" s="1">
        <v>751.0</v>
      </c>
      <c r="W4" s="1">
        <v>939.0</v>
      </c>
      <c r="X4" s="1">
        <v>1007.0</v>
      </c>
      <c r="Y4" s="1">
        <v>774.0</v>
      </c>
      <c r="Z4" s="1">
        <v>713.0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</row>
    <row r="5" ht="12.75" customHeight="1">
      <c r="A5" s="1"/>
      <c r="B5" s="1" t="s">
        <v>38</v>
      </c>
      <c r="C5" s="1">
        <f t="shared" ref="C5:E5" si="4">+SUM(C3:C4)</f>
        <v>5173</v>
      </c>
      <c r="D5" s="1">
        <f t="shared" si="4"/>
        <v>5280</v>
      </c>
      <c r="E5" s="1">
        <f t="shared" si="4"/>
        <v>5038</v>
      </c>
      <c r="F5" s="1">
        <f t="shared" si="2"/>
        <v>8375</v>
      </c>
      <c r="G5" s="1">
        <f t="shared" ref="G5:I5" si="5">+SUM(G3:G4)</f>
        <v>5000</v>
      </c>
      <c r="H5" s="1">
        <f t="shared" si="5"/>
        <v>5096</v>
      </c>
      <c r="I5" s="1">
        <f t="shared" si="5"/>
        <v>4903</v>
      </c>
      <c r="J5" s="1">
        <f t="shared" si="3"/>
        <v>8007</v>
      </c>
      <c r="K5" s="1">
        <f>+SUM(K3:K4)</f>
        <v>4793</v>
      </c>
      <c r="L5" s="1">
        <f t="shared" ref="L5:N5" si="6">+H5*0.915</f>
        <v>4662.84</v>
      </c>
      <c r="M5" s="1">
        <f t="shared" si="6"/>
        <v>4486.245</v>
      </c>
      <c r="N5" s="1">
        <f t="shared" si="6"/>
        <v>7326.405</v>
      </c>
      <c r="O5" s="1"/>
      <c r="P5" s="1"/>
      <c r="Q5" s="1"/>
      <c r="R5" s="1"/>
      <c r="S5" s="1"/>
      <c r="T5" s="1"/>
      <c r="U5" s="1"/>
      <c r="V5" s="1">
        <f t="shared" ref="V5:Z5" si="7">+SUM(V3:V4)</f>
        <v>18097</v>
      </c>
      <c r="W5" s="1">
        <f t="shared" si="7"/>
        <v>25399</v>
      </c>
      <c r="X5" s="1">
        <f t="shared" si="7"/>
        <v>25449</v>
      </c>
      <c r="Y5" s="1">
        <f t="shared" si="7"/>
        <v>23866</v>
      </c>
      <c r="Z5" s="1">
        <f t="shared" si="7"/>
        <v>23006</v>
      </c>
      <c r="AA5" s="1">
        <f t="shared" ref="AA5:AA12" si="10">SUM(K5:N5)</f>
        <v>21268.49</v>
      </c>
      <c r="AB5" s="1">
        <f>+AA5*1.05</f>
        <v>22331.9145</v>
      </c>
      <c r="AC5" s="1">
        <f t="shared" ref="AC5:AJ5" si="8">+AB5*1.01</f>
        <v>22555.23365</v>
      </c>
      <c r="AD5" s="1">
        <f t="shared" si="8"/>
        <v>22780.78598</v>
      </c>
      <c r="AE5" s="1">
        <f t="shared" si="8"/>
        <v>23008.59384</v>
      </c>
      <c r="AF5" s="1">
        <f t="shared" si="8"/>
        <v>23238.67978</v>
      </c>
      <c r="AG5" s="1">
        <f t="shared" si="8"/>
        <v>23471.06658</v>
      </c>
      <c r="AH5" s="1">
        <f t="shared" si="8"/>
        <v>23705.77724</v>
      </c>
      <c r="AI5" s="1">
        <f t="shared" si="8"/>
        <v>23942.83502</v>
      </c>
      <c r="AJ5" s="1">
        <f t="shared" si="8"/>
        <v>24182.26337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</row>
    <row r="6" ht="12.75" customHeight="1">
      <c r="A6" s="1"/>
      <c r="B6" s="1" t="s">
        <v>12</v>
      </c>
      <c r="C6" s="1">
        <v>2988.0</v>
      </c>
      <c r="D6" s="1">
        <v>3176.0</v>
      </c>
      <c r="E6" s="1">
        <v>2905.0</v>
      </c>
      <c r="F6" s="1">
        <f t="shared" si="2"/>
        <v>5074</v>
      </c>
      <c r="G6" s="1">
        <v>2946.0</v>
      </c>
      <c r="H6" s="1">
        <v>2938.0</v>
      </c>
      <c r="I6" s="1">
        <v>2864.0</v>
      </c>
      <c r="J6" s="1">
        <f t="shared" si="3"/>
        <v>4992</v>
      </c>
      <c r="K6" s="1">
        <v>2795.0</v>
      </c>
      <c r="L6" s="1">
        <f t="shared" ref="L6:N6" si="9">+L$5*(K6/K$5)</f>
        <v>2719.098227</v>
      </c>
      <c r="M6" s="1">
        <f t="shared" si="9"/>
        <v>2616.118251</v>
      </c>
      <c r="N6" s="1">
        <f t="shared" si="9"/>
        <v>4272.335067</v>
      </c>
      <c r="O6" s="1"/>
      <c r="P6" s="1"/>
      <c r="Q6" s="1"/>
      <c r="R6" s="1"/>
      <c r="S6" s="1"/>
      <c r="T6" s="1"/>
      <c r="U6" s="1"/>
      <c r="V6" s="1">
        <v>12286.0</v>
      </c>
      <c r="W6" s="1">
        <v>14956.0</v>
      </c>
      <c r="X6" s="1">
        <v>15306.0</v>
      </c>
      <c r="Y6" s="1">
        <v>14143.0</v>
      </c>
      <c r="Z6" s="1">
        <v>13740.0</v>
      </c>
      <c r="AA6" s="1">
        <f t="shared" si="10"/>
        <v>12402.55154</v>
      </c>
      <c r="AB6" s="1">
        <f t="shared" ref="AB6:AJ6" si="11">+AB$5*(AA6/AA$5)</f>
        <v>13022.67912</v>
      </c>
      <c r="AC6" s="1">
        <f t="shared" si="11"/>
        <v>13152.90591</v>
      </c>
      <c r="AD6" s="1">
        <f t="shared" si="11"/>
        <v>13284.43497</v>
      </c>
      <c r="AE6" s="1">
        <f t="shared" si="11"/>
        <v>13417.27932</v>
      </c>
      <c r="AF6" s="1">
        <f t="shared" si="11"/>
        <v>13551.45211</v>
      </c>
      <c r="AG6" s="1">
        <f t="shared" si="11"/>
        <v>13686.96664</v>
      </c>
      <c r="AH6" s="1">
        <f t="shared" si="11"/>
        <v>13823.8363</v>
      </c>
      <c r="AI6" s="1">
        <f t="shared" si="11"/>
        <v>13962.07466</v>
      </c>
      <c r="AJ6" s="1">
        <f t="shared" si="11"/>
        <v>14101.69541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</row>
    <row r="7" ht="12.75" customHeight="1">
      <c r="A7" s="1"/>
      <c r="B7" s="1" t="s">
        <v>39</v>
      </c>
      <c r="C7" s="1">
        <v>1950.0</v>
      </c>
      <c r="D7" s="1">
        <v>1980.0</v>
      </c>
      <c r="E7" s="1">
        <v>2040.0</v>
      </c>
      <c r="F7" s="1">
        <f t="shared" si="2"/>
        <v>2405</v>
      </c>
      <c r="G7" s="1">
        <v>1911.0</v>
      </c>
      <c r="H7" s="1">
        <v>1973.0</v>
      </c>
      <c r="I7" s="1">
        <v>2064.0</v>
      </c>
      <c r="J7" s="1">
        <f t="shared" si="3"/>
        <v>2382</v>
      </c>
      <c r="K7" s="1">
        <v>1913.0</v>
      </c>
      <c r="L7" s="1">
        <f t="shared" ref="L7:N7" si="12">+L$5*(K7/K$5)</f>
        <v>1861.050056</v>
      </c>
      <c r="M7" s="1">
        <f t="shared" si="12"/>
        <v>1790.566803</v>
      </c>
      <c r="N7" s="1">
        <f t="shared" si="12"/>
        <v>2924.142033</v>
      </c>
      <c r="O7" s="1"/>
      <c r="P7" s="1"/>
      <c r="Q7" s="1"/>
      <c r="R7" s="1"/>
      <c r="S7" s="1"/>
      <c r="T7" s="1"/>
      <c r="U7" s="1"/>
      <c r="V7" s="1">
        <v>6767.0</v>
      </c>
      <c r="W7" s="1">
        <v>8154.0</v>
      </c>
      <c r="X7" s="1">
        <v>8461.0</v>
      </c>
      <c r="Y7" s="1">
        <v>8375.0</v>
      </c>
      <c r="Z7" s="1">
        <v>8330.0</v>
      </c>
      <c r="AA7" s="1">
        <f t="shared" si="10"/>
        <v>8488.758892</v>
      </c>
      <c r="AB7" s="1">
        <f t="shared" ref="AB7:AJ7" si="13">+AB$5*(AA7/AA$5)</f>
        <v>8913.196837</v>
      </c>
      <c r="AC7" s="1">
        <f t="shared" si="13"/>
        <v>9002.328805</v>
      </c>
      <c r="AD7" s="1">
        <f t="shared" si="13"/>
        <v>9092.352093</v>
      </c>
      <c r="AE7" s="1">
        <f t="shared" si="13"/>
        <v>9183.275614</v>
      </c>
      <c r="AF7" s="1">
        <f t="shared" si="13"/>
        <v>9275.10837</v>
      </c>
      <c r="AG7" s="1">
        <f t="shared" si="13"/>
        <v>9367.859454</v>
      </c>
      <c r="AH7" s="1">
        <f t="shared" si="13"/>
        <v>9461.538048</v>
      </c>
      <c r="AI7" s="1">
        <f t="shared" si="13"/>
        <v>9556.153429</v>
      </c>
      <c r="AJ7" s="1">
        <f t="shared" si="13"/>
        <v>9651.714963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</row>
    <row r="8" ht="12.75" customHeight="1">
      <c r="A8" s="1"/>
      <c r="B8" s="1" t="s">
        <v>40</v>
      </c>
      <c r="C8" s="1">
        <f t="shared" ref="C8:E8" si="14">+C5-SUM(C6:C7)</f>
        <v>235</v>
      </c>
      <c r="D8" s="1">
        <f t="shared" si="14"/>
        <v>124</v>
      </c>
      <c r="E8" s="1">
        <f t="shared" si="14"/>
        <v>93</v>
      </c>
      <c r="F8" s="1">
        <f t="shared" si="2"/>
        <v>896</v>
      </c>
      <c r="G8" s="1">
        <f t="shared" ref="G8:I8" si="15">+G5-SUM(G6:G7)</f>
        <v>143</v>
      </c>
      <c r="H8" s="1">
        <f t="shared" si="15"/>
        <v>185</v>
      </c>
      <c r="I8" s="1">
        <f t="shared" si="15"/>
        <v>-25</v>
      </c>
      <c r="J8" s="1">
        <f t="shared" si="3"/>
        <v>633</v>
      </c>
      <c r="K8" s="1">
        <f t="shared" ref="K8:N8" si="16">+K5-SUM(K6:K7)</f>
        <v>85</v>
      </c>
      <c r="L8" s="1">
        <f t="shared" si="16"/>
        <v>82.69171709</v>
      </c>
      <c r="M8" s="1">
        <f t="shared" si="16"/>
        <v>79.5599468</v>
      </c>
      <c r="N8" s="1">
        <f t="shared" si="16"/>
        <v>129.9279001</v>
      </c>
      <c r="O8" s="1"/>
      <c r="P8" s="1"/>
      <c r="Q8" s="1"/>
      <c r="R8" s="1"/>
      <c r="S8" s="1"/>
      <c r="T8" s="1"/>
      <c r="U8" s="1"/>
      <c r="V8" s="1">
        <f t="shared" ref="V8:Z8" si="17">+V5-SUM(V6:V7)</f>
        <v>-956</v>
      </c>
      <c r="W8" s="1">
        <f t="shared" si="17"/>
        <v>2289</v>
      </c>
      <c r="X8" s="1">
        <f t="shared" si="17"/>
        <v>1682</v>
      </c>
      <c r="Y8" s="1">
        <f t="shared" si="17"/>
        <v>1348</v>
      </c>
      <c r="Z8" s="1">
        <f t="shared" si="17"/>
        <v>936</v>
      </c>
      <c r="AA8" s="1">
        <f t="shared" si="10"/>
        <v>377.1795639</v>
      </c>
      <c r="AB8" s="1">
        <f t="shared" ref="AB8:AJ8" si="18">+AB5-SUM(AB6:AB7)</f>
        <v>396.0385421</v>
      </c>
      <c r="AC8" s="1">
        <f t="shared" si="18"/>
        <v>399.9989276</v>
      </c>
      <c r="AD8" s="1">
        <f t="shared" si="18"/>
        <v>403.9989168</v>
      </c>
      <c r="AE8" s="1">
        <f t="shared" si="18"/>
        <v>408.038906</v>
      </c>
      <c r="AF8" s="1">
        <f t="shared" si="18"/>
        <v>412.1192951</v>
      </c>
      <c r="AG8" s="1">
        <f t="shared" si="18"/>
        <v>416.240488</v>
      </c>
      <c r="AH8" s="1">
        <f t="shared" si="18"/>
        <v>420.4028929</v>
      </c>
      <c r="AI8" s="1">
        <f t="shared" si="18"/>
        <v>424.6069218</v>
      </c>
      <c r="AJ8" s="1">
        <f t="shared" si="18"/>
        <v>428.852991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</row>
    <row r="9" ht="12.75" customHeight="1">
      <c r="A9" s="1"/>
      <c r="B9" s="1" t="s">
        <v>41</v>
      </c>
      <c r="C9" s="1">
        <v>-34.0</v>
      </c>
      <c r="D9" s="1">
        <v>-36.0</v>
      </c>
      <c r="E9" s="1">
        <v>-35.0</v>
      </c>
      <c r="F9" s="1">
        <f t="shared" si="2"/>
        <v>-30</v>
      </c>
      <c r="G9" s="1">
        <v>-31.0</v>
      </c>
      <c r="H9" s="1">
        <v>-31.0</v>
      </c>
      <c r="I9" s="1">
        <v>-32.0</v>
      </c>
      <c r="J9" s="1">
        <f t="shared" si="3"/>
        <v>-21</v>
      </c>
      <c r="K9" s="1">
        <v>-27.0</v>
      </c>
      <c r="L9" s="1">
        <f t="shared" ref="L9:N9" si="19">+K9</f>
        <v>-27</v>
      </c>
      <c r="M9" s="1">
        <f t="shared" si="19"/>
        <v>-27</v>
      </c>
      <c r="N9" s="1">
        <f t="shared" si="19"/>
        <v>-27</v>
      </c>
      <c r="O9" s="1"/>
      <c r="P9" s="1"/>
      <c r="Q9" s="1"/>
      <c r="R9" s="1"/>
      <c r="S9" s="1"/>
      <c r="T9" s="1"/>
      <c r="U9" s="1"/>
      <c r="V9" s="1">
        <f>+-284+4</f>
        <v>-280</v>
      </c>
      <c r="W9" s="1">
        <v>-255.0</v>
      </c>
      <c r="X9" s="1">
        <v>-162.0</v>
      </c>
      <c r="Y9" s="1">
        <v>-135.0</v>
      </c>
      <c r="Z9" s="1">
        <v>-115.0</v>
      </c>
      <c r="AA9" s="1">
        <f t="shared" si="10"/>
        <v>-108</v>
      </c>
      <c r="AB9" s="1">
        <f t="shared" ref="AB9:AJ9" si="20">+AB8*(AA9/AA8)</f>
        <v>-113.4</v>
      </c>
      <c r="AC9" s="1">
        <f t="shared" si="20"/>
        <v>-114.534</v>
      </c>
      <c r="AD9" s="1">
        <f t="shared" si="20"/>
        <v>-115.67934</v>
      </c>
      <c r="AE9" s="1">
        <f t="shared" si="20"/>
        <v>-116.8361334</v>
      </c>
      <c r="AF9" s="1">
        <f t="shared" si="20"/>
        <v>-118.0044947</v>
      </c>
      <c r="AG9" s="1">
        <f t="shared" si="20"/>
        <v>-119.1845397</v>
      </c>
      <c r="AH9" s="1">
        <f t="shared" si="20"/>
        <v>-120.3763851</v>
      </c>
      <c r="AI9" s="1">
        <f t="shared" si="20"/>
        <v>-121.5801489</v>
      </c>
      <c r="AJ9" s="1">
        <f t="shared" si="20"/>
        <v>-122.7959504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</row>
    <row r="10" ht="12.75" customHeight="1">
      <c r="A10" s="1"/>
      <c r="B10" s="1" t="s">
        <v>42</v>
      </c>
      <c r="C10" s="1">
        <f t="shared" ref="C10:E10" si="21">+SUM(C8:C9)</f>
        <v>201</v>
      </c>
      <c r="D10" s="1">
        <f t="shared" si="21"/>
        <v>88</v>
      </c>
      <c r="E10" s="1">
        <f t="shared" si="21"/>
        <v>58</v>
      </c>
      <c r="F10" s="1">
        <f t="shared" si="2"/>
        <v>866</v>
      </c>
      <c r="G10" s="1">
        <f t="shared" ref="G10:I10" si="22">+SUM(G8:G9)</f>
        <v>112</v>
      </c>
      <c r="H10" s="1">
        <f t="shared" si="22"/>
        <v>154</v>
      </c>
      <c r="I10" s="1">
        <f t="shared" si="22"/>
        <v>-57</v>
      </c>
      <c r="J10" s="1">
        <f t="shared" si="3"/>
        <v>612</v>
      </c>
      <c r="K10" s="1">
        <f t="shared" ref="K10:N10" si="23">+SUM(K8:K9)</f>
        <v>58</v>
      </c>
      <c r="L10" s="1">
        <f t="shared" si="23"/>
        <v>55.69171709</v>
      </c>
      <c r="M10" s="1">
        <f t="shared" si="23"/>
        <v>52.5599468</v>
      </c>
      <c r="N10" s="1">
        <f t="shared" si="23"/>
        <v>102.9279001</v>
      </c>
      <c r="O10" s="1"/>
      <c r="P10" s="1"/>
      <c r="Q10" s="1"/>
      <c r="R10" s="1"/>
      <c r="S10" s="1"/>
      <c r="T10" s="1"/>
      <c r="U10" s="1"/>
      <c r="V10" s="1">
        <f t="shared" ref="V10:Z10" si="24">+SUM(V8:V9)</f>
        <v>-1236</v>
      </c>
      <c r="W10" s="1">
        <f t="shared" si="24"/>
        <v>2034</v>
      </c>
      <c r="X10" s="1">
        <f t="shared" si="24"/>
        <v>1520</v>
      </c>
      <c r="Y10" s="1">
        <f t="shared" si="24"/>
        <v>1213</v>
      </c>
      <c r="Z10" s="1">
        <f t="shared" si="24"/>
        <v>821</v>
      </c>
      <c r="AA10" s="1">
        <f t="shared" si="10"/>
        <v>269.1795639</v>
      </c>
      <c r="AB10" s="1">
        <f t="shared" ref="AB10:AJ10" si="25">+SUM(AB8:AB9)</f>
        <v>282.6385421</v>
      </c>
      <c r="AC10" s="1">
        <f t="shared" si="25"/>
        <v>285.4649276</v>
      </c>
      <c r="AD10" s="1">
        <f t="shared" si="25"/>
        <v>288.3195768</v>
      </c>
      <c r="AE10" s="1">
        <f t="shared" si="25"/>
        <v>291.2027726</v>
      </c>
      <c r="AF10" s="1">
        <f t="shared" si="25"/>
        <v>294.1148003</v>
      </c>
      <c r="AG10" s="1">
        <f t="shared" si="25"/>
        <v>297.0559483</v>
      </c>
      <c r="AH10" s="1">
        <f t="shared" si="25"/>
        <v>300.0265078</v>
      </c>
      <c r="AI10" s="1">
        <f t="shared" si="25"/>
        <v>303.0267729</v>
      </c>
      <c r="AJ10" s="1">
        <f t="shared" si="25"/>
        <v>306.0570406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</row>
    <row r="11" ht="12.75" customHeight="1">
      <c r="A11" s="1"/>
      <c r="B11" s="1" t="s">
        <v>43</v>
      </c>
      <c r="C11" s="1">
        <v>-56.0</v>
      </c>
      <c r="D11" s="1">
        <v>8.0</v>
      </c>
      <c r="E11" s="1">
        <v>2.0</v>
      </c>
      <c r="F11" s="1">
        <f t="shared" si="2"/>
        <v>27</v>
      </c>
      <c r="G11" s="1">
        <v>-36.0</v>
      </c>
      <c r="H11" s="1">
        <v>-45.0</v>
      </c>
      <c r="I11" s="1">
        <v>7.0</v>
      </c>
      <c r="J11" s="1">
        <f t="shared" si="3"/>
        <v>-107</v>
      </c>
      <c r="K11" s="1">
        <v>30.0</v>
      </c>
      <c r="L11" s="1">
        <f t="shared" ref="L11:M11" si="26">+L10*(K11/K10)</f>
        <v>28.80606056</v>
      </c>
      <c r="M11" s="1">
        <f t="shared" si="26"/>
        <v>27.18617938</v>
      </c>
      <c r="N11" s="12">
        <v>29.0</v>
      </c>
      <c r="O11" s="1"/>
      <c r="P11" s="1"/>
      <c r="Q11" s="1"/>
      <c r="R11" s="1"/>
      <c r="S11" s="1"/>
      <c r="T11" s="1"/>
      <c r="U11" s="1"/>
      <c r="V11" s="1">
        <v>846.0</v>
      </c>
      <c r="W11" s="1">
        <v>-436.0</v>
      </c>
      <c r="X11" s="1">
        <v>-341.0</v>
      </c>
      <c r="Y11" s="1">
        <v>-19.0</v>
      </c>
      <c r="Z11" s="1">
        <v>-181.0</v>
      </c>
      <c r="AA11" s="1">
        <f t="shared" si="10"/>
        <v>114.9922399</v>
      </c>
      <c r="AB11" s="1">
        <f t="shared" ref="AB11:AJ11" si="27">+AB10*(AA11/AA10)</f>
        <v>120.7418519</v>
      </c>
      <c r="AC11" s="1">
        <f t="shared" si="27"/>
        <v>121.9492705</v>
      </c>
      <c r="AD11" s="1">
        <f t="shared" si="27"/>
        <v>123.1687632</v>
      </c>
      <c r="AE11" s="1">
        <f t="shared" si="27"/>
        <v>124.4004508</v>
      </c>
      <c r="AF11" s="1">
        <f t="shared" si="27"/>
        <v>125.6444553</v>
      </c>
      <c r="AG11" s="1">
        <f t="shared" si="27"/>
        <v>126.9008999</v>
      </c>
      <c r="AH11" s="1">
        <f t="shared" si="27"/>
        <v>128.1699089</v>
      </c>
      <c r="AI11" s="1">
        <f t="shared" si="27"/>
        <v>129.4516079</v>
      </c>
      <c r="AJ11" s="1">
        <f t="shared" si="27"/>
        <v>130.746124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</row>
    <row r="12" ht="12.75" customHeight="1">
      <c r="A12" s="13"/>
      <c r="B12" s="13" t="s">
        <v>44</v>
      </c>
      <c r="C12" s="13">
        <f t="shared" ref="C12:E12" si="28">+C10-C11</f>
        <v>257</v>
      </c>
      <c r="D12" s="13">
        <f t="shared" si="28"/>
        <v>80</v>
      </c>
      <c r="E12" s="13">
        <f t="shared" si="28"/>
        <v>56</v>
      </c>
      <c r="F12" s="13">
        <f t="shared" si="2"/>
        <v>839</v>
      </c>
      <c r="G12" s="13">
        <f t="shared" ref="G12:I12" si="29">+G10-G11</f>
        <v>148</v>
      </c>
      <c r="H12" s="13">
        <f t="shared" si="29"/>
        <v>199</v>
      </c>
      <c r="I12" s="13">
        <f t="shared" si="29"/>
        <v>-64</v>
      </c>
      <c r="J12" s="1">
        <f t="shared" si="3"/>
        <v>719</v>
      </c>
      <c r="K12" s="13">
        <f t="shared" ref="K12:N12" si="30">+K10-K11</f>
        <v>28</v>
      </c>
      <c r="L12" s="13">
        <f t="shared" si="30"/>
        <v>26.88565652</v>
      </c>
      <c r="M12" s="13">
        <f t="shared" si="30"/>
        <v>25.37376742</v>
      </c>
      <c r="N12" s="13">
        <f t="shared" si="30"/>
        <v>73.92790006</v>
      </c>
      <c r="O12" s="13"/>
      <c r="P12" s="13"/>
      <c r="Q12" s="13"/>
      <c r="R12" s="13"/>
      <c r="S12" s="13"/>
      <c r="T12" s="13"/>
      <c r="U12" s="13"/>
      <c r="V12" s="13">
        <f t="shared" ref="V12:Z12" si="31">+V10-V11</f>
        <v>-2082</v>
      </c>
      <c r="W12" s="13">
        <f t="shared" si="31"/>
        <v>2470</v>
      </c>
      <c r="X12" s="13">
        <f t="shared" si="31"/>
        <v>1861</v>
      </c>
      <c r="Y12" s="13">
        <f t="shared" si="31"/>
        <v>1232</v>
      </c>
      <c r="Z12" s="13">
        <f t="shared" si="31"/>
        <v>1002</v>
      </c>
      <c r="AA12" s="1">
        <f t="shared" si="10"/>
        <v>154.187324</v>
      </c>
      <c r="AB12" s="13">
        <f t="shared" ref="AB12:AJ12" si="32">+AB10-AB11</f>
        <v>161.8966902</v>
      </c>
      <c r="AC12" s="13">
        <f t="shared" si="32"/>
        <v>163.5156571</v>
      </c>
      <c r="AD12" s="13">
        <f t="shared" si="32"/>
        <v>165.1508137</v>
      </c>
      <c r="AE12" s="13">
        <f t="shared" si="32"/>
        <v>166.8023218</v>
      </c>
      <c r="AF12" s="13">
        <f t="shared" si="32"/>
        <v>168.470345</v>
      </c>
      <c r="AG12" s="13">
        <f t="shared" si="32"/>
        <v>170.1550485</v>
      </c>
      <c r="AH12" s="13">
        <f t="shared" si="32"/>
        <v>171.856599</v>
      </c>
      <c r="AI12" s="13">
        <f t="shared" si="32"/>
        <v>173.575165</v>
      </c>
      <c r="AJ12" s="13">
        <f t="shared" si="32"/>
        <v>175.3109166</v>
      </c>
      <c r="AK12" s="13">
        <f t="shared" ref="AK12:IA12" si="33">+AJ12*(1+$AL$22)</f>
        <v>177.0640258</v>
      </c>
      <c r="AL12" s="13">
        <f t="shared" si="33"/>
        <v>178.834666</v>
      </c>
      <c r="AM12" s="13">
        <f t="shared" si="33"/>
        <v>180.6230127</v>
      </c>
      <c r="AN12" s="13">
        <f t="shared" si="33"/>
        <v>182.4292428</v>
      </c>
      <c r="AO12" s="13">
        <f t="shared" si="33"/>
        <v>184.2535352</v>
      </c>
      <c r="AP12" s="13">
        <f t="shared" si="33"/>
        <v>186.0960706</v>
      </c>
      <c r="AQ12" s="13">
        <f t="shared" si="33"/>
        <v>187.9570313</v>
      </c>
      <c r="AR12" s="13">
        <f t="shared" si="33"/>
        <v>189.8366016</v>
      </c>
      <c r="AS12" s="13">
        <f t="shared" si="33"/>
        <v>191.7349676</v>
      </c>
      <c r="AT12" s="13">
        <f t="shared" si="33"/>
        <v>193.6523173</v>
      </c>
      <c r="AU12" s="13">
        <f t="shared" si="33"/>
        <v>195.5888405</v>
      </c>
      <c r="AV12" s="13">
        <f t="shared" si="33"/>
        <v>197.5447289</v>
      </c>
      <c r="AW12" s="13">
        <f t="shared" si="33"/>
        <v>199.5201762</v>
      </c>
      <c r="AX12" s="13">
        <f t="shared" si="33"/>
        <v>201.5153779</v>
      </c>
      <c r="AY12" s="13">
        <f t="shared" si="33"/>
        <v>203.5305317</v>
      </c>
      <c r="AZ12" s="13">
        <f t="shared" si="33"/>
        <v>205.565837</v>
      </c>
      <c r="BA12" s="13">
        <f t="shared" si="33"/>
        <v>207.6214954</v>
      </c>
      <c r="BB12" s="13">
        <f t="shared" si="33"/>
        <v>209.6977104</v>
      </c>
      <c r="BC12" s="13">
        <f t="shared" si="33"/>
        <v>211.7946875</v>
      </c>
      <c r="BD12" s="13">
        <f t="shared" si="33"/>
        <v>213.9126343</v>
      </c>
      <c r="BE12" s="13">
        <f t="shared" si="33"/>
        <v>216.0517607</v>
      </c>
      <c r="BF12" s="13">
        <f t="shared" si="33"/>
        <v>218.2122783</v>
      </c>
      <c r="BG12" s="13">
        <f t="shared" si="33"/>
        <v>220.3944011</v>
      </c>
      <c r="BH12" s="13">
        <f t="shared" si="33"/>
        <v>222.5983451</v>
      </c>
      <c r="BI12" s="13">
        <f t="shared" si="33"/>
        <v>224.8243285</v>
      </c>
      <c r="BJ12" s="13">
        <f t="shared" si="33"/>
        <v>227.0725718</v>
      </c>
      <c r="BK12" s="13">
        <f t="shared" si="33"/>
        <v>229.3432975</v>
      </c>
      <c r="BL12" s="13">
        <f t="shared" si="33"/>
        <v>231.6367305</v>
      </c>
      <c r="BM12" s="13">
        <f t="shared" si="33"/>
        <v>233.9530978</v>
      </c>
      <c r="BN12" s="13">
        <f t="shared" si="33"/>
        <v>236.2926288</v>
      </c>
      <c r="BO12" s="13">
        <f t="shared" si="33"/>
        <v>238.6555551</v>
      </c>
      <c r="BP12" s="13">
        <f t="shared" si="33"/>
        <v>241.0421106</v>
      </c>
      <c r="BQ12" s="13">
        <f t="shared" si="33"/>
        <v>243.4525317</v>
      </c>
      <c r="BR12" s="13">
        <f t="shared" si="33"/>
        <v>245.8870571</v>
      </c>
      <c r="BS12" s="13">
        <f t="shared" si="33"/>
        <v>248.3459276</v>
      </c>
      <c r="BT12" s="13">
        <f t="shared" si="33"/>
        <v>250.8293869</v>
      </c>
      <c r="BU12" s="13">
        <f t="shared" si="33"/>
        <v>253.3376808</v>
      </c>
      <c r="BV12" s="13">
        <f t="shared" si="33"/>
        <v>255.8710576</v>
      </c>
      <c r="BW12" s="13">
        <f t="shared" si="33"/>
        <v>258.4297682</v>
      </c>
      <c r="BX12" s="13">
        <f t="shared" si="33"/>
        <v>261.0140658</v>
      </c>
      <c r="BY12" s="13">
        <f t="shared" si="33"/>
        <v>263.6242065</v>
      </c>
      <c r="BZ12" s="13">
        <f t="shared" si="33"/>
        <v>266.2604486</v>
      </c>
      <c r="CA12" s="13">
        <f t="shared" si="33"/>
        <v>268.9230531</v>
      </c>
      <c r="CB12" s="13">
        <f t="shared" si="33"/>
        <v>271.6122836</v>
      </c>
      <c r="CC12" s="13">
        <f t="shared" si="33"/>
        <v>274.3284064</v>
      </c>
      <c r="CD12" s="13">
        <f t="shared" si="33"/>
        <v>277.0716905</v>
      </c>
      <c r="CE12" s="13">
        <f t="shared" si="33"/>
        <v>279.8424074</v>
      </c>
      <c r="CF12" s="13">
        <f t="shared" si="33"/>
        <v>282.6408315</v>
      </c>
      <c r="CG12" s="13">
        <f t="shared" si="33"/>
        <v>285.4672398</v>
      </c>
      <c r="CH12" s="13">
        <f t="shared" si="33"/>
        <v>288.3219122</v>
      </c>
      <c r="CI12" s="13">
        <f t="shared" si="33"/>
        <v>291.2051313</v>
      </c>
      <c r="CJ12" s="13">
        <f t="shared" si="33"/>
        <v>294.1171826</v>
      </c>
      <c r="CK12" s="13">
        <f t="shared" si="33"/>
        <v>297.0583544</v>
      </c>
      <c r="CL12" s="13">
        <f t="shared" si="33"/>
        <v>300.028938</v>
      </c>
      <c r="CM12" s="13">
        <f t="shared" si="33"/>
        <v>303.0292274</v>
      </c>
      <c r="CN12" s="13">
        <f t="shared" si="33"/>
        <v>306.0595196</v>
      </c>
      <c r="CO12" s="13">
        <f t="shared" si="33"/>
        <v>309.1201148</v>
      </c>
      <c r="CP12" s="13">
        <f t="shared" si="33"/>
        <v>312.211316</v>
      </c>
      <c r="CQ12" s="13">
        <f t="shared" si="33"/>
        <v>315.3334291</v>
      </c>
      <c r="CR12" s="13">
        <f t="shared" si="33"/>
        <v>318.4867634</v>
      </c>
      <c r="CS12" s="13">
        <f t="shared" si="33"/>
        <v>321.6716311</v>
      </c>
      <c r="CT12" s="13">
        <f t="shared" si="33"/>
        <v>324.8883474</v>
      </c>
      <c r="CU12" s="13">
        <f t="shared" si="33"/>
        <v>328.1372308</v>
      </c>
      <c r="CV12" s="13">
        <f t="shared" si="33"/>
        <v>331.4186032</v>
      </c>
      <c r="CW12" s="13">
        <f t="shared" si="33"/>
        <v>334.7327892</v>
      </c>
      <c r="CX12" s="13">
        <f t="shared" si="33"/>
        <v>338.0801171</v>
      </c>
      <c r="CY12" s="13">
        <f t="shared" si="33"/>
        <v>341.4609182</v>
      </c>
      <c r="CZ12" s="13">
        <f t="shared" si="33"/>
        <v>344.8755274</v>
      </c>
      <c r="DA12" s="13">
        <f t="shared" si="33"/>
        <v>348.3242827</v>
      </c>
      <c r="DB12" s="13">
        <f t="shared" si="33"/>
        <v>351.8075255</v>
      </c>
      <c r="DC12" s="13">
        <f t="shared" si="33"/>
        <v>355.3256008</v>
      </c>
      <c r="DD12" s="13">
        <f t="shared" si="33"/>
        <v>358.8788568</v>
      </c>
      <c r="DE12" s="13">
        <f t="shared" si="33"/>
        <v>362.4676454</v>
      </c>
      <c r="DF12" s="13">
        <f t="shared" si="33"/>
        <v>366.0923218</v>
      </c>
      <c r="DG12" s="13">
        <f t="shared" si="33"/>
        <v>369.753245</v>
      </c>
      <c r="DH12" s="13">
        <f t="shared" si="33"/>
        <v>373.4507775</v>
      </c>
      <c r="DI12" s="13">
        <f t="shared" si="33"/>
        <v>377.1852853</v>
      </c>
      <c r="DJ12" s="13">
        <f t="shared" si="33"/>
        <v>380.9571381</v>
      </c>
      <c r="DK12" s="13">
        <f t="shared" si="33"/>
        <v>384.7667095</v>
      </c>
      <c r="DL12" s="13">
        <f t="shared" si="33"/>
        <v>388.6143766</v>
      </c>
      <c r="DM12" s="13">
        <f t="shared" si="33"/>
        <v>392.5005204</v>
      </c>
      <c r="DN12" s="13">
        <f t="shared" si="33"/>
        <v>396.4255256</v>
      </c>
      <c r="DO12" s="13">
        <f t="shared" si="33"/>
        <v>400.3897808</v>
      </c>
      <c r="DP12" s="13">
        <f t="shared" si="33"/>
        <v>404.3936786</v>
      </c>
      <c r="DQ12" s="13">
        <f t="shared" si="33"/>
        <v>408.4376154</v>
      </c>
      <c r="DR12" s="13">
        <f t="shared" si="33"/>
        <v>412.5219916</v>
      </c>
      <c r="DS12" s="13">
        <f t="shared" si="33"/>
        <v>416.6472115</v>
      </c>
      <c r="DT12" s="13">
        <f t="shared" si="33"/>
        <v>420.8136836</v>
      </c>
      <c r="DU12" s="13">
        <f t="shared" si="33"/>
        <v>425.0218204</v>
      </c>
      <c r="DV12" s="13">
        <f t="shared" si="33"/>
        <v>429.2720386</v>
      </c>
      <c r="DW12" s="13">
        <f t="shared" si="33"/>
        <v>433.564759</v>
      </c>
      <c r="DX12" s="13">
        <f t="shared" si="33"/>
        <v>437.9004066</v>
      </c>
      <c r="DY12" s="13">
        <f t="shared" si="33"/>
        <v>442.2794107</v>
      </c>
      <c r="DZ12" s="13">
        <f t="shared" si="33"/>
        <v>446.7022048</v>
      </c>
      <c r="EA12" s="13">
        <f t="shared" si="33"/>
        <v>451.1692268</v>
      </c>
      <c r="EB12" s="13">
        <f t="shared" si="33"/>
        <v>455.6809191</v>
      </c>
      <c r="EC12" s="13">
        <f t="shared" si="33"/>
        <v>460.2377283</v>
      </c>
      <c r="ED12" s="13">
        <f t="shared" si="33"/>
        <v>464.8401056</v>
      </c>
      <c r="EE12" s="13">
        <f t="shared" si="33"/>
        <v>469.4885066</v>
      </c>
      <c r="EF12" s="13">
        <f t="shared" si="33"/>
        <v>474.1833917</v>
      </c>
      <c r="EG12" s="13">
        <f t="shared" si="33"/>
        <v>478.9252256</v>
      </c>
      <c r="EH12" s="13">
        <f t="shared" si="33"/>
        <v>483.7144779</v>
      </c>
      <c r="EI12" s="13">
        <f t="shared" si="33"/>
        <v>488.5516226</v>
      </c>
      <c r="EJ12" s="13">
        <f t="shared" si="33"/>
        <v>493.4371389</v>
      </c>
      <c r="EK12" s="13">
        <f t="shared" si="33"/>
        <v>498.3715103</v>
      </c>
      <c r="EL12" s="13">
        <f t="shared" si="33"/>
        <v>503.3552254</v>
      </c>
      <c r="EM12" s="13">
        <f t="shared" si="33"/>
        <v>508.3887776</v>
      </c>
      <c r="EN12" s="13">
        <f t="shared" si="33"/>
        <v>513.4726654</v>
      </c>
      <c r="EO12" s="13">
        <f t="shared" si="33"/>
        <v>518.607392</v>
      </c>
      <c r="EP12" s="13">
        <f t="shared" si="33"/>
        <v>523.793466</v>
      </c>
      <c r="EQ12" s="13">
        <f t="shared" si="33"/>
        <v>529.0314006</v>
      </c>
      <c r="ER12" s="13">
        <f t="shared" si="33"/>
        <v>534.3217146</v>
      </c>
      <c r="ES12" s="13">
        <f t="shared" si="33"/>
        <v>539.6649318</v>
      </c>
      <c r="ET12" s="13">
        <f t="shared" si="33"/>
        <v>545.0615811</v>
      </c>
      <c r="EU12" s="13">
        <f t="shared" si="33"/>
        <v>550.5121969</v>
      </c>
      <c r="EV12" s="13">
        <f t="shared" si="33"/>
        <v>556.0173189</v>
      </c>
      <c r="EW12" s="13">
        <f t="shared" si="33"/>
        <v>561.5774921</v>
      </c>
      <c r="EX12" s="13">
        <f t="shared" si="33"/>
        <v>567.193267</v>
      </c>
      <c r="EY12" s="13">
        <f t="shared" si="33"/>
        <v>572.8651997</v>
      </c>
      <c r="EZ12" s="13">
        <f t="shared" si="33"/>
        <v>578.5938517</v>
      </c>
      <c r="FA12" s="13">
        <f t="shared" si="33"/>
        <v>584.3797902</v>
      </c>
      <c r="FB12" s="13">
        <f t="shared" si="33"/>
        <v>590.2235881</v>
      </c>
      <c r="FC12" s="13">
        <f t="shared" si="33"/>
        <v>596.125824</v>
      </c>
      <c r="FD12" s="13">
        <f t="shared" si="33"/>
        <v>602.0870822</v>
      </c>
      <c r="FE12" s="13">
        <f t="shared" si="33"/>
        <v>608.107953</v>
      </c>
      <c r="FF12" s="13">
        <f t="shared" si="33"/>
        <v>614.1890325</v>
      </c>
      <c r="FG12" s="13">
        <f t="shared" si="33"/>
        <v>620.3309229</v>
      </c>
      <c r="FH12" s="13">
        <f t="shared" si="33"/>
        <v>626.5342321</v>
      </c>
      <c r="FI12" s="13">
        <f t="shared" si="33"/>
        <v>632.7995744</v>
      </c>
      <c r="FJ12" s="13">
        <f t="shared" si="33"/>
        <v>639.1275702</v>
      </c>
      <c r="FK12" s="13">
        <f t="shared" si="33"/>
        <v>645.5188459</v>
      </c>
      <c r="FL12" s="13">
        <f t="shared" si="33"/>
        <v>651.9740343</v>
      </c>
      <c r="FM12" s="13">
        <f t="shared" si="33"/>
        <v>658.4937747</v>
      </c>
      <c r="FN12" s="13">
        <f t="shared" si="33"/>
        <v>665.0787124</v>
      </c>
      <c r="FO12" s="13">
        <f t="shared" si="33"/>
        <v>671.7294995</v>
      </c>
      <c r="FP12" s="13">
        <f t="shared" si="33"/>
        <v>678.4467945</v>
      </c>
      <c r="FQ12" s="13">
        <f t="shared" si="33"/>
        <v>685.2312625</v>
      </c>
      <c r="FR12" s="13">
        <f t="shared" si="33"/>
        <v>692.0835751</v>
      </c>
      <c r="FS12" s="13">
        <f t="shared" si="33"/>
        <v>699.0044109</v>
      </c>
      <c r="FT12" s="13">
        <f t="shared" si="33"/>
        <v>705.994455</v>
      </c>
      <c r="FU12" s="13">
        <f t="shared" si="33"/>
        <v>713.0543995</v>
      </c>
      <c r="FV12" s="13">
        <f t="shared" si="33"/>
        <v>720.1849435</v>
      </c>
      <c r="FW12" s="13">
        <f t="shared" si="33"/>
        <v>727.3867929</v>
      </c>
      <c r="FX12" s="13">
        <f t="shared" si="33"/>
        <v>734.6606609</v>
      </c>
      <c r="FY12" s="13">
        <f t="shared" si="33"/>
        <v>742.0072675</v>
      </c>
      <c r="FZ12" s="13">
        <f t="shared" si="33"/>
        <v>749.4273402</v>
      </c>
      <c r="GA12" s="13">
        <f t="shared" si="33"/>
        <v>756.9216136</v>
      </c>
      <c r="GB12" s="13">
        <f t="shared" si="33"/>
        <v>764.4908297</v>
      </c>
      <c r="GC12" s="13">
        <f t="shared" si="33"/>
        <v>772.135738</v>
      </c>
      <c r="GD12" s="13">
        <f t="shared" si="33"/>
        <v>779.8570954</v>
      </c>
      <c r="GE12" s="13">
        <f t="shared" si="33"/>
        <v>787.6556663</v>
      </c>
      <c r="GF12" s="13">
        <f t="shared" si="33"/>
        <v>795.532223</v>
      </c>
      <c r="GG12" s="13">
        <f t="shared" si="33"/>
        <v>803.4875452</v>
      </c>
      <c r="GH12" s="13">
        <f t="shared" si="33"/>
        <v>811.5224207</v>
      </c>
      <c r="GI12" s="13">
        <f t="shared" si="33"/>
        <v>819.6376449</v>
      </c>
      <c r="GJ12" s="13">
        <f t="shared" si="33"/>
        <v>827.8340213</v>
      </c>
      <c r="GK12" s="13">
        <f t="shared" si="33"/>
        <v>836.1123615</v>
      </c>
      <c r="GL12" s="13">
        <f t="shared" si="33"/>
        <v>844.4734852</v>
      </c>
      <c r="GM12" s="13">
        <f t="shared" si="33"/>
        <v>852.91822</v>
      </c>
      <c r="GN12" s="13">
        <f t="shared" si="33"/>
        <v>861.4474022</v>
      </c>
      <c r="GO12" s="13">
        <f t="shared" si="33"/>
        <v>870.0618762</v>
      </c>
      <c r="GP12" s="13">
        <f t="shared" si="33"/>
        <v>878.762495</v>
      </c>
      <c r="GQ12" s="13">
        <f t="shared" si="33"/>
        <v>887.5501199</v>
      </c>
      <c r="GR12" s="13">
        <f t="shared" si="33"/>
        <v>896.4256211</v>
      </c>
      <c r="GS12" s="13">
        <f t="shared" si="33"/>
        <v>905.3898774</v>
      </c>
      <c r="GT12" s="13">
        <f t="shared" si="33"/>
        <v>914.4437761</v>
      </c>
      <c r="GU12" s="13">
        <f t="shared" si="33"/>
        <v>923.5882139</v>
      </c>
      <c r="GV12" s="13">
        <f t="shared" si="33"/>
        <v>932.824096</v>
      </c>
      <c r="GW12" s="13">
        <f t="shared" si="33"/>
        <v>942.152337</v>
      </c>
      <c r="GX12" s="13">
        <f t="shared" si="33"/>
        <v>951.5738604</v>
      </c>
      <c r="GY12" s="13">
        <f t="shared" si="33"/>
        <v>961.089599</v>
      </c>
      <c r="GZ12" s="13">
        <f t="shared" si="33"/>
        <v>970.7004949</v>
      </c>
      <c r="HA12" s="13">
        <f t="shared" si="33"/>
        <v>980.4074999</v>
      </c>
      <c r="HB12" s="13">
        <f t="shared" si="33"/>
        <v>990.2115749</v>
      </c>
      <c r="HC12" s="13">
        <f t="shared" si="33"/>
        <v>1000.113691</v>
      </c>
      <c r="HD12" s="13">
        <f t="shared" si="33"/>
        <v>1010.114828</v>
      </c>
      <c r="HE12" s="13">
        <f t="shared" si="33"/>
        <v>1020.215976</v>
      </c>
      <c r="HF12" s="13">
        <f t="shared" si="33"/>
        <v>1030.418136</v>
      </c>
      <c r="HG12" s="13">
        <f t="shared" si="33"/>
        <v>1040.722317</v>
      </c>
      <c r="HH12" s="13">
        <f t="shared" si="33"/>
        <v>1051.12954</v>
      </c>
      <c r="HI12" s="13">
        <f t="shared" si="33"/>
        <v>1061.640836</v>
      </c>
      <c r="HJ12" s="13">
        <f t="shared" si="33"/>
        <v>1072.257244</v>
      </c>
      <c r="HK12" s="13">
        <f t="shared" si="33"/>
        <v>1082.979816</v>
      </c>
      <c r="HL12" s="13">
        <f t="shared" si="33"/>
        <v>1093.809614</v>
      </c>
      <c r="HM12" s="13">
        <f t="shared" si="33"/>
        <v>1104.747711</v>
      </c>
      <c r="HN12" s="13">
        <f t="shared" si="33"/>
        <v>1115.795188</v>
      </c>
      <c r="HO12" s="13">
        <f t="shared" si="33"/>
        <v>1126.95314</v>
      </c>
      <c r="HP12" s="13">
        <f t="shared" si="33"/>
        <v>1138.222671</v>
      </c>
      <c r="HQ12" s="13">
        <f t="shared" si="33"/>
        <v>1149.604898</v>
      </c>
      <c r="HR12" s="13">
        <f t="shared" si="33"/>
        <v>1161.100947</v>
      </c>
      <c r="HS12" s="13">
        <f t="shared" si="33"/>
        <v>1172.711956</v>
      </c>
      <c r="HT12" s="13">
        <f t="shared" si="33"/>
        <v>1184.439076</v>
      </c>
      <c r="HU12" s="13">
        <f t="shared" si="33"/>
        <v>1196.283466</v>
      </c>
      <c r="HV12" s="13">
        <f t="shared" si="33"/>
        <v>1208.246301</v>
      </c>
      <c r="HW12" s="13">
        <f t="shared" si="33"/>
        <v>1220.328764</v>
      </c>
      <c r="HX12" s="13">
        <f t="shared" si="33"/>
        <v>1232.532052</v>
      </c>
      <c r="HY12" s="13">
        <f t="shared" si="33"/>
        <v>1244.857372</v>
      </c>
      <c r="HZ12" s="13">
        <f t="shared" si="33"/>
        <v>1257.305946</v>
      </c>
      <c r="IA12" s="13">
        <f t="shared" si="33"/>
        <v>1269.879005</v>
      </c>
    </row>
    <row r="13" ht="12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</row>
    <row r="14" ht="12.75" customHeight="1">
      <c r="A14" s="1"/>
      <c r="B14" s="15" t="s">
        <v>45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</row>
    <row r="15" ht="12.75" customHeight="1">
      <c r="A15" s="7"/>
      <c r="B15" s="1" t="s">
        <v>36</v>
      </c>
      <c r="C15" s="7"/>
      <c r="D15" s="7"/>
      <c r="E15" s="7"/>
      <c r="F15" s="7"/>
      <c r="G15" s="7">
        <f t="shared" ref="G15:K15" si="34">+G3/C3-1</f>
        <v>-0.02729827379</v>
      </c>
      <c r="H15" s="7">
        <f t="shared" si="34"/>
        <v>-0.03762183236</v>
      </c>
      <c r="I15" s="7">
        <f t="shared" si="34"/>
        <v>-0.02427983539</v>
      </c>
      <c r="J15" s="7">
        <f t="shared" si="34"/>
        <v>-0.04334975369</v>
      </c>
      <c r="K15" s="7">
        <f t="shared" si="34"/>
        <v>-0.05096987206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>
        <f t="shared" ref="W15:Z15" si="35">+W3/V3-1</f>
        <v>0.4101233714</v>
      </c>
      <c r="X15" s="7">
        <f t="shared" si="35"/>
        <v>-0.0007358953393</v>
      </c>
      <c r="Y15" s="7">
        <f t="shared" si="35"/>
        <v>-0.05523279601</v>
      </c>
      <c r="Z15" s="7">
        <f t="shared" si="35"/>
        <v>-0.03460072752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</row>
    <row r="16" ht="12.75" customHeight="1">
      <c r="A16" s="7"/>
      <c r="B16" s="1" t="s">
        <v>37</v>
      </c>
      <c r="C16" s="7"/>
      <c r="D16" s="7"/>
      <c r="E16" s="7"/>
      <c r="F16" s="7"/>
      <c r="G16" s="7">
        <f t="shared" ref="G16:K16" si="36">+G4/C4-1</f>
        <v>-0.1937172775</v>
      </c>
      <c r="H16" s="7">
        <f t="shared" si="36"/>
        <v>0.06</v>
      </c>
      <c r="I16" s="7">
        <f t="shared" si="36"/>
        <v>-0.09550561798</v>
      </c>
      <c r="J16" s="7">
        <f t="shared" si="36"/>
        <v>-0.06274509804</v>
      </c>
      <c r="K16" s="7">
        <f t="shared" si="36"/>
        <v>0.2597402597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>
        <f t="shared" ref="W16:Z16" si="37">+W4/V4-1</f>
        <v>0.2503328895</v>
      </c>
      <c r="X16" s="7">
        <f t="shared" si="37"/>
        <v>0.07241746539</v>
      </c>
      <c r="Y16" s="7">
        <f t="shared" si="37"/>
        <v>-0.2313803376</v>
      </c>
      <c r="Z16" s="7">
        <f t="shared" si="37"/>
        <v>-0.07881136951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</row>
    <row r="17" ht="12.75" customHeight="1">
      <c r="A17" s="7"/>
      <c r="B17" s="1" t="s">
        <v>38</v>
      </c>
      <c r="C17" s="7"/>
      <c r="D17" s="7"/>
      <c r="E17" s="7"/>
      <c r="F17" s="7"/>
      <c r="G17" s="7">
        <f t="shared" ref="G17:O17" si="38">+G5/C5-1</f>
        <v>-0.03344287647</v>
      </c>
      <c r="H17" s="7">
        <f t="shared" si="38"/>
        <v>-0.03484848485</v>
      </c>
      <c r="I17" s="7">
        <f t="shared" si="38"/>
        <v>-0.02679634776</v>
      </c>
      <c r="J17" s="7">
        <f t="shared" si="38"/>
        <v>-0.04394029851</v>
      </c>
      <c r="K17" s="7">
        <f t="shared" si="38"/>
        <v>-0.0414</v>
      </c>
      <c r="L17" s="7">
        <f t="shared" si="38"/>
        <v>-0.085</v>
      </c>
      <c r="M17" s="7">
        <f t="shared" si="38"/>
        <v>-0.085</v>
      </c>
      <c r="N17" s="7">
        <f t="shared" si="38"/>
        <v>-0.085</v>
      </c>
      <c r="O17" s="7">
        <f t="shared" si="38"/>
        <v>-1</v>
      </c>
      <c r="P17" s="7"/>
      <c r="Q17" s="7"/>
      <c r="R17" s="7"/>
      <c r="S17" s="7"/>
      <c r="T17" s="7"/>
      <c r="U17" s="7"/>
      <c r="V17" s="7"/>
      <c r="W17" s="7">
        <f t="shared" ref="W17:AJ17" si="39">+W5/V5-1</f>
        <v>0.4034922915</v>
      </c>
      <c r="X17" s="7">
        <f t="shared" si="39"/>
        <v>0.00196858144</v>
      </c>
      <c r="Y17" s="7">
        <f t="shared" si="39"/>
        <v>-0.06220283705</v>
      </c>
      <c r="Z17" s="7">
        <f t="shared" si="39"/>
        <v>-0.0360345261</v>
      </c>
      <c r="AA17" s="7">
        <f t="shared" si="39"/>
        <v>-0.07552421108</v>
      </c>
      <c r="AB17" s="7">
        <f t="shared" si="39"/>
        <v>0.05</v>
      </c>
      <c r="AC17" s="7">
        <f t="shared" si="39"/>
        <v>0.01</v>
      </c>
      <c r="AD17" s="7">
        <f t="shared" si="39"/>
        <v>0.01</v>
      </c>
      <c r="AE17" s="7">
        <f t="shared" si="39"/>
        <v>0.01</v>
      </c>
      <c r="AF17" s="7">
        <f t="shared" si="39"/>
        <v>0.01</v>
      </c>
      <c r="AG17" s="7">
        <f t="shared" si="39"/>
        <v>0.01</v>
      </c>
      <c r="AH17" s="7">
        <f t="shared" si="39"/>
        <v>0.01</v>
      </c>
      <c r="AI17" s="7">
        <f t="shared" si="39"/>
        <v>0.01</v>
      </c>
      <c r="AJ17" s="7">
        <f t="shared" si="39"/>
        <v>0.01</v>
      </c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</row>
    <row r="18" ht="12.75" customHeight="1">
      <c r="A18" s="1"/>
      <c r="B18" s="1" t="s">
        <v>46</v>
      </c>
      <c r="C18" s="7">
        <f t="shared" ref="C18:K18" si="40">(C5-C6)/C5</f>
        <v>0.422385463</v>
      </c>
      <c r="D18" s="7">
        <f t="shared" si="40"/>
        <v>0.3984848485</v>
      </c>
      <c r="E18" s="7">
        <f t="shared" si="40"/>
        <v>0.4233822946</v>
      </c>
      <c r="F18" s="7">
        <f t="shared" si="40"/>
        <v>0.3941492537</v>
      </c>
      <c r="G18" s="7">
        <f t="shared" si="40"/>
        <v>0.4108</v>
      </c>
      <c r="H18" s="7">
        <f t="shared" si="40"/>
        <v>0.4234693878</v>
      </c>
      <c r="I18" s="7">
        <f t="shared" si="40"/>
        <v>0.415867836</v>
      </c>
      <c r="J18" s="7">
        <f t="shared" si="40"/>
        <v>0.3765455227</v>
      </c>
      <c r="K18" s="7">
        <f t="shared" si="40"/>
        <v>0.4168579178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7">
        <f t="shared" ref="W18:AJ18" si="41">(W5-W6)/W5</f>
        <v>0.4111579196</v>
      </c>
      <c r="X18" s="7">
        <f t="shared" si="41"/>
        <v>0.3985618295</v>
      </c>
      <c r="Y18" s="7">
        <f t="shared" si="41"/>
        <v>0.407399648</v>
      </c>
      <c r="Z18" s="7">
        <f t="shared" si="41"/>
        <v>0.4027644962</v>
      </c>
      <c r="AA18" s="7">
        <f t="shared" si="41"/>
        <v>0.4168579178</v>
      </c>
      <c r="AB18" s="7">
        <f t="shared" si="41"/>
        <v>0.4168579178</v>
      </c>
      <c r="AC18" s="7">
        <f t="shared" si="41"/>
        <v>0.4168579178</v>
      </c>
      <c r="AD18" s="7">
        <f t="shared" si="41"/>
        <v>0.4168579178</v>
      </c>
      <c r="AE18" s="7">
        <f t="shared" si="41"/>
        <v>0.4168579178</v>
      </c>
      <c r="AF18" s="7">
        <f t="shared" si="41"/>
        <v>0.4168579178</v>
      </c>
      <c r="AG18" s="7">
        <f t="shared" si="41"/>
        <v>0.4168579178</v>
      </c>
      <c r="AH18" s="7">
        <f t="shared" si="41"/>
        <v>0.4168579178</v>
      </c>
      <c r="AI18" s="7">
        <f t="shared" si="41"/>
        <v>0.4168579178</v>
      </c>
      <c r="AJ18" s="7">
        <f t="shared" si="41"/>
        <v>0.4168579178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</row>
    <row r="19" ht="12.75" customHeight="1">
      <c r="A19" s="1"/>
      <c r="B19" s="1" t="s">
        <v>47</v>
      </c>
      <c r="C19" s="7">
        <f t="shared" ref="C19:K19" si="42">+C8/C5</f>
        <v>0.04542818481</v>
      </c>
      <c r="D19" s="7">
        <f t="shared" si="42"/>
        <v>0.02348484848</v>
      </c>
      <c r="E19" s="7">
        <f t="shared" si="42"/>
        <v>0.01845970623</v>
      </c>
      <c r="F19" s="7">
        <f t="shared" si="42"/>
        <v>0.1069850746</v>
      </c>
      <c r="G19" s="7">
        <f t="shared" si="42"/>
        <v>0.0286</v>
      </c>
      <c r="H19" s="7">
        <f t="shared" si="42"/>
        <v>0.03630298273</v>
      </c>
      <c r="I19" s="7">
        <f t="shared" si="42"/>
        <v>-0.005098919029</v>
      </c>
      <c r="J19" s="7">
        <f t="shared" si="42"/>
        <v>0.07905582615</v>
      </c>
      <c r="K19" s="7">
        <f t="shared" si="42"/>
        <v>0.0177341957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>
        <f t="shared" ref="W19:AJ19" si="43">+W8/W5</f>
        <v>0.09012165833</v>
      </c>
      <c r="X19" s="7">
        <f t="shared" si="43"/>
        <v>0.06609297025</v>
      </c>
      <c r="Y19" s="7">
        <f t="shared" si="43"/>
        <v>0.05648202464</v>
      </c>
      <c r="Z19" s="7">
        <f t="shared" si="43"/>
        <v>0.04068503869</v>
      </c>
      <c r="AA19" s="7">
        <f t="shared" si="43"/>
        <v>0.0177341957</v>
      </c>
      <c r="AB19" s="7">
        <f t="shared" si="43"/>
        <v>0.0177341957</v>
      </c>
      <c r="AC19" s="7">
        <f t="shared" si="43"/>
        <v>0.0177341957</v>
      </c>
      <c r="AD19" s="7">
        <f t="shared" si="43"/>
        <v>0.0177341957</v>
      </c>
      <c r="AE19" s="7">
        <f t="shared" si="43"/>
        <v>0.0177341957</v>
      </c>
      <c r="AF19" s="7">
        <f t="shared" si="43"/>
        <v>0.0177341957</v>
      </c>
      <c r="AG19" s="7">
        <f t="shared" si="43"/>
        <v>0.0177341957</v>
      </c>
      <c r="AH19" s="7">
        <f t="shared" si="43"/>
        <v>0.0177341957</v>
      </c>
      <c r="AI19" s="7">
        <f t="shared" si="43"/>
        <v>0.0177341957</v>
      </c>
      <c r="AJ19" s="7">
        <f t="shared" si="43"/>
        <v>0.0177341957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7"/>
      <c r="Y20" s="7"/>
      <c r="Z20" s="7"/>
      <c r="AA20" s="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7"/>
      <c r="Y21" s="7"/>
      <c r="Z21" s="7"/>
      <c r="AA21" s="7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s">
        <v>48</v>
      </c>
      <c r="AL22" s="16">
        <v>0.01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</row>
    <row r="23" ht="12.75" customHeight="1">
      <c r="A23" s="1"/>
      <c r="B23" s="1" t="s">
        <v>49</v>
      </c>
      <c r="C23" s="1">
        <f t="shared" ref="C23:K23" si="44">+C24-C36-C40</f>
        <v>-2393</v>
      </c>
      <c r="D23" s="1">
        <f t="shared" si="44"/>
        <v>-2559</v>
      </c>
      <c r="E23" s="1">
        <f t="shared" si="44"/>
        <v>-2793</v>
      </c>
      <c r="F23" s="1">
        <f t="shared" si="44"/>
        <v>-1964</v>
      </c>
      <c r="G23" s="1">
        <f t="shared" si="44"/>
        <v>-2122</v>
      </c>
      <c r="H23" s="1">
        <f t="shared" si="44"/>
        <v>-2353</v>
      </c>
      <c r="I23" s="1">
        <f t="shared" si="44"/>
        <v>-2550</v>
      </c>
      <c r="J23" s="1">
        <f t="shared" si="44"/>
        <v>-1473</v>
      </c>
      <c r="K23" s="1">
        <f t="shared" si="44"/>
        <v>-1848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s">
        <v>50</v>
      </c>
      <c r="AL23" s="16">
        <v>0.08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</row>
    <row r="24" ht="12.75" customHeight="1">
      <c r="A24" s="1"/>
      <c r="B24" s="1" t="s">
        <v>51</v>
      </c>
      <c r="C24" s="1">
        <v>603.0</v>
      </c>
      <c r="D24" s="1">
        <v>438.0</v>
      </c>
      <c r="E24" s="1">
        <v>364.0</v>
      </c>
      <c r="F24" s="1">
        <v>1034.0</v>
      </c>
      <c r="G24" s="1">
        <v>876.0</v>
      </c>
      <c r="H24" s="1">
        <v>646.0</v>
      </c>
      <c r="I24" s="1">
        <v>315.0</v>
      </c>
      <c r="J24" s="1">
        <v>1306.0</v>
      </c>
      <c r="K24" s="1">
        <v>932.0</v>
      </c>
      <c r="L24" s="1"/>
      <c r="M24" s="1"/>
      <c r="N24" s="1"/>
      <c r="O24" s="1"/>
      <c r="P24" s="1"/>
      <c r="Q24" s="1"/>
      <c r="R24" s="1"/>
      <c r="S24" s="1"/>
      <c r="T24" s="1"/>
      <c r="U24" s="1">
        <v>1162.0</v>
      </c>
      <c r="V24" s="1">
        <v>685.0</v>
      </c>
      <c r="W24" s="1">
        <v>1679.0</v>
      </c>
      <c r="X24" s="1">
        <v>862.0</v>
      </c>
      <c r="Y24" s="1">
        <f t="shared" ref="Y24:Y34" si="45">+F24</f>
        <v>1034</v>
      </c>
      <c r="Z24" s="1">
        <f t="shared" ref="Z24:Z34" si="46">+J24</f>
        <v>1306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s">
        <v>52</v>
      </c>
      <c r="AL24" s="1">
        <f t="array" ref="AL24">NPV(AL23,AA12:IB12)</f>
        <v>2284.254758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</row>
    <row r="25" ht="12.75" customHeight="1">
      <c r="A25" s="1"/>
      <c r="B25" s="1" t="s">
        <v>53</v>
      </c>
      <c r="C25" s="1">
        <v>255.0</v>
      </c>
      <c r="D25" s="1">
        <v>223.0</v>
      </c>
      <c r="E25" s="1">
        <v>218.0</v>
      </c>
      <c r="F25" s="1">
        <v>293.0</v>
      </c>
      <c r="G25" s="1">
        <v>257.0</v>
      </c>
      <c r="H25" s="1">
        <v>268.0</v>
      </c>
      <c r="I25" s="1">
        <v>224.0</v>
      </c>
      <c r="J25" s="1">
        <v>303.0</v>
      </c>
      <c r="K25" s="1">
        <v>241.0</v>
      </c>
      <c r="L25" s="1"/>
      <c r="M25" s="1"/>
      <c r="N25" s="1"/>
      <c r="O25" s="1"/>
      <c r="P25" s="1"/>
      <c r="Q25" s="1"/>
      <c r="R25" s="1"/>
      <c r="S25" s="1"/>
      <c r="T25" s="1"/>
      <c r="U25" s="1">
        <v>400.0</v>
      </c>
      <c r="V25" s="1">
        <v>409.0</v>
      </c>
      <c r="W25" s="1">
        <v>276.0</v>
      </c>
      <c r="X25" s="1">
        <v>300.0</v>
      </c>
      <c r="Y25" s="1">
        <f t="shared" si="45"/>
        <v>293</v>
      </c>
      <c r="Z25" s="1">
        <f t="shared" si="46"/>
        <v>303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s">
        <v>54</v>
      </c>
      <c r="AL25" s="1">
        <f>+Main!M5</f>
        <v>263.037954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</row>
    <row r="26" ht="12.75" customHeight="1">
      <c r="A26" s="1"/>
      <c r="B26" s="1" t="s">
        <v>55</v>
      </c>
      <c r="C26" s="1">
        <v>4607.0</v>
      </c>
      <c r="D26" s="1">
        <v>4129.0</v>
      </c>
      <c r="E26" s="1">
        <v>6025.0</v>
      </c>
      <c r="F26" s="1">
        <v>4361.0</v>
      </c>
      <c r="G26" s="1">
        <v>4687.0</v>
      </c>
      <c r="H26" s="1">
        <v>4378.0</v>
      </c>
      <c r="I26" s="1">
        <v>6257.0</v>
      </c>
      <c r="J26" s="1">
        <v>4468.0</v>
      </c>
      <c r="K26" s="1">
        <v>4663.0</v>
      </c>
      <c r="L26" s="1"/>
      <c r="M26" s="1"/>
      <c r="N26" s="1"/>
      <c r="O26" s="1"/>
      <c r="P26" s="1"/>
      <c r="Q26" s="1"/>
      <c r="R26" s="1"/>
      <c r="S26" s="1"/>
      <c r="T26" s="1"/>
      <c r="U26" s="1">
        <v>5263.0</v>
      </c>
      <c r="V26" s="1">
        <v>5188.0</v>
      </c>
      <c r="W26" s="1">
        <v>3774.0</v>
      </c>
      <c r="X26" s="1">
        <v>4267.0</v>
      </c>
      <c r="Y26" s="1">
        <f t="shared" si="45"/>
        <v>4361</v>
      </c>
      <c r="Z26" s="1">
        <f t="shared" si="46"/>
        <v>4468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s">
        <v>56</v>
      </c>
      <c r="AL26" s="1">
        <f>+AL24/AL25</f>
        <v>8.684126085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</row>
    <row r="27" ht="12.75" customHeight="1">
      <c r="A27" s="1"/>
      <c r="B27" s="1" t="s">
        <v>57</v>
      </c>
      <c r="C27" s="1">
        <v>390.0</v>
      </c>
      <c r="D27" s="1">
        <v>411.0</v>
      </c>
      <c r="E27" s="1">
        <v>390.0</v>
      </c>
      <c r="F27" s="1">
        <v>401.0</v>
      </c>
      <c r="G27" s="1">
        <v>442.0</v>
      </c>
      <c r="H27" s="1">
        <v>403.0</v>
      </c>
      <c r="I27" s="1">
        <v>416.0</v>
      </c>
      <c r="J27" s="1">
        <v>385.0</v>
      </c>
      <c r="K27" s="1">
        <v>445.0</v>
      </c>
      <c r="L27" s="1"/>
      <c r="M27" s="1"/>
      <c r="N27" s="1"/>
      <c r="O27" s="1"/>
      <c r="P27" s="1"/>
      <c r="Q27" s="1"/>
      <c r="R27" s="1"/>
      <c r="S27" s="1"/>
      <c r="T27" s="1"/>
      <c r="U27" s="1">
        <v>620.0</v>
      </c>
      <c r="V27" s="1">
        <v>528.0</v>
      </c>
      <c r="W27" s="1">
        <v>455.0</v>
      </c>
      <c r="X27" s="1">
        <v>424.0</v>
      </c>
      <c r="Y27" s="1">
        <f t="shared" si="45"/>
        <v>401</v>
      </c>
      <c r="Z27" s="1">
        <f t="shared" si="46"/>
        <v>385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s">
        <v>58</v>
      </c>
      <c r="AL27" s="1">
        <f>+Main!M4</f>
        <v>16.06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</row>
    <row r="28" ht="12.75" customHeight="1">
      <c r="A28" s="1"/>
      <c r="B28" s="1" t="s">
        <v>59</v>
      </c>
      <c r="C28" s="1">
        <v>0.0</v>
      </c>
      <c r="D28" s="1">
        <v>70.0</v>
      </c>
      <c r="E28" s="1">
        <v>88.0</v>
      </c>
      <c r="F28" s="1">
        <v>0.0</v>
      </c>
      <c r="G28" s="1">
        <v>0.0</v>
      </c>
      <c r="H28" s="1">
        <v>12.0</v>
      </c>
      <c r="I28" s="1">
        <v>34.0</v>
      </c>
      <c r="J28" s="1">
        <v>17.0</v>
      </c>
      <c r="K28" s="1">
        <v>10.0</v>
      </c>
      <c r="L28" s="1"/>
      <c r="M28" s="1"/>
      <c r="N28" s="1"/>
      <c r="O28" s="1"/>
      <c r="P28" s="1"/>
      <c r="Q28" s="1"/>
      <c r="R28" s="1"/>
      <c r="S28" s="1"/>
      <c r="T28" s="1"/>
      <c r="U28" s="1">
        <v>0.0</v>
      </c>
      <c r="V28" s="1">
        <v>0.0</v>
      </c>
      <c r="W28" s="1">
        <v>0.0</v>
      </c>
      <c r="X28" s="1">
        <v>0.0</v>
      </c>
      <c r="Y28" s="1">
        <f t="shared" si="45"/>
        <v>0</v>
      </c>
      <c r="Z28" s="1">
        <f t="shared" si="46"/>
        <v>17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7">
        <f>+AL26/AL27-1</f>
        <v>-0.4592698577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</row>
    <row r="29" ht="12.75" customHeight="1">
      <c r="A29" s="1"/>
      <c r="B29" s="1" t="s">
        <v>60</v>
      </c>
      <c r="C29" s="1">
        <v>5864.0</v>
      </c>
      <c r="D29" s="1">
        <v>5876.0</v>
      </c>
      <c r="E29" s="1">
        <v>5813.0</v>
      </c>
      <c r="F29" s="1">
        <v>5308.0</v>
      </c>
      <c r="G29" s="1">
        <v>5295.0</v>
      </c>
      <c r="H29" s="1">
        <v>5234.0</v>
      </c>
      <c r="I29" s="1">
        <v>5161.0</v>
      </c>
      <c r="J29" s="1">
        <v>5070.0</v>
      </c>
      <c r="K29" s="1">
        <v>4964.0</v>
      </c>
      <c r="L29" s="1"/>
      <c r="M29" s="1"/>
      <c r="N29" s="1"/>
      <c r="O29" s="1"/>
      <c r="P29" s="1"/>
      <c r="Q29" s="1"/>
      <c r="R29" s="1"/>
      <c r="S29" s="1"/>
      <c r="T29" s="1"/>
      <c r="U29" s="1">
        <v>6637.0</v>
      </c>
      <c r="V29" s="1">
        <v>6633.0</v>
      </c>
      <c r="W29" s="1">
        <v>5940.0</v>
      </c>
      <c r="X29" s="1">
        <v>5913.0</v>
      </c>
      <c r="Y29" s="1">
        <f t="shared" si="45"/>
        <v>5308</v>
      </c>
      <c r="Z29" s="1">
        <f t="shared" si="46"/>
        <v>5070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</row>
    <row r="30" ht="12.75" customHeight="1">
      <c r="A30" s="1"/>
      <c r="B30" s="1" t="s">
        <v>61</v>
      </c>
      <c r="C30" s="1">
        <v>2715.0</v>
      </c>
      <c r="D30" s="1">
        <v>2692.0</v>
      </c>
      <c r="E30" s="1">
        <v>2784.0</v>
      </c>
      <c r="F30" s="1">
        <v>2305.0</v>
      </c>
      <c r="G30" s="1">
        <v>2358.0</v>
      </c>
      <c r="H30" s="1">
        <v>2345.0</v>
      </c>
      <c r="I30" s="1">
        <v>2322.0</v>
      </c>
      <c r="J30" s="1">
        <v>2243.0</v>
      </c>
      <c r="K30" s="1">
        <v>2226.0</v>
      </c>
      <c r="L30" s="1"/>
      <c r="M30" s="1"/>
      <c r="N30" s="1"/>
      <c r="O30" s="1"/>
      <c r="P30" s="1"/>
      <c r="Q30" s="1"/>
      <c r="R30" s="1"/>
      <c r="S30" s="1"/>
      <c r="T30" s="1"/>
      <c r="U30" s="1">
        <v>0.0</v>
      </c>
      <c r="V30" s="1">
        <v>2668.0</v>
      </c>
      <c r="W30" s="1">
        <v>2878.0</v>
      </c>
      <c r="X30" s="1">
        <v>2683.0</v>
      </c>
      <c r="Y30" s="1">
        <f t="shared" si="45"/>
        <v>2305</v>
      </c>
      <c r="Z30" s="1">
        <f t="shared" si="46"/>
        <v>2243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s">
        <v>62</v>
      </c>
      <c r="AL30" s="17">
        <f>+Main!M9 / Z12</f>
        <v>5.351686169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</row>
    <row r="31" ht="12.75" customHeight="1">
      <c r="A31" s="1"/>
      <c r="B31" s="1" t="s">
        <v>63</v>
      </c>
      <c r="C31" s="1">
        <v>828.0</v>
      </c>
      <c r="D31" s="1">
        <v>828.0</v>
      </c>
      <c r="E31" s="1">
        <v>828.0</v>
      </c>
      <c r="F31" s="1">
        <v>828.0</v>
      </c>
      <c r="G31" s="1">
        <v>828.0</v>
      </c>
      <c r="H31" s="1">
        <v>828.0</v>
      </c>
      <c r="I31" s="1">
        <v>828.0</v>
      </c>
      <c r="J31" s="1">
        <v>828.0</v>
      </c>
      <c r="K31" s="1">
        <v>828.0</v>
      </c>
      <c r="L31" s="1"/>
      <c r="M31" s="1"/>
      <c r="N31" s="1"/>
      <c r="O31" s="1"/>
      <c r="P31" s="1"/>
      <c r="Q31" s="1"/>
      <c r="R31" s="1"/>
      <c r="S31" s="1"/>
      <c r="T31" s="1"/>
      <c r="U31" s="1">
        <v>3908.0</v>
      </c>
      <c r="V31" s="1">
        <v>3908.0</v>
      </c>
      <c r="W31" s="1">
        <v>828.0</v>
      </c>
      <c r="X31" s="1">
        <v>828.0</v>
      </c>
      <c r="Y31" s="1">
        <f t="shared" si="45"/>
        <v>828</v>
      </c>
      <c r="Z31" s="1">
        <f t="shared" si="46"/>
        <v>828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7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</row>
    <row r="32" ht="12.75" customHeight="1">
      <c r="A32" s="1"/>
      <c r="B32" s="1" t="s">
        <v>64</v>
      </c>
      <c r="C32" s="1">
        <v>432.0</v>
      </c>
      <c r="D32" s="1">
        <v>431.0</v>
      </c>
      <c r="E32" s="1">
        <v>431.0</v>
      </c>
      <c r="F32" s="1">
        <v>430.0</v>
      </c>
      <c r="G32" s="1">
        <v>429.0</v>
      </c>
      <c r="H32" s="1">
        <v>428.0</v>
      </c>
      <c r="I32" s="1">
        <v>426.0</v>
      </c>
      <c r="J32" s="1">
        <v>425.0</v>
      </c>
      <c r="K32" s="1">
        <v>424.0</v>
      </c>
      <c r="L32" s="1"/>
      <c r="M32" s="1"/>
      <c r="N32" s="1"/>
      <c r="O32" s="1"/>
      <c r="P32" s="1"/>
      <c r="Q32" s="1"/>
      <c r="R32" s="1"/>
      <c r="S32" s="1"/>
      <c r="T32" s="1"/>
      <c r="U32" s="1">
        <v>478.0</v>
      </c>
      <c r="V32" s="1">
        <v>439.0</v>
      </c>
      <c r="W32" s="1">
        <v>437.0</v>
      </c>
      <c r="X32" s="1">
        <v>432.0</v>
      </c>
      <c r="Y32" s="1">
        <f t="shared" si="45"/>
        <v>430</v>
      </c>
      <c r="Z32" s="1">
        <f t="shared" si="46"/>
        <v>425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7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</row>
    <row r="33" ht="12.75" customHeight="1">
      <c r="A33" s="1"/>
      <c r="B33" s="1" t="s">
        <v>65</v>
      </c>
      <c r="C33" s="1">
        <v>1174.0</v>
      </c>
      <c r="D33" s="1">
        <v>1206.0</v>
      </c>
      <c r="E33" s="1">
        <v>1185.0</v>
      </c>
      <c r="F33" s="1">
        <v>1286.0</v>
      </c>
      <c r="G33" s="1">
        <v>1277.0</v>
      </c>
      <c r="H33" s="1">
        <v>1291.0</v>
      </c>
      <c r="I33" s="1">
        <v>1310.0</v>
      </c>
      <c r="J33" s="1">
        <v>1357.0</v>
      </c>
      <c r="K33" s="1">
        <v>1356.0</v>
      </c>
      <c r="L33" s="1"/>
      <c r="M33" s="1"/>
      <c r="N33" s="1"/>
      <c r="O33" s="1"/>
      <c r="P33" s="1"/>
      <c r="Q33" s="1"/>
      <c r="R33" s="1"/>
      <c r="S33" s="1"/>
      <c r="T33" s="1"/>
      <c r="U33" s="1">
        <v>726.0</v>
      </c>
      <c r="V33" s="1">
        <v>714.0</v>
      </c>
      <c r="W33" s="1">
        <v>1439.0</v>
      </c>
      <c r="X33" s="1">
        <v>1157.0</v>
      </c>
      <c r="Y33" s="1">
        <f t="shared" si="45"/>
        <v>1286</v>
      </c>
      <c r="Z33" s="1">
        <f t="shared" si="46"/>
        <v>1357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7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</row>
    <row r="34" ht="12.75" customHeight="1">
      <c r="A34" s="13"/>
      <c r="B34" s="13" t="s">
        <v>66</v>
      </c>
      <c r="C34" s="13">
        <f t="shared" ref="C34:K34" si="47">+SUM(C24:C33)</f>
        <v>16868</v>
      </c>
      <c r="D34" s="13">
        <f t="shared" si="47"/>
        <v>16304</v>
      </c>
      <c r="E34" s="13">
        <f t="shared" si="47"/>
        <v>18126</v>
      </c>
      <c r="F34" s="13">
        <f t="shared" si="47"/>
        <v>16246</v>
      </c>
      <c r="G34" s="13">
        <f t="shared" si="47"/>
        <v>16449</v>
      </c>
      <c r="H34" s="13">
        <f t="shared" si="47"/>
        <v>15833</v>
      </c>
      <c r="I34" s="13">
        <f t="shared" si="47"/>
        <v>17293</v>
      </c>
      <c r="J34" s="13">
        <f t="shared" si="47"/>
        <v>16402</v>
      </c>
      <c r="K34" s="13">
        <f t="shared" si="47"/>
        <v>16089</v>
      </c>
      <c r="L34" s="13"/>
      <c r="M34" s="13"/>
      <c r="N34" s="13"/>
      <c r="O34" s="13"/>
      <c r="P34" s="13"/>
      <c r="Q34" s="13"/>
      <c r="R34" s="13"/>
      <c r="S34" s="13"/>
      <c r="T34" s="13"/>
      <c r="U34" s="1">
        <f t="shared" ref="U34:X34" si="48">SUM(U24:U33)</f>
        <v>19194</v>
      </c>
      <c r="V34" s="1">
        <f t="shared" si="48"/>
        <v>21172</v>
      </c>
      <c r="W34" s="1">
        <f t="shared" si="48"/>
        <v>17706</v>
      </c>
      <c r="X34" s="1">
        <f t="shared" si="48"/>
        <v>16866</v>
      </c>
      <c r="Y34" s="1">
        <f t="shared" si="45"/>
        <v>16246</v>
      </c>
      <c r="Z34" s="1">
        <f t="shared" si="46"/>
        <v>16402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"/>
      <c r="AL34" s="17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</row>
    <row r="36" ht="12.75" customHeight="1">
      <c r="A36" s="1"/>
      <c r="B36" s="1" t="s">
        <v>67</v>
      </c>
      <c r="C36" s="1">
        <v>0.0</v>
      </c>
      <c r="D36" s="1">
        <v>0.0</v>
      </c>
      <c r="E36" s="1">
        <v>160.0</v>
      </c>
      <c r="F36" s="1">
        <v>0.0</v>
      </c>
      <c r="G36" s="1">
        <v>0.0</v>
      </c>
      <c r="H36" s="1">
        <v>6.0</v>
      </c>
      <c r="I36" s="1">
        <v>92.0</v>
      </c>
      <c r="J36" s="1">
        <v>6.0</v>
      </c>
      <c r="K36" s="1">
        <v>6.0</v>
      </c>
      <c r="L36" s="1"/>
      <c r="M36" s="1"/>
      <c r="N36" s="1"/>
      <c r="O36" s="1"/>
      <c r="P36" s="1"/>
      <c r="Q36" s="1"/>
      <c r="R36" s="1"/>
      <c r="S36" s="1"/>
      <c r="T36" s="1"/>
      <c r="U36" s="1">
        <v>43.0</v>
      </c>
      <c r="V36" s="1">
        <v>539.0</v>
      </c>
      <c r="W36" s="1">
        <v>452.0</v>
      </c>
      <c r="X36" s="1">
        <v>0.0</v>
      </c>
      <c r="Y36" s="1">
        <f t="shared" ref="Y36:Y45" si="49">+F36</f>
        <v>0</v>
      </c>
      <c r="Z36" s="1">
        <f t="shared" ref="Z36:Z45" si="50">+J36</f>
        <v>6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</row>
    <row r="37" ht="12.75" customHeight="1">
      <c r="A37" s="1"/>
      <c r="B37" s="1" t="s">
        <v>68</v>
      </c>
      <c r="C37" s="1">
        <v>2415.0</v>
      </c>
      <c r="D37" s="1">
        <v>1978.0</v>
      </c>
      <c r="E37" s="1">
        <v>3466.0</v>
      </c>
      <c r="F37" s="1">
        <v>1913.0</v>
      </c>
      <c r="G37" s="1">
        <v>2347.0</v>
      </c>
      <c r="H37" s="1">
        <v>1871.0</v>
      </c>
      <c r="I37" s="1">
        <v>3344.0</v>
      </c>
      <c r="J37" s="1">
        <v>1893.0</v>
      </c>
      <c r="K37" s="1">
        <v>2133.0</v>
      </c>
      <c r="L37" s="1"/>
      <c r="M37" s="1"/>
      <c r="N37" s="1"/>
      <c r="O37" s="1"/>
      <c r="P37" s="1"/>
      <c r="Q37" s="1"/>
      <c r="R37" s="1"/>
      <c r="S37" s="1"/>
      <c r="T37" s="1"/>
      <c r="U37" s="1">
        <v>1655.0</v>
      </c>
      <c r="V37" s="1">
        <v>1682.0</v>
      </c>
      <c r="W37" s="1">
        <v>1978.0</v>
      </c>
      <c r="X37" s="1">
        <v>2053.0</v>
      </c>
      <c r="Y37" s="1">
        <f t="shared" si="49"/>
        <v>1913</v>
      </c>
      <c r="Z37" s="1">
        <f t="shared" si="50"/>
        <v>1893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</row>
    <row r="38" ht="12.75" customHeight="1">
      <c r="A38" s="1"/>
      <c r="B38" s="1" t="s">
        <v>69</v>
      </c>
      <c r="C38" s="1">
        <v>2233.0</v>
      </c>
      <c r="D38" s="1">
        <v>2206.0</v>
      </c>
      <c r="E38" s="1">
        <v>2448.0</v>
      </c>
      <c r="F38" s="1">
        <v>2571.0</v>
      </c>
      <c r="G38" s="1">
        <v>2226.0</v>
      </c>
      <c r="H38" s="1">
        <v>1990.0</v>
      </c>
      <c r="I38" s="1">
        <v>2337.0</v>
      </c>
      <c r="J38" s="1">
        <v>2625.0</v>
      </c>
      <c r="K38" s="1">
        <v>2221.0</v>
      </c>
      <c r="L38" s="1"/>
      <c r="M38" s="1"/>
      <c r="N38" s="1"/>
      <c r="O38" s="1"/>
      <c r="P38" s="1"/>
      <c r="Q38" s="1"/>
      <c r="R38" s="1"/>
      <c r="S38" s="1"/>
      <c r="T38" s="1"/>
      <c r="U38" s="1">
        <v>3366.0</v>
      </c>
      <c r="V38" s="1">
        <v>3448.0</v>
      </c>
      <c r="W38" s="1">
        <v>2927.0</v>
      </c>
      <c r="X38" s="1">
        <v>2750.0</v>
      </c>
      <c r="Y38" s="1">
        <f t="shared" si="49"/>
        <v>2571</v>
      </c>
      <c r="Z38" s="1">
        <f t="shared" si="50"/>
        <v>2625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</row>
    <row r="39" ht="12.75" customHeight="1">
      <c r="A39" s="1"/>
      <c r="B39" s="1" t="s">
        <v>59</v>
      </c>
      <c r="C39" s="1">
        <v>134.0</v>
      </c>
      <c r="D39" s="1">
        <v>0.0</v>
      </c>
      <c r="E39" s="1">
        <v>0.0</v>
      </c>
      <c r="F39" s="1">
        <v>48.0</v>
      </c>
      <c r="G39" s="1">
        <v>80.0</v>
      </c>
      <c r="H39" s="1">
        <v>0.0</v>
      </c>
      <c r="I39" s="1">
        <v>0.0</v>
      </c>
      <c r="J39" s="1">
        <v>0.0</v>
      </c>
      <c r="K39" s="1">
        <v>27.0</v>
      </c>
      <c r="L39" s="1"/>
      <c r="M39" s="1"/>
      <c r="N39" s="1"/>
      <c r="O39" s="1"/>
      <c r="P39" s="1"/>
      <c r="Q39" s="1"/>
      <c r="R39" s="1"/>
      <c r="S39" s="1"/>
      <c r="T39" s="1"/>
      <c r="U39" s="1">
        <v>168.0</v>
      </c>
      <c r="V39" s="1">
        <v>81.0</v>
      </c>
      <c r="W39" s="1">
        <v>0.0</v>
      </c>
      <c r="X39" s="1">
        <v>58.0</v>
      </c>
      <c r="Y39" s="1">
        <f t="shared" si="49"/>
        <v>48</v>
      </c>
      <c r="Z39" s="1">
        <f t="shared" si="50"/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</row>
    <row r="40" ht="12.75" customHeight="1">
      <c r="A40" s="1"/>
      <c r="B40" s="1" t="s">
        <v>70</v>
      </c>
      <c r="C40" s="1">
        <v>2996.0</v>
      </c>
      <c r="D40" s="1">
        <v>2997.0</v>
      </c>
      <c r="E40" s="1">
        <v>2997.0</v>
      </c>
      <c r="F40" s="1">
        <v>2998.0</v>
      </c>
      <c r="G40" s="1">
        <v>2998.0</v>
      </c>
      <c r="H40" s="1">
        <v>2993.0</v>
      </c>
      <c r="I40" s="1">
        <v>2773.0</v>
      </c>
      <c r="J40" s="1">
        <v>2773.0</v>
      </c>
      <c r="K40" s="1">
        <v>2774.0</v>
      </c>
      <c r="L40" s="1"/>
      <c r="M40" s="1"/>
      <c r="N40" s="1"/>
      <c r="O40" s="1"/>
      <c r="P40" s="1"/>
      <c r="Q40" s="1"/>
      <c r="R40" s="1"/>
      <c r="S40" s="1"/>
      <c r="T40" s="1"/>
      <c r="U40" s="1">
        <v>4708.0</v>
      </c>
      <c r="V40" s="1">
        <v>3621.0</v>
      </c>
      <c r="W40" s="1">
        <v>4407.0</v>
      </c>
      <c r="X40" s="1">
        <v>2996.0</v>
      </c>
      <c r="Y40" s="1">
        <f t="shared" si="49"/>
        <v>2998</v>
      </c>
      <c r="Z40" s="1">
        <f t="shared" si="50"/>
        <v>2773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</row>
    <row r="41" ht="12.75" customHeight="1">
      <c r="A41" s="1"/>
      <c r="B41" s="1" t="s">
        <v>71</v>
      </c>
      <c r="C41" s="1">
        <v>2996.0</v>
      </c>
      <c r="D41" s="1">
        <v>2975.0</v>
      </c>
      <c r="E41" s="1">
        <v>3034.0</v>
      </c>
      <c r="F41" s="1">
        <v>2986.0</v>
      </c>
      <c r="G41" s="1">
        <v>3034.0</v>
      </c>
      <c r="H41" s="1">
        <v>3013.0</v>
      </c>
      <c r="I41" s="1">
        <v>2961.0</v>
      </c>
      <c r="J41" s="1">
        <v>2927.0</v>
      </c>
      <c r="K41" s="1">
        <v>2884.0</v>
      </c>
      <c r="L41" s="1"/>
      <c r="M41" s="1"/>
      <c r="N41" s="1"/>
      <c r="O41" s="1"/>
      <c r="P41" s="1"/>
      <c r="Q41" s="1"/>
      <c r="R41" s="1"/>
      <c r="S41" s="1"/>
      <c r="T41" s="1"/>
      <c r="U41" s="1">
        <v>0.0</v>
      </c>
      <c r="V41" s="1">
        <v>2918.0</v>
      </c>
      <c r="W41" s="1">
        <v>3185.0</v>
      </c>
      <c r="X41" s="1">
        <v>2963.0</v>
      </c>
      <c r="Y41" s="1">
        <f t="shared" si="49"/>
        <v>2986</v>
      </c>
      <c r="Z41" s="1">
        <f t="shared" si="50"/>
        <v>2927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</row>
    <row r="42" ht="12.75" customHeight="1">
      <c r="A42" s="1"/>
      <c r="B42" s="1" t="s">
        <v>72</v>
      </c>
      <c r="C42" s="1">
        <v>916.0</v>
      </c>
      <c r="D42" s="1">
        <v>933.0</v>
      </c>
      <c r="E42" s="1">
        <v>925.0</v>
      </c>
      <c r="F42" s="1">
        <v>745.0</v>
      </c>
      <c r="G42" s="1">
        <v>748.0</v>
      </c>
      <c r="H42" s="1">
        <v>725.0</v>
      </c>
      <c r="I42" s="1">
        <v>712.0</v>
      </c>
      <c r="J42" s="1">
        <v>724.0</v>
      </c>
      <c r="K42" s="1">
        <v>721.0</v>
      </c>
      <c r="L42" s="1"/>
      <c r="M42" s="1"/>
      <c r="N42" s="1"/>
      <c r="O42" s="1"/>
      <c r="P42" s="1"/>
      <c r="Q42" s="1"/>
      <c r="R42" s="1"/>
      <c r="S42" s="1"/>
      <c r="T42" s="1"/>
      <c r="U42" s="1">
        <v>1238.0</v>
      </c>
      <c r="V42" s="1">
        <v>1169.0</v>
      </c>
      <c r="W42" s="1">
        <v>908.0</v>
      </c>
      <c r="X42" s="1">
        <v>947.0</v>
      </c>
      <c r="Y42" s="1">
        <f t="shared" si="49"/>
        <v>745</v>
      </c>
      <c r="Z42" s="1">
        <f t="shared" si="50"/>
        <v>724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</row>
    <row r="43" ht="12.75" customHeight="1">
      <c r="A43" s="1"/>
      <c r="B43" s="1" t="s">
        <v>73</v>
      </c>
      <c r="C43" s="1">
        <v>1008.0</v>
      </c>
      <c r="D43" s="1">
        <v>1005.0</v>
      </c>
      <c r="E43" s="1">
        <v>997.0</v>
      </c>
      <c r="F43" s="1">
        <v>950.0</v>
      </c>
      <c r="G43" s="1">
        <v>932.0</v>
      </c>
      <c r="H43" s="1">
        <v>932.0</v>
      </c>
      <c r="I43" s="1">
        <v>927.0</v>
      </c>
      <c r="J43" s="1">
        <v>902.0</v>
      </c>
      <c r="K43" s="1">
        <v>872.0</v>
      </c>
      <c r="L43" s="1"/>
      <c r="M43" s="1"/>
      <c r="N43" s="1"/>
      <c r="O43" s="1"/>
      <c r="P43" s="1"/>
      <c r="Q43" s="1"/>
      <c r="R43" s="1"/>
      <c r="S43" s="1"/>
      <c r="T43" s="1"/>
      <c r="U43" s="1">
        <v>1580.0</v>
      </c>
      <c r="V43" s="1">
        <v>1337.0</v>
      </c>
      <c r="W43" s="1">
        <v>1296.0</v>
      </c>
      <c r="X43" s="1">
        <v>1017.0</v>
      </c>
      <c r="Y43" s="1">
        <f t="shared" si="49"/>
        <v>950</v>
      </c>
      <c r="Z43" s="1">
        <f t="shared" si="50"/>
        <v>902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</row>
    <row r="44" ht="12.75" customHeight="1">
      <c r="A44" s="1"/>
      <c r="B44" s="1" t="s">
        <v>74</v>
      </c>
      <c r="C44" s="1">
        <v>4170.0</v>
      </c>
      <c r="D44" s="1">
        <v>4210.0</v>
      </c>
      <c r="E44" s="1">
        <v>4099.0</v>
      </c>
      <c r="F44" s="1">
        <v>4035.0</v>
      </c>
      <c r="G44" s="1">
        <v>4084.0</v>
      </c>
      <c r="H44" s="1">
        <v>4303.0</v>
      </c>
      <c r="I44" s="1">
        <v>4147.0</v>
      </c>
      <c r="J44" s="1">
        <v>4552.0</v>
      </c>
      <c r="K44" s="1">
        <v>4451.0</v>
      </c>
      <c r="L44" s="1"/>
      <c r="M44" s="1"/>
      <c r="N44" s="1"/>
      <c r="O44" s="1"/>
      <c r="P44" s="1"/>
      <c r="Q44" s="1"/>
      <c r="R44" s="1"/>
      <c r="S44" s="1"/>
      <c r="T44" s="1"/>
      <c r="U44" s="1">
        <v>6436.0</v>
      </c>
      <c r="V44" s="1">
        <v>6377.0</v>
      </c>
      <c r="W44" s="1">
        <v>2553.0</v>
      </c>
      <c r="X44" s="1">
        <v>4082.0</v>
      </c>
      <c r="Y44" s="1">
        <f t="shared" si="49"/>
        <v>4035</v>
      </c>
      <c r="Z44" s="1">
        <f t="shared" si="50"/>
        <v>4552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</row>
    <row r="45" ht="12.75" customHeight="1">
      <c r="A45" s="13"/>
      <c r="B45" s="13" t="s">
        <v>75</v>
      </c>
      <c r="C45" s="13">
        <f t="shared" ref="C45:K45" si="51">+SUM(C36:C44)</f>
        <v>16868</v>
      </c>
      <c r="D45" s="13">
        <f t="shared" si="51"/>
        <v>16304</v>
      </c>
      <c r="E45" s="13">
        <f t="shared" si="51"/>
        <v>18126</v>
      </c>
      <c r="F45" s="13">
        <f t="shared" si="51"/>
        <v>16246</v>
      </c>
      <c r="G45" s="13">
        <f t="shared" si="51"/>
        <v>16449</v>
      </c>
      <c r="H45" s="13">
        <f t="shared" si="51"/>
        <v>15833</v>
      </c>
      <c r="I45" s="13">
        <f t="shared" si="51"/>
        <v>17293</v>
      </c>
      <c r="J45" s="13">
        <f t="shared" si="51"/>
        <v>16402</v>
      </c>
      <c r="K45" s="13">
        <f t="shared" si="51"/>
        <v>16089</v>
      </c>
      <c r="L45" s="13"/>
      <c r="M45" s="13"/>
      <c r="N45" s="13"/>
      <c r="O45" s="13"/>
      <c r="P45" s="13"/>
      <c r="Q45" s="13"/>
      <c r="R45" s="13"/>
      <c r="S45" s="13"/>
      <c r="T45" s="13"/>
      <c r="U45" s="1">
        <f t="shared" ref="U45:X45" si="52">SUM(U36:U44)</f>
        <v>19194</v>
      </c>
      <c r="V45" s="1">
        <f t="shared" si="52"/>
        <v>21172</v>
      </c>
      <c r="W45" s="1">
        <f t="shared" si="52"/>
        <v>17706</v>
      </c>
      <c r="X45" s="1">
        <f t="shared" si="52"/>
        <v>16866</v>
      </c>
      <c r="Y45" s="1">
        <f t="shared" si="49"/>
        <v>16246</v>
      </c>
      <c r="Z45" s="1">
        <f t="shared" si="50"/>
        <v>16402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</row>
    <row r="47" ht="12.75" customHeight="1">
      <c r="A47" s="1"/>
      <c r="B47" s="1" t="s">
        <v>76</v>
      </c>
      <c r="C47" s="1">
        <f t="shared" ref="C47:K47" si="53">SUM(C36,C40)</f>
        <v>2996</v>
      </c>
      <c r="D47" s="1">
        <f t="shared" si="53"/>
        <v>2997</v>
      </c>
      <c r="E47" s="1">
        <f t="shared" si="53"/>
        <v>3157</v>
      </c>
      <c r="F47" s="1">
        <f t="shared" si="53"/>
        <v>2998</v>
      </c>
      <c r="G47" s="1">
        <f t="shared" si="53"/>
        <v>2998</v>
      </c>
      <c r="H47" s="1">
        <f t="shared" si="53"/>
        <v>2999</v>
      </c>
      <c r="I47" s="1">
        <f t="shared" si="53"/>
        <v>2865</v>
      </c>
      <c r="J47" s="1">
        <f t="shared" si="53"/>
        <v>2779</v>
      </c>
      <c r="K47" s="1">
        <f t="shared" si="53"/>
        <v>2780</v>
      </c>
      <c r="L47" s="1"/>
      <c r="M47" s="1"/>
      <c r="N47" s="1"/>
      <c r="O47" s="1"/>
      <c r="P47" s="1"/>
      <c r="Q47" s="1"/>
      <c r="R47" s="1"/>
      <c r="S47" s="1"/>
      <c r="T47" s="1"/>
      <c r="U47" s="1">
        <f t="shared" ref="U47:Z47" si="54">SUM(U36,U40)</f>
        <v>4751</v>
      </c>
      <c r="V47" s="1">
        <f t="shared" si="54"/>
        <v>4160</v>
      </c>
      <c r="W47" s="1">
        <f t="shared" si="54"/>
        <v>4859</v>
      </c>
      <c r="X47" s="1">
        <f t="shared" si="54"/>
        <v>2996</v>
      </c>
      <c r="Y47" s="1">
        <f t="shared" si="54"/>
        <v>2998</v>
      </c>
      <c r="Z47" s="1">
        <f t="shared" si="54"/>
        <v>2779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</row>
    <row r="48" ht="12.75" customHeight="1">
      <c r="A48" s="1"/>
      <c r="B48" s="1" t="s">
        <v>77</v>
      </c>
      <c r="C48" s="1">
        <f t="shared" ref="C48:K48" si="55">+C47+C44</f>
        <v>7166</v>
      </c>
      <c r="D48" s="1">
        <f t="shared" si="55"/>
        <v>7207</v>
      </c>
      <c r="E48" s="1">
        <f t="shared" si="55"/>
        <v>7256</v>
      </c>
      <c r="F48" s="1">
        <f t="shared" si="55"/>
        <v>7033</v>
      </c>
      <c r="G48" s="1">
        <f t="shared" si="55"/>
        <v>7082</v>
      </c>
      <c r="H48" s="1">
        <f t="shared" si="55"/>
        <v>7302</v>
      </c>
      <c r="I48" s="1">
        <f t="shared" si="55"/>
        <v>7012</v>
      </c>
      <c r="J48" s="1">
        <f t="shared" si="55"/>
        <v>7331</v>
      </c>
      <c r="K48" s="1">
        <f t="shared" si="55"/>
        <v>7231</v>
      </c>
      <c r="L48" s="1"/>
      <c r="M48" s="1"/>
      <c r="N48" s="1"/>
      <c r="O48" s="1"/>
      <c r="P48" s="1"/>
      <c r="Q48" s="1"/>
      <c r="R48" s="1"/>
      <c r="S48" s="1"/>
      <c r="T48" s="1"/>
      <c r="U48" s="1">
        <f t="shared" ref="U48:Z48" si="56">+U47+U44</f>
        <v>11187</v>
      </c>
      <c r="V48" s="1">
        <f t="shared" si="56"/>
        <v>10537</v>
      </c>
      <c r="W48" s="1">
        <f t="shared" si="56"/>
        <v>7412</v>
      </c>
      <c r="X48" s="1">
        <f t="shared" si="56"/>
        <v>7078</v>
      </c>
      <c r="Y48" s="1">
        <f t="shared" si="56"/>
        <v>7033</v>
      </c>
      <c r="Z48" s="1">
        <f t="shared" si="56"/>
        <v>7331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</row>
    <row r="49" ht="12.75" customHeight="1">
      <c r="A49" s="1"/>
      <c r="B49" s="1" t="s">
        <v>78</v>
      </c>
      <c r="C49" s="7">
        <f t="shared" ref="C49:K49" si="57">+C47/C48</f>
        <v>0.4180854033</v>
      </c>
      <c r="D49" s="7">
        <f t="shared" si="57"/>
        <v>0.4158457056</v>
      </c>
      <c r="E49" s="7">
        <f t="shared" si="57"/>
        <v>0.4350882029</v>
      </c>
      <c r="F49" s="7">
        <f t="shared" si="57"/>
        <v>0.4262761268</v>
      </c>
      <c r="G49" s="7">
        <f t="shared" si="57"/>
        <v>0.4233267439</v>
      </c>
      <c r="H49" s="7">
        <f t="shared" si="57"/>
        <v>0.4107093947</v>
      </c>
      <c r="I49" s="7">
        <f t="shared" si="57"/>
        <v>0.4085852824</v>
      </c>
      <c r="J49" s="7">
        <f t="shared" si="57"/>
        <v>0.3790751603</v>
      </c>
      <c r="K49" s="7">
        <f t="shared" si="57"/>
        <v>0.3844558152</v>
      </c>
      <c r="L49" s="1"/>
      <c r="M49" s="1"/>
      <c r="N49" s="1"/>
      <c r="O49" s="1"/>
      <c r="P49" s="1"/>
      <c r="Q49" s="1"/>
      <c r="R49" s="1"/>
      <c r="S49" s="1"/>
      <c r="T49" s="1"/>
      <c r="U49" s="7">
        <f t="shared" ref="U49:Z49" si="58">+U47/U48</f>
        <v>0.4246893716</v>
      </c>
      <c r="V49" s="7">
        <f t="shared" si="58"/>
        <v>0.3947992787</v>
      </c>
      <c r="W49" s="7">
        <f t="shared" si="58"/>
        <v>0.6555585537</v>
      </c>
      <c r="X49" s="7">
        <f t="shared" si="58"/>
        <v>0.4232834134</v>
      </c>
      <c r="Y49" s="7">
        <f t="shared" si="58"/>
        <v>0.4262761268</v>
      </c>
      <c r="Z49" s="7">
        <f t="shared" si="58"/>
        <v>0.3790751603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</row>
    <row r="50" ht="12.75" customHeight="1">
      <c r="A50" s="1"/>
      <c r="B50" s="1" t="s">
        <v>79</v>
      </c>
      <c r="C50" s="7">
        <f t="shared" ref="C50:K50" si="59">+C24/C47</f>
        <v>0.2012683578</v>
      </c>
      <c r="D50" s="7">
        <f t="shared" si="59"/>
        <v>0.1461461461</v>
      </c>
      <c r="E50" s="7">
        <f t="shared" si="59"/>
        <v>0.1152993348</v>
      </c>
      <c r="F50" s="7">
        <f t="shared" si="59"/>
        <v>0.3448965977</v>
      </c>
      <c r="G50" s="7">
        <f t="shared" si="59"/>
        <v>0.2921947965</v>
      </c>
      <c r="H50" s="7">
        <f t="shared" si="59"/>
        <v>0.215405135</v>
      </c>
      <c r="I50" s="7">
        <f t="shared" si="59"/>
        <v>0.109947644</v>
      </c>
      <c r="J50" s="7">
        <f t="shared" si="59"/>
        <v>0.4699532206</v>
      </c>
      <c r="K50" s="7">
        <f t="shared" si="59"/>
        <v>0.3352517986</v>
      </c>
      <c r="L50" s="1"/>
      <c r="M50" s="1"/>
      <c r="N50" s="1"/>
      <c r="O50" s="1"/>
      <c r="P50" s="1"/>
      <c r="Q50" s="1"/>
      <c r="R50" s="1"/>
      <c r="S50" s="1"/>
      <c r="T50" s="1"/>
      <c r="U50" s="7">
        <f t="shared" ref="U50:Z50" si="60">+U24/U47</f>
        <v>0.2445800884</v>
      </c>
      <c r="V50" s="7">
        <f t="shared" si="60"/>
        <v>0.1646634615</v>
      </c>
      <c r="W50" s="7">
        <f t="shared" si="60"/>
        <v>0.3455443507</v>
      </c>
      <c r="X50" s="7">
        <f t="shared" si="60"/>
        <v>0.2877169559</v>
      </c>
      <c r="Y50" s="7">
        <f t="shared" si="60"/>
        <v>0.3448965977</v>
      </c>
      <c r="Z50" s="7">
        <f t="shared" si="60"/>
        <v>0.4699532206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11.13"/>
    <col customWidth="1" min="3" max="5" width="10.88"/>
    <col customWidth="1" min="6" max="6" width="3.63"/>
    <col customWidth="1" min="7" max="7" width="5.63"/>
    <col customWidth="1" min="8" max="8" width="5.5"/>
    <col customWidth="1" min="9" max="11" width="10.88"/>
    <col customWidth="1" min="12" max="12" width="3.63"/>
    <col customWidth="1" min="13" max="13" width="5.63"/>
    <col customWidth="1" min="14" max="14" width="5.5"/>
    <col customWidth="1" min="15" max="15" width="1.38"/>
    <col customWidth="1" min="16" max="16" width="10.88"/>
    <col customWidth="1" min="17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 t="s">
        <v>0</v>
      </c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3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 t="s">
        <v>4</v>
      </c>
      <c r="C4" s="2">
        <v>1858.0</v>
      </c>
      <c r="D4" s="1"/>
      <c r="E4" s="1"/>
      <c r="F4" s="1"/>
      <c r="G4" s="1"/>
      <c r="H4" s="1"/>
      <c r="I4" s="1"/>
      <c r="J4" s="1"/>
      <c r="K4" s="1"/>
      <c r="L4" s="1" t="s">
        <v>5</v>
      </c>
      <c r="M4" s="3">
        <v>16.06</v>
      </c>
      <c r="N4" s="3"/>
      <c r="O4" s="3"/>
      <c r="P4" s="3">
        <f>+P6/P5</f>
        <v>17.21572675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 t="s">
        <v>6</v>
      </c>
      <c r="C5" s="1" t="s">
        <v>7</v>
      </c>
      <c r="D5" s="1"/>
      <c r="E5" s="1"/>
      <c r="F5" s="1"/>
      <c r="G5" s="1"/>
      <c r="H5" s="1"/>
      <c r="I5" s="1"/>
      <c r="J5" s="1"/>
      <c r="K5" s="1"/>
      <c r="L5" s="1" t="s">
        <v>8</v>
      </c>
      <c r="M5" s="4">
        <v>263.037954</v>
      </c>
      <c r="N5" s="4" t="s">
        <v>9</v>
      </c>
      <c r="O5" s="1"/>
      <c r="P5" s="1">
        <f>+M5</f>
        <v>263.037954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 t="s">
        <v>10</v>
      </c>
      <c r="D6" s="1"/>
      <c r="E6" s="1"/>
      <c r="F6" s="1"/>
      <c r="G6" s="1"/>
      <c r="H6" s="1"/>
      <c r="I6" s="1"/>
      <c r="J6" s="1"/>
      <c r="K6" s="1"/>
      <c r="L6" s="5" t="s">
        <v>11</v>
      </c>
      <c r="M6" s="5">
        <f>+M5*M4</f>
        <v>4224.389541</v>
      </c>
      <c r="N6" s="1"/>
      <c r="O6" s="1"/>
      <c r="P6" s="1">
        <f>+P9-P8+P7</f>
        <v>4528.389541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 t="s">
        <v>12</v>
      </c>
      <c r="M7" s="1">
        <f>1294</f>
        <v>1294</v>
      </c>
      <c r="N7" s="1" t="str">
        <f>+N5</f>
        <v>Q126</v>
      </c>
      <c r="O7" s="1"/>
      <c r="P7" s="1">
        <f>+M7</f>
        <v>1294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 t="s">
        <v>13</v>
      </c>
      <c r="M8" s="1">
        <f>2432</f>
        <v>2432</v>
      </c>
      <c r="N8" s="1" t="str">
        <f>+N7</f>
        <v>Q126</v>
      </c>
      <c r="O8" s="1"/>
      <c r="P8" s="1">
        <f>+M8*0.875</f>
        <v>2128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5" t="s">
        <v>14</v>
      </c>
      <c r="M9" s="5">
        <f>+M6-M7+M8</f>
        <v>5362.389541</v>
      </c>
      <c r="N9" s="1"/>
      <c r="O9" s="1"/>
      <c r="P9" s="1">
        <f>+M9</f>
        <v>5362.389541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 t="s">
        <v>15</v>
      </c>
      <c r="C11" s="1"/>
      <c r="D11" s="6" t="s">
        <v>16</v>
      </c>
      <c r="E11" s="6" t="s">
        <v>17</v>
      </c>
      <c r="F11" s="1"/>
      <c r="G11" s="1"/>
      <c r="H11" s="1"/>
      <c r="I11" s="1"/>
      <c r="J11" s="1"/>
      <c r="K11" s="1"/>
      <c r="L11" s="1"/>
      <c r="M11" s="7">
        <f>+M8/M6</f>
        <v>0.5757044838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8" t="s">
        <v>18</v>
      </c>
      <c r="C12" s="1"/>
      <c r="D12" s="9">
        <v>45526.0</v>
      </c>
      <c r="E12" s="1" t="s">
        <v>19</v>
      </c>
      <c r="F12" s="1"/>
      <c r="G12" s="1"/>
      <c r="H12" s="1"/>
      <c r="I12" s="1"/>
      <c r="J12" s="1"/>
      <c r="K12" s="1"/>
      <c r="L12" s="1"/>
      <c r="M12" s="7">
        <f>+M7/M6</f>
        <v>0.3063164482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8" t="s">
        <v>20</v>
      </c>
      <c r="C13" s="1"/>
      <c r="D13" s="9">
        <v>45881.0</v>
      </c>
      <c r="E13" s="1" t="s">
        <v>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9">
        <v>45866.0</v>
      </c>
      <c r="E14" s="1" t="s">
        <v>32</v>
      </c>
      <c r="F14" s="1"/>
      <c r="G14" s="1"/>
      <c r="H14" s="1"/>
      <c r="I14" s="1"/>
      <c r="J14" s="1"/>
      <c r="K14" s="1"/>
      <c r="L14" s="1" t="s">
        <v>33</v>
      </c>
      <c r="M14" s="1">
        <f>+M8-M7</f>
        <v>1138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9">
        <v>45852.0</v>
      </c>
      <c r="E15" s="1" t="s">
        <v>34</v>
      </c>
      <c r="F15" s="1"/>
      <c r="G15" s="1"/>
      <c r="H15" s="1"/>
      <c r="I15" s="1"/>
      <c r="J15" s="1"/>
      <c r="K15" s="1"/>
      <c r="L15" s="1"/>
      <c r="M15" s="1">
        <f>+M14/M5</f>
        <v>4.326371851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9">
        <v>45852.0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B12"/>
    <hyperlink r:id="rId2" ref="D12"/>
    <hyperlink r:id="rId3" ref="B13"/>
    <hyperlink r:id="rId4" ref="D13"/>
    <hyperlink r:id="rId5" ref="D14"/>
    <hyperlink r:id="rId6" ref="D15"/>
    <hyperlink r:id="rId7" ref="D16"/>
  </hyperlinks>
  <printOptions/>
  <pageMargins bottom="0.75" footer="0.0" header="0.0" left="0.7" right="0.7" top="0.75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2025-01-26T18:36:43Z</dcterms:created>
  <dc:creator>jameel</dc:creator>
</cp:coreProperties>
</file>