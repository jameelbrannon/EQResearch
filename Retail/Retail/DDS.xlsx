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Model" sheetId="2" r:id="rId5"/>
    <sheet state="visible" name="Debt" sheetId="3" r:id="rId6"/>
  </sheets>
  <definedNames/>
  <calcPr/>
  <extLst>
    <ext uri="GoogleSheetsCustomDataVersion2">
      <go:sheetsCustomData xmlns:go="http://customooxmlschemas.google.com/" r:id="rId7" roundtripDataChecksum="AIMLj0h/WlkaXOG2/xFkYPClIQt3+N40vWmpKhkPds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ID#AAACEKHuK3Q
jameel    (2026-07-28 06:48:30)
sales down due to lower transaction volume</t>
      </text>
    </comment>
  </commentList>
  <extLst>
    <ext uri="GoogleSheetsCustomDataVersion2">
      <go:sheetsCustomData xmlns:go="http://customooxmlschemas.google.com/" r:id="rId1" roundtripDataSignature="AMtx7mitg9tz6d+pPR/EwiYDtHJu5aDXTQ=="/>
    </ext>
  </extLst>
</comments>
</file>

<file path=xl/sharedStrings.xml><?xml version="1.0" encoding="utf-8"?>
<sst xmlns="http://schemas.openxmlformats.org/spreadsheetml/2006/main" count="94" uniqueCount="85">
  <si>
    <t xml:space="preserve">CEO </t>
  </si>
  <si>
    <t>William T Dillard II</t>
  </si>
  <si>
    <t>P</t>
  </si>
  <si>
    <t xml:space="preserve">CFO </t>
  </si>
  <si>
    <t>Class A</t>
  </si>
  <si>
    <t>Q126</t>
  </si>
  <si>
    <t>Class B</t>
  </si>
  <si>
    <t>MC</t>
  </si>
  <si>
    <t>C</t>
  </si>
  <si>
    <t>D</t>
  </si>
  <si>
    <t>EV</t>
  </si>
  <si>
    <t>Press Releases</t>
  </si>
  <si>
    <t>Q324</t>
  </si>
  <si>
    <t>Q123</t>
  </si>
  <si>
    <t>Q223</t>
  </si>
  <si>
    <t>Q323</t>
  </si>
  <si>
    <t>Q423</t>
  </si>
  <si>
    <t>Q124</t>
  </si>
  <si>
    <t>Q224</t>
  </si>
  <si>
    <t>Q424</t>
  </si>
  <si>
    <t>Q125</t>
  </si>
  <si>
    <t>Q225</t>
  </si>
  <si>
    <t>Q325</t>
  </si>
  <si>
    <t>Q425</t>
  </si>
  <si>
    <t>Q226</t>
  </si>
  <si>
    <t>Q326</t>
  </si>
  <si>
    <t>Q426</t>
  </si>
  <si>
    <t>SSS</t>
  </si>
  <si>
    <t>Store Count</t>
  </si>
  <si>
    <t>Retail sales/sqft</t>
  </si>
  <si>
    <t>Sales</t>
  </si>
  <si>
    <t>Services/Other</t>
  </si>
  <si>
    <t xml:space="preserve">Total Revenue </t>
  </si>
  <si>
    <t>SG&amp;A</t>
  </si>
  <si>
    <t>Rentals</t>
  </si>
  <si>
    <t>Interest/Debt</t>
  </si>
  <si>
    <t>Other</t>
  </si>
  <si>
    <t xml:space="preserve">EBT </t>
  </si>
  <si>
    <t>Taxes</t>
  </si>
  <si>
    <t xml:space="preserve">Net Income </t>
  </si>
  <si>
    <t>EPS</t>
  </si>
  <si>
    <t>Shares</t>
  </si>
  <si>
    <t>Growth Y/Y</t>
  </si>
  <si>
    <t xml:space="preserve">Gross Margin </t>
  </si>
  <si>
    <t xml:space="preserve">Net Cash </t>
  </si>
  <si>
    <t xml:space="preserve">Terminal </t>
  </si>
  <si>
    <t xml:space="preserve">Cash </t>
  </si>
  <si>
    <t>Discount</t>
  </si>
  <si>
    <t>A/R</t>
  </si>
  <si>
    <t xml:space="preserve">Total Equity Value </t>
  </si>
  <si>
    <t>Investments</t>
  </si>
  <si>
    <t>Inventories</t>
  </si>
  <si>
    <t>Estimate</t>
  </si>
  <si>
    <t>Fed/State I/T</t>
  </si>
  <si>
    <t>Current</t>
  </si>
  <si>
    <t>OCA</t>
  </si>
  <si>
    <t xml:space="preserve">Upside </t>
  </si>
  <si>
    <t>PPE</t>
  </si>
  <si>
    <t>Op L</t>
  </si>
  <si>
    <t>Deferred I/T</t>
  </si>
  <si>
    <t>OA</t>
  </si>
  <si>
    <t>EV/25E</t>
  </si>
  <si>
    <t xml:space="preserve">Total Assets </t>
  </si>
  <si>
    <t>EV/26E</t>
  </si>
  <si>
    <t>Trade A/P</t>
  </si>
  <si>
    <t>Curr debt</t>
  </si>
  <si>
    <t>Current Op L</t>
  </si>
  <si>
    <t>EV/25R</t>
  </si>
  <si>
    <t>EV / BV</t>
  </si>
  <si>
    <t>LTD</t>
  </si>
  <si>
    <t>OL</t>
  </si>
  <si>
    <t>Deferred i/t</t>
  </si>
  <si>
    <t>Subordinated Deb</t>
  </si>
  <si>
    <t>E</t>
  </si>
  <si>
    <t>TL + E</t>
  </si>
  <si>
    <t xml:space="preserve">Total Debt </t>
  </si>
  <si>
    <t xml:space="preserve">Total Capital </t>
  </si>
  <si>
    <t xml:space="preserve">Debt to Capital </t>
  </si>
  <si>
    <t xml:space="preserve">Cash to Debt </t>
  </si>
  <si>
    <t>CFFO</t>
  </si>
  <si>
    <t>Capex</t>
  </si>
  <si>
    <t xml:space="preserve">Free Cash Flow </t>
  </si>
  <si>
    <t>Net Income</t>
  </si>
  <si>
    <t>4QFCF</t>
  </si>
  <si>
    <t>4QNI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</si>
</sst>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#,##0.0"/>
    <numFmt numFmtId="166" formatCode="0.0\x"/>
  </numFmts>
  <fonts count="6"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theme="10"/>
      <name val="Arial"/>
    </font>
    <font>
      <sz val="10.0"/>
      <color rgb="FF0B5394"/>
      <name val="Arial"/>
    </font>
    <font>
      <b/>
      <sz val="10.0"/>
      <color theme="1"/>
      <name val="Arial"/>
    </font>
    <font>
      <sz val="10.0"/>
      <color rgb="FF07376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horizontal="right"/>
    </xf>
    <xf borderId="0" fillId="0" fontId="2" numFmtId="3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 readingOrder="0"/>
    </xf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1" numFmtId="10" xfId="0" applyAlignment="1" applyFont="1" applyNumberFormat="1">
      <alignment horizontal="right" readingOrder="0"/>
    </xf>
    <xf borderId="0" fillId="0" fontId="3" numFmtId="3" xfId="0" applyAlignment="1" applyFont="1" applyNumberFormat="1">
      <alignment horizontal="right"/>
    </xf>
    <xf borderId="0" fillId="0" fontId="3" numFmtId="3" xfId="0" applyAlignment="1" applyFont="1" applyNumberFormat="1">
      <alignment horizontal="right" readingOrder="0"/>
    </xf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4" numFmtId="3" xfId="0" applyFont="1" applyNumberFormat="1"/>
    <xf borderId="0" fillId="0" fontId="4" numFmtId="3" xfId="0" applyAlignment="1" applyFont="1" applyNumberFormat="1">
      <alignment horizontal="right"/>
    </xf>
    <xf borderId="0" fillId="0" fontId="1" numFmtId="165" xfId="0" applyFont="1" applyNumberFormat="1"/>
    <xf borderId="0" fillId="0" fontId="3" numFmtId="165" xfId="0" applyAlignment="1" applyFont="1" applyNumberFormat="1">
      <alignment horizontal="right"/>
    </xf>
    <xf borderId="0" fillId="0" fontId="3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1" numFmtId="9" xfId="0" applyFont="1" applyNumberFormat="1"/>
    <xf borderId="0" fillId="0" fontId="1" numFmtId="9" xfId="0" applyAlignment="1" applyFont="1" applyNumberFormat="1">
      <alignment horizontal="right"/>
    </xf>
    <xf borderId="0" fillId="0" fontId="1" numFmtId="10" xfId="0" applyFont="1" applyNumberFormat="1"/>
    <xf borderId="0" fillId="0" fontId="5" numFmtId="3" xfId="0" applyFont="1" applyNumberFormat="1"/>
    <xf borderId="0" fillId="0" fontId="4" numFmtId="10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vestor.dillards.com/news-releases/news-release-details/dillards-inc-reports-third-quarter-and-year-date-results-1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5.38"/>
    <col customWidth="1" min="3" max="3" width="14.63"/>
    <col customWidth="1" min="4" max="4" width="3.63"/>
    <col customWidth="1" min="5" max="5" width="5.5"/>
    <col customWidth="1" min="6" max="6" width="6.75"/>
    <col customWidth="1" min="7" max="7" width="5.63"/>
    <col customWidth="1" min="8" max="8" width="5.5"/>
    <col customWidth="1" min="9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 t="s">
        <v>0</v>
      </c>
      <c r="C3" s="1" t="s">
        <v>1</v>
      </c>
      <c r="D3" s="1"/>
      <c r="E3" s="1"/>
      <c r="F3" s="1" t="s">
        <v>2</v>
      </c>
      <c r="G3" s="3">
        <v>579.0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 t="s">
        <v>3</v>
      </c>
      <c r="C4" s="1"/>
      <c r="D4" s="1"/>
      <c r="E4" s="1"/>
      <c r="F4" s="3" t="s">
        <v>4</v>
      </c>
      <c r="G4" s="1">
        <f>11.633238</f>
        <v>11.633238</v>
      </c>
      <c r="H4" s="3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3" t="s">
        <v>6</v>
      </c>
      <c r="G5" s="1">
        <f>3.986233</f>
        <v>3.986233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 t="s">
        <v>7</v>
      </c>
      <c r="G6" s="1">
        <f>G3 * sum(G4:G5)</f>
        <v>9043.673709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 t="s">
        <v>8</v>
      </c>
      <c r="G7" s="1">
        <f>1157.662+259.743</f>
        <v>1417.405</v>
      </c>
      <c r="H7" s="1" t="str">
        <f>+H4</f>
        <v>Q126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 t="s">
        <v>9</v>
      </c>
      <c r="G8" s="1">
        <f>96+225.701</f>
        <v>321.701</v>
      </c>
      <c r="H8" s="1" t="str">
        <f>+H7</f>
        <v>Q126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 t="s">
        <v>10</v>
      </c>
      <c r="G9" s="1">
        <f>+G6-G7+G8</f>
        <v>7947.969709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 t="s">
        <v>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5" t="s">
        <v>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:id="rId2" ref="C15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.13"/>
    <col customWidth="1" min="2" max="2" width="15.38"/>
    <col customWidth="1" min="3" max="10" width="5.63"/>
    <col customWidth="1" min="11" max="14" width="5.5"/>
    <col customWidth="1" min="15" max="18" width="5.13"/>
    <col customWidth="1" min="19" max="24" width="3.0"/>
    <col customWidth="1" min="25" max="25" width="2.88"/>
    <col customWidth="1" min="26" max="26" width="3.0"/>
    <col customWidth="1" min="27" max="42" width="5.63"/>
    <col customWidth="1" min="43" max="44" width="5.13"/>
    <col customWidth="1" min="45" max="45" width="4.75"/>
    <col customWidth="1" min="46" max="46" width="14.63"/>
    <col customWidth="1" min="47" max="47" width="6.25"/>
    <col customWidth="1" min="48" max="341" width="5.13"/>
  </cols>
  <sheetData>
    <row r="1" ht="12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</row>
    <row r="2" ht="12.75" customHeight="1">
      <c r="A2" s="1"/>
      <c r="B2" s="1"/>
      <c r="C2" s="4">
        <v>45045.0</v>
      </c>
      <c r="D2" s="4">
        <v>45136.0</v>
      </c>
      <c r="E2" s="4">
        <v>45227.0</v>
      </c>
      <c r="F2" s="4">
        <f>+AF2</f>
        <v>45325</v>
      </c>
      <c r="G2" s="4">
        <v>45416.0</v>
      </c>
      <c r="H2" s="4">
        <v>45507.0</v>
      </c>
      <c r="I2" s="4">
        <v>45598.0</v>
      </c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6"/>
      <c r="X2" s="6"/>
      <c r="Y2" s="6"/>
      <c r="Z2" s="6"/>
      <c r="AA2" s="6"/>
      <c r="AB2" s="6">
        <v>44226.0</v>
      </c>
      <c r="AC2" s="6">
        <v>43862.0</v>
      </c>
      <c r="AD2" s="6">
        <v>44587.0</v>
      </c>
      <c r="AE2" s="6">
        <v>44954.0</v>
      </c>
      <c r="AF2" s="6">
        <v>45325.0</v>
      </c>
      <c r="AG2" s="6">
        <v>45689.0</v>
      </c>
      <c r="AH2" s="7">
        <v>46053.0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</row>
    <row r="3" ht="12.75" customHeight="1">
      <c r="A3" s="1"/>
      <c r="B3" s="1"/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8" t="s">
        <v>12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23</v>
      </c>
      <c r="O3" s="9" t="s">
        <v>5</v>
      </c>
      <c r="P3" s="9" t="s">
        <v>24</v>
      </c>
      <c r="Q3" s="9" t="s">
        <v>25</v>
      </c>
      <c r="R3" s="9" t="s">
        <v>26</v>
      </c>
      <c r="S3" s="10"/>
      <c r="T3" s="10"/>
      <c r="U3" s="10"/>
      <c r="V3" s="10"/>
      <c r="W3" s="10"/>
      <c r="X3" s="10"/>
      <c r="Y3" s="10"/>
      <c r="Z3" s="10"/>
      <c r="AA3" s="10">
        <v>2018.0</v>
      </c>
      <c r="AB3" s="10">
        <v>2019.0</v>
      </c>
      <c r="AC3" s="10">
        <v>2020.0</v>
      </c>
      <c r="AD3" s="10">
        <v>2021.0</v>
      </c>
      <c r="AE3" s="10">
        <v>2022.0</v>
      </c>
      <c r="AF3" s="10">
        <v>2023.0</v>
      </c>
      <c r="AG3" s="10">
        <f t="shared" ref="AG3:MC3" si="1">+AF3+1</f>
        <v>2024</v>
      </c>
      <c r="AH3" s="10">
        <f t="shared" si="1"/>
        <v>2025</v>
      </c>
      <c r="AI3" s="10">
        <f t="shared" si="1"/>
        <v>2026</v>
      </c>
      <c r="AJ3" s="10">
        <f t="shared" si="1"/>
        <v>2027</v>
      </c>
      <c r="AK3" s="10">
        <f t="shared" si="1"/>
        <v>2028</v>
      </c>
      <c r="AL3" s="10">
        <f t="shared" si="1"/>
        <v>2029</v>
      </c>
      <c r="AM3" s="10">
        <f t="shared" si="1"/>
        <v>2030</v>
      </c>
      <c r="AN3" s="10">
        <f t="shared" si="1"/>
        <v>2031</v>
      </c>
      <c r="AO3" s="10">
        <f t="shared" si="1"/>
        <v>2032</v>
      </c>
      <c r="AP3" s="10">
        <f t="shared" si="1"/>
        <v>2033</v>
      </c>
      <c r="AQ3" s="10">
        <f t="shared" si="1"/>
        <v>2034</v>
      </c>
      <c r="AR3" s="10">
        <f t="shared" si="1"/>
        <v>2035</v>
      </c>
      <c r="AS3" s="10">
        <f t="shared" si="1"/>
        <v>2036</v>
      </c>
      <c r="AT3" s="10">
        <f t="shared" si="1"/>
        <v>2037</v>
      </c>
      <c r="AU3" s="10">
        <f t="shared" si="1"/>
        <v>2038</v>
      </c>
      <c r="AV3" s="10">
        <f t="shared" si="1"/>
        <v>2039</v>
      </c>
      <c r="AW3" s="10">
        <f t="shared" si="1"/>
        <v>2040</v>
      </c>
      <c r="AX3" s="10">
        <f t="shared" si="1"/>
        <v>2041</v>
      </c>
      <c r="AY3" s="10">
        <f t="shared" si="1"/>
        <v>2042</v>
      </c>
      <c r="AZ3" s="10">
        <f t="shared" si="1"/>
        <v>2043</v>
      </c>
      <c r="BA3" s="10">
        <f t="shared" si="1"/>
        <v>2044</v>
      </c>
      <c r="BB3" s="10">
        <f t="shared" si="1"/>
        <v>2045</v>
      </c>
      <c r="BC3" s="10">
        <f t="shared" si="1"/>
        <v>2046</v>
      </c>
      <c r="BD3" s="10">
        <f t="shared" si="1"/>
        <v>2047</v>
      </c>
      <c r="BE3" s="10">
        <f t="shared" si="1"/>
        <v>2048</v>
      </c>
      <c r="BF3" s="10">
        <f t="shared" si="1"/>
        <v>2049</v>
      </c>
      <c r="BG3" s="10">
        <f t="shared" si="1"/>
        <v>2050</v>
      </c>
      <c r="BH3" s="10">
        <f t="shared" si="1"/>
        <v>2051</v>
      </c>
      <c r="BI3" s="10">
        <f t="shared" si="1"/>
        <v>2052</v>
      </c>
      <c r="BJ3" s="10">
        <f t="shared" si="1"/>
        <v>2053</v>
      </c>
      <c r="BK3" s="10">
        <f t="shared" si="1"/>
        <v>2054</v>
      </c>
      <c r="BL3" s="10">
        <f t="shared" si="1"/>
        <v>2055</v>
      </c>
      <c r="BM3" s="10">
        <f t="shared" si="1"/>
        <v>2056</v>
      </c>
      <c r="BN3" s="10">
        <f t="shared" si="1"/>
        <v>2057</v>
      </c>
      <c r="BO3" s="10">
        <f t="shared" si="1"/>
        <v>2058</v>
      </c>
      <c r="BP3" s="10">
        <f t="shared" si="1"/>
        <v>2059</v>
      </c>
      <c r="BQ3" s="10">
        <f t="shared" si="1"/>
        <v>2060</v>
      </c>
      <c r="BR3" s="10">
        <f t="shared" si="1"/>
        <v>2061</v>
      </c>
      <c r="BS3" s="10">
        <f t="shared" si="1"/>
        <v>2062</v>
      </c>
      <c r="BT3" s="10">
        <f t="shared" si="1"/>
        <v>2063</v>
      </c>
      <c r="BU3" s="10">
        <f t="shared" si="1"/>
        <v>2064</v>
      </c>
      <c r="BV3" s="10">
        <f t="shared" si="1"/>
        <v>2065</v>
      </c>
      <c r="BW3" s="10">
        <f t="shared" si="1"/>
        <v>2066</v>
      </c>
      <c r="BX3" s="10">
        <f t="shared" si="1"/>
        <v>2067</v>
      </c>
      <c r="BY3" s="10">
        <f t="shared" si="1"/>
        <v>2068</v>
      </c>
      <c r="BZ3" s="10">
        <f t="shared" si="1"/>
        <v>2069</v>
      </c>
      <c r="CA3" s="10">
        <f t="shared" si="1"/>
        <v>2070</v>
      </c>
      <c r="CB3" s="10">
        <f t="shared" si="1"/>
        <v>2071</v>
      </c>
      <c r="CC3" s="10">
        <f t="shared" si="1"/>
        <v>2072</v>
      </c>
      <c r="CD3" s="10">
        <f t="shared" si="1"/>
        <v>2073</v>
      </c>
      <c r="CE3" s="10">
        <f t="shared" si="1"/>
        <v>2074</v>
      </c>
      <c r="CF3" s="10">
        <f t="shared" si="1"/>
        <v>2075</v>
      </c>
      <c r="CG3" s="10">
        <f t="shared" si="1"/>
        <v>2076</v>
      </c>
      <c r="CH3" s="10">
        <f t="shared" si="1"/>
        <v>2077</v>
      </c>
      <c r="CI3" s="10">
        <f t="shared" si="1"/>
        <v>2078</v>
      </c>
      <c r="CJ3" s="10">
        <f t="shared" si="1"/>
        <v>2079</v>
      </c>
      <c r="CK3" s="10">
        <f t="shared" si="1"/>
        <v>2080</v>
      </c>
      <c r="CL3" s="10">
        <f t="shared" si="1"/>
        <v>2081</v>
      </c>
      <c r="CM3" s="10">
        <f t="shared" si="1"/>
        <v>2082</v>
      </c>
      <c r="CN3" s="10">
        <f t="shared" si="1"/>
        <v>2083</v>
      </c>
      <c r="CO3" s="10">
        <f t="shared" si="1"/>
        <v>2084</v>
      </c>
      <c r="CP3" s="10">
        <f t="shared" si="1"/>
        <v>2085</v>
      </c>
      <c r="CQ3" s="10">
        <f t="shared" si="1"/>
        <v>2086</v>
      </c>
      <c r="CR3" s="10">
        <f t="shared" si="1"/>
        <v>2087</v>
      </c>
      <c r="CS3" s="10">
        <f t="shared" si="1"/>
        <v>2088</v>
      </c>
      <c r="CT3" s="10">
        <f t="shared" si="1"/>
        <v>2089</v>
      </c>
      <c r="CU3" s="10">
        <f t="shared" si="1"/>
        <v>2090</v>
      </c>
      <c r="CV3" s="10">
        <f t="shared" si="1"/>
        <v>2091</v>
      </c>
      <c r="CW3" s="10">
        <f t="shared" si="1"/>
        <v>2092</v>
      </c>
      <c r="CX3" s="10">
        <f t="shared" si="1"/>
        <v>2093</v>
      </c>
      <c r="CY3" s="10">
        <f t="shared" si="1"/>
        <v>2094</v>
      </c>
      <c r="CZ3" s="10">
        <f t="shared" si="1"/>
        <v>2095</v>
      </c>
      <c r="DA3" s="10">
        <f t="shared" si="1"/>
        <v>2096</v>
      </c>
      <c r="DB3" s="10">
        <f t="shared" si="1"/>
        <v>2097</v>
      </c>
      <c r="DC3" s="10">
        <f t="shared" si="1"/>
        <v>2098</v>
      </c>
      <c r="DD3" s="10">
        <f t="shared" si="1"/>
        <v>2099</v>
      </c>
      <c r="DE3" s="10">
        <f t="shared" si="1"/>
        <v>2100</v>
      </c>
      <c r="DF3" s="10">
        <f t="shared" si="1"/>
        <v>2101</v>
      </c>
      <c r="DG3" s="10">
        <f t="shared" si="1"/>
        <v>2102</v>
      </c>
      <c r="DH3" s="10">
        <f t="shared" si="1"/>
        <v>2103</v>
      </c>
      <c r="DI3" s="10">
        <f t="shared" si="1"/>
        <v>2104</v>
      </c>
      <c r="DJ3" s="10">
        <f t="shared" si="1"/>
        <v>2105</v>
      </c>
      <c r="DK3" s="10">
        <f t="shared" si="1"/>
        <v>2106</v>
      </c>
      <c r="DL3" s="10">
        <f t="shared" si="1"/>
        <v>2107</v>
      </c>
      <c r="DM3" s="10">
        <f t="shared" si="1"/>
        <v>2108</v>
      </c>
      <c r="DN3" s="10">
        <f t="shared" si="1"/>
        <v>2109</v>
      </c>
      <c r="DO3" s="10">
        <f t="shared" si="1"/>
        <v>2110</v>
      </c>
      <c r="DP3" s="10">
        <f t="shared" si="1"/>
        <v>2111</v>
      </c>
      <c r="DQ3" s="10">
        <f t="shared" si="1"/>
        <v>2112</v>
      </c>
      <c r="DR3" s="10">
        <f t="shared" si="1"/>
        <v>2113</v>
      </c>
      <c r="DS3" s="10">
        <f t="shared" si="1"/>
        <v>2114</v>
      </c>
      <c r="DT3" s="10">
        <f t="shared" si="1"/>
        <v>2115</v>
      </c>
      <c r="DU3" s="10">
        <f t="shared" si="1"/>
        <v>2116</v>
      </c>
      <c r="DV3" s="10">
        <f t="shared" si="1"/>
        <v>2117</v>
      </c>
      <c r="DW3" s="10">
        <f t="shared" si="1"/>
        <v>2118</v>
      </c>
      <c r="DX3" s="10">
        <f t="shared" si="1"/>
        <v>2119</v>
      </c>
      <c r="DY3" s="10">
        <f t="shared" si="1"/>
        <v>2120</v>
      </c>
      <c r="DZ3" s="10">
        <f t="shared" si="1"/>
        <v>2121</v>
      </c>
      <c r="EA3" s="10">
        <f t="shared" si="1"/>
        <v>2122</v>
      </c>
      <c r="EB3" s="10">
        <f t="shared" si="1"/>
        <v>2123</v>
      </c>
      <c r="EC3" s="10">
        <f t="shared" si="1"/>
        <v>2124</v>
      </c>
      <c r="ED3" s="10">
        <f t="shared" si="1"/>
        <v>2125</v>
      </c>
      <c r="EE3" s="10">
        <f t="shared" si="1"/>
        <v>2126</v>
      </c>
      <c r="EF3" s="10">
        <f t="shared" si="1"/>
        <v>2127</v>
      </c>
      <c r="EG3" s="10">
        <f t="shared" si="1"/>
        <v>2128</v>
      </c>
      <c r="EH3" s="10">
        <f t="shared" si="1"/>
        <v>2129</v>
      </c>
      <c r="EI3" s="10">
        <f t="shared" si="1"/>
        <v>2130</v>
      </c>
      <c r="EJ3" s="10">
        <f t="shared" si="1"/>
        <v>2131</v>
      </c>
      <c r="EK3" s="10">
        <f t="shared" si="1"/>
        <v>2132</v>
      </c>
      <c r="EL3" s="10">
        <f t="shared" si="1"/>
        <v>2133</v>
      </c>
      <c r="EM3" s="10">
        <f t="shared" si="1"/>
        <v>2134</v>
      </c>
      <c r="EN3" s="10">
        <f t="shared" si="1"/>
        <v>2135</v>
      </c>
      <c r="EO3" s="10">
        <f t="shared" si="1"/>
        <v>2136</v>
      </c>
      <c r="EP3" s="10">
        <f t="shared" si="1"/>
        <v>2137</v>
      </c>
      <c r="EQ3" s="10">
        <f t="shared" si="1"/>
        <v>2138</v>
      </c>
      <c r="ER3" s="10">
        <f t="shared" si="1"/>
        <v>2139</v>
      </c>
      <c r="ES3" s="10">
        <f t="shared" si="1"/>
        <v>2140</v>
      </c>
      <c r="ET3" s="10">
        <f t="shared" si="1"/>
        <v>2141</v>
      </c>
      <c r="EU3" s="10">
        <f t="shared" si="1"/>
        <v>2142</v>
      </c>
      <c r="EV3" s="10">
        <f t="shared" si="1"/>
        <v>2143</v>
      </c>
      <c r="EW3" s="10">
        <f t="shared" si="1"/>
        <v>2144</v>
      </c>
      <c r="EX3" s="10">
        <f t="shared" si="1"/>
        <v>2145</v>
      </c>
      <c r="EY3" s="10">
        <f t="shared" si="1"/>
        <v>2146</v>
      </c>
      <c r="EZ3" s="10">
        <f t="shared" si="1"/>
        <v>2147</v>
      </c>
      <c r="FA3" s="10">
        <f t="shared" si="1"/>
        <v>2148</v>
      </c>
      <c r="FB3" s="10">
        <f t="shared" si="1"/>
        <v>2149</v>
      </c>
      <c r="FC3" s="10">
        <f t="shared" si="1"/>
        <v>2150</v>
      </c>
      <c r="FD3" s="10">
        <f t="shared" si="1"/>
        <v>2151</v>
      </c>
      <c r="FE3" s="10">
        <f t="shared" si="1"/>
        <v>2152</v>
      </c>
      <c r="FF3" s="10">
        <f t="shared" si="1"/>
        <v>2153</v>
      </c>
      <c r="FG3" s="10">
        <f t="shared" si="1"/>
        <v>2154</v>
      </c>
      <c r="FH3" s="10">
        <f t="shared" si="1"/>
        <v>2155</v>
      </c>
      <c r="FI3" s="10">
        <f t="shared" si="1"/>
        <v>2156</v>
      </c>
      <c r="FJ3" s="10">
        <f t="shared" si="1"/>
        <v>2157</v>
      </c>
      <c r="FK3" s="10">
        <f t="shared" si="1"/>
        <v>2158</v>
      </c>
      <c r="FL3" s="10">
        <f t="shared" si="1"/>
        <v>2159</v>
      </c>
      <c r="FM3" s="10">
        <f t="shared" si="1"/>
        <v>2160</v>
      </c>
      <c r="FN3" s="10">
        <f t="shared" si="1"/>
        <v>2161</v>
      </c>
      <c r="FO3" s="10">
        <f t="shared" si="1"/>
        <v>2162</v>
      </c>
      <c r="FP3" s="10">
        <f t="shared" si="1"/>
        <v>2163</v>
      </c>
      <c r="FQ3" s="10">
        <f t="shared" si="1"/>
        <v>2164</v>
      </c>
      <c r="FR3" s="10">
        <f t="shared" si="1"/>
        <v>2165</v>
      </c>
      <c r="FS3" s="10">
        <f t="shared" si="1"/>
        <v>2166</v>
      </c>
      <c r="FT3" s="10">
        <f t="shared" si="1"/>
        <v>2167</v>
      </c>
      <c r="FU3" s="10">
        <f t="shared" si="1"/>
        <v>2168</v>
      </c>
      <c r="FV3" s="10">
        <f t="shared" si="1"/>
        <v>2169</v>
      </c>
      <c r="FW3" s="10">
        <f t="shared" si="1"/>
        <v>2170</v>
      </c>
      <c r="FX3" s="10">
        <f t="shared" si="1"/>
        <v>2171</v>
      </c>
      <c r="FY3" s="10">
        <f t="shared" si="1"/>
        <v>2172</v>
      </c>
      <c r="FZ3" s="10">
        <f t="shared" si="1"/>
        <v>2173</v>
      </c>
      <c r="GA3" s="10">
        <f t="shared" si="1"/>
        <v>2174</v>
      </c>
      <c r="GB3" s="10">
        <f t="shared" si="1"/>
        <v>2175</v>
      </c>
      <c r="GC3" s="10">
        <f t="shared" si="1"/>
        <v>2176</v>
      </c>
      <c r="GD3" s="10">
        <f t="shared" si="1"/>
        <v>2177</v>
      </c>
      <c r="GE3" s="10">
        <f t="shared" si="1"/>
        <v>2178</v>
      </c>
      <c r="GF3" s="10">
        <f t="shared" si="1"/>
        <v>2179</v>
      </c>
      <c r="GG3" s="10">
        <f t="shared" si="1"/>
        <v>2180</v>
      </c>
      <c r="GH3" s="10">
        <f t="shared" si="1"/>
        <v>2181</v>
      </c>
      <c r="GI3" s="10">
        <f t="shared" si="1"/>
        <v>2182</v>
      </c>
      <c r="GJ3" s="10">
        <f t="shared" si="1"/>
        <v>2183</v>
      </c>
      <c r="GK3" s="10">
        <f t="shared" si="1"/>
        <v>2184</v>
      </c>
      <c r="GL3" s="10">
        <f t="shared" si="1"/>
        <v>2185</v>
      </c>
      <c r="GM3" s="10">
        <f t="shared" si="1"/>
        <v>2186</v>
      </c>
      <c r="GN3" s="10">
        <f t="shared" si="1"/>
        <v>2187</v>
      </c>
      <c r="GO3" s="10">
        <f t="shared" si="1"/>
        <v>2188</v>
      </c>
      <c r="GP3" s="10">
        <f t="shared" si="1"/>
        <v>2189</v>
      </c>
      <c r="GQ3" s="10">
        <f t="shared" si="1"/>
        <v>2190</v>
      </c>
      <c r="GR3" s="10">
        <f t="shared" si="1"/>
        <v>2191</v>
      </c>
      <c r="GS3" s="10">
        <f t="shared" si="1"/>
        <v>2192</v>
      </c>
      <c r="GT3" s="10">
        <f t="shared" si="1"/>
        <v>2193</v>
      </c>
      <c r="GU3" s="10">
        <f t="shared" si="1"/>
        <v>2194</v>
      </c>
      <c r="GV3" s="10">
        <f t="shared" si="1"/>
        <v>2195</v>
      </c>
      <c r="GW3" s="10">
        <f t="shared" si="1"/>
        <v>2196</v>
      </c>
      <c r="GX3" s="10">
        <f t="shared" si="1"/>
        <v>2197</v>
      </c>
      <c r="GY3" s="10">
        <f t="shared" si="1"/>
        <v>2198</v>
      </c>
      <c r="GZ3" s="10">
        <f t="shared" si="1"/>
        <v>2199</v>
      </c>
      <c r="HA3" s="10">
        <f t="shared" si="1"/>
        <v>2200</v>
      </c>
      <c r="HB3" s="10">
        <f t="shared" si="1"/>
        <v>2201</v>
      </c>
      <c r="HC3" s="10">
        <f t="shared" si="1"/>
        <v>2202</v>
      </c>
      <c r="HD3" s="10">
        <f t="shared" si="1"/>
        <v>2203</v>
      </c>
      <c r="HE3" s="10">
        <f t="shared" si="1"/>
        <v>2204</v>
      </c>
      <c r="HF3" s="10">
        <f t="shared" si="1"/>
        <v>2205</v>
      </c>
      <c r="HG3" s="10">
        <f t="shared" si="1"/>
        <v>2206</v>
      </c>
      <c r="HH3" s="10">
        <f t="shared" si="1"/>
        <v>2207</v>
      </c>
      <c r="HI3" s="10">
        <f t="shared" si="1"/>
        <v>2208</v>
      </c>
      <c r="HJ3" s="10">
        <f t="shared" si="1"/>
        <v>2209</v>
      </c>
      <c r="HK3" s="10">
        <f t="shared" si="1"/>
        <v>2210</v>
      </c>
      <c r="HL3" s="10">
        <f t="shared" si="1"/>
        <v>2211</v>
      </c>
      <c r="HM3" s="10">
        <f t="shared" si="1"/>
        <v>2212</v>
      </c>
      <c r="HN3" s="10">
        <f t="shared" si="1"/>
        <v>2213</v>
      </c>
      <c r="HO3" s="10">
        <f t="shared" si="1"/>
        <v>2214</v>
      </c>
      <c r="HP3" s="10">
        <f t="shared" si="1"/>
        <v>2215</v>
      </c>
      <c r="HQ3" s="10">
        <f t="shared" si="1"/>
        <v>2216</v>
      </c>
      <c r="HR3" s="10">
        <f t="shared" si="1"/>
        <v>2217</v>
      </c>
      <c r="HS3" s="10">
        <f t="shared" si="1"/>
        <v>2218</v>
      </c>
      <c r="HT3" s="10">
        <f t="shared" si="1"/>
        <v>2219</v>
      </c>
      <c r="HU3" s="10">
        <f t="shared" si="1"/>
        <v>2220</v>
      </c>
      <c r="HV3" s="10">
        <f t="shared" si="1"/>
        <v>2221</v>
      </c>
      <c r="HW3" s="10">
        <f t="shared" si="1"/>
        <v>2222</v>
      </c>
      <c r="HX3" s="10">
        <f t="shared" si="1"/>
        <v>2223</v>
      </c>
      <c r="HY3" s="10">
        <f t="shared" si="1"/>
        <v>2224</v>
      </c>
      <c r="HZ3" s="10">
        <f t="shared" si="1"/>
        <v>2225</v>
      </c>
      <c r="IA3" s="10">
        <f t="shared" si="1"/>
        <v>2226</v>
      </c>
      <c r="IB3" s="10">
        <f t="shared" si="1"/>
        <v>2227</v>
      </c>
      <c r="IC3" s="10">
        <f t="shared" si="1"/>
        <v>2228</v>
      </c>
      <c r="ID3" s="10">
        <f t="shared" si="1"/>
        <v>2229</v>
      </c>
      <c r="IE3" s="10">
        <f t="shared" si="1"/>
        <v>2230</v>
      </c>
      <c r="IF3" s="10">
        <f t="shared" si="1"/>
        <v>2231</v>
      </c>
      <c r="IG3" s="10">
        <f t="shared" si="1"/>
        <v>2232</v>
      </c>
      <c r="IH3" s="10">
        <f t="shared" si="1"/>
        <v>2233</v>
      </c>
      <c r="II3" s="10">
        <f t="shared" si="1"/>
        <v>2234</v>
      </c>
      <c r="IJ3" s="10">
        <f t="shared" si="1"/>
        <v>2235</v>
      </c>
      <c r="IK3" s="10">
        <f t="shared" si="1"/>
        <v>2236</v>
      </c>
      <c r="IL3" s="10">
        <f t="shared" si="1"/>
        <v>2237</v>
      </c>
      <c r="IM3" s="10">
        <f t="shared" si="1"/>
        <v>2238</v>
      </c>
      <c r="IN3" s="10">
        <f t="shared" si="1"/>
        <v>2239</v>
      </c>
      <c r="IO3" s="10">
        <f t="shared" si="1"/>
        <v>2240</v>
      </c>
      <c r="IP3" s="10">
        <f t="shared" si="1"/>
        <v>2241</v>
      </c>
      <c r="IQ3" s="10">
        <f t="shared" si="1"/>
        <v>2242</v>
      </c>
      <c r="IR3" s="10">
        <f t="shared" si="1"/>
        <v>2243</v>
      </c>
      <c r="IS3" s="10">
        <f t="shared" si="1"/>
        <v>2244</v>
      </c>
      <c r="IT3" s="10">
        <f t="shared" si="1"/>
        <v>2245</v>
      </c>
      <c r="IU3" s="10">
        <f t="shared" si="1"/>
        <v>2246</v>
      </c>
      <c r="IV3" s="10">
        <f t="shared" si="1"/>
        <v>2247</v>
      </c>
      <c r="IW3" s="10">
        <f t="shared" si="1"/>
        <v>2248</v>
      </c>
      <c r="IX3" s="10">
        <f t="shared" si="1"/>
        <v>2249</v>
      </c>
      <c r="IY3" s="10">
        <f t="shared" si="1"/>
        <v>2250</v>
      </c>
      <c r="IZ3" s="10">
        <f t="shared" si="1"/>
        <v>2251</v>
      </c>
      <c r="JA3" s="10">
        <f t="shared" si="1"/>
        <v>2252</v>
      </c>
      <c r="JB3" s="10">
        <f t="shared" si="1"/>
        <v>2253</v>
      </c>
      <c r="JC3" s="10">
        <f t="shared" si="1"/>
        <v>2254</v>
      </c>
      <c r="JD3" s="10">
        <f t="shared" si="1"/>
        <v>2255</v>
      </c>
      <c r="JE3" s="10">
        <f t="shared" si="1"/>
        <v>2256</v>
      </c>
      <c r="JF3" s="10">
        <f t="shared" si="1"/>
        <v>2257</v>
      </c>
      <c r="JG3" s="10">
        <f t="shared" si="1"/>
        <v>2258</v>
      </c>
      <c r="JH3" s="10">
        <f t="shared" si="1"/>
        <v>2259</v>
      </c>
      <c r="JI3" s="10">
        <f t="shared" si="1"/>
        <v>2260</v>
      </c>
      <c r="JJ3" s="10">
        <f t="shared" si="1"/>
        <v>2261</v>
      </c>
      <c r="JK3" s="10">
        <f t="shared" si="1"/>
        <v>2262</v>
      </c>
      <c r="JL3" s="10">
        <f t="shared" si="1"/>
        <v>2263</v>
      </c>
      <c r="JM3" s="10">
        <f t="shared" si="1"/>
        <v>2264</v>
      </c>
      <c r="JN3" s="10">
        <f t="shared" si="1"/>
        <v>2265</v>
      </c>
      <c r="JO3" s="10">
        <f t="shared" si="1"/>
        <v>2266</v>
      </c>
      <c r="JP3" s="10">
        <f t="shared" si="1"/>
        <v>2267</v>
      </c>
      <c r="JQ3" s="10">
        <f t="shared" si="1"/>
        <v>2268</v>
      </c>
      <c r="JR3" s="10">
        <f t="shared" si="1"/>
        <v>2269</v>
      </c>
      <c r="JS3" s="10">
        <f t="shared" si="1"/>
        <v>2270</v>
      </c>
      <c r="JT3" s="10">
        <f t="shared" si="1"/>
        <v>2271</v>
      </c>
      <c r="JU3" s="10">
        <f t="shared" si="1"/>
        <v>2272</v>
      </c>
      <c r="JV3" s="10">
        <f t="shared" si="1"/>
        <v>2273</v>
      </c>
      <c r="JW3" s="10">
        <f t="shared" si="1"/>
        <v>2274</v>
      </c>
      <c r="JX3" s="10">
        <f t="shared" si="1"/>
        <v>2275</v>
      </c>
      <c r="JY3" s="10">
        <f t="shared" si="1"/>
        <v>2276</v>
      </c>
      <c r="JZ3" s="10">
        <f t="shared" si="1"/>
        <v>2277</v>
      </c>
      <c r="KA3" s="10">
        <f t="shared" si="1"/>
        <v>2278</v>
      </c>
      <c r="KB3" s="10">
        <f t="shared" si="1"/>
        <v>2279</v>
      </c>
      <c r="KC3" s="10">
        <f t="shared" si="1"/>
        <v>2280</v>
      </c>
      <c r="KD3" s="10">
        <f t="shared" si="1"/>
        <v>2281</v>
      </c>
      <c r="KE3" s="10">
        <f t="shared" si="1"/>
        <v>2282</v>
      </c>
      <c r="KF3" s="10">
        <f t="shared" si="1"/>
        <v>2283</v>
      </c>
      <c r="KG3" s="10">
        <f t="shared" si="1"/>
        <v>2284</v>
      </c>
      <c r="KH3" s="10">
        <f t="shared" si="1"/>
        <v>2285</v>
      </c>
      <c r="KI3" s="10">
        <f t="shared" si="1"/>
        <v>2286</v>
      </c>
      <c r="KJ3" s="10">
        <f t="shared" si="1"/>
        <v>2287</v>
      </c>
      <c r="KK3" s="10">
        <f t="shared" si="1"/>
        <v>2288</v>
      </c>
      <c r="KL3" s="10">
        <f t="shared" si="1"/>
        <v>2289</v>
      </c>
      <c r="KM3" s="10">
        <f t="shared" si="1"/>
        <v>2290</v>
      </c>
      <c r="KN3" s="10">
        <f t="shared" si="1"/>
        <v>2291</v>
      </c>
      <c r="KO3" s="10">
        <f t="shared" si="1"/>
        <v>2292</v>
      </c>
      <c r="KP3" s="10">
        <f t="shared" si="1"/>
        <v>2293</v>
      </c>
      <c r="KQ3" s="10">
        <f t="shared" si="1"/>
        <v>2294</v>
      </c>
      <c r="KR3" s="10">
        <f t="shared" si="1"/>
        <v>2295</v>
      </c>
      <c r="KS3" s="10">
        <f t="shared" si="1"/>
        <v>2296</v>
      </c>
      <c r="KT3" s="10">
        <f t="shared" si="1"/>
        <v>2297</v>
      </c>
      <c r="KU3" s="10">
        <f t="shared" si="1"/>
        <v>2298</v>
      </c>
      <c r="KV3" s="10">
        <f t="shared" si="1"/>
        <v>2299</v>
      </c>
      <c r="KW3" s="10">
        <f t="shared" si="1"/>
        <v>2300</v>
      </c>
      <c r="KX3" s="10">
        <f t="shared" si="1"/>
        <v>2301</v>
      </c>
      <c r="KY3" s="10">
        <f t="shared" si="1"/>
        <v>2302</v>
      </c>
      <c r="KZ3" s="10">
        <f t="shared" si="1"/>
        <v>2303</v>
      </c>
      <c r="LA3" s="10">
        <f t="shared" si="1"/>
        <v>2304</v>
      </c>
      <c r="LB3" s="10">
        <f t="shared" si="1"/>
        <v>2305</v>
      </c>
      <c r="LC3" s="10">
        <f t="shared" si="1"/>
        <v>2306</v>
      </c>
      <c r="LD3" s="10">
        <f t="shared" si="1"/>
        <v>2307</v>
      </c>
      <c r="LE3" s="10">
        <f t="shared" si="1"/>
        <v>2308</v>
      </c>
      <c r="LF3" s="10">
        <f t="shared" si="1"/>
        <v>2309</v>
      </c>
      <c r="LG3" s="10">
        <f t="shared" si="1"/>
        <v>2310</v>
      </c>
      <c r="LH3" s="10">
        <f t="shared" si="1"/>
        <v>2311</v>
      </c>
      <c r="LI3" s="10">
        <f t="shared" si="1"/>
        <v>2312</v>
      </c>
      <c r="LJ3" s="10">
        <f t="shared" si="1"/>
        <v>2313</v>
      </c>
      <c r="LK3" s="10">
        <f t="shared" si="1"/>
        <v>2314</v>
      </c>
      <c r="LL3" s="10">
        <f t="shared" si="1"/>
        <v>2315</v>
      </c>
      <c r="LM3" s="10">
        <f t="shared" si="1"/>
        <v>2316</v>
      </c>
      <c r="LN3" s="10">
        <f t="shared" si="1"/>
        <v>2317</v>
      </c>
      <c r="LO3" s="10">
        <f t="shared" si="1"/>
        <v>2318</v>
      </c>
      <c r="LP3" s="10">
        <f t="shared" si="1"/>
        <v>2319</v>
      </c>
      <c r="LQ3" s="10">
        <f t="shared" si="1"/>
        <v>2320</v>
      </c>
      <c r="LR3" s="10">
        <f t="shared" si="1"/>
        <v>2321</v>
      </c>
      <c r="LS3" s="10">
        <f t="shared" si="1"/>
        <v>2322</v>
      </c>
      <c r="LT3" s="10">
        <f t="shared" si="1"/>
        <v>2323</v>
      </c>
      <c r="LU3" s="10">
        <f t="shared" si="1"/>
        <v>2324</v>
      </c>
      <c r="LV3" s="10">
        <f t="shared" si="1"/>
        <v>2325</v>
      </c>
      <c r="LW3" s="10">
        <f t="shared" si="1"/>
        <v>2326</v>
      </c>
      <c r="LX3" s="10">
        <f t="shared" si="1"/>
        <v>2327</v>
      </c>
      <c r="LY3" s="10">
        <f t="shared" si="1"/>
        <v>2328</v>
      </c>
      <c r="LZ3" s="10">
        <f t="shared" si="1"/>
        <v>2329</v>
      </c>
      <c r="MA3" s="10">
        <f t="shared" si="1"/>
        <v>2330</v>
      </c>
      <c r="MB3" s="10">
        <f t="shared" si="1"/>
        <v>2331</v>
      </c>
      <c r="MC3" s="10">
        <f t="shared" si="1"/>
        <v>2332</v>
      </c>
    </row>
    <row r="4" ht="12.75" customHeight="1">
      <c r="A4" s="10"/>
      <c r="B4" s="11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2">
        <v>0.03</v>
      </c>
      <c r="P4" s="8"/>
      <c r="Q4" s="8"/>
      <c r="R4" s="8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</row>
    <row r="5" ht="12.75" customHeight="1">
      <c r="A5" s="10"/>
      <c r="B5" s="10" t="s">
        <v>28</v>
      </c>
      <c r="C5" s="8">
        <v>274.0</v>
      </c>
      <c r="D5" s="8">
        <v>274.0</v>
      </c>
      <c r="E5" s="8">
        <v>273.0</v>
      </c>
      <c r="F5" s="8">
        <f>+AF5</f>
        <v>273</v>
      </c>
      <c r="G5" s="8">
        <v>274.0</v>
      </c>
      <c r="H5" s="8">
        <v>273.0</v>
      </c>
      <c r="I5" s="8">
        <v>273.0</v>
      </c>
      <c r="J5" s="8">
        <v>272.0</v>
      </c>
      <c r="K5" s="8"/>
      <c r="L5" s="8"/>
      <c r="M5" s="8"/>
      <c r="N5" s="8"/>
      <c r="O5" s="9">
        <v>272.0</v>
      </c>
      <c r="P5" s="8"/>
      <c r="Q5" s="8"/>
      <c r="R5" s="8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>
        <v>280.0</v>
      </c>
      <c r="AE5" s="10">
        <v>277.0</v>
      </c>
      <c r="AF5" s="10">
        <v>273.0</v>
      </c>
      <c r="AG5" s="10">
        <v>272.0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</row>
    <row r="6" ht="12.75" customHeight="1">
      <c r="A6" s="10"/>
      <c r="B6" s="10" t="s">
        <v>29</v>
      </c>
      <c r="C6" s="8">
        <v>33.0</v>
      </c>
      <c r="D6" s="8">
        <v>33.0</v>
      </c>
      <c r="E6" s="8">
        <v>31.0</v>
      </c>
      <c r="F6" s="8">
        <f>+AF6-SUM(C6:E6)</f>
        <v>46</v>
      </c>
      <c r="G6" s="8">
        <v>33.0</v>
      </c>
      <c r="H6" s="8">
        <v>31.0</v>
      </c>
      <c r="I6" s="8">
        <v>30.0</v>
      </c>
      <c r="J6" s="8"/>
      <c r="K6" s="8"/>
      <c r="L6" s="8"/>
      <c r="M6" s="8"/>
      <c r="N6" s="8"/>
      <c r="O6" s="9">
        <v>46.1</v>
      </c>
      <c r="P6" s="8"/>
      <c r="Q6" s="8"/>
      <c r="R6" s="8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>
        <v>138.0</v>
      </c>
      <c r="AE6" s="10">
        <v>146.0</v>
      </c>
      <c r="AF6" s="10">
        <v>143.0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</row>
    <row r="7" ht="12.75" customHeight="1">
      <c r="A7" s="10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</row>
    <row r="8" ht="12.75" customHeight="1">
      <c r="A8" s="1"/>
      <c r="B8" s="1" t="s">
        <v>30</v>
      </c>
      <c r="C8" s="13">
        <v>1583.948</v>
      </c>
      <c r="D8" s="13">
        <v>1567.377</v>
      </c>
      <c r="E8" s="13">
        <v>1476.362</v>
      </c>
      <c r="F8" s="13">
        <f t="shared" ref="F8:F9" si="3">+AF8-SUM(C8:E8)</f>
        <v>2124.366</v>
      </c>
      <c r="G8" s="13">
        <v>1549.051</v>
      </c>
      <c r="H8" s="13">
        <v>1489.938</v>
      </c>
      <c r="I8" s="13">
        <v>1427.009</v>
      </c>
      <c r="J8" s="13">
        <v>2016.6</v>
      </c>
      <c r="K8" s="13">
        <v>1528.9</v>
      </c>
      <c r="L8" s="13">
        <v>1513.8</v>
      </c>
      <c r="M8" s="13">
        <v>1513.8</v>
      </c>
      <c r="N8" s="14">
        <f t="shared" ref="N8:N9" si="4">AH8-sum(K8:M8)</f>
        <v>1917.123</v>
      </c>
      <c r="O8" s="13">
        <f>1568.427</f>
        <v>1568.427</v>
      </c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5">
        <v>6356.109</v>
      </c>
      <c r="AB8" s="15">
        <v>6203.52</v>
      </c>
      <c r="AC8" s="15">
        <v>4300.895</v>
      </c>
      <c r="AD8" s="15">
        <v>6492.993</v>
      </c>
      <c r="AE8" s="15">
        <v>6871.081</v>
      </c>
      <c r="AF8" s="15">
        <v>6752.053</v>
      </c>
      <c r="AG8" s="15">
        <v>6482.636</v>
      </c>
      <c r="AH8" s="16">
        <v>6473.623</v>
      </c>
      <c r="AI8" s="1">
        <f t="shared" ref="AI8:AR8" si="2">+AH8*0.96</f>
        <v>6214.67808</v>
      </c>
      <c r="AJ8" s="1">
        <f t="shared" si="2"/>
        <v>5966.090957</v>
      </c>
      <c r="AK8" s="1">
        <f t="shared" si="2"/>
        <v>5727.447319</v>
      </c>
      <c r="AL8" s="1">
        <f t="shared" si="2"/>
        <v>5498.349426</v>
      </c>
      <c r="AM8" s="1">
        <f t="shared" si="2"/>
        <v>5278.415449</v>
      </c>
      <c r="AN8" s="1">
        <f t="shared" si="2"/>
        <v>5067.278831</v>
      </c>
      <c r="AO8" s="1">
        <f t="shared" si="2"/>
        <v>4864.587678</v>
      </c>
      <c r="AP8" s="1">
        <f t="shared" si="2"/>
        <v>4670.00417</v>
      </c>
      <c r="AQ8" s="1">
        <f t="shared" si="2"/>
        <v>4483.204004</v>
      </c>
      <c r="AR8" s="1">
        <f t="shared" si="2"/>
        <v>4303.875844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</row>
    <row r="9" ht="12.75" customHeight="1">
      <c r="A9" s="1"/>
      <c r="B9" s="1" t="s">
        <v>31</v>
      </c>
      <c r="C9" s="13">
        <v>29.959</v>
      </c>
      <c r="D9" s="13">
        <v>30.041</v>
      </c>
      <c r="E9" s="13">
        <v>27.872</v>
      </c>
      <c r="F9" s="13">
        <f t="shared" si="3"/>
        <v>34.495</v>
      </c>
      <c r="G9" s="13">
        <v>23.758</v>
      </c>
      <c r="H9" s="13">
        <v>24.708</v>
      </c>
      <c r="I9" s="13">
        <v>24.151</v>
      </c>
      <c r="J9" s="13">
        <v>35.0</v>
      </c>
      <c r="K9" s="13">
        <v>18.1</v>
      </c>
      <c r="L9" s="13">
        <v>22.2</v>
      </c>
      <c r="M9" s="13"/>
      <c r="N9" s="14">
        <f t="shared" si="4"/>
        <v>49.413</v>
      </c>
      <c r="O9" s="13">
        <f>20.194</f>
        <v>20.194</v>
      </c>
      <c r="P9" s="2"/>
      <c r="Q9" s="2"/>
      <c r="R9" s="2"/>
      <c r="S9" s="1"/>
      <c r="T9" s="1"/>
      <c r="U9" s="1"/>
      <c r="V9" s="1"/>
      <c r="W9" s="1"/>
      <c r="X9" s="1"/>
      <c r="Y9" s="1"/>
      <c r="Z9" s="1"/>
      <c r="AA9" s="15">
        <v>147.24</v>
      </c>
      <c r="AB9" s="15">
        <v>139.691</v>
      </c>
      <c r="AC9" s="15">
        <v>132.29</v>
      </c>
      <c r="AD9" s="15">
        <v>131.274</v>
      </c>
      <c r="AE9" s="15">
        <v>125.134</v>
      </c>
      <c r="AF9" s="15">
        <v>122.367</v>
      </c>
      <c r="AG9" s="15">
        <v>107.595</v>
      </c>
      <c r="AH9" s="16">
        <v>89.713</v>
      </c>
      <c r="AI9" s="1">
        <f t="shared" ref="AI9:AR9" si="5">+AI8*(AH9/AH8)</f>
        <v>86.12448</v>
      </c>
      <c r="AJ9" s="1">
        <f t="shared" si="5"/>
        <v>82.6795008</v>
      </c>
      <c r="AK9" s="1">
        <f t="shared" si="5"/>
        <v>79.37232077</v>
      </c>
      <c r="AL9" s="1">
        <f t="shared" si="5"/>
        <v>76.19742794</v>
      </c>
      <c r="AM9" s="1">
        <f t="shared" si="5"/>
        <v>73.14953082</v>
      </c>
      <c r="AN9" s="1">
        <f t="shared" si="5"/>
        <v>70.22354959</v>
      </c>
      <c r="AO9" s="1">
        <f t="shared" si="5"/>
        <v>67.4146076</v>
      </c>
      <c r="AP9" s="1">
        <f t="shared" si="5"/>
        <v>64.7180233</v>
      </c>
      <c r="AQ9" s="1">
        <f t="shared" si="5"/>
        <v>62.12930237</v>
      </c>
      <c r="AR9" s="1">
        <f t="shared" si="5"/>
        <v>59.64413027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</row>
    <row r="10" ht="12.75" customHeight="1">
      <c r="A10" s="17"/>
      <c r="B10" s="17" t="s">
        <v>32</v>
      </c>
      <c r="C10" s="18">
        <f t="shared" ref="C10:O10" si="6">+SUM(C8:C9)</f>
        <v>1613.907</v>
      </c>
      <c r="D10" s="18">
        <f t="shared" si="6"/>
        <v>1597.418</v>
      </c>
      <c r="E10" s="18">
        <f t="shared" si="6"/>
        <v>1504.234</v>
      </c>
      <c r="F10" s="18">
        <f t="shared" si="6"/>
        <v>2158.861</v>
      </c>
      <c r="G10" s="18">
        <f t="shared" si="6"/>
        <v>1572.809</v>
      </c>
      <c r="H10" s="18">
        <f t="shared" si="6"/>
        <v>1514.646</v>
      </c>
      <c r="I10" s="18">
        <f t="shared" si="6"/>
        <v>1451.16</v>
      </c>
      <c r="J10" s="18">
        <f t="shared" si="6"/>
        <v>2051.6</v>
      </c>
      <c r="K10" s="18">
        <f t="shared" si="6"/>
        <v>1547</v>
      </c>
      <c r="L10" s="18">
        <f t="shared" si="6"/>
        <v>1536</v>
      </c>
      <c r="M10" s="18">
        <f t="shared" si="6"/>
        <v>1513.8</v>
      </c>
      <c r="N10" s="18">
        <f t="shared" si="6"/>
        <v>1966.536</v>
      </c>
      <c r="O10" s="18">
        <f t="shared" si="6"/>
        <v>1588.621</v>
      </c>
      <c r="P10" s="18"/>
      <c r="Q10" s="18"/>
      <c r="R10" s="18"/>
      <c r="S10" s="17"/>
      <c r="T10" s="17"/>
      <c r="U10" s="17"/>
      <c r="V10" s="17"/>
      <c r="W10" s="17"/>
      <c r="X10" s="17"/>
      <c r="Y10" s="17"/>
      <c r="Z10" s="17"/>
      <c r="AA10" s="17">
        <f t="shared" ref="AA10:AF10" si="7">+SUM(AA8:AA9)</f>
        <v>6503.349</v>
      </c>
      <c r="AB10" s="17">
        <f t="shared" si="7"/>
        <v>6343.211</v>
      </c>
      <c r="AC10" s="17">
        <f t="shared" si="7"/>
        <v>4433.185</v>
      </c>
      <c r="AD10" s="17">
        <f t="shared" si="7"/>
        <v>6624.267</v>
      </c>
      <c r="AE10" s="17">
        <f t="shared" si="7"/>
        <v>6996.215</v>
      </c>
      <c r="AF10" s="17">
        <f t="shared" si="7"/>
        <v>6874.42</v>
      </c>
      <c r="AG10" s="17">
        <f t="shared" ref="AG10:AR10" si="8">SUM(AG8:AG9)</f>
        <v>6590.231</v>
      </c>
      <c r="AH10" s="17">
        <f t="shared" si="8"/>
        <v>6563.336</v>
      </c>
      <c r="AI10" s="17">
        <f t="shared" si="8"/>
        <v>6300.80256</v>
      </c>
      <c r="AJ10" s="17">
        <f t="shared" si="8"/>
        <v>6048.770458</v>
      </c>
      <c r="AK10" s="17">
        <f t="shared" si="8"/>
        <v>5806.819639</v>
      </c>
      <c r="AL10" s="17">
        <f t="shared" si="8"/>
        <v>5574.546854</v>
      </c>
      <c r="AM10" s="17">
        <f t="shared" si="8"/>
        <v>5351.56498</v>
      </c>
      <c r="AN10" s="17">
        <f t="shared" si="8"/>
        <v>5137.50238</v>
      </c>
      <c r="AO10" s="17">
        <f t="shared" si="8"/>
        <v>4932.002285</v>
      </c>
      <c r="AP10" s="17">
        <f t="shared" si="8"/>
        <v>4734.722194</v>
      </c>
      <c r="AQ10" s="17">
        <f t="shared" si="8"/>
        <v>4545.333306</v>
      </c>
      <c r="AR10" s="17">
        <f t="shared" si="8"/>
        <v>4363.519974</v>
      </c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</row>
    <row r="11" ht="12.75" customHeight="1">
      <c r="A11" s="1"/>
      <c r="B11" s="1" t="s">
        <v>8</v>
      </c>
      <c r="C11" s="13">
        <v>891.261</v>
      </c>
      <c r="D11" s="13">
        <v>958.835</v>
      </c>
      <c r="E11" s="13">
        <v>834.537</v>
      </c>
      <c r="F11" s="13">
        <f t="shared" ref="F11:F19" si="10">+AF11-SUM(C11:E11)</f>
        <v>1346.475</v>
      </c>
      <c r="G11" s="13">
        <v>857.825</v>
      </c>
      <c r="H11" s="13">
        <v>930.331</v>
      </c>
      <c r="I11" s="13">
        <v>819.313</v>
      </c>
      <c r="J11" s="13">
        <v>1312.1</v>
      </c>
      <c r="K11" s="13">
        <v>857.7</v>
      </c>
      <c r="L11" s="14">
        <v>959.306</v>
      </c>
      <c r="M11" s="14">
        <v>831.643</v>
      </c>
      <c r="N11" s="14">
        <f t="shared" ref="N11:N15" si="11">AH11-sum(K11:M11)</f>
        <v>1268.213</v>
      </c>
      <c r="O11" s="14">
        <v>870.368</v>
      </c>
      <c r="P11" s="2"/>
      <c r="Q11" s="2"/>
      <c r="R11" s="2"/>
      <c r="S11" s="1"/>
      <c r="T11" s="1"/>
      <c r="U11" s="1"/>
      <c r="V11" s="1"/>
      <c r="W11" s="1"/>
      <c r="X11" s="1"/>
      <c r="Y11" s="1"/>
      <c r="Z11" s="1"/>
      <c r="AA11" s="15">
        <v>4291.52</v>
      </c>
      <c r="AB11" s="15">
        <v>4235.978</v>
      </c>
      <c r="AC11" s="15">
        <v>3069.063</v>
      </c>
      <c r="AD11" s="15">
        <v>3747.665</v>
      </c>
      <c r="AE11" s="15">
        <v>3983.598</v>
      </c>
      <c r="AF11" s="15">
        <v>4031.108</v>
      </c>
      <c r="AG11" s="15">
        <v>3919.549</v>
      </c>
      <c r="AH11" s="16">
        <v>3916.862</v>
      </c>
      <c r="AI11" s="1">
        <f t="shared" ref="AI11:AR11" si="9">+AI$10*(AH11/AH$10)</f>
        <v>3760.18752</v>
      </c>
      <c r="AJ11" s="1">
        <f t="shared" si="9"/>
        <v>3609.780019</v>
      </c>
      <c r="AK11" s="1">
        <f t="shared" si="9"/>
        <v>3465.388818</v>
      </c>
      <c r="AL11" s="1">
        <f t="shared" si="9"/>
        <v>3326.773266</v>
      </c>
      <c r="AM11" s="1">
        <f t="shared" si="9"/>
        <v>3193.702335</v>
      </c>
      <c r="AN11" s="1">
        <f t="shared" si="9"/>
        <v>3065.954242</v>
      </c>
      <c r="AO11" s="1">
        <f t="shared" si="9"/>
        <v>2943.316072</v>
      </c>
      <c r="AP11" s="1">
        <f t="shared" si="9"/>
        <v>2825.583429</v>
      </c>
      <c r="AQ11" s="1">
        <f t="shared" si="9"/>
        <v>2712.560092</v>
      </c>
      <c r="AR11" s="1">
        <f t="shared" si="9"/>
        <v>2604.057688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</row>
    <row r="12" ht="12.75" customHeight="1">
      <c r="A12" s="1"/>
      <c r="B12" s="1" t="s">
        <v>33</v>
      </c>
      <c r="C12" s="13">
        <v>406.375</v>
      </c>
      <c r="D12" s="13">
        <v>412.543</v>
      </c>
      <c r="E12" s="13">
        <v>421.825</v>
      </c>
      <c r="F12" s="13">
        <f t="shared" si="10"/>
        <v>476.672</v>
      </c>
      <c r="G12" s="13">
        <v>426.674</v>
      </c>
      <c r="H12" s="13">
        <v>433.659</v>
      </c>
      <c r="I12" s="13">
        <v>418.899</v>
      </c>
      <c r="J12" s="13">
        <v>452.0</v>
      </c>
      <c r="K12" s="13">
        <v>421.7</v>
      </c>
      <c r="L12" s="14">
        <v>434.165</v>
      </c>
      <c r="M12" s="14">
        <v>440.409</v>
      </c>
      <c r="N12" s="14">
        <f t="shared" si="11"/>
        <v>462.962</v>
      </c>
      <c r="O12" s="14">
        <v>443.98</v>
      </c>
      <c r="P12" s="2"/>
      <c r="Q12" s="2"/>
      <c r="R12" s="2"/>
      <c r="S12" s="1"/>
      <c r="T12" s="1"/>
      <c r="U12" s="1"/>
      <c r="V12" s="1"/>
      <c r="W12" s="1"/>
      <c r="X12" s="1"/>
      <c r="Y12" s="1"/>
      <c r="Z12" s="1"/>
      <c r="AA12" s="15">
        <v>1691.18</v>
      </c>
      <c r="AB12" s="15">
        <v>1691.017</v>
      </c>
      <c r="AC12" s="15">
        <v>1211.483</v>
      </c>
      <c r="AD12" s="15">
        <v>1536.554</v>
      </c>
      <c r="AE12" s="15">
        <v>1674.317</v>
      </c>
      <c r="AF12" s="15">
        <v>1717.415</v>
      </c>
      <c r="AG12" s="15">
        <v>1731.234</v>
      </c>
      <c r="AH12" s="16">
        <v>1759.236</v>
      </c>
      <c r="AI12" s="1">
        <f t="shared" ref="AI12:AR12" si="12">+AI$10*(AH12/AH$10)</f>
        <v>1688.86656</v>
      </c>
      <c r="AJ12" s="1">
        <f t="shared" si="12"/>
        <v>1621.311898</v>
      </c>
      <c r="AK12" s="1">
        <f t="shared" si="12"/>
        <v>1556.459422</v>
      </c>
      <c r="AL12" s="1">
        <f t="shared" si="12"/>
        <v>1494.201045</v>
      </c>
      <c r="AM12" s="1">
        <f t="shared" si="12"/>
        <v>1434.433003</v>
      </c>
      <c r="AN12" s="1">
        <f t="shared" si="12"/>
        <v>1377.055683</v>
      </c>
      <c r="AO12" s="1">
        <f t="shared" si="12"/>
        <v>1321.973456</v>
      </c>
      <c r="AP12" s="1">
        <f t="shared" si="12"/>
        <v>1269.094517</v>
      </c>
      <c r="AQ12" s="1">
        <f t="shared" si="12"/>
        <v>1218.330737</v>
      </c>
      <c r="AR12" s="1">
        <f t="shared" si="12"/>
        <v>1169.597507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</row>
    <row r="13" ht="12.75" customHeight="1">
      <c r="A13" s="1"/>
      <c r="B13" s="1" t="s">
        <v>34</v>
      </c>
      <c r="C13" s="13">
        <v>4.381</v>
      </c>
      <c r="D13" s="13">
        <v>4.961</v>
      </c>
      <c r="E13" s="13">
        <v>4.932</v>
      </c>
      <c r="F13" s="13">
        <f t="shared" si="10"/>
        <v>7.295</v>
      </c>
      <c r="G13" s="13">
        <v>5.24</v>
      </c>
      <c r="H13" s="13">
        <v>4.956</v>
      </c>
      <c r="I13" s="13">
        <v>4.888</v>
      </c>
      <c r="J13" s="13">
        <v>6.5</v>
      </c>
      <c r="K13" s="13">
        <v>4.6</v>
      </c>
      <c r="L13" s="14">
        <v>4.551</v>
      </c>
      <c r="M13" s="14">
        <v>4.354</v>
      </c>
      <c r="N13" s="14">
        <f t="shared" si="11"/>
        <v>5.718</v>
      </c>
      <c r="O13" s="14">
        <v>3.889</v>
      </c>
      <c r="P13" s="2"/>
      <c r="Q13" s="2"/>
      <c r="R13" s="2"/>
      <c r="S13" s="1"/>
      <c r="T13" s="1"/>
      <c r="U13" s="1"/>
      <c r="V13" s="1"/>
      <c r="W13" s="1"/>
      <c r="X13" s="1"/>
      <c r="Y13" s="1"/>
      <c r="Z13" s="1"/>
      <c r="AA13" s="15">
        <v>28.646</v>
      </c>
      <c r="AB13" s="15">
        <v>26.375</v>
      </c>
      <c r="AC13" s="15">
        <v>22.174</v>
      </c>
      <c r="AD13" s="15">
        <v>22.594</v>
      </c>
      <c r="AE13" s="15">
        <v>23.169</v>
      </c>
      <c r="AF13" s="15">
        <v>21.569</v>
      </c>
      <c r="AG13" s="15">
        <v>21.419</v>
      </c>
      <c r="AH13" s="16">
        <v>19.223</v>
      </c>
      <c r="AI13" s="1">
        <f t="shared" ref="AI13:AR13" si="13">+AI$10*(AH13/AH$10)</f>
        <v>18.45408</v>
      </c>
      <c r="AJ13" s="1">
        <f t="shared" si="13"/>
        <v>17.7159168</v>
      </c>
      <c r="AK13" s="1">
        <f t="shared" si="13"/>
        <v>17.00728013</v>
      </c>
      <c r="AL13" s="1">
        <f t="shared" si="13"/>
        <v>16.32698892</v>
      </c>
      <c r="AM13" s="1">
        <f t="shared" si="13"/>
        <v>15.67390937</v>
      </c>
      <c r="AN13" s="1">
        <f t="shared" si="13"/>
        <v>15.04695299</v>
      </c>
      <c r="AO13" s="1">
        <f t="shared" si="13"/>
        <v>14.44507487</v>
      </c>
      <c r="AP13" s="1">
        <f t="shared" si="13"/>
        <v>13.86727188</v>
      </c>
      <c r="AQ13" s="1">
        <f t="shared" si="13"/>
        <v>13.312581</v>
      </c>
      <c r="AR13" s="1">
        <f t="shared" si="13"/>
        <v>12.78007776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</row>
    <row r="14" ht="12.75" customHeight="1">
      <c r="A14" s="1"/>
      <c r="B14" s="1" t="s">
        <v>35</v>
      </c>
      <c r="C14" s="13">
        <v>0.123</v>
      </c>
      <c r="D14" s="13">
        <v>0.132</v>
      </c>
      <c r="E14" s="13">
        <v>-1.79</v>
      </c>
      <c r="F14" s="13">
        <f t="shared" si="10"/>
        <v>-3.065</v>
      </c>
      <c r="G14" s="13">
        <v>-3.532</v>
      </c>
      <c r="H14" s="13">
        <v>-3.934</v>
      </c>
      <c r="I14" s="13">
        <v>-4.478</v>
      </c>
      <c r="J14" s="13">
        <v>-1.8</v>
      </c>
      <c r="K14" s="13">
        <v>-0.8</v>
      </c>
      <c r="L14" s="14">
        <v>-1.457</v>
      </c>
      <c r="M14" s="14">
        <v>-3.076</v>
      </c>
      <c r="N14" s="14">
        <f t="shared" si="11"/>
        <v>-0.897</v>
      </c>
      <c r="O14" s="14">
        <v>-0.699</v>
      </c>
      <c r="P14" s="2"/>
      <c r="Q14" s="2"/>
      <c r="R14" s="2"/>
      <c r="S14" s="1"/>
      <c r="T14" s="1"/>
      <c r="U14" s="1"/>
      <c r="V14" s="1"/>
      <c r="W14" s="1"/>
      <c r="X14" s="1"/>
      <c r="Y14" s="1"/>
      <c r="Z14" s="1"/>
      <c r="AA14" s="15">
        <v>52.518</v>
      </c>
      <c r="AB14" s="15">
        <v>46.227</v>
      </c>
      <c r="AC14" s="15">
        <v>49.108</v>
      </c>
      <c r="AD14" s="15">
        <v>43.092</v>
      </c>
      <c r="AE14" s="15">
        <v>30.527</v>
      </c>
      <c r="AF14" s="15">
        <v>-4.6</v>
      </c>
      <c r="AG14" s="15">
        <v>-13.695</v>
      </c>
      <c r="AH14" s="16">
        <v>-6.23</v>
      </c>
      <c r="AI14" s="1">
        <f t="shared" ref="AI14:AR14" si="14">+AI$10*(AH14/AH$10)</f>
        <v>-5.9808</v>
      </c>
      <c r="AJ14" s="1">
        <f t="shared" si="14"/>
        <v>-5.741568</v>
      </c>
      <c r="AK14" s="1">
        <f t="shared" si="14"/>
        <v>-5.51190528</v>
      </c>
      <c r="AL14" s="1">
        <f t="shared" si="14"/>
        <v>-5.291429069</v>
      </c>
      <c r="AM14" s="1">
        <f t="shared" si="14"/>
        <v>-5.079771906</v>
      </c>
      <c r="AN14" s="1">
        <f t="shared" si="14"/>
        <v>-4.87658103</v>
      </c>
      <c r="AO14" s="1">
        <f t="shared" si="14"/>
        <v>-4.681517789</v>
      </c>
      <c r="AP14" s="1">
        <f t="shared" si="14"/>
        <v>-4.494257077</v>
      </c>
      <c r="AQ14" s="1">
        <f t="shared" si="14"/>
        <v>-4.314486794</v>
      </c>
      <c r="AR14" s="1">
        <f t="shared" si="14"/>
        <v>-4.141907322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</row>
    <row r="15" ht="12.75" customHeight="1">
      <c r="A15" s="1"/>
      <c r="B15" s="1" t="s">
        <v>36</v>
      </c>
      <c r="C15" s="13">
        <v>4.698</v>
      </c>
      <c r="D15" s="13">
        <v>4.698</v>
      </c>
      <c r="E15" s="13">
        <v>4.697</v>
      </c>
      <c r="F15" s="13">
        <f t="shared" si="10"/>
        <v>4.698</v>
      </c>
      <c r="G15" s="13">
        <v>6.158</v>
      </c>
      <c r="H15" s="13">
        <v>6.158</v>
      </c>
      <c r="I15" s="13">
        <v>6.158</v>
      </c>
      <c r="J15" s="13">
        <v>6.2</v>
      </c>
      <c r="K15" s="13">
        <v>5.7</v>
      </c>
      <c r="L15" s="14">
        <v>5.035</v>
      </c>
      <c r="M15" s="14">
        <v>5.035</v>
      </c>
      <c r="N15" s="14">
        <f t="shared" si="11"/>
        <v>5.027</v>
      </c>
      <c r="O15" s="14">
        <v>5.003</v>
      </c>
      <c r="P15" s="2"/>
      <c r="Q15" s="2"/>
      <c r="R15" s="2"/>
      <c r="S15" s="1"/>
      <c r="T15" s="1"/>
      <c r="U15" s="1"/>
      <c r="V15" s="1"/>
      <c r="W15" s="1"/>
      <c r="X15" s="1"/>
      <c r="Y15" s="1"/>
      <c r="Z15" s="1"/>
      <c r="AA15" s="15">
        <v>7.66</v>
      </c>
      <c r="AB15" s="15">
        <v>7.667</v>
      </c>
      <c r="AC15" s="15">
        <v>8.417</v>
      </c>
      <c r="AD15" s="15">
        <v>11.366</v>
      </c>
      <c r="AE15" s="15">
        <v>7.744</v>
      </c>
      <c r="AF15" s="15">
        <v>18.791</v>
      </c>
      <c r="AG15" s="15">
        <v>24.631</v>
      </c>
      <c r="AH15" s="16">
        <v>20.797</v>
      </c>
      <c r="AI15" s="1">
        <f t="shared" ref="AI15:AR15" si="15">+AI$10*(AH15/AH$10)</f>
        <v>19.96512</v>
      </c>
      <c r="AJ15" s="1">
        <f t="shared" si="15"/>
        <v>19.1665152</v>
      </c>
      <c r="AK15" s="1">
        <f t="shared" si="15"/>
        <v>18.39985459</v>
      </c>
      <c r="AL15" s="1">
        <f t="shared" si="15"/>
        <v>17.66386041</v>
      </c>
      <c r="AM15" s="1">
        <f t="shared" si="15"/>
        <v>16.95730599</v>
      </c>
      <c r="AN15" s="1">
        <f t="shared" si="15"/>
        <v>16.27901375</v>
      </c>
      <c r="AO15" s="1">
        <f t="shared" si="15"/>
        <v>15.6278532</v>
      </c>
      <c r="AP15" s="1">
        <f t="shared" si="15"/>
        <v>15.00273907</v>
      </c>
      <c r="AQ15" s="1">
        <f t="shared" si="15"/>
        <v>14.40262951</v>
      </c>
      <c r="AR15" s="1">
        <f t="shared" si="15"/>
        <v>13.82652433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</row>
    <row r="16" ht="12.75" customHeight="1">
      <c r="A16" s="1"/>
      <c r="B16" s="1" t="s">
        <v>37</v>
      </c>
      <c r="C16" s="2">
        <f t="shared" ref="C16:E16" si="16">+C10-SUM(C11:C15)</f>
        <v>307.069</v>
      </c>
      <c r="D16" s="2">
        <f t="shared" si="16"/>
        <v>216.249</v>
      </c>
      <c r="E16" s="2">
        <f t="shared" si="16"/>
        <v>240.033</v>
      </c>
      <c r="F16" s="2">
        <f t="shared" si="10"/>
        <v>326.786</v>
      </c>
      <c r="G16" s="2">
        <f t="shared" ref="G16:O16" si="17">+G10-SUM(G11:G15)</f>
        <v>280.444</v>
      </c>
      <c r="H16" s="2">
        <f t="shared" si="17"/>
        <v>143.476</v>
      </c>
      <c r="I16" s="2">
        <f t="shared" si="17"/>
        <v>206.38</v>
      </c>
      <c r="J16" s="2">
        <f t="shared" si="17"/>
        <v>276.6</v>
      </c>
      <c r="K16" s="2">
        <f t="shared" si="17"/>
        <v>258.1</v>
      </c>
      <c r="L16" s="2">
        <f t="shared" si="17"/>
        <v>134.4</v>
      </c>
      <c r="M16" s="2">
        <f t="shared" si="17"/>
        <v>235.435</v>
      </c>
      <c r="N16" s="2">
        <f t="shared" si="17"/>
        <v>225.513</v>
      </c>
      <c r="O16" s="2">
        <f t="shared" si="17"/>
        <v>266.08</v>
      </c>
      <c r="P16" s="2"/>
      <c r="Q16" s="2"/>
      <c r="R16" s="2"/>
      <c r="S16" s="1"/>
      <c r="T16" s="1"/>
      <c r="U16" s="1"/>
      <c r="V16" s="1"/>
      <c r="W16" s="1"/>
      <c r="X16" s="1"/>
      <c r="Y16" s="1"/>
      <c r="Z16" s="1"/>
      <c r="AA16" s="1">
        <f t="shared" ref="AA16:AR16" si="18">+AA10-SUM(AA11:AA15)</f>
        <v>431.825</v>
      </c>
      <c r="AB16" s="1">
        <f t="shared" si="18"/>
        <v>335.947</v>
      </c>
      <c r="AC16" s="1">
        <f t="shared" si="18"/>
        <v>72.94</v>
      </c>
      <c r="AD16" s="1">
        <f t="shared" si="18"/>
        <v>1262.996</v>
      </c>
      <c r="AE16" s="1">
        <f t="shared" si="18"/>
        <v>1276.86</v>
      </c>
      <c r="AF16" s="1">
        <f t="shared" si="18"/>
        <v>1090.137</v>
      </c>
      <c r="AG16" s="1">
        <f t="shared" si="18"/>
        <v>907.093</v>
      </c>
      <c r="AH16" s="1">
        <f t="shared" si="18"/>
        <v>853.448</v>
      </c>
      <c r="AI16" s="1">
        <f t="shared" si="18"/>
        <v>819.31008</v>
      </c>
      <c r="AJ16" s="1">
        <f t="shared" si="18"/>
        <v>786.5376768</v>
      </c>
      <c r="AK16" s="1">
        <f t="shared" si="18"/>
        <v>755.0761697</v>
      </c>
      <c r="AL16" s="1">
        <f t="shared" si="18"/>
        <v>724.8731229</v>
      </c>
      <c r="AM16" s="1">
        <f t="shared" si="18"/>
        <v>695.878198</v>
      </c>
      <c r="AN16" s="1">
        <f t="shared" si="18"/>
        <v>668.0430701</v>
      </c>
      <c r="AO16" s="1">
        <f t="shared" si="18"/>
        <v>641.3213473</v>
      </c>
      <c r="AP16" s="1">
        <f t="shared" si="18"/>
        <v>615.6684934</v>
      </c>
      <c r="AQ16" s="1">
        <f t="shared" si="18"/>
        <v>591.0417537</v>
      </c>
      <c r="AR16" s="1">
        <f t="shared" si="18"/>
        <v>567.4000835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</row>
    <row r="17" ht="12.75" customHeight="1">
      <c r="A17" s="1"/>
      <c r="B17" s="1" t="s">
        <v>38</v>
      </c>
      <c r="C17" s="13">
        <v>61.62</v>
      </c>
      <c r="D17" s="13">
        <v>40.08</v>
      </c>
      <c r="E17" s="13">
        <v>44.04</v>
      </c>
      <c r="F17" s="13">
        <f t="shared" si="10"/>
        <v>32.03</v>
      </c>
      <c r="G17" s="13">
        <v>54.77</v>
      </c>
      <c r="H17" s="13">
        <v>22.63</v>
      </c>
      <c r="I17" s="13">
        <v>37.91</v>
      </c>
      <c r="J17" s="13">
        <v>20.9</v>
      </c>
      <c r="K17" s="13">
        <v>49.9</v>
      </c>
      <c r="L17" s="14">
        <v>21.75</v>
      </c>
      <c r="M17" s="14">
        <v>39.0</v>
      </c>
      <c r="N17" s="14">
        <f>AH17-sum(K17:M17)</f>
        <v>14.05</v>
      </c>
      <c r="O17" s="14">
        <v>76.78</v>
      </c>
      <c r="P17" s="2"/>
      <c r="Q17" s="2"/>
      <c r="R17" s="2"/>
      <c r="S17" s="1"/>
      <c r="T17" s="1"/>
      <c r="U17" s="1"/>
      <c r="V17" s="1"/>
      <c r="W17" s="1"/>
      <c r="X17" s="1"/>
      <c r="Y17" s="1"/>
      <c r="Z17" s="1"/>
      <c r="AA17" s="15">
        <v>37.73</v>
      </c>
      <c r="AB17" s="15">
        <v>22.81</v>
      </c>
      <c r="AC17" s="15">
        <v>-81.75</v>
      </c>
      <c r="AD17" s="15">
        <v>225.89</v>
      </c>
      <c r="AE17" s="15">
        <v>217.83</v>
      </c>
      <c r="AF17" s="15">
        <v>177.77</v>
      </c>
      <c r="AG17" s="15">
        <v>136.225</v>
      </c>
      <c r="AH17" s="16">
        <v>124.7</v>
      </c>
      <c r="AI17" s="1">
        <f t="shared" ref="AI17:AR17" si="19">+AI16*(AH17/AH16)</f>
        <v>119.712</v>
      </c>
      <c r="AJ17" s="1">
        <f t="shared" si="19"/>
        <v>114.92352</v>
      </c>
      <c r="AK17" s="1">
        <f t="shared" si="19"/>
        <v>110.3265792</v>
      </c>
      <c r="AL17" s="1">
        <f t="shared" si="19"/>
        <v>105.913516</v>
      </c>
      <c r="AM17" s="1">
        <f t="shared" si="19"/>
        <v>101.6769754</v>
      </c>
      <c r="AN17" s="1">
        <f t="shared" si="19"/>
        <v>97.60989638</v>
      </c>
      <c r="AO17" s="1">
        <f t="shared" si="19"/>
        <v>93.70550052</v>
      </c>
      <c r="AP17" s="1">
        <f t="shared" si="19"/>
        <v>89.9572805</v>
      </c>
      <c r="AQ17" s="1">
        <f t="shared" si="19"/>
        <v>86.35898928</v>
      </c>
      <c r="AR17" s="1">
        <f t="shared" si="19"/>
        <v>82.90462971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</row>
    <row r="18" ht="12.75" customHeight="1">
      <c r="A18" s="1"/>
      <c r="B18" s="1" t="s">
        <v>39</v>
      </c>
      <c r="C18" s="2">
        <f t="shared" ref="C18:E18" si="20">+C16-C17</f>
        <v>245.449</v>
      </c>
      <c r="D18" s="2">
        <f t="shared" si="20"/>
        <v>176.169</v>
      </c>
      <c r="E18" s="2">
        <f t="shared" si="20"/>
        <v>195.993</v>
      </c>
      <c r="F18" s="2">
        <f t="shared" si="10"/>
        <v>294.756</v>
      </c>
      <c r="G18" s="2">
        <f t="shared" ref="G18:O18" si="21">+G16-G17</f>
        <v>225.674</v>
      </c>
      <c r="H18" s="2">
        <f t="shared" si="21"/>
        <v>120.846</v>
      </c>
      <c r="I18" s="2">
        <f t="shared" si="21"/>
        <v>168.47</v>
      </c>
      <c r="J18" s="2">
        <f t="shared" si="21"/>
        <v>255.7</v>
      </c>
      <c r="K18" s="2">
        <f t="shared" si="21"/>
        <v>208.2</v>
      </c>
      <c r="L18" s="2">
        <f t="shared" si="21"/>
        <v>112.65</v>
      </c>
      <c r="M18" s="2">
        <f t="shared" si="21"/>
        <v>196.435</v>
      </c>
      <c r="N18" s="2">
        <f t="shared" si="21"/>
        <v>211.463</v>
      </c>
      <c r="O18" s="2">
        <f t="shared" si="21"/>
        <v>189.3</v>
      </c>
      <c r="P18" s="2"/>
      <c r="Q18" s="2"/>
      <c r="R18" s="2"/>
      <c r="S18" s="1"/>
      <c r="T18" s="1"/>
      <c r="U18" s="1"/>
      <c r="V18" s="1"/>
      <c r="W18" s="1"/>
      <c r="X18" s="1"/>
      <c r="Y18" s="1"/>
      <c r="Z18" s="1"/>
      <c r="AA18" s="1">
        <f t="shared" ref="AA18:AR18" si="22">+AA16-AA17</f>
        <v>394.095</v>
      </c>
      <c r="AB18" s="1">
        <f t="shared" si="22"/>
        <v>313.137</v>
      </c>
      <c r="AC18" s="1">
        <f t="shared" si="22"/>
        <v>154.69</v>
      </c>
      <c r="AD18" s="1">
        <f t="shared" si="22"/>
        <v>1037.106</v>
      </c>
      <c r="AE18" s="1">
        <f t="shared" si="22"/>
        <v>1059.03</v>
      </c>
      <c r="AF18" s="1">
        <f t="shared" si="22"/>
        <v>912.367</v>
      </c>
      <c r="AG18" s="1">
        <f t="shared" si="22"/>
        <v>770.868</v>
      </c>
      <c r="AH18" s="1">
        <f t="shared" si="22"/>
        <v>728.748</v>
      </c>
      <c r="AI18" s="1">
        <f t="shared" si="22"/>
        <v>699.59808</v>
      </c>
      <c r="AJ18" s="1">
        <f t="shared" si="22"/>
        <v>671.6141568</v>
      </c>
      <c r="AK18" s="1">
        <f t="shared" si="22"/>
        <v>644.7495905</v>
      </c>
      <c r="AL18" s="1">
        <f t="shared" si="22"/>
        <v>618.9596069</v>
      </c>
      <c r="AM18" s="1">
        <f t="shared" si="22"/>
        <v>594.2012226</v>
      </c>
      <c r="AN18" s="1">
        <f t="shared" si="22"/>
        <v>570.4331737</v>
      </c>
      <c r="AO18" s="1">
        <f t="shared" si="22"/>
        <v>547.6158468</v>
      </c>
      <c r="AP18" s="1">
        <f t="shared" si="22"/>
        <v>525.7112129</v>
      </c>
      <c r="AQ18" s="1">
        <f t="shared" si="22"/>
        <v>504.6827644</v>
      </c>
      <c r="AR18" s="1">
        <f t="shared" si="22"/>
        <v>484.4954538</v>
      </c>
      <c r="AS18" s="1">
        <f t="shared" ref="AS18:MC18" si="23">+AR18* ( 1 + $AU$30)</f>
        <v>479.6504993</v>
      </c>
      <c r="AT18" s="1">
        <f t="shared" si="23"/>
        <v>474.8539943</v>
      </c>
      <c r="AU18" s="1">
        <f t="shared" si="23"/>
        <v>470.1054543</v>
      </c>
      <c r="AV18" s="1">
        <f t="shared" si="23"/>
        <v>465.4043998</v>
      </c>
      <c r="AW18" s="1">
        <f t="shared" si="23"/>
        <v>460.7503558</v>
      </c>
      <c r="AX18" s="1">
        <f t="shared" si="23"/>
        <v>456.1428522</v>
      </c>
      <c r="AY18" s="1">
        <f t="shared" si="23"/>
        <v>451.5814237</v>
      </c>
      <c r="AZ18" s="1">
        <f t="shared" si="23"/>
        <v>447.0656095</v>
      </c>
      <c r="BA18" s="1">
        <f t="shared" si="23"/>
        <v>442.5949534</v>
      </c>
      <c r="BB18" s="1">
        <f t="shared" si="23"/>
        <v>438.1690039</v>
      </c>
      <c r="BC18" s="1">
        <f t="shared" si="23"/>
        <v>433.7873138</v>
      </c>
      <c r="BD18" s="1">
        <f t="shared" si="23"/>
        <v>429.4494407</v>
      </c>
      <c r="BE18" s="1">
        <f t="shared" si="23"/>
        <v>425.1549463</v>
      </c>
      <c r="BF18" s="1">
        <f t="shared" si="23"/>
        <v>420.9033968</v>
      </c>
      <c r="BG18" s="1">
        <f t="shared" si="23"/>
        <v>416.6943628</v>
      </c>
      <c r="BH18" s="1">
        <f t="shared" si="23"/>
        <v>412.5274192</v>
      </c>
      <c r="BI18" s="1">
        <f t="shared" si="23"/>
        <v>408.402145</v>
      </c>
      <c r="BJ18" s="1">
        <f t="shared" si="23"/>
        <v>404.3181236</v>
      </c>
      <c r="BK18" s="1">
        <f t="shared" si="23"/>
        <v>400.2749423</v>
      </c>
      <c r="BL18" s="1">
        <f t="shared" si="23"/>
        <v>396.2721929</v>
      </c>
      <c r="BM18" s="1">
        <f t="shared" si="23"/>
        <v>392.309471</v>
      </c>
      <c r="BN18" s="1">
        <f t="shared" si="23"/>
        <v>388.3863763</v>
      </c>
      <c r="BO18" s="1">
        <f t="shared" si="23"/>
        <v>384.5025125</v>
      </c>
      <c r="BP18" s="1">
        <f t="shared" si="23"/>
        <v>380.6574874</v>
      </c>
      <c r="BQ18" s="1">
        <f t="shared" si="23"/>
        <v>376.8509125</v>
      </c>
      <c r="BR18" s="1">
        <f t="shared" si="23"/>
        <v>373.0824034</v>
      </c>
      <c r="BS18" s="1">
        <f t="shared" si="23"/>
        <v>369.3515793</v>
      </c>
      <c r="BT18" s="1">
        <f t="shared" si="23"/>
        <v>365.6580636</v>
      </c>
      <c r="BU18" s="1">
        <f t="shared" si="23"/>
        <v>362.0014829</v>
      </c>
      <c r="BV18" s="1">
        <f t="shared" si="23"/>
        <v>358.3814681</v>
      </c>
      <c r="BW18" s="1">
        <f t="shared" si="23"/>
        <v>354.7976534</v>
      </c>
      <c r="BX18" s="1">
        <f t="shared" si="23"/>
        <v>351.2496769</v>
      </c>
      <c r="BY18" s="1">
        <f t="shared" si="23"/>
        <v>347.7371801</v>
      </c>
      <c r="BZ18" s="1">
        <f t="shared" si="23"/>
        <v>344.2598083</v>
      </c>
      <c r="CA18" s="1">
        <f t="shared" si="23"/>
        <v>340.8172102</v>
      </c>
      <c r="CB18" s="1">
        <f t="shared" si="23"/>
        <v>337.4090381</v>
      </c>
      <c r="CC18" s="1">
        <f t="shared" si="23"/>
        <v>334.0349477</v>
      </c>
      <c r="CD18" s="1">
        <f t="shared" si="23"/>
        <v>330.6945983</v>
      </c>
      <c r="CE18" s="1">
        <f t="shared" si="23"/>
        <v>327.3876523</v>
      </c>
      <c r="CF18" s="1">
        <f t="shared" si="23"/>
        <v>324.1137758</v>
      </c>
      <c r="CG18" s="1">
        <f t="shared" si="23"/>
        <v>320.872638</v>
      </c>
      <c r="CH18" s="1">
        <f t="shared" si="23"/>
        <v>317.6639116</v>
      </c>
      <c r="CI18" s="1">
        <f t="shared" si="23"/>
        <v>314.4872725</v>
      </c>
      <c r="CJ18" s="1">
        <f t="shared" si="23"/>
        <v>311.3423998</v>
      </c>
      <c r="CK18" s="1">
        <f t="shared" si="23"/>
        <v>308.2289758</v>
      </c>
      <c r="CL18" s="1">
        <f t="shared" si="23"/>
        <v>305.146686</v>
      </c>
      <c r="CM18" s="1">
        <f t="shared" si="23"/>
        <v>302.0952192</v>
      </c>
      <c r="CN18" s="1">
        <f t="shared" si="23"/>
        <v>299.074267</v>
      </c>
      <c r="CO18" s="1">
        <f t="shared" si="23"/>
        <v>296.0835243</v>
      </c>
      <c r="CP18" s="1">
        <f t="shared" si="23"/>
        <v>293.1226891</v>
      </c>
      <c r="CQ18" s="1">
        <f t="shared" si="23"/>
        <v>290.1914622</v>
      </c>
      <c r="CR18" s="1">
        <f t="shared" si="23"/>
        <v>287.2895475</v>
      </c>
      <c r="CS18" s="1">
        <f t="shared" si="23"/>
        <v>284.4166521</v>
      </c>
      <c r="CT18" s="1">
        <f t="shared" si="23"/>
        <v>281.5724855</v>
      </c>
      <c r="CU18" s="1">
        <f t="shared" si="23"/>
        <v>278.7567607</v>
      </c>
      <c r="CV18" s="1">
        <f t="shared" si="23"/>
        <v>275.9691931</v>
      </c>
      <c r="CW18" s="1">
        <f t="shared" si="23"/>
        <v>273.2095012</v>
      </c>
      <c r="CX18" s="1">
        <f t="shared" si="23"/>
        <v>270.4774061</v>
      </c>
      <c r="CY18" s="1">
        <f t="shared" si="23"/>
        <v>267.7726321</v>
      </c>
      <c r="CZ18" s="1">
        <f t="shared" si="23"/>
        <v>265.0949058</v>
      </c>
      <c r="DA18" s="1">
        <f t="shared" si="23"/>
        <v>262.4439567</v>
      </c>
      <c r="DB18" s="1">
        <f t="shared" si="23"/>
        <v>259.8195171</v>
      </c>
      <c r="DC18" s="1">
        <f t="shared" si="23"/>
        <v>257.221322</v>
      </c>
      <c r="DD18" s="1">
        <f t="shared" si="23"/>
        <v>254.6491087</v>
      </c>
      <c r="DE18" s="1">
        <f t="shared" si="23"/>
        <v>252.1026177</v>
      </c>
      <c r="DF18" s="1">
        <f t="shared" si="23"/>
        <v>249.5815915</v>
      </c>
      <c r="DG18" s="1">
        <f t="shared" si="23"/>
        <v>247.0857756</v>
      </c>
      <c r="DH18" s="1">
        <f t="shared" si="23"/>
        <v>244.6149178</v>
      </c>
      <c r="DI18" s="1">
        <f t="shared" si="23"/>
        <v>242.1687686</v>
      </c>
      <c r="DJ18" s="1">
        <f t="shared" si="23"/>
        <v>239.7470809</v>
      </c>
      <c r="DK18" s="1">
        <f t="shared" si="23"/>
        <v>237.3496101</v>
      </c>
      <c r="DL18" s="1">
        <f t="shared" si="23"/>
        <v>234.976114</v>
      </c>
      <c r="DM18" s="1">
        <f t="shared" si="23"/>
        <v>232.6263529</v>
      </c>
      <c r="DN18" s="1">
        <f t="shared" si="23"/>
        <v>230.3000894</v>
      </c>
      <c r="DO18" s="1">
        <f t="shared" si="23"/>
        <v>227.9970885</v>
      </c>
      <c r="DP18" s="1">
        <f t="shared" si="23"/>
        <v>225.7171176</v>
      </c>
      <c r="DQ18" s="1">
        <f t="shared" si="23"/>
        <v>223.4599464</v>
      </c>
      <c r="DR18" s="1">
        <f t="shared" si="23"/>
        <v>221.2253469</v>
      </c>
      <c r="DS18" s="1">
        <f t="shared" si="23"/>
        <v>219.0130935</v>
      </c>
      <c r="DT18" s="1">
        <f t="shared" si="23"/>
        <v>216.8229625</v>
      </c>
      <c r="DU18" s="1">
        <f t="shared" si="23"/>
        <v>214.6547329</v>
      </c>
      <c r="DV18" s="1">
        <f t="shared" si="23"/>
        <v>212.5081856</v>
      </c>
      <c r="DW18" s="1">
        <f t="shared" si="23"/>
        <v>210.3831037</v>
      </c>
      <c r="DX18" s="1">
        <f t="shared" si="23"/>
        <v>208.2792727</v>
      </c>
      <c r="DY18" s="1">
        <f t="shared" si="23"/>
        <v>206.19648</v>
      </c>
      <c r="DZ18" s="1">
        <f t="shared" si="23"/>
        <v>204.1345152</v>
      </c>
      <c r="EA18" s="1">
        <f t="shared" si="23"/>
        <v>202.09317</v>
      </c>
      <c r="EB18" s="1">
        <f t="shared" si="23"/>
        <v>200.0722383</v>
      </c>
      <c r="EC18" s="1">
        <f t="shared" si="23"/>
        <v>198.0715159</v>
      </c>
      <c r="ED18" s="1">
        <f t="shared" si="23"/>
        <v>196.0908008</v>
      </c>
      <c r="EE18" s="1">
        <f t="shared" si="23"/>
        <v>194.1298928</v>
      </c>
      <c r="EF18" s="1">
        <f t="shared" si="23"/>
        <v>192.1885938</v>
      </c>
      <c r="EG18" s="1">
        <f t="shared" si="23"/>
        <v>190.2667079</v>
      </c>
      <c r="EH18" s="1">
        <f t="shared" si="23"/>
        <v>188.3640408</v>
      </c>
      <c r="EI18" s="1">
        <f t="shared" si="23"/>
        <v>186.4804004</v>
      </c>
      <c r="EJ18" s="1">
        <f t="shared" si="23"/>
        <v>184.6155964</v>
      </c>
      <c r="EK18" s="1">
        <f t="shared" si="23"/>
        <v>182.7694404</v>
      </c>
      <c r="EL18" s="1">
        <f t="shared" si="23"/>
        <v>180.941746</v>
      </c>
      <c r="EM18" s="1">
        <f t="shared" si="23"/>
        <v>179.1323286</v>
      </c>
      <c r="EN18" s="1">
        <f t="shared" si="23"/>
        <v>177.3410053</v>
      </c>
      <c r="EO18" s="1">
        <f t="shared" si="23"/>
        <v>175.5675952</v>
      </c>
      <c r="EP18" s="1">
        <f t="shared" si="23"/>
        <v>173.8119193</v>
      </c>
      <c r="EQ18" s="1">
        <f t="shared" si="23"/>
        <v>172.0738001</v>
      </c>
      <c r="ER18" s="1">
        <f t="shared" si="23"/>
        <v>170.3530621</v>
      </c>
      <c r="ES18" s="1">
        <f t="shared" si="23"/>
        <v>168.6495315</v>
      </c>
      <c r="ET18" s="1">
        <f t="shared" si="23"/>
        <v>166.9630362</v>
      </c>
      <c r="EU18" s="1">
        <f t="shared" si="23"/>
        <v>165.2934058</v>
      </c>
      <c r="EV18" s="1">
        <f t="shared" si="23"/>
        <v>163.6404717</v>
      </c>
      <c r="EW18" s="1">
        <f t="shared" si="23"/>
        <v>162.004067</v>
      </c>
      <c r="EX18" s="1">
        <f t="shared" si="23"/>
        <v>160.3840264</v>
      </c>
      <c r="EY18" s="1">
        <f t="shared" si="23"/>
        <v>158.7801861</v>
      </c>
      <c r="EZ18" s="1">
        <f t="shared" si="23"/>
        <v>157.1923842</v>
      </c>
      <c r="FA18" s="1">
        <f t="shared" si="23"/>
        <v>155.6204604</v>
      </c>
      <c r="FB18" s="1">
        <f t="shared" si="23"/>
        <v>154.0642558</v>
      </c>
      <c r="FC18" s="1">
        <f t="shared" si="23"/>
        <v>152.5236132</v>
      </c>
      <c r="FD18" s="1">
        <f t="shared" si="23"/>
        <v>150.9983771</v>
      </c>
      <c r="FE18" s="1">
        <f t="shared" si="23"/>
        <v>149.4883933</v>
      </c>
      <c r="FF18" s="1">
        <f t="shared" si="23"/>
        <v>147.9935094</v>
      </c>
      <c r="FG18" s="1">
        <f t="shared" si="23"/>
        <v>146.5135743</v>
      </c>
      <c r="FH18" s="1">
        <f t="shared" si="23"/>
        <v>145.0484386</v>
      </c>
      <c r="FI18" s="1">
        <f t="shared" si="23"/>
        <v>143.5979542</v>
      </c>
      <c r="FJ18" s="1">
        <f t="shared" si="23"/>
        <v>142.1619746</v>
      </c>
      <c r="FK18" s="1">
        <f t="shared" si="23"/>
        <v>140.7403549</v>
      </c>
      <c r="FL18" s="1">
        <f t="shared" si="23"/>
        <v>139.3329513</v>
      </c>
      <c r="FM18" s="1">
        <f t="shared" si="23"/>
        <v>137.9396218</v>
      </c>
      <c r="FN18" s="1">
        <f t="shared" si="23"/>
        <v>136.5602256</v>
      </c>
      <c r="FO18" s="1">
        <f t="shared" si="23"/>
        <v>135.1946233</v>
      </c>
      <c r="FP18" s="1">
        <f t="shared" si="23"/>
        <v>133.8426771</v>
      </c>
      <c r="FQ18" s="1">
        <f t="shared" si="23"/>
        <v>132.5042503</v>
      </c>
      <c r="FR18" s="1">
        <f t="shared" si="23"/>
        <v>131.1792078</v>
      </c>
      <c r="FS18" s="1">
        <f t="shared" si="23"/>
        <v>129.8674158</v>
      </c>
      <c r="FT18" s="1">
        <f t="shared" si="23"/>
        <v>128.5687416</v>
      </c>
      <c r="FU18" s="1">
        <f t="shared" si="23"/>
        <v>127.2830542</v>
      </c>
      <c r="FV18" s="1">
        <f t="shared" si="23"/>
        <v>126.0102236</v>
      </c>
      <c r="FW18" s="1">
        <f t="shared" si="23"/>
        <v>124.7501214</v>
      </c>
      <c r="FX18" s="1">
        <f t="shared" si="23"/>
        <v>123.5026202</v>
      </c>
      <c r="FY18" s="1">
        <f t="shared" si="23"/>
        <v>122.267594</v>
      </c>
      <c r="FZ18" s="1">
        <f t="shared" si="23"/>
        <v>121.044918</v>
      </c>
      <c r="GA18" s="1">
        <f t="shared" si="23"/>
        <v>119.8344689</v>
      </c>
      <c r="GB18" s="1">
        <f t="shared" si="23"/>
        <v>118.6361242</v>
      </c>
      <c r="GC18" s="1">
        <f t="shared" si="23"/>
        <v>117.4497629</v>
      </c>
      <c r="GD18" s="1">
        <f t="shared" si="23"/>
        <v>116.2752653</v>
      </c>
      <c r="GE18" s="1">
        <f t="shared" si="23"/>
        <v>115.1125127</v>
      </c>
      <c r="GF18" s="1">
        <f t="shared" si="23"/>
        <v>113.9613875</v>
      </c>
      <c r="GG18" s="1">
        <f t="shared" si="23"/>
        <v>112.8217737</v>
      </c>
      <c r="GH18" s="1">
        <f t="shared" si="23"/>
        <v>111.6935559</v>
      </c>
      <c r="GI18" s="1">
        <f t="shared" si="23"/>
        <v>110.5766204</v>
      </c>
      <c r="GJ18" s="1">
        <f t="shared" si="23"/>
        <v>109.4708542</v>
      </c>
      <c r="GK18" s="1">
        <f t="shared" si="23"/>
        <v>108.3761456</v>
      </c>
      <c r="GL18" s="1">
        <f t="shared" si="23"/>
        <v>107.2923842</v>
      </c>
      <c r="GM18" s="1">
        <f t="shared" si="23"/>
        <v>106.2194603</v>
      </c>
      <c r="GN18" s="1">
        <f t="shared" si="23"/>
        <v>105.1572657</v>
      </c>
      <c r="GO18" s="1">
        <f t="shared" si="23"/>
        <v>104.1056931</v>
      </c>
      <c r="GP18" s="1">
        <f t="shared" si="23"/>
        <v>103.0646361</v>
      </c>
      <c r="GQ18" s="1">
        <f t="shared" si="23"/>
        <v>102.0339898</v>
      </c>
      <c r="GR18" s="1">
        <f t="shared" si="23"/>
        <v>101.0136499</v>
      </c>
      <c r="GS18" s="1">
        <f t="shared" si="23"/>
        <v>100.0035134</v>
      </c>
      <c r="GT18" s="1">
        <f t="shared" si="23"/>
        <v>99.00347823</v>
      </c>
      <c r="GU18" s="1">
        <f t="shared" si="23"/>
        <v>98.01344345</v>
      </c>
      <c r="GV18" s="1">
        <f t="shared" si="23"/>
        <v>97.03330902</v>
      </c>
      <c r="GW18" s="1">
        <f t="shared" si="23"/>
        <v>96.06297593</v>
      </c>
      <c r="GX18" s="1">
        <f t="shared" si="23"/>
        <v>95.10234617</v>
      </c>
      <c r="GY18" s="1">
        <f t="shared" si="23"/>
        <v>94.1513227</v>
      </c>
      <c r="GZ18" s="1">
        <f t="shared" si="23"/>
        <v>93.20980948</v>
      </c>
      <c r="HA18" s="1">
        <f t="shared" si="23"/>
        <v>92.27771138</v>
      </c>
      <c r="HB18" s="1">
        <f t="shared" si="23"/>
        <v>91.35493427</v>
      </c>
      <c r="HC18" s="1">
        <f t="shared" si="23"/>
        <v>90.44138493</v>
      </c>
      <c r="HD18" s="1">
        <f t="shared" si="23"/>
        <v>89.53697108</v>
      </c>
      <c r="HE18" s="1">
        <f t="shared" si="23"/>
        <v>88.64160137</v>
      </c>
      <c r="HF18" s="1">
        <f t="shared" si="23"/>
        <v>87.75518535</v>
      </c>
      <c r="HG18" s="1">
        <f t="shared" si="23"/>
        <v>86.8776335</v>
      </c>
      <c r="HH18" s="1">
        <f t="shared" si="23"/>
        <v>86.00885716</v>
      </c>
      <c r="HI18" s="1">
        <f t="shared" si="23"/>
        <v>85.14876859</v>
      </c>
      <c r="HJ18" s="1">
        <f t="shared" si="23"/>
        <v>84.29728091</v>
      </c>
      <c r="HK18" s="1">
        <f t="shared" si="23"/>
        <v>83.4543081</v>
      </c>
      <c r="HL18" s="1">
        <f t="shared" si="23"/>
        <v>82.61976502</v>
      </c>
      <c r="HM18" s="1">
        <f t="shared" si="23"/>
        <v>81.79356737</v>
      </c>
      <c r="HN18" s="1">
        <f t="shared" si="23"/>
        <v>80.97563169</v>
      </c>
      <c r="HO18" s="1">
        <f t="shared" si="23"/>
        <v>80.16587538</v>
      </c>
      <c r="HP18" s="1">
        <f t="shared" si="23"/>
        <v>79.36421662</v>
      </c>
      <c r="HQ18" s="1">
        <f t="shared" si="23"/>
        <v>78.57057446</v>
      </c>
      <c r="HR18" s="1">
        <f t="shared" si="23"/>
        <v>77.78486871</v>
      </c>
      <c r="HS18" s="1">
        <f t="shared" si="23"/>
        <v>77.00702002</v>
      </c>
      <c r="HT18" s="1">
        <f t="shared" si="23"/>
        <v>76.23694982</v>
      </c>
      <c r="HU18" s="1">
        <f t="shared" si="23"/>
        <v>75.47458033</v>
      </c>
      <c r="HV18" s="1">
        <f t="shared" si="23"/>
        <v>74.71983452</v>
      </c>
      <c r="HW18" s="1">
        <f t="shared" si="23"/>
        <v>73.97263618</v>
      </c>
      <c r="HX18" s="1">
        <f t="shared" si="23"/>
        <v>73.23290982</v>
      </c>
      <c r="HY18" s="1">
        <f t="shared" si="23"/>
        <v>72.50058072</v>
      </c>
      <c r="HZ18" s="1">
        <f t="shared" si="23"/>
        <v>71.77557491</v>
      </c>
      <c r="IA18" s="1">
        <f t="shared" si="23"/>
        <v>71.05781916</v>
      </c>
      <c r="IB18" s="1">
        <f t="shared" si="23"/>
        <v>70.34724097</v>
      </c>
      <c r="IC18" s="1">
        <f t="shared" si="23"/>
        <v>69.64376856</v>
      </c>
      <c r="ID18" s="1">
        <f t="shared" si="23"/>
        <v>68.94733087</v>
      </c>
      <c r="IE18" s="1">
        <f t="shared" si="23"/>
        <v>68.25785757</v>
      </c>
      <c r="IF18" s="1">
        <f t="shared" si="23"/>
        <v>67.57527899</v>
      </c>
      <c r="IG18" s="1">
        <f t="shared" si="23"/>
        <v>66.8995262</v>
      </c>
      <c r="IH18" s="1">
        <f t="shared" si="23"/>
        <v>66.23053094</v>
      </c>
      <c r="II18" s="1">
        <f t="shared" si="23"/>
        <v>65.56822563</v>
      </c>
      <c r="IJ18" s="1">
        <f t="shared" si="23"/>
        <v>64.91254337</v>
      </c>
      <c r="IK18" s="1">
        <f t="shared" si="23"/>
        <v>64.26341794</v>
      </c>
      <c r="IL18" s="1">
        <f t="shared" si="23"/>
        <v>63.62078376</v>
      </c>
      <c r="IM18" s="1">
        <f t="shared" si="23"/>
        <v>62.98457592</v>
      </c>
      <c r="IN18" s="1">
        <f t="shared" si="23"/>
        <v>62.35473016</v>
      </c>
      <c r="IO18" s="1">
        <f t="shared" si="23"/>
        <v>61.73118286</v>
      </c>
      <c r="IP18" s="1">
        <f t="shared" si="23"/>
        <v>61.11387103</v>
      </c>
      <c r="IQ18" s="1">
        <f t="shared" si="23"/>
        <v>60.50273232</v>
      </c>
      <c r="IR18" s="1">
        <f t="shared" si="23"/>
        <v>59.897705</v>
      </c>
      <c r="IS18" s="1">
        <f t="shared" si="23"/>
        <v>59.29872795</v>
      </c>
      <c r="IT18" s="1">
        <f t="shared" si="23"/>
        <v>58.70574067</v>
      </c>
      <c r="IU18" s="1">
        <f t="shared" si="23"/>
        <v>58.11868326</v>
      </c>
      <c r="IV18" s="1">
        <f t="shared" si="23"/>
        <v>57.53749643</v>
      </c>
      <c r="IW18" s="1">
        <f t="shared" si="23"/>
        <v>56.96212147</v>
      </c>
      <c r="IX18" s="1">
        <f t="shared" si="23"/>
        <v>56.39250025</v>
      </c>
      <c r="IY18" s="1">
        <f t="shared" si="23"/>
        <v>55.82857525</v>
      </c>
      <c r="IZ18" s="1">
        <f t="shared" si="23"/>
        <v>55.2702895</v>
      </c>
      <c r="JA18" s="1">
        <f t="shared" si="23"/>
        <v>54.7175866</v>
      </c>
      <c r="JB18" s="1">
        <f t="shared" si="23"/>
        <v>54.17041073</v>
      </c>
      <c r="JC18" s="1">
        <f t="shared" si="23"/>
        <v>53.62870663</v>
      </c>
      <c r="JD18" s="1">
        <f t="shared" si="23"/>
        <v>53.09241956</v>
      </c>
      <c r="JE18" s="1">
        <f t="shared" si="23"/>
        <v>52.56149537</v>
      </c>
      <c r="JF18" s="1">
        <f t="shared" si="23"/>
        <v>52.03588041</v>
      </c>
      <c r="JG18" s="1">
        <f t="shared" si="23"/>
        <v>51.51552161</v>
      </c>
      <c r="JH18" s="1">
        <f t="shared" si="23"/>
        <v>51.00036639</v>
      </c>
      <c r="JI18" s="1">
        <f t="shared" si="23"/>
        <v>50.49036273</v>
      </c>
      <c r="JJ18" s="1">
        <f t="shared" si="23"/>
        <v>49.9854591</v>
      </c>
      <c r="JK18" s="1">
        <f t="shared" si="23"/>
        <v>49.48560451</v>
      </c>
      <c r="JL18" s="1">
        <f t="shared" si="23"/>
        <v>48.99074846</v>
      </c>
      <c r="JM18" s="1">
        <f t="shared" si="23"/>
        <v>48.50084098</v>
      </c>
      <c r="JN18" s="1">
        <f t="shared" si="23"/>
        <v>48.01583257</v>
      </c>
      <c r="JO18" s="1">
        <f t="shared" si="23"/>
        <v>47.53567424</v>
      </c>
      <c r="JP18" s="1">
        <f t="shared" si="23"/>
        <v>47.0603175</v>
      </c>
      <c r="JQ18" s="1">
        <f t="shared" si="23"/>
        <v>46.58971433</v>
      </c>
      <c r="JR18" s="1">
        <f t="shared" si="23"/>
        <v>46.12381718</v>
      </c>
      <c r="JS18" s="1">
        <f t="shared" si="23"/>
        <v>45.66257901</v>
      </c>
      <c r="JT18" s="1">
        <f t="shared" si="23"/>
        <v>45.20595322</v>
      </c>
      <c r="JU18" s="1">
        <f t="shared" si="23"/>
        <v>44.75389369</v>
      </c>
      <c r="JV18" s="1">
        <f t="shared" si="23"/>
        <v>44.30635475</v>
      </c>
      <c r="JW18" s="1">
        <f t="shared" si="23"/>
        <v>43.8632912</v>
      </c>
      <c r="JX18" s="1">
        <f t="shared" si="23"/>
        <v>43.42465829</v>
      </c>
      <c r="JY18" s="1">
        <f t="shared" si="23"/>
        <v>42.99041171</v>
      </c>
      <c r="JZ18" s="1">
        <f t="shared" si="23"/>
        <v>42.56050759</v>
      </c>
      <c r="KA18" s="1">
        <f t="shared" si="23"/>
        <v>42.13490252</v>
      </c>
      <c r="KB18" s="1">
        <f t="shared" si="23"/>
        <v>41.71355349</v>
      </c>
      <c r="KC18" s="1">
        <f t="shared" si="23"/>
        <v>41.29641796</v>
      </c>
      <c r="KD18" s="1">
        <f t="shared" si="23"/>
        <v>40.88345378</v>
      </c>
      <c r="KE18" s="1">
        <f t="shared" si="23"/>
        <v>40.47461924</v>
      </c>
      <c r="KF18" s="1">
        <f t="shared" si="23"/>
        <v>40.06987305</v>
      </c>
      <c r="KG18" s="1">
        <f t="shared" si="23"/>
        <v>39.66917432</v>
      </c>
      <c r="KH18" s="1">
        <f t="shared" si="23"/>
        <v>39.27248257</v>
      </c>
      <c r="KI18" s="1">
        <f t="shared" si="23"/>
        <v>38.87975775</v>
      </c>
      <c r="KJ18" s="1">
        <f t="shared" si="23"/>
        <v>38.49096017</v>
      </c>
      <c r="KK18" s="1">
        <f t="shared" si="23"/>
        <v>38.10605057</v>
      </c>
      <c r="KL18" s="1">
        <f t="shared" si="23"/>
        <v>37.72499006</v>
      </c>
      <c r="KM18" s="1">
        <f t="shared" si="23"/>
        <v>37.34774016</v>
      </c>
      <c r="KN18" s="1">
        <f t="shared" si="23"/>
        <v>36.97426276</v>
      </c>
      <c r="KO18" s="1">
        <f t="shared" si="23"/>
        <v>36.60452013</v>
      </c>
      <c r="KP18" s="1">
        <f t="shared" si="23"/>
        <v>36.23847493</v>
      </c>
      <c r="KQ18" s="1">
        <f t="shared" si="23"/>
        <v>35.87609018</v>
      </c>
      <c r="KR18" s="1">
        <f t="shared" si="23"/>
        <v>35.51732928</v>
      </c>
      <c r="KS18" s="1">
        <f t="shared" si="23"/>
        <v>35.16215599</v>
      </c>
      <c r="KT18" s="1">
        <f t="shared" si="23"/>
        <v>34.81053443</v>
      </c>
      <c r="KU18" s="1">
        <f t="shared" si="23"/>
        <v>34.46242908</v>
      </c>
      <c r="KV18" s="1">
        <f t="shared" si="23"/>
        <v>34.11780479</v>
      </c>
      <c r="KW18" s="1">
        <f t="shared" si="23"/>
        <v>33.77662674</v>
      </c>
      <c r="KX18" s="1">
        <f t="shared" si="23"/>
        <v>33.43886048</v>
      </c>
      <c r="KY18" s="1">
        <f t="shared" si="23"/>
        <v>33.10447187</v>
      </c>
      <c r="KZ18" s="1">
        <f t="shared" si="23"/>
        <v>32.77342715</v>
      </c>
      <c r="LA18" s="1">
        <f t="shared" si="23"/>
        <v>32.44569288</v>
      </c>
      <c r="LB18" s="1">
        <f t="shared" si="23"/>
        <v>32.12123595</v>
      </c>
      <c r="LC18" s="1">
        <f t="shared" si="23"/>
        <v>31.80002359</v>
      </c>
      <c r="LD18" s="1">
        <f t="shared" si="23"/>
        <v>31.48202336</v>
      </c>
      <c r="LE18" s="1">
        <f t="shared" si="23"/>
        <v>31.16720312</v>
      </c>
      <c r="LF18" s="1">
        <f t="shared" si="23"/>
        <v>30.85553109</v>
      </c>
      <c r="LG18" s="1">
        <f t="shared" si="23"/>
        <v>30.54697578</v>
      </c>
      <c r="LH18" s="1">
        <f t="shared" si="23"/>
        <v>30.24150602</v>
      </c>
      <c r="LI18" s="1">
        <f t="shared" si="23"/>
        <v>29.93909096</v>
      </c>
      <c r="LJ18" s="1">
        <f t="shared" si="23"/>
        <v>29.63970005</v>
      </c>
      <c r="LK18" s="1">
        <f t="shared" si="23"/>
        <v>29.34330305</v>
      </c>
      <c r="LL18" s="1">
        <f t="shared" si="23"/>
        <v>29.04987002</v>
      </c>
      <c r="LM18" s="1">
        <f t="shared" si="23"/>
        <v>28.75937132</v>
      </c>
      <c r="LN18" s="1">
        <f t="shared" si="23"/>
        <v>28.47177761</v>
      </c>
      <c r="LO18" s="1">
        <f t="shared" si="23"/>
        <v>28.18705983</v>
      </c>
      <c r="LP18" s="1">
        <f t="shared" si="23"/>
        <v>27.90518924</v>
      </c>
      <c r="LQ18" s="1">
        <f t="shared" si="23"/>
        <v>27.62613734</v>
      </c>
      <c r="LR18" s="1">
        <f t="shared" si="23"/>
        <v>27.34987597</v>
      </c>
      <c r="LS18" s="1">
        <f t="shared" si="23"/>
        <v>27.07637721</v>
      </c>
      <c r="LT18" s="1">
        <f t="shared" si="23"/>
        <v>26.80561344</v>
      </c>
      <c r="LU18" s="1">
        <f t="shared" si="23"/>
        <v>26.5375573</v>
      </c>
      <c r="LV18" s="1">
        <f t="shared" si="23"/>
        <v>26.27218173</v>
      </c>
      <c r="LW18" s="1">
        <f t="shared" si="23"/>
        <v>26.00945991</v>
      </c>
      <c r="LX18" s="1">
        <f t="shared" si="23"/>
        <v>25.74936531</v>
      </c>
      <c r="LY18" s="1">
        <f t="shared" si="23"/>
        <v>25.49187166</v>
      </c>
      <c r="LZ18" s="1">
        <f t="shared" si="23"/>
        <v>25.23695294</v>
      </c>
      <c r="MA18" s="1">
        <f t="shared" si="23"/>
        <v>24.98458341</v>
      </c>
      <c r="MB18" s="1">
        <f t="shared" si="23"/>
        <v>24.73473758</v>
      </c>
      <c r="MC18" s="1">
        <f t="shared" si="23"/>
        <v>24.4873902</v>
      </c>
    </row>
    <row r="19" ht="12.75" customHeight="1">
      <c r="A19" s="19"/>
      <c r="B19" s="19" t="s">
        <v>40</v>
      </c>
      <c r="C19" s="20">
        <v>11.85</v>
      </c>
      <c r="D19" s="20">
        <v>7.98</v>
      </c>
      <c r="E19" s="20">
        <v>9.49</v>
      </c>
      <c r="F19" s="20">
        <f t="shared" si="10"/>
        <v>15.41</v>
      </c>
      <c r="G19" s="20">
        <v>11.09</v>
      </c>
      <c r="H19" s="20">
        <v>4.59</v>
      </c>
      <c r="I19" s="20">
        <v>7.73</v>
      </c>
      <c r="J19" s="13">
        <v>13.48</v>
      </c>
      <c r="K19" s="20">
        <v>10.39</v>
      </c>
      <c r="L19" s="21">
        <v>4.66</v>
      </c>
      <c r="M19" s="21">
        <v>8.31</v>
      </c>
      <c r="N19" s="14">
        <f>AH19-sum(K19:M19)</f>
        <v>13.06</v>
      </c>
      <c r="O19" s="21">
        <v>16.04</v>
      </c>
      <c r="P19" s="22"/>
      <c r="Q19" s="22"/>
      <c r="R19" s="22"/>
      <c r="S19" s="19"/>
      <c r="T19" s="19"/>
      <c r="U19" s="19"/>
      <c r="V19" s="19"/>
      <c r="W19" s="19"/>
      <c r="X19" s="19"/>
      <c r="Y19" s="19"/>
      <c r="Z19" s="19"/>
      <c r="AA19" s="23">
        <v>6.23</v>
      </c>
      <c r="AB19" s="23">
        <v>4.38</v>
      </c>
      <c r="AC19" s="23">
        <v>-3.16</v>
      </c>
      <c r="AD19" s="23">
        <v>41.88</v>
      </c>
      <c r="AE19" s="23">
        <v>50.81</v>
      </c>
      <c r="AF19" s="23">
        <v>44.73</v>
      </c>
      <c r="AG19" s="15">
        <v>36.82</v>
      </c>
      <c r="AH19" s="24">
        <v>36.42</v>
      </c>
      <c r="AI19" s="19">
        <f t="shared" ref="AI19:AR19" si="24">+AI18/AI20</f>
        <v>34.9632</v>
      </c>
      <c r="AJ19" s="19">
        <f t="shared" si="24"/>
        <v>33.564672</v>
      </c>
      <c r="AK19" s="19">
        <f t="shared" si="24"/>
        <v>32.22208512</v>
      </c>
      <c r="AL19" s="19">
        <f t="shared" si="24"/>
        <v>30.93320172</v>
      </c>
      <c r="AM19" s="19">
        <f t="shared" si="24"/>
        <v>29.69587365</v>
      </c>
      <c r="AN19" s="19">
        <f t="shared" si="24"/>
        <v>28.5080387</v>
      </c>
      <c r="AO19" s="19">
        <f t="shared" si="24"/>
        <v>27.36771715</v>
      </c>
      <c r="AP19" s="19">
        <f t="shared" si="24"/>
        <v>26.27300847</v>
      </c>
      <c r="AQ19" s="19">
        <f t="shared" si="24"/>
        <v>25.22208813</v>
      </c>
      <c r="AR19" s="19">
        <f t="shared" si="24"/>
        <v>24.2132046</v>
      </c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</row>
    <row r="20" ht="12.75" customHeight="1">
      <c r="A20" s="1"/>
      <c r="B20" s="1" t="s">
        <v>41</v>
      </c>
      <c r="C20" s="2">
        <f t="shared" ref="C20:O20" si="25">+C18/C19</f>
        <v>20.71299578</v>
      </c>
      <c r="D20" s="2">
        <f t="shared" si="25"/>
        <v>22.07631579</v>
      </c>
      <c r="E20" s="2">
        <f t="shared" si="25"/>
        <v>20.65258166</v>
      </c>
      <c r="F20" s="2">
        <f t="shared" si="25"/>
        <v>19.12757949</v>
      </c>
      <c r="G20" s="2">
        <f t="shared" si="25"/>
        <v>20.34932372</v>
      </c>
      <c r="H20" s="2">
        <f t="shared" si="25"/>
        <v>26.32810458</v>
      </c>
      <c r="I20" s="2">
        <f t="shared" si="25"/>
        <v>21.79430789</v>
      </c>
      <c r="J20" s="2">
        <f t="shared" si="25"/>
        <v>18.96884273</v>
      </c>
      <c r="K20" s="2">
        <f t="shared" si="25"/>
        <v>20.03849856</v>
      </c>
      <c r="L20" s="2">
        <f t="shared" si="25"/>
        <v>24.17381974</v>
      </c>
      <c r="M20" s="2">
        <f t="shared" si="25"/>
        <v>23.63838748</v>
      </c>
      <c r="N20" s="2">
        <f t="shared" si="25"/>
        <v>16.19165391</v>
      </c>
      <c r="O20" s="2">
        <f t="shared" si="25"/>
        <v>11.80174564</v>
      </c>
      <c r="P20" s="2"/>
      <c r="Q20" s="2"/>
      <c r="R20" s="2"/>
      <c r="S20" s="1"/>
      <c r="T20" s="1"/>
      <c r="U20" s="1"/>
      <c r="V20" s="1"/>
      <c r="W20" s="1"/>
      <c r="X20" s="1"/>
      <c r="Y20" s="1"/>
      <c r="Z20" s="1"/>
      <c r="AA20" s="1">
        <f t="shared" ref="AA20:AH20" si="26">AA18/AA19</f>
        <v>63.2576244</v>
      </c>
      <c r="AB20" s="1">
        <f t="shared" si="26"/>
        <v>71.49246575</v>
      </c>
      <c r="AC20" s="1">
        <f t="shared" si="26"/>
        <v>-48.95253165</v>
      </c>
      <c r="AD20" s="1">
        <f t="shared" si="26"/>
        <v>24.76375358</v>
      </c>
      <c r="AE20" s="1">
        <f t="shared" si="26"/>
        <v>20.8429443</v>
      </c>
      <c r="AF20" s="1">
        <f t="shared" si="26"/>
        <v>20.39720545</v>
      </c>
      <c r="AG20" s="1">
        <f t="shared" si="26"/>
        <v>20.93612167</v>
      </c>
      <c r="AH20" s="1">
        <f t="shared" si="26"/>
        <v>20.00955519</v>
      </c>
      <c r="AI20" s="1">
        <f t="shared" ref="AI20:AR20" si="27">+AH20</f>
        <v>20.00955519</v>
      </c>
      <c r="AJ20" s="1">
        <f t="shared" si="27"/>
        <v>20.00955519</v>
      </c>
      <c r="AK20" s="1">
        <f t="shared" si="27"/>
        <v>20.00955519</v>
      </c>
      <c r="AL20" s="1">
        <f t="shared" si="27"/>
        <v>20.00955519</v>
      </c>
      <c r="AM20" s="1">
        <f t="shared" si="27"/>
        <v>20.00955519</v>
      </c>
      <c r="AN20" s="1">
        <f t="shared" si="27"/>
        <v>20.00955519</v>
      </c>
      <c r="AO20" s="1">
        <f t="shared" si="27"/>
        <v>20.00955519</v>
      </c>
      <c r="AP20" s="1">
        <f t="shared" si="27"/>
        <v>20.00955519</v>
      </c>
      <c r="AQ20" s="1">
        <f t="shared" si="27"/>
        <v>20.00955519</v>
      </c>
      <c r="AR20" s="1">
        <f t="shared" si="27"/>
        <v>20.00955519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</row>
    <row r="21" ht="12.75" customHeight="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</row>
    <row r="22" ht="12.75" customHeight="1">
      <c r="A22" s="1"/>
      <c r="B22" s="1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</row>
    <row r="23" ht="12.75" customHeight="1">
      <c r="A23" s="25"/>
      <c r="B23" s="1" t="s">
        <v>30</v>
      </c>
      <c r="C23" s="26"/>
      <c r="D23" s="26"/>
      <c r="E23" s="26"/>
      <c r="F23" s="26"/>
      <c r="G23" s="26">
        <f t="shared" ref="G23:O23" si="28">+G8/C8-1</f>
        <v>-0.0220316576</v>
      </c>
      <c r="H23" s="26">
        <f t="shared" si="28"/>
        <v>-0.04940674771</v>
      </c>
      <c r="I23" s="26">
        <f t="shared" si="28"/>
        <v>-0.03342879321</v>
      </c>
      <c r="J23" s="26">
        <f t="shared" si="28"/>
        <v>-0.05072854678</v>
      </c>
      <c r="K23" s="26">
        <f t="shared" si="28"/>
        <v>-0.01300860979</v>
      </c>
      <c r="L23" s="26">
        <f t="shared" si="28"/>
        <v>0.01601543151</v>
      </c>
      <c r="M23" s="26">
        <f t="shared" si="28"/>
        <v>0.06082021907</v>
      </c>
      <c r="N23" s="26">
        <f t="shared" si="28"/>
        <v>-0.04932906873</v>
      </c>
      <c r="O23" s="26">
        <f t="shared" si="28"/>
        <v>0.02585322781</v>
      </c>
      <c r="P23" s="26"/>
      <c r="Q23" s="26"/>
      <c r="R23" s="26"/>
      <c r="S23" s="25"/>
      <c r="T23" s="25"/>
      <c r="U23" s="25"/>
      <c r="V23" s="25"/>
      <c r="W23" s="25"/>
      <c r="X23" s="25"/>
      <c r="Y23" s="25"/>
      <c r="Z23" s="25"/>
      <c r="AA23" s="25"/>
      <c r="AB23" s="25">
        <f t="shared" ref="AB23:AR23" si="29">+AB8/AA8-1</f>
        <v>-0.02400666823</v>
      </c>
      <c r="AC23" s="25">
        <f t="shared" si="29"/>
        <v>-0.3067008731</v>
      </c>
      <c r="AD23" s="25">
        <f t="shared" si="29"/>
        <v>0.5096841471</v>
      </c>
      <c r="AE23" s="25">
        <f t="shared" si="29"/>
        <v>0.05823015672</v>
      </c>
      <c r="AF23" s="25">
        <f t="shared" si="29"/>
        <v>-0.0173230384</v>
      </c>
      <c r="AG23" s="25">
        <f t="shared" si="29"/>
        <v>-0.03990149366</v>
      </c>
      <c r="AH23" s="25">
        <f t="shared" si="29"/>
        <v>-0.001390329489</v>
      </c>
      <c r="AI23" s="25">
        <f t="shared" si="29"/>
        <v>-0.04</v>
      </c>
      <c r="AJ23" s="25">
        <f t="shared" si="29"/>
        <v>-0.04</v>
      </c>
      <c r="AK23" s="25">
        <f t="shared" si="29"/>
        <v>-0.04</v>
      </c>
      <c r="AL23" s="25">
        <f t="shared" si="29"/>
        <v>-0.04</v>
      </c>
      <c r="AM23" s="25">
        <f t="shared" si="29"/>
        <v>-0.04</v>
      </c>
      <c r="AN23" s="25">
        <f t="shared" si="29"/>
        <v>-0.04</v>
      </c>
      <c r="AO23" s="25">
        <f t="shared" si="29"/>
        <v>-0.04</v>
      </c>
      <c r="AP23" s="25">
        <f t="shared" si="29"/>
        <v>-0.04</v>
      </c>
      <c r="AQ23" s="25">
        <f t="shared" si="29"/>
        <v>-0.04</v>
      </c>
      <c r="AR23" s="25">
        <f t="shared" si="29"/>
        <v>-0.04</v>
      </c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</row>
    <row r="24" ht="12.75" customHeight="1">
      <c r="A24" s="25"/>
      <c r="B24" s="1" t="s">
        <v>31</v>
      </c>
      <c r="C24" s="26"/>
      <c r="D24" s="26"/>
      <c r="E24" s="26"/>
      <c r="F24" s="26"/>
      <c r="G24" s="26">
        <f t="shared" ref="G24:O24" si="30">+G9/C9-1</f>
        <v>-0.2069828766</v>
      </c>
      <c r="H24" s="26">
        <f t="shared" si="30"/>
        <v>-0.1775240505</v>
      </c>
      <c r="I24" s="26">
        <f t="shared" si="30"/>
        <v>-0.1335031573</v>
      </c>
      <c r="J24" s="26">
        <f t="shared" si="30"/>
        <v>0.01463980287</v>
      </c>
      <c r="K24" s="26">
        <f t="shared" si="30"/>
        <v>-0.2381513595</v>
      </c>
      <c r="L24" s="26">
        <f t="shared" si="30"/>
        <v>-0.1015055852</v>
      </c>
      <c r="M24" s="26">
        <f t="shared" si="30"/>
        <v>-1</v>
      </c>
      <c r="N24" s="26">
        <f t="shared" si="30"/>
        <v>0.4118</v>
      </c>
      <c r="O24" s="26">
        <f t="shared" si="30"/>
        <v>0.1156906077</v>
      </c>
      <c r="P24" s="26"/>
      <c r="Q24" s="26"/>
      <c r="R24" s="26"/>
      <c r="S24" s="25"/>
      <c r="T24" s="25"/>
      <c r="U24" s="25"/>
      <c r="V24" s="25"/>
      <c r="W24" s="25"/>
      <c r="X24" s="25"/>
      <c r="Y24" s="25"/>
      <c r="Z24" s="25"/>
      <c r="AA24" s="25"/>
      <c r="AB24" s="25">
        <f t="shared" ref="AB24:AR24" si="31">+AB9/AA9-1</f>
        <v>-0.05127003532</v>
      </c>
      <c r="AC24" s="25">
        <f t="shared" si="31"/>
        <v>-0.05298122284</v>
      </c>
      <c r="AD24" s="25">
        <f t="shared" si="31"/>
        <v>-0.007680096757</v>
      </c>
      <c r="AE24" s="25">
        <f t="shared" si="31"/>
        <v>-0.04677239971</v>
      </c>
      <c r="AF24" s="25">
        <f t="shared" si="31"/>
        <v>-0.02211229562</v>
      </c>
      <c r="AG24" s="25">
        <f t="shared" si="31"/>
        <v>-0.1207188213</v>
      </c>
      <c r="AH24" s="25">
        <f t="shared" si="31"/>
        <v>-0.166197314</v>
      </c>
      <c r="AI24" s="25">
        <f t="shared" si="31"/>
        <v>-0.04</v>
      </c>
      <c r="AJ24" s="25">
        <f t="shared" si="31"/>
        <v>-0.04</v>
      </c>
      <c r="AK24" s="25">
        <f t="shared" si="31"/>
        <v>-0.04</v>
      </c>
      <c r="AL24" s="25">
        <f t="shared" si="31"/>
        <v>-0.04</v>
      </c>
      <c r="AM24" s="25">
        <f t="shared" si="31"/>
        <v>-0.04</v>
      </c>
      <c r="AN24" s="25">
        <f t="shared" si="31"/>
        <v>-0.04</v>
      </c>
      <c r="AO24" s="25">
        <f t="shared" si="31"/>
        <v>-0.04</v>
      </c>
      <c r="AP24" s="25">
        <f t="shared" si="31"/>
        <v>-0.04</v>
      </c>
      <c r="AQ24" s="25">
        <f t="shared" si="31"/>
        <v>-0.04</v>
      </c>
      <c r="AR24" s="25">
        <f t="shared" si="31"/>
        <v>-0.04</v>
      </c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</row>
    <row r="25" ht="12.75" customHeight="1">
      <c r="A25" s="25"/>
      <c r="B25" s="17" t="s">
        <v>32</v>
      </c>
      <c r="C25" s="26"/>
      <c r="D25" s="26"/>
      <c r="E25" s="26"/>
      <c r="F25" s="26"/>
      <c r="G25" s="26">
        <f t="shared" ref="G25:O25" si="32">+G10/C10-1</f>
        <v>-0.02546491217</v>
      </c>
      <c r="H25" s="26">
        <f t="shared" si="32"/>
        <v>-0.05181611826</v>
      </c>
      <c r="I25" s="26">
        <f t="shared" si="32"/>
        <v>-0.03528307431</v>
      </c>
      <c r="J25" s="26">
        <f t="shared" si="32"/>
        <v>-0.04968406952</v>
      </c>
      <c r="K25" s="26">
        <f t="shared" si="32"/>
        <v>-0.0164094941</v>
      </c>
      <c r="L25" s="26">
        <f t="shared" si="32"/>
        <v>0.01409834377</v>
      </c>
      <c r="M25" s="26">
        <f t="shared" si="32"/>
        <v>0.04316546763</v>
      </c>
      <c r="N25" s="26">
        <f t="shared" si="32"/>
        <v>-0.04146227335</v>
      </c>
      <c r="O25" s="26">
        <f t="shared" si="32"/>
        <v>0.02690433096</v>
      </c>
      <c r="P25" s="26"/>
      <c r="Q25" s="26"/>
      <c r="R25" s="26"/>
      <c r="S25" s="25"/>
      <c r="T25" s="25"/>
      <c r="U25" s="25"/>
      <c r="V25" s="25"/>
      <c r="W25" s="25"/>
      <c r="X25" s="25"/>
      <c r="Y25" s="25"/>
      <c r="Z25" s="25"/>
      <c r="AA25" s="25"/>
      <c r="AB25" s="25">
        <f t="shared" ref="AB25:AR25" si="33">+AB10/AA10-1</f>
        <v>-0.02462392838</v>
      </c>
      <c r="AC25" s="25">
        <f t="shared" si="33"/>
        <v>-0.3011134266</v>
      </c>
      <c r="AD25" s="25">
        <f t="shared" si="33"/>
        <v>0.4942455593</v>
      </c>
      <c r="AE25" s="25">
        <f t="shared" si="33"/>
        <v>0.05614930678</v>
      </c>
      <c r="AF25" s="25">
        <f t="shared" si="33"/>
        <v>-0.01740869885</v>
      </c>
      <c r="AG25" s="25">
        <f t="shared" si="33"/>
        <v>-0.04134006942</v>
      </c>
      <c r="AH25" s="25">
        <f t="shared" si="33"/>
        <v>-0.004081040558</v>
      </c>
      <c r="AI25" s="25">
        <f t="shared" si="33"/>
        <v>-0.04</v>
      </c>
      <c r="AJ25" s="25">
        <f t="shared" si="33"/>
        <v>-0.04</v>
      </c>
      <c r="AK25" s="25">
        <f t="shared" si="33"/>
        <v>-0.04</v>
      </c>
      <c r="AL25" s="25">
        <f t="shared" si="33"/>
        <v>-0.04</v>
      </c>
      <c r="AM25" s="25">
        <f t="shared" si="33"/>
        <v>-0.04</v>
      </c>
      <c r="AN25" s="25">
        <f t="shared" si="33"/>
        <v>-0.04</v>
      </c>
      <c r="AO25" s="25">
        <f t="shared" si="33"/>
        <v>-0.04</v>
      </c>
      <c r="AP25" s="25">
        <f t="shared" si="33"/>
        <v>-0.04</v>
      </c>
      <c r="AQ25" s="25">
        <f t="shared" si="33"/>
        <v>-0.04</v>
      </c>
      <c r="AR25" s="25">
        <f t="shared" si="33"/>
        <v>-0.04</v>
      </c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</row>
    <row r="26" ht="12.75" customHeight="1">
      <c r="A26" s="25"/>
      <c r="B26" s="25" t="s">
        <v>43</v>
      </c>
      <c r="C26" s="26">
        <f t="shared" ref="C26:O26" si="34">(C10-C11)/C10</f>
        <v>0.4477618599</v>
      </c>
      <c r="D26" s="26">
        <f t="shared" si="34"/>
        <v>0.3997594869</v>
      </c>
      <c r="E26" s="26">
        <f t="shared" si="34"/>
        <v>0.4452079929</v>
      </c>
      <c r="F26" s="26">
        <f t="shared" si="34"/>
        <v>0.3763030598</v>
      </c>
      <c r="G26" s="26">
        <f t="shared" si="34"/>
        <v>0.4545904811</v>
      </c>
      <c r="H26" s="26">
        <f t="shared" si="34"/>
        <v>0.3857766105</v>
      </c>
      <c r="I26" s="26">
        <f t="shared" si="34"/>
        <v>0.4354082251</v>
      </c>
      <c r="J26" s="26">
        <f t="shared" si="34"/>
        <v>0.3604503802</v>
      </c>
      <c r="K26" s="26">
        <f t="shared" si="34"/>
        <v>0.445572075</v>
      </c>
      <c r="L26" s="26">
        <f t="shared" si="34"/>
        <v>0.3754518229</v>
      </c>
      <c r="M26" s="26">
        <f t="shared" si="34"/>
        <v>0.450625578</v>
      </c>
      <c r="N26" s="26">
        <f t="shared" si="34"/>
        <v>0.3551030848</v>
      </c>
      <c r="O26" s="26">
        <f t="shared" si="34"/>
        <v>0.4521235713</v>
      </c>
      <c r="P26" s="26"/>
      <c r="Q26" s="26"/>
      <c r="R26" s="26"/>
      <c r="S26" s="25"/>
      <c r="T26" s="25"/>
      <c r="U26" s="25"/>
      <c r="V26" s="25"/>
      <c r="W26" s="25"/>
      <c r="X26" s="25"/>
      <c r="Y26" s="25"/>
      <c r="Z26" s="25"/>
      <c r="AA26" s="25">
        <f t="shared" ref="AA26:AR26" si="35">(AA10-AA11)/AA10</f>
        <v>0.3401061515</v>
      </c>
      <c r="AB26" s="25">
        <f t="shared" si="35"/>
        <v>0.3322028859</v>
      </c>
      <c r="AC26" s="25">
        <f t="shared" si="35"/>
        <v>0.3077069872</v>
      </c>
      <c r="AD26" s="25">
        <f t="shared" si="35"/>
        <v>0.4342521218</v>
      </c>
      <c r="AE26" s="25">
        <f t="shared" si="35"/>
        <v>0.4306066923</v>
      </c>
      <c r="AF26" s="25">
        <f t="shared" si="35"/>
        <v>0.413607548</v>
      </c>
      <c r="AG26" s="25">
        <f t="shared" si="35"/>
        <v>0.4052486172</v>
      </c>
      <c r="AH26" s="25">
        <f t="shared" si="35"/>
        <v>0.4032208621</v>
      </c>
      <c r="AI26" s="25">
        <f t="shared" si="35"/>
        <v>0.4032208621</v>
      </c>
      <c r="AJ26" s="25">
        <f t="shared" si="35"/>
        <v>0.4032208621</v>
      </c>
      <c r="AK26" s="25">
        <f t="shared" si="35"/>
        <v>0.4032208621</v>
      </c>
      <c r="AL26" s="25">
        <f t="shared" si="35"/>
        <v>0.4032208621</v>
      </c>
      <c r="AM26" s="25">
        <f t="shared" si="35"/>
        <v>0.4032208621</v>
      </c>
      <c r="AN26" s="25">
        <f t="shared" si="35"/>
        <v>0.4032208621</v>
      </c>
      <c r="AO26" s="25">
        <f t="shared" si="35"/>
        <v>0.4032208621</v>
      </c>
      <c r="AP26" s="25">
        <f t="shared" si="35"/>
        <v>0.4032208621</v>
      </c>
      <c r="AQ26" s="25">
        <f t="shared" si="35"/>
        <v>0.4032208621</v>
      </c>
      <c r="AR26" s="25">
        <f t="shared" si="35"/>
        <v>0.4032208621</v>
      </c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</row>
    <row r="27" ht="12.75" customHeight="1">
      <c r="A27" s="25"/>
      <c r="B27" s="25"/>
      <c r="C27" s="26">
        <f t="shared" ref="C27:O27" si="36">+C16/C10</f>
        <v>0.1902643709</v>
      </c>
      <c r="D27" s="26">
        <f t="shared" si="36"/>
        <v>0.1353740849</v>
      </c>
      <c r="E27" s="26">
        <f t="shared" si="36"/>
        <v>0.1595715826</v>
      </c>
      <c r="F27" s="26">
        <f t="shared" si="36"/>
        <v>0.1513696343</v>
      </c>
      <c r="G27" s="26">
        <f t="shared" si="36"/>
        <v>0.1783077284</v>
      </c>
      <c r="H27" s="26">
        <f t="shared" si="36"/>
        <v>0.0947257643</v>
      </c>
      <c r="I27" s="26">
        <f t="shared" si="36"/>
        <v>0.1422172607</v>
      </c>
      <c r="J27" s="26">
        <f t="shared" si="36"/>
        <v>0.1348216027</v>
      </c>
      <c r="K27" s="26">
        <f t="shared" si="36"/>
        <v>0.1668390433</v>
      </c>
      <c r="L27" s="26">
        <f t="shared" si="36"/>
        <v>0.0875</v>
      </c>
      <c r="M27" s="26">
        <f t="shared" si="36"/>
        <v>0.155525829</v>
      </c>
      <c r="N27" s="26">
        <f t="shared" si="36"/>
        <v>0.1146752462</v>
      </c>
      <c r="O27" s="26">
        <f t="shared" si="36"/>
        <v>0.1674911763</v>
      </c>
      <c r="P27" s="26"/>
      <c r="Q27" s="26"/>
      <c r="R27" s="26"/>
      <c r="S27" s="25"/>
      <c r="T27" s="25"/>
      <c r="U27" s="25"/>
      <c r="V27" s="25"/>
      <c r="W27" s="25"/>
      <c r="X27" s="25"/>
      <c r="Y27" s="25"/>
      <c r="Z27" s="25"/>
      <c r="AA27" s="26">
        <f t="shared" ref="AA27:AR27" si="37">+AA16/AA10</f>
        <v>0.06640040385</v>
      </c>
      <c r="AB27" s="26">
        <f t="shared" si="37"/>
        <v>0.05296166248</v>
      </c>
      <c r="AC27" s="26">
        <f t="shared" si="37"/>
        <v>0.01645318208</v>
      </c>
      <c r="AD27" s="26">
        <f t="shared" si="37"/>
        <v>0.1906620008</v>
      </c>
      <c r="AE27" s="26">
        <f t="shared" si="37"/>
        <v>0.1825072557</v>
      </c>
      <c r="AF27" s="26">
        <f t="shared" si="37"/>
        <v>0.1585787601</v>
      </c>
      <c r="AG27" s="26">
        <f t="shared" si="37"/>
        <v>0.1376420644</v>
      </c>
      <c r="AH27" s="26">
        <f t="shared" si="37"/>
        <v>0.1300326541</v>
      </c>
      <c r="AI27" s="26">
        <f t="shared" si="37"/>
        <v>0.1300326541</v>
      </c>
      <c r="AJ27" s="26">
        <f t="shared" si="37"/>
        <v>0.1300326541</v>
      </c>
      <c r="AK27" s="26">
        <f t="shared" si="37"/>
        <v>0.1300326541</v>
      </c>
      <c r="AL27" s="26">
        <f t="shared" si="37"/>
        <v>0.1300326541</v>
      </c>
      <c r="AM27" s="26">
        <f t="shared" si="37"/>
        <v>0.1300326541</v>
      </c>
      <c r="AN27" s="26">
        <f t="shared" si="37"/>
        <v>0.1300326541</v>
      </c>
      <c r="AO27" s="26">
        <f t="shared" si="37"/>
        <v>0.1300326541</v>
      </c>
      <c r="AP27" s="26">
        <f t="shared" si="37"/>
        <v>0.1300326541</v>
      </c>
      <c r="AQ27" s="26">
        <f t="shared" si="37"/>
        <v>0.1300326541</v>
      </c>
      <c r="AR27" s="26">
        <f t="shared" si="37"/>
        <v>0.1300326541</v>
      </c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</row>
    <row r="28" ht="12.75" customHeight="1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</row>
    <row r="29" ht="12.7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</row>
    <row r="30" ht="12.75" customHeight="1">
      <c r="A30" s="1"/>
      <c r="B30" s="1" t="s">
        <v>44</v>
      </c>
      <c r="C30" s="2"/>
      <c r="D30" s="18">
        <f t="shared" ref="D30:K30" si="38">+SUM(D31,D33) - SUM(D47)</f>
        <v>603.087</v>
      </c>
      <c r="E30" s="18">
        <f t="shared" si="38"/>
        <v>571.824</v>
      </c>
      <c r="F30" s="18">
        <f t="shared" si="38"/>
        <v>634.862</v>
      </c>
      <c r="G30" s="18">
        <f t="shared" si="38"/>
        <v>843.338</v>
      </c>
      <c r="H30" s="18">
        <f t="shared" si="38"/>
        <v>748.965</v>
      </c>
      <c r="I30" s="18">
        <f t="shared" si="38"/>
        <v>787.726</v>
      </c>
      <c r="J30" s="18">
        <f t="shared" si="38"/>
        <v>722</v>
      </c>
      <c r="K30" s="18">
        <f t="shared" si="38"/>
        <v>837.4</v>
      </c>
      <c r="L30" s="2"/>
      <c r="M30" s="2"/>
      <c r="N30" s="2"/>
      <c r="O30" s="2"/>
      <c r="P30" s="2"/>
      <c r="Q30" s="2"/>
      <c r="R30" s="2"/>
      <c r="S30" s="1"/>
      <c r="T30" s="1"/>
      <c r="U30" s="1"/>
      <c r="V30" s="1"/>
      <c r="W30" s="1"/>
      <c r="X30" s="1"/>
      <c r="Y30" s="1"/>
      <c r="Z30" s="1"/>
      <c r="AA30" s="1"/>
      <c r="AB30" s="1">
        <f t="shared" ref="AB30:AG30" si="39">SUM(AB31,AB33)-AB44-AB47-AB51</f>
        <v>-442.06</v>
      </c>
      <c r="AC30" s="1">
        <f t="shared" si="39"/>
        <v>-288.632</v>
      </c>
      <c r="AD30" s="1">
        <f t="shared" si="39"/>
        <v>-205.51</v>
      </c>
      <c r="AE30" s="1">
        <f t="shared" si="39"/>
        <v>150.712</v>
      </c>
      <c r="AF30" s="1">
        <f t="shared" si="39"/>
        <v>434.862</v>
      </c>
      <c r="AG30" s="1">
        <f t="shared" si="39"/>
        <v>522</v>
      </c>
      <c r="AH30" s="1">
        <f>+K30</f>
        <v>837.4</v>
      </c>
      <c r="AI30" s="1">
        <f t="shared" ref="AI30:AR30" si="40">+AH30*1.01</f>
        <v>845.774</v>
      </c>
      <c r="AJ30" s="1">
        <f t="shared" si="40"/>
        <v>854.23174</v>
      </c>
      <c r="AK30" s="1">
        <f t="shared" si="40"/>
        <v>862.7740574</v>
      </c>
      <c r="AL30" s="1">
        <f t="shared" si="40"/>
        <v>871.401798</v>
      </c>
      <c r="AM30" s="1">
        <f t="shared" si="40"/>
        <v>880.115816</v>
      </c>
      <c r="AN30" s="1">
        <f t="shared" si="40"/>
        <v>888.9169741</v>
      </c>
      <c r="AO30" s="1">
        <f t="shared" si="40"/>
        <v>897.8061439</v>
      </c>
      <c r="AP30" s="1">
        <f t="shared" si="40"/>
        <v>906.7842053</v>
      </c>
      <c r="AQ30" s="1">
        <f t="shared" si="40"/>
        <v>915.8520473</v>
      </c>
      <c r="AR30" s="1">
        <f t="shared" si="40"/>
        <v>925.0105678</v>
      </c>
      <c r="AT30" s="1" t="s">
        <v>45</v>
      </c>
      <c r="AU30" s="27">
        <v>-0.01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</row>
    <row r="31" ht="12.75" customHeight="1">
      <c r="A31" s="1"/>
      <c r="B31" s="1" t="s">
        <v>46</v>
      </c>
      <c r="C31" s="13"/>
      <c r="D31" s="13">
        <v>774.343</v>
      </c>
      <c r="E31" s="13">
        <v>842.001</v>
      </c>
      <c r="F31" s="13">
        <v>808.287</v>
      </c>
      <c r="G31" s="13">
        <v>817.825</v>
      </c>
      <c r="H31" s="13">
        <v>946.728</v>
      </c>
      <c r="I31" s="13">
        <v>980.392</v>
      </c>
      <c r="J31" s="13">
        <v>717.9</v>
      </c>
      <c r="K31" s="13">
        <v>900.5</v>
      </c>
      <c r="L31" s="13"/>
      <c r="M31" s="13"/>
      <c r="N31" s="13"/>
      <c r="O31" s="13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28">
        <v>123.509</v>
      </c>
      <c r="AC31" s="28">
        <v>277.077</v>
      </c>
      <c r="AD31" s="28">
        <v>360.339</v>
      </c>
      <c r="AE31" s="28">
        <v>716.759</v>
      </c>
      <c r="AF31" s="28">
        <v>808.287</v>
      </c>
      <c r="AG31" s="28">
        <f t="shared" ref="AG31:AH31" si="41">+J31</f>
        <v>717.9</v>
      </c>
      <c r="AH31" s="28">
        <f t="shared" si="41"/>
        <v>900.5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T31" s="1" t="s">
        <v>47</v>
      </c>
      <c r="AU31" s="29">
        <v>0.07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</row>
    <row r="32" ht="12.75" customHeight="1">
      <c r="A32" s="1"/>
      <c r="B32" s="1" t="s">
        <v>48</v>
      </c>
      <c r="C32" s="13"/>
      <c r="D32" s="13">
        <v>59.701</v>
      </c>
      <c r="E32" s="13">
        <v>57.412</v>
      </c>
      <c r="F32" s="13">
        <v>60.547</v>
      </c>
      <c r="G32" s="13">
        <v>49.251</v>
      </c>
      <c r="H32" s="13">
        <v>64.468</v>
      </c>
      <c r="I32" s="13">
        <v>61.741</v>
      </c>
      <c r="J32" s="13">
        <v>55.7</v>
      </c>
      <c r="K32" s="13">
        <v>56.9</v>
      </c>
      <c r="L32" s="13"/>
      <c r="M32" s="13"/>
      <c r="N32" s="13"/>
      <c r="O32" s="13"/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  <c r="AA32" s="1"/>
      <c r="AB32" s="28">
        <v>49.853</v>
      </c>
      <c r="AC32" s="28">
        <v>46.16</v>
      </c>
      <c r="AD32" s="28">
        <v>36.693</v>
      </c>
      <c r="AE32" s="28">
        <v>39.777</v>
      </c>
      <c r="AF32" s="28">
        <v>60.547</v>
      </c>
      <c r="AG32" s="28">
        <f t="shared" ref="AG32:AH32" si="42">+J32</f>
        <v>55.7</v>
      </c>
      <c r="AH32" s="28">
        <f t="shared" si="42"/>
        <v>56.9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T32" s="1" t="s">
        <v>49</v>
      </c>
      <c r="AU32" s="1">
        <f t="array" ref="AU32">NPV(AU31,AI18:MC18)</f>
        <v>7258.39195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</row>
    <row r="33" ht="12.75" customHeight="1">
      <c r="A33" s="1"/>
      <c r="B33" s="1" t="s">
        <v>50</v>
      </c>
      <c r="C33" s="13"/>
      <c r="D33" s="13">
        <v>150.151</v>
      </c>
      <c r="E33" s="13">
        <v>51.257</v>
      </c>
      <c r="F33" s="13">
        <v>148.036</v>
      </c>
      <c r="G33" s="13">
        <v>347.0</v>
      </c>
      <c r="H33" s="13">
        <v>123.751</v>
      </c>
      <c r="I33" s="13">
        <v>128.875</v>
      </c>
      <c r="J33" s="13">
        <v>325.7</v>
      </c>
      <c r="K33" s="13">
        <v>258.5</v>
      </c>
      <c r="L33" s="13"/>
      <c r="M33" s="13"/>
      <c r="N33" s="13"/>
      <c r="O33" s="13"/>
      <c r="P33" s="2"/>
      <c r="Q33" s="2"/>
      <c r="R33" s="2"/>
      <c r="S33" s="1"/>
      <c r="T33" s="1"/>
      <c r="U33" s="1"/>
      <c r="V33" s="1"/>
      <c r="W33" s="1"/>
      <c r="X33" s="1"/>
      <c r="Y33" s="1"/>
      <c r="Z33" s="1"/>
      <c r="AA33" s="1"/>
      <c r="AB33" s="28">
        <v>0.0</v>
      </c>
      <c r="AC33" s="28">
        <v>0.0</v>
      </c>
      <c r="AD33" s="28">
        <v>0.0</v>
      </c>
      <c r="AE33" s="28">
        <v>0.0</v>
      </c>
      <c r="AF33" s="28">
        <v>148.036</v>
      </c>
      <c r="AG33" s="28">
        <f t="shared" ref="AG33:AH33" si="43">+J33</f>
        <v>325.7</v>
      </c>
      <c r="AH33" s="28">
        <f t="shared" si="43"/>
        <v>258.5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T33" s="1" t="s">
        <v>41</v>
      </c>
      <c r="AU33" s="1">
        <f>sum(Main!G4:G5)</f>
        <v>15.619471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</row>
    <row r="34" ht="12.75" customHeight="1">
      <c r="A34" s="1"/>
      <c r="B34" s="1" t="s">
        <v>51</v>
      </c>
      <c r="C34" s="13"/>
      <c r="D34" s="13">
        <v>1192.703</v>
      </c>
      <c r="E34" s="13">
        <v>1629.245</v>
      </c>
      <c r="F34" s="13">
        <v>1093.999</v>
      </c>
      <c r="G34" s="13">
        <v>1387.684</v>
      </c>
      <c r="H34" s="13">
        <v>1191.432</v>
      </c>
      <c r="I34" s="13">
        <v>1682.217</v>
      </c>
      <c r="J34" s="13">
        <v>1172.0</v>
      </c>
      <c r="K34" s="13">
        <v>1469.3</v>
      </c>
      <c r="L34" s="13"/>
      <c r="M34" s="13"/>
      <c r="N34" s="13"/>
      <c r="O34" s="13"/>
      <c r="P34" s="2"/>
      <c r="Q34" s="2"/>
      <c r="R34" s="2"/>
      <c r="S34" s="1"/>
      <c r="T34" s="1"/>
      <c r="U34" s="1"/>
      <c r="V34" s="1"/>
      <c r="W34" s="1"/>
      <c r="X34" s="1"/>
      <c r="Y34" s="1"/>
      <c r="Z34" s="1"/>
      <c r="AA34" s="1"/>
      <c r="AB34" s="28">
        <v>1528.417</v>
      </c>
      <c r="AC34" s="28">
        <v>1465.007</v>
      </c>
      <c r="AD34" s="28">
        <v>1087.763</v>
      </c>
      <c r="AE34" s="28">
        <v>1080.178</v>
      </c>
      <c r="AF34" s="28">
        <v>1093.999</v>
      </c>
      <c r="AG34" s="28">
        <f t="shared" ref="AG34:AH34" si="44">+J34</f>
        <v>1172</v>
      </c>
      <c r="AH34" s="28">
        <f t="shared" si="44"/>
        <v>1469.3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T34" s="1" t="s">
        <v>52</v>
      </c>
      <c r="AU34" s="1">
        <f>+AU32/AU33</f>
        <v>464.7015222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</row>
    <row r="35" ht="12.75" customHeight="1">
      <c r="A35" s="1"/>
      <c r="B35" s="1" t="s">
        <v>53</v>
      </c>
      <c r="C35" s="13"/>
      <c r="D35" s="13">
        <v>0.0</v>
      </c>
      <c r="E35" s="13"/>
      <c r="F35" s="13"/>
      <c r="G35" s="13">
        <v>0.0</v>
      </c>
      <c r="H35" s="13">
        <v>35.462</v>
      </c>
      <c r="I35" s="13"/>
      <c r="J35" s="13">
        <v>0.0</v>
      </c>
      <c r="K35" s="13">
        <v>0.0</v>
      </c>
      <c r="L35" s="13"/>
      <c r="M35" s="13"/>
      <c r="N35" s="13"/>
      <c r="O35" s="13"/>
      <c r="P35" s="2"/>
      <c r="Q35" s="2"/>
      <c r="R35" s="2"/>
      <c r="S35" s="1"/>
      <c r="T35" s="1"/>
      <c r="U35" s="1"/>
      <c r="V35" s="1"/>
      <c r="W35" s="1"/>
      <c r="X35" s="1"/>
      <c r="Y35" s="1"/>
      <c r="Z35" s="1"/>
      <c r="AA35" s="1"/>
      <c r="AB35" s="28">
        <v>0.0</v>
      </c>
      <c r="AC35" s="28">
        <v>0.0</v>
      </c>
      <c r="AD35" s="28">
        <v>118.439</v>
      </c>
      <c r="AE35" s="28">
        <v>118.439</v>
      </c>
      <c r="AF35" s="28">
        <v>0.0</v>
      </c>
      <c r="AG35" s="28">
        <f t="shared" ref="AG35:AH35" si="45">+J35</f>
        <v>0</v>
      </c>
      <c r="AH35" s="28">
        <f t="shared" si="45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T35" s="1" t="s">
        <v>54</v>
      </c>
      <c r="AU35" s="1">
        <f>+Main!G3</f>
        <v>579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</row>
    <row r="36" ht="12.75" customHeight="1">
      <c r="A36" s="1"/>
      <c r="B36" s="1" t="s">
        <v>55</v>
      </c>
      <c r="C36" s="13"/>
      <c r="D36" s="13">
        <v>103.331</v>
      </c>
      <c r="E36" s="13">
        <v>85.646</v>
      </c>
      <c r="F36" s="13">
        <v>97.341</v>
      </c>
      <c r="G36" s="13">
        <v>106.241</v>
      </c>
      <c r="H36" s="13">
        <v>91.701</v>
      </c>
      <c r="I36" s="13">
        <v>89.076</v>
      </c>
      <c r="J36" s="13">
        <v>96.8</v>
      </c>
      <c r="K36" s="13">
        <v>82.9</v>
      </c>
      <c r="L36" s="13"/>
      <c r="M36" s="13"/>
      <c r="N36" s="13"/>
      <c r="O36" s="13"/>
      <c r="P36" s="2"/>
      <c r="Q36" s="2"/>
      <c r="R36" s="2"/>
      <c r="S36" s="1"/>
      <c r="T36" s="1"/>
      <c r="U36" s="1"/>
      <c r="V36" s="1"/>
      <c r="W36" s="1"/>
      <c r="X36" s="1"/>
      <c r="Y36" s="1"/>
      <c r="Z36" s="1"/>
      <c r="AA36" s="1"/>
      <c r="AB36" s="28">
        <v>68.753</v>
      </c>
      <c r="AC36" s="28">
        <v>59.838</v>
      </c>
      <c r="AD36" s="28">
        <v>58.706</v>
      </c>
      <c r="AE36" s="28">
        <v>58.706</v>
      </c>
      <c r="AF36" s="28">
        <v>97.341</v>
      </c>
      <c r="AG36" s="28">
        <f t="shared" ref="AG36:AH36" si="46">+J36</f>
        <v>96.8</v>
      </c>
      <c r="AH36" s="28">
        <f t="shared" si="46"/>
        <v>82.9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T36" s="1" t="s">
        <v>56</v>
      </c>
      <c r="AU36" s="25">
        <f>+AU34/AU35-1</f>
        <v>-0.1974066974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</row>
    <row r="37" ht="12.75" customHeight="1">
      <c r="A37" s="1"/>
      <c r="B37" s="1" t="s">
        <v>57</v>
      </c>
      <c r="C37" s="13"/>
      <c r="D37" s="13">
        <v>1098.947</v>
      </c>
      <c r="E37" s="13">
        <v>1094.587</v>
      </c>
      <c r="F37" s="13">
        <v>1074.304</v>
      </c>
      <c r="G37" s="13">
        <v>1062.993</v>
      </c>
      <c r="H37" s="13">
        <v>1044.866</v>
      </c>
      <c r="I37" s="13">
        <v>1030.69</v>
      </c>
      <c r="J37" s="13">
        <v>1002.2</v>
      </c>
      <c r="K37" s="13">
        <v>976.0</v>
      </c>
      <c r="L37" s="13"/>
      <c r="M37" s="13"/>
      <c r="N37" s="13"/>
      <c r="O37" s="13"/>
      <c r="P37" s="2"/>
      <c r="Q37" s="2"/>
      <c r="R37" s="2"/>
      <c r="S37" s="1"/>
      <c r="T37" s="1"/>
      <c r="U37" s="1"/>
      <c r="V37" s="1"/>
      <c r="W37" s="1"/>
      <c r="X37" s="1"/>
      <c r="Y37" s="1"/>
      <c r="Z37" s="1"/>
      <c r="AA37" s="1"/>
      <c r="AB37" s="28">
        <v>1586.733</v>
      </c>
      <c r="AC37" s="28">
        <v>1458.176</v>
      </c>
      <c r="AD37" s="28">
        <v>1289.302</v>
      </c>
      <c r="AE37" s="28">
        <v>1074.304</v>
      </c>
      <c r="AF37" s="28">
        <v>1074.304</v>
      </c>
      <c r="AG37" s="28">
        <f t="shared" ref="AG37:AH37" si="47">+J37</f>
        <v>1002.2</v>
      </c>
      <c r="AH37" s="28">
        <f t="shared" si="47"/>
        <v>976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</row>
    <row r="38" ht="12.75" customHeight="1">
      <c r="A38" s="1"/>
      <c r="B38" s="1" t="s">
        <v>58</v>
      </c>
      <c r="C38" s="13"/>
      <c r="D38" s="13">
        <v>30.364</v>
      </c>
      <c r="E38" s="13">
        <v>34.462</v>
      </c>
      <c r="F38" s="13">
        <v>42.681</v>
      </c>
      <c r="G38" s="13">
        <v>41.909</v>
      </c>
      <c r="H38" s="13">
        <v>38.936</v>
      </c>
      <c r="I38" s="13">
        <v>35.921</v>
      </c>
      <c r="J38" s="13">
        <v>33.6</v>
      </c>
      <c r="K38" s="13">
        <v>32.5</v>
      </c>
      <c r="L38" s="13"/>
      <c r="M38" s="13"/>
      <c r="N38" s="13"/>
      <c r="O38" s="13"/>
      <c r="P38" s="2"/>
      <c r="Q38" s="2"/>
      <c r="R38" s="2"/>
      <c r="S38" s="1"/>
      <c r="T38" s="1"/>
      <c r="U38" s="1"/>
      <c r="V38" s="1"/>
      <c r="W38" s="1"/>
      <c r="X38" s="1"/>
      <c r="Y38" s="1"/>
      <c r="Z38" s="1"/>
      <c r="AA38" s="1"/>
      <c r="AB38" s="28">
        <v>0.0</v>
      </c>
      <c r="AC38" s="28">
        <v>47.924</v>
      </c>
      <c r="AD38" s="28">
        <v>47.612</v>
      </c>
      <c r="AE38" s="28">
        <v>42.681</v>
      </c>
      <c r="AF38" s="28">
        <v>42.681</v>
      </c>
      <c r="AG38" s="28">
        <f t="shared" ref="AG38:AH38" si="48">+J38</f>
        <v>33.6</v>
      </c>
      <c r="AH38" s="28">
        <f t="shared" si="48"/>
        <v>32.5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</row>
    <row r="39" ht="12.75" customHeight="1">
      <c r="A39" s="1"/>
      <c r="B39" s="1" t="s">
        <v>59</v>
      </c>
      <c r="C39" s="13"/>
      <c r="D39" s="13">
        <v>45.98</v>
      </c>
      <c r="E39" s="13">
        <v>47.563</v>
      </c>
      <c r="F39" s="13">
        <v>63.951</v>
      </c>
      <c r="G39" s="13">
        <v>64.017</v>
      </c>
      <c r="H39" s="13">
        <v>63.935</v>
      </c>
      <c r="I39" s="13">
        <v>64.733</v>
      </c>
      <c r="J39" s="13">
        <v>69.1</v>
      </c>
      <c r="K39" s="13">
        <v>71.3</v>
      </c>
      <c r="L39" s="13"/>
      <c r="M39" s="13"/>
      <c r="N39" s="13"/>
      <c r="O39" s="13"/>
      <c r="P39" s="2"/>
      <c r="Q39" s="2"/>
      <c r="R39" s="2"/>
      <c r="S39" s="1"/>
      <c r="T39" s="1"/>
      <c r="U39" s="1"/>
      <c r="V39" s="1"/>
      <c r="W39" s="1"/>
      <c r="X39" s="1"/>
      <c r="Y39" s="1"/>
      <c r="Z39" s="1"/>
      <c r="AA39" s="1"/>
      <c r="AB39" s="28">
        <v>0.0</v>
      </c>
      <c r="AC39" s="28">
        <v>0.0</v>
      </c>
      <c r="AD39" s="28">
        <v>23.453</v>
      </c>
      <c r="AE39" s="28">
        <v>63.951</v>
      </c>
      <c r="AF39" s="28">
        <v>63.951</v>
      </c>
      <c r="AG39" s="28">
        <f t="shared" ref="AG39:AH39" si="49">+J39</f>
        <v>69.1</v>
      </c>
      <c r="AH39" s="28">
        <f t="shared" si="49"/>
        <v>71.3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T39" s="1"/>
      <c r="AU39" s="30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</row>
    <row r="40" ht="12.75" customHeight="1">
      <c r="A40" s="1"/>
      <c r="B40" s="1" t="s">
        <v>60</v>
      </c>
      <c r="C40" s="13"/>
      <c r="D40" s="13">
        <v>56.842</v>
      </c>
      <c r="E40" s="13">
        <v>55.761</v>
      </c>
      <c r="F40" s="13">
        <v>59.76</v>
      </c>
      <c r="G40" s="13">
        <v>60.072</v>
      </c>
      <c r="H40" s="13">
        <v>60.583</v>
      </c>
      <c r="I40" s="13">
        <v>59.417</v>
      </c>
      <c r="J40" s="13">
        <v>58.1</v>
      </c>
      <c r="K40" s="13">
        <v>59.1</v>
      </c>
      <c r="L40" s="13"/>
      <c r="M40" s="13"/>
      <c r="N40" s="13"/>
      <c r="O40" s="13"/>
      <c r="P40" s="2"/>
      <c r="Q40" s="2"/>
      <c r="R40" s="2"/>
      <c r="S40" s="1"/>
      <c r="T40" s="1"/>
      <c r="U40" s="1"/>
      <c r="V40" s="1"/>
      <c r="W40" s="1"/>
      <c r="X40" s="1"/>
      <c r="Y40" s="1"/>
      <c r="Z40" s="1"/>
      <c r="AA40" s="1"/>
      <c r="AB40" s="28">
        <v>74.104</v>
      </c>
      <c r="AC40" s="28">
        <v>76.075</v>
      </c>
      <c r="AD40" s="28">
        <v>70.208</v>
      </c>
      <c r="AE40" s="28">
        <v>68.883</v>
      </c>
      <c r="AF40" s="28">
        <v>59.76</v>
      </c>
      <c r="AG40" s="28">
        <f t="shared" ref="AG40:AH40" si="50">+J40</f>
        <v>58.1</v>
      </c>
      <c r="AH40" s="28">
        <f t="shared" si="50"/>
        <v>59.1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T40" s="1" t="s">
        <v>61</v>
      </c>
      <c r="AU40" s="30">
        <f>+Main!G6 / AH18</f>
        <v>12.40987791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</row>
    <row r="41" ht="12.75" customHeight="1">
      <c r="A41" s="17"/>
      <c r="B41" s="17" t="s">
        <v>62</v>
      </c>
      <c r="C41" s="18"/>
      <c r="D41" s="18">
        <f t="shared" ref="D41:K41" si="51">+SUM(D31:D40)</f>
        <v>3512.362</v>
      </c>
      <c r="E41" s="18">
        <f t="shared" si="51"/>
        <v>3897.934</v>
      </c>
      <c r="F41" s="18">
        <f t="shared" si="51"/>
        <v>3448.906</v>
      </c>
      <c r="G41" s="18">
        <f t="shared" si="51"/>
        <v>3936.992</v>
      </c>
      <c r="H41" s="18">
        <f t="shared" si="51"/>
        <v>3661.862</v>
      </c>
      <c r="I41" s="18">
        <f t="shared" si="51"/>
        <v>4133.062</v>
      </c>
      <c r="J41" s="18">
        <f t="shared" si="51"/>
        <v>3531.1</v>
      </c>
      <c r="K41" s="18">
        <f t="shared" si="51"/>
        <v>3907</v>
      </c>
      <c r="L41" s="18"/>
      <c r="M41" s="18"/>
      <c r="N41" s="18"/>
      <c r="O41" s="18"/>
      <c r="P41" s="18"/>
      <c r="Q41" s="18"/>
      <c r="R41" s="18"/>
      <c r="S41" s="17"/>
      <c r="T41" s="17"/>
      <c r="U41" s="17"/>
      <c r="V41" s="17"/>
      <c r="W41" s="17"/>
      <c r="X41" s="17"/>
      <c r="Y41" s="17"/>
      <c r="Z41" s="17"/>
      <c r="AA41" s="1"/>
      <c r="AB41" s="1">
        <f t="shared" ref="AB41:AH41" si="52">+SUM(AB31:AB40)</f>
        <v>3431.369</v>
      </c>
      <c r="AC41" s="1">
        <f t="shared" si="52"/>
        <v>3430.257</v>
      </c>
      <c r="AD41" s="1">
        <f t="shared" si="52"/>
        <v>3092.515</v>
      </c>
      <c r="AE41" s="1">
        <f t="shared" si="52"/>
        <v>3263.678</v>
      </c>
      <c r="AF41" s="1">
        <f t="shared" si="52"/>
        <v>3448.906</v>
      </c>
      <c r="AG41" s="1">
        <f t="shared" si="52"/>
        <v>3531.1</v>
      </c>
      <c r="AH41" s="1">
        <f t="shared" si="52"/>
        <v>3907</v>
      </c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T41" s="3" t="s">
        <v>63</v>
      </c>
      <c r="AU41" s="30">
        <f>+Main!G6 / AI18</f>
        <v>12.92695616</v>
      </c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</row>
    <row r="42" ht="12.75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T42" s="1"/>
      <c r="AU42" s="27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</row>
    <row r="43" ht="12.75" customHeight="1">
      <c r="A43" s="1"/>
      <c r="B43" s="1" t="s">
        <v>64</v>
      </c>
      <c r="C43" s="13"/>
      <c r="D43" s="13">
        <v>803.142</v>
      </c>
      <c r="E43" s="13">
        <v>1181.198</v>
      </c>
      <c r="F43" s="13">
        <v>782.545</v>
      </c>
      <c r="G43" s="13">
        <v>1031.325</v>
      </c>
      <c r="H43" s="13">
        <v>768.758</v>
      </c>
      <c r="I43" s="13">
        <v>1214.982</v>
      </c>
      <c r="J43" s="13">
        <v>795.0</v>
      </c>
      <c r="K43" s="13">
        <v>1056.7</v>
      </c>
      <c r="L43" s="13"/>
      <c r="M43" s="13"/>
      <c r="N43" s="13"/>
      <c r="O43" s="13"/>
      <c r="P43" s="2"/>
      <c r="Q43" s="2"/>
      <c r="R43" s="2"/>
      <c r="S43" s="1"/>
      <c r="T43" s="1"/>
      <c r="U43" s="1"/>
      <c r="V43" s="1"/>
      <c r="W43" s="1"/>
      <c r="X43" s="1"/>
      <c r="Y43" s="1"/>
      <c r="Z43" s="1"/>
      <c r="AA43" s="1"/>
      <c r="AB43" s="1">
        <v>921.205</v>
      </c>
      <c r="AC43" s="1">
        <v>892.789</v>
      </c>
      <c r="AD43" s="1">
        <v>758.363</v>
      </c>
      <c r="AE43" s="1">
        <v>886.233</v>
      </c>
      <c r="AF43" s="1">
        <v>782.545</v>
      </c>
      <c r="AG43" s="1">
        <f t="shared" ref="AG43:AH43" si="53">+J43</f>
        <v>795</v>
      </c>
      <c r="AH43" s="1">
        <f t="shared" si="53"/>
        <v>1056.7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T43" s="1"/>
      <c r="AU43" s="30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</row>
    <row r="44" ht="12.75" customHeight="1">
      <c r="A44" s="1"/>
      <c r="B44" s="1" t="s">
        <v>65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"/>
      <c r="Q44" s="2"/>
      <c r="R44" s="2"/>
      <c r="S44" s="1"/>
      <c r="T44" s="1"/>
      <c r="U44" s="1"/>
      <c r="V44" s="1"/>
      <c r="W44" s="1"/>
      <c r="X44" s="1"/>
      <c r="Y44" s="1"/>
      <c r="Z44" s="1"/>
      <c r="AA44" s="1"/>
      <c r="AB44" s="28">
        <v>0.0</v>
      </c>
      <c r="AC44" s="28">
        <v>0.0</v>
      </c>
      <c r="AD44" s="28"/>
      <c r="AE44" s="28">
        <v>44.8</v>
      </c>
      <c r="AF44" s="28"/>
      <c r="AG44" s="28"/>
      <c r="AH44" s="28"/>
      <c r="AI44" s="1"/>
      <c r="AJ44" s="1"/>
      <c r="AK44" s="1"/>
      <c r="AL44" s="1"/>
      <c r="AM44" s="1"/>
      <c r="AN44" s="1"/>
      <c r="AO44" s="1"/>
      <c r="AP44" s="1"/>
      <c r="AQ44" s="1"/>
      <c r="AR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</row>
    <row r="45" ht="12.75" customHeight="1">
      <c r="A45" s="1"/>
      <c r="B45" s="1" t="s">
        <v>66</v>
      </c>
      <c r="C45" s="13"/>
      <c r="D45" s="13">
        <v>8.047</v>
      </c>
      <c r="E45" s="13">
        <v>8.461</v>
      </c>
      <c r="F45" s="13">
        <v>11.252</v>
      </c>
      <c r="G45" s="13">
        <v>11.596</v>
      </c>
      <c r="H45" s="13">
        <v>11.535</v>
      </c>
      <c r="I45" s="13">
        <v>11.721</v>
      </c>
      <c r="J45" s="13">
        <v>11.4</v>
      </c>
      <c r="K45" s="13">
        <v>10.8</v>
      </c>
      <c r="L45" s="13"/>
      <c r="M45" s="13"/>
      <c r="N45" s="13"/>
      <c r="O45" s="13"/>
      <c r="P45" s="2"/>
      <c r="Q45" s="2"/>
      <c r="R45" s="2"/>
      <c r="S45" s="1"/>
      <c r="T45" s="1"/>
      <c r="U45" s="1"/>
      <c r="V45" s="1"/>
      <c r="W45" s="1"/>
      <c r="X45" s="1"/>
      <c r="Y45" s="1"/>
      <c r="Z45" s="1"/>
      <c r="AA45" s="1"/>
      <c r="AB45" s="28">
        <v>1.214</v>
      </c>
      <c r="AC45" s="28">
        <f>1.219+14.654</f>
        <v>15.873</v>
      </c>
      <c r="AD45" s="28">
        <v>13.819</v>
      </c>
      <c r="AE45" s="28">
        <v>11.712</v>
      </c>
      <c r="AF45" s="28">
        <v>11.252</v>
      </c>
      <c r="AG45" s="28">
        <f t="shared" ref="AG45:AH45" si="54">+J45</f>
        <v>11.4</v>
      </c>
      <c r="AH45" s="28">
        <f t="shared" si="54"/>
        <v>10.8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T45" s="1" t="s">
        <v>67</v>
      </c>
      <c r="AU45" s="30">
        <f>+Main!G9 / AH10</f>
        <v>1.210964928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</row>
    <row r="46" ht="12.75" customHeight="1">
      <c r="A46" s="1"/>
      <c r="B46" s="1" t="s">
        <v>53</v>
      </c>
      <c r="C46" s="13"/>
      <c r="D46" s="13">
        <v>115.633</v>
      </c>
      <c r="E46" s="13">
        <v>12.5</v>
      </c>
      <c r="F46" s="13">
        <v>33.959</v>
      </c>
      <c r="G46" s="13">
        <v>87.369</v>
      </c>
      <c r="H46" s="13">
        <v>0.0</v>
      </c>
      <c r="I46" s="13">
        <v>10.03</v>
      </c>
      <c r="J46" s="13">
        <v>28.5</v>
      </c>
      <c r="K46" s="13">
        <v>79.3</v>
      </c>
      <c r="L46" s="13"/>
      <c r="M46" s="13"/>
      <c r="N46" s="13"/>
      <c r="O46" s="13"/>
      <c r="P46" s="2"/>
      <c r="Q46" s="2"/>
      <c r="R46" s="2"/>
      <c r="S46" s="1"/>
      <c r="T46" s="1"/>
      <c r="U46" s="1"/>
      <c r="V46" s="1"/>
      <c r="W46" s="1"/>
      <c r="X46" s="1"/>
      <c r="Y46" s="1"/>
      <c r="Z46" s="1"/>
      <c r="AA46" s="1"/>
      <c r="AB46" s="28">
        <v>11.116</v>
      </c>
      <c r="AC46" s="28">
        <v>22.158</v>
      </c>
      <c r="AD46" s="28">
        <v>0.695</v>
      </c>
      <c r="AE46" s="28">
        <v>23.441</v>
      </c>
      <c r="AF46" s="28">
        <v>33.959</v>
      </c>
      <c r="AG46" s="28">
        <f t="shared" ref="AG46:AH46" si="55">+J46</f>
        <v>28.5</v>
      </c>
      <c r="AH46" s="28">
        <f t="shared" si="55"/>
        <v>79.3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T46" s="1" t="s">
        <v>68</v>
      </c>
      <c r="AU46" s="30">
        <f>+Main!G9 / I52</f>
        <v>4.048074742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</row>
    <row r="47" ht="12.75" customHeight="1">
      <c r="A47" s="1"/>
      <c r="B47" s="1" t="s">
        <v>69</v>
      </c>
      <c r="C47" s="13"/>
      <c r="D47" s="13">
        <v>321.407</v>
      </c>
      <c r="E47" s="13">
        <v>321.434</v>
      </c>
      <c r="F47" s="13">
        <v>321.461</v>
      </c>
      <c r="G47" s="13">
        <v>321.487</v>
      </c>
      <c r="H47" s="13">
        <v>321.514</v>
      </c>
      <c r="I47" s="13">
        <v>321.541</v>
      </c>
      <c r="J47" s="13">
        <v>321.6</v>
      </c>
      <c r="K47" s="13">
        <v>321.6</v>
      </c>
      <c r="L47" s="13"/>
      <c r="M47" s="13"/>
      <c r="N47" s="13"/>
      <c r="O47" s="13"/>
      <c r="P47" s="2"/>
      <c r="Q47" s="2"/>
      <c r="R47" s="2"/>
      <c r="S47" s="1"/>
      <c r="T47" s="1"/>
      <c r="U47" s="1"/>
      <c r="V47" s="1"/>
      <c r="W47" s="1"/>
      <c r="X47" s="1"/>
      <c r="Y47" s="1"/>
      <c r="Z47" s="1"/>
      <c r="AA47" s="1"/>
      <c r="AB47" s="28">
        <v>365.569</v>
      </c>
      <c r="AC47" s="28">
        <v>365.709</v>
      </c>
      <c r="AD47" s="28">
        <v>365.849</v>
      </c>
      <c r="AE47" s="28">
        <v>321.247</v>
      </c>
      <c r="AF47" s="28">
        <v>321.461</v>
      </c>
      <c r="AG47" s="28">
        <f t="shared" ref="AG47:AH47" si="56">+J47</f>
        <v>321.6</v>
      </c>
      <c r="AH47" s="28">
        <f t="shared" si="56"/>
        <v>321.6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</row>
    <row r="48" ht="12.75" customHeight="1">
      <c r="A48" s="1"/>
      <c r="B48" s="1" t="s">
        <v>58</v>
      </c>
      <c r="C48" s="13"/>
      <c r="D48" s="13">
        <v>22.291</v>
      </c>
      <c r="E48" s="13">
        <v>26.246</v>
      </c>
      <c r="F48" s="13">
        <v>31.728</v>
      </c>
      <c r="G48" s="13">
        <v>30.297</v>
      </c>
      <c r="H48" s="13">
        <v>27.44</v>
      </c>
      <c r="I48" s="13">
        <v>24.338</v>
      </c>
      <c r="J48" s="13">
        <v>22.3</v>
      </c>
      <c r="K48" s="13">
        <v>21.5</v>
      </c>
      <c r="L48" s="13"/>
      <c r="M48" s="13"/>
      <c r="N48" s="13"/>
      <c r="O48" s="13"/>
      <c r="P48" s="2"/>
      <c r="Q48" s="2"/>
      <c r="R48" s="2"/>
      <c r="S48" s="1"/>
      <c r="T48" s="1"/>
      <c r="U48" s="1"/>
      <c r="V48" s="1"/>
      <c r="W48" s="1"/>
      <c r="X48" s="1"/>
      <c r="Y48" s="1"/>
      <c r="Z48" s="1"/>
      <c r="AA48" s="1"/>
      <c r="AB48" s="28">
        <v>1.666</v>
      </c>
      <c r="AC48" s="28">
        <f>0.695+32.683</f>
        <v>33.378</v>
      </c>
      <c r="AD48" s="28">
        <v>33.392</v>
      </c>
      <c r="AE48" s="28">
        <v>30.969</v>
      </c>
      <c r="AF48" s="28">
        <v>31.728</v>
      </c>
      <c r="AG48" s="28">
        <f t="shared" ref="AG48:AH48" si="57">+J48</f>
        <v>22.3</v>
      </c>
      <c r="AH48" s="28">
        <f t="shared" si="57"/>
        <v>21.5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</row>
    <row r="49" ht="12.75" customHeight="1">
      <c r="A49" s="1"/>
      <c r="B49" s="1" t="s">
        <v>70</v>
      </c>
      <c r="C49" s="13"/>
      <c r="D49" s="13">
        <v>332.326</v>
      </c>
      <c r="E49" s="13">
        <v>334.457</v>
      </c>
      <c r="F49" s="13">
        <v>370.893</v>
      </c>
      <c r="G49" s="13">
        <v>380.09</v>
      </c>
      <c r="H49" s="13">
        <v>383.694</v>
      </c>
      <c r="I49" s="13">
        <v>387.055</v>
      </c>
      <c r="J49" s="13">
        <v>356.1</v>
      </c>
      <c r="K49" s="13">
        <v>359.2</v>
      </c>
      <c r="L49" s="13"/>
      <c r="M49" s="13"/>
      <c r="N49" s="13"/>
      <c r="O49" s="13"/>
      <c r="P49" s="2"/>
      <c r="Q49" s="2"/>
      <c r="R49" s="2"/>
      <c r="S49" s="1"/>
      <c r="T49" s="1"/>
      <c r="U49" s="1"/>
      <c r="V49" s="1"/>
      <c r="W49" s="1"/>
      <c r="X49" s="1"/>
      <c r="Y49" s="1"/>
      <c r="Z49" s="1"/>
      <c r="AA49" s="1"/>
      <c r="AB49" s="28">
        <v>238.731</v>
      </c>
      <c r="AC49" s="28">
        <v>273.601</v>
      </c>
      <c r="AD49" s="28">
        <v>279.389</v>
      </c>
      <c r="AE49" s="28">
        <v>275.937</v>
      </c>
      <c r="AF49" s="28">
        <v>370.893</v>
      </c>
      <c r="AG49" s="28">
        <f t="shared" ref="AG49:AH49" si="58">+J49</f>
        <v>356.1</v>
      </c>
      <c r="AH49" s="28">
        <f t="shared" si="58"/>
        <v>359.2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</row>
    <row r="50" ht="12.75" customHeight="1">
      <c r="A50" s="1"/>
      <c r="B50" s="1" t="s">
        <v>71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2"/>
      <c r="Q50" s="2"/>
      <c r="R50" s="2"/>
      <c r="S50" s="1"/>
      <c r="T50" s="1"/>
      <c r="U50" s="1"/>
      <c r="V50" s="1"/>
      <c r="W50" s="1"/>
      <c r="X50" s="1"/>
      <c r="Y50" s="1"/>
      <c r="Z50" s="1"/>
      <c r="AA50" s="1"/>
      <c r="AB50" s="28">
        <v>13.487</v>
      </c>
      <c r="AC50" s="28">
        <v>3.49</v>
      </c>
      <c r="AD50" s="28"/>
      <c r="AE50" s="28"/>
      <c r="AF50" s="28"/>
      <c r="AG50" s="28"/>
      <c r="AH50" s="28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</row>
    <row r="51" ht="12.75" customHeight="1">
      <c r="A51" s="1"/>
      <c r="B51" s="1" t="s">
        <v>72</v>
      </c>
      <c r="C51" s="13"/>
      <c r="D51" s="13">
        <v>200.0</v>
      </c>
      <c r="E51" s="13">
        <v>200.0</v>
      </c>
      <c r="F51" s="13">
        <v>200.0</v>
      </c>
      <c r="G51" s="13">
        <v>200.0</v>
      </c>
      <c r="H51" s="13">
        <v>200.0</v>
      </c>
      <c r="I51" s="13">
        <v>200.0</v>
      </c>
      <c r="J51" s="13">
        <v>200.0</v>
      </c>
      <c r="K51" s="13">
        <v>200.0</v>
      </c>
      <c r="L51" s="13"/>
      <c r="M51" s="13"/>
      <c r="N51" s="13"/>
      <c r="O51" s="13"/>
      <c r="P51" s="2"/>
      <c r="Q51" s="2"/>
      <c r="R51" s="2"/>
      <c r="S51" s="1"/>
      <c r="T51" s="1"/>
      <c r="U51" s="1"/>
      <c r="V51" s="1"/>
      <c r="W51" s="1"/>
      <c r="X51" s="1"/>
      <c r="Y51" s="1"/>
      <c r="Z51" s="1"/>
      <c r="AA51" s="1"/>
      <c r="AB51" s="28">
        <v>200.0</v>
      </c>
      <c r="AC51" s="28">
        <v>200.0</v>
      </c>
      <c r="AD51" s="28">
        <v>200.0</v>
      </c>
      <c r="AE51" s="28">
        <v>200.0</v>
      </c>
      <c r="AF51" s="28">
        <v>200.0</v>
      </c>
      <c r="AG51" s="28">
        <f t="shared" ref="AG51:AH51" si="59">+J51</f>
        <v>200</v>
      </c>
      <c r="AH51" s="28">
        <f t="shared" si="59"/>
        <v>200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</row>
    <row r="52" ht="12.75" customHeight="1">
      <c r="A52" s="1"/>
      <c r="B52" s="1" t="s">
        <v>73</v>
      </c>
      <c r="C52" s="13"/>
      <c r="D52" s="13">
        <v>1709.516</v>
      </c>
      <c r="E52" s="13">
        <v>1813.638</v>
      </c>
      <c r="F52" s="13">
        <v>1697.068</v>
      </c>
      <c r="G52" s="13">
        <v>1874.992</v>
      </c>
      <c r="H52" s="13">
        <v>1948.921</v>
      </c>
      <c r="I52" s="13">
        <v>1963.395</v>
      </c>
      <c r="J52" s="13">
        <v>1796.2</v>
      </c>
      <c r="K52" s="13">
        <v>1857.9</v>
      </c>
      <c r="L52" s="13"/>
      <c r="M52" s="13"/>
      <c r="N52" s="13"/>
      <c r="O52" s="13"/>
      <c r="P52" s="2"/>
      <c r="Q52" s="2"/>
      <c r="R52" s="2"/>
      <c r="S52" s="1"/>
      <c r="T52" s="1"/>
      <c r="U52" s="1"/>
      <c r="V52" s="1"/>
      <c r="W52" s="1"/>
      <c r="X52" s="1"/>
      <c r="Y52" s="1"/>
      <c r="Z52" s="1"/>
      <c r="AA52" s="1"/>
      <c r="AB52" s="28">
        <v>1678.381</v>
      </c>
      <c r="AC52" s="28">
        <v>1623.259</v>
      </c>
      <c r="AD52" s="28">
        <v>1441.008</v>
      </c>
      <c r="AE52" s="28">
        <v>1451.218</v>
      </c>
      <c r="AF52" s="28">
        <v>1697.068</v>
      </c>
      <c r="AG52" s="28">
        <f t="shared" ref="AG52:AH52" si="60">+J52</f>
        <v>1796.2</v>
      </c>
      <c r="AH52" s="28">
        <f t="shared" si="60"/>
        <v>1857.9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</row>
    <row r="53" ht="12.75" customHeight="1">
      <c r="A53" s="17"/>
      <c r="B53" s="17" t="s">
        <v>74</v>
      </c>
      <c r="C53" s="18"/>
      <c r="D53" s="18">
        <f t="shared" ref="D53:K53" si="61">+SUM(D43:D52)</f>
        <v>3512.362</v>
      </c>
      <c r="E53" s="18">
        <f t="shared" si="61"/>
        <v>3897.934</v>
      </c>
      <c r="F53" s="18">
        <f t="shared" si="61"/>
        <v>3448.906</v>
      </c>
      <c r="G53" s="18">
        <f t="shared" si="61"/>
        <v>3937.156</v>
      </c>
      <c r="H53" s="18">
        <f t="shared" si="61"/>
        <v>3661.862</v>
      </c>
      <c r="I53" s="18">
        <f t="shared" si="61"/>
        <v>4133.062</v>
      </c>
      <c r="J53" s="18">
        <f t="shared" si="61"/>
        <v>3531.1</v>
      </c>
      <c r="K53" s="18">
        <f t="shared" si="61"/>
        <v>3907</v>
      </c>
      <c r="L53" s="18"/>
      <c r="M53" s="18"/>
      <c r="N53" s="18"/>
      <c r="O53" s="18"/>
      <c r="P53" s="18"/>
      <c r="Q53" s="18"/>
      <c r="R53" s="18"/>
      <c r="S53" s="17"/>
      <c r="T53" s="17"/>
      <c r="U53" s="17"/>
      <c r="V53" s="17"/>
      <c r="W53" s="17"/>
      <c r="X53" s="17"/>
      <c r="Y53" s="17"/>
      <c r="Z53" s="17"/>
      <c r="AA53" s="17"/>
      <c r="AB53" s="1">
        <f t="shared" ref="AB53:AF53" si="62">+SUM(AB43:AB52)</f>
        <v>3431.369</v>
      </c>
      <c r="AC53" s="1">
        <f t="shared" si="62"/>
        <v>3430.257</v>
      </c>
      <c r="AD53" s="1">
        <f t="shared" si="62"/>
        <v>3092.515</v>
      </c>
      <c r="AE53" s="1">
        <f t="shared" si="62"/>
        <v>3245.557</v>
      </c>
      <c r="AF53" s="1">
        <f t="shared" si="62"/>
        <v>3448.906</v>
      </c>
      <c r="AG53" s="1">
        <f t="shared" ref="AG53:AH53" si="63">+J53</f>
        <v>3531.1</v>
      </c>
      <c r="AH53" s="1">
        <f t="shared" si="63"/>
        <v>3907</v>
      </c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</row>
    <row r="54" ht="12.7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</row>
    <row r="55" ht="12.75" customHeight="1">
      <c r="A55" s="1"/>
      <c r="B55" s="1" t="s">
        <v>75</v>
      </c>
      <c r="C55" s="2"/>
      <c r="D55" s="2">
        <f t="shared" ref="D55:K55" si="64">SUM(D44,D47,D51)</f>
        <v>521.407</v>
      </c>
      <c r="E55" s="2">
        <f t="shared" si="64"/>
        <v>521.434</v>
      </c>
      <c r="F55" s="2">
        <f t="shared" si="64"/>
        <v>521.461</v>
      </c>
      <c r="G55" s="2">
        <f t="shared" si="64"/>
        <v>521.487</v>
      </c>
      <c r="H55" s="2">
        <f t="shared" si="64"/>
        <v>521.514</v>
      </c>
      <c r="I55" s="2">
        <f t="shared" si="64"/>
        <v>521.541</v>
      </c>
      <c r="J55" s="2">
        <f t="shared" si="64"/>
        <v>521.6</v>
      </c>
      <c r="K55" s="2">
        <f t="shared" si="64"/>
        <v>521.6</v>
      </c>
      <c r="L55" s="2"/>
      <c r="M55" s="2"/>
      <c r="N55" s="2"/>
      <c r="O55" s="2"/>
      <c r="P55" s="2"/>
      <c r="Q55" s="2"/>
      <c r="R55" s="2"/>
      <c r="S55" s="1"/>
      <c r="T55" s="1"/>
      <c r="U55" s="1"/>
      <c r="V55" s="1"/>
      <c r="W55" s="1"/>
      <c r="X55" s="1"/>
      <c r="Y55" s="1"/>
      <c r="Z55" s="1"/>
      <c r="AA55" s="1"/>
      <c r="AB55" s="1">
        <f t="shared" ref="AB55:AG55" si="65">SUM(AB44,AB47,AB51)</f>
        <v>565.569</v>
      </c>
      <c r="AC55" s="1">
        <f t="shared" si="65"/>
        <v>565.709</v>
      </c>
      <c r="AD55" s="1">
        <f t="shared" si="65"/>
        <v>565.849</v>
      </c>
      <c r="AE55" s="1">
        <f t="shared" si="65"/>
        <v>566.047</v>
      </c>
      <c r="AF55" s="1">
        <f t="shared" si="65"/>
        <v>521.461</v>
      </c>
      <c r="AG55" s="1">
        <f t="shared" si="65"/>
        <v>521.6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</row>
    <row r="56" ht="12.75" customHeight="1">
      <c r="A56" s="1"/>
      <c r="B56" s="1" t="s">
        <v>76</v>
      </c>
      <c r="C56" s="2"/>
      <c r="D56" s="2">
        <f t="shared" ref="D56:K56" si="66">+D55+D52</f>
        <v>2230.923</v>
      </c>
      <c r="E56" s="2">
        <f t="shared" si="66"/>
        <v>2335.072</v>
      </c>
      <c r="F56" s="2">
        <f t="shared" si="66"/>
        <v>2218.529</v>
      </c>
      <c r="G56" s="2">
        <f t="shared" si="66"/>
        <v>2396.479</v>
      </c>
      <c r="H56" s="2">
        <f t="shared" si="66"/>
        <v>2470.435</v>
      </c>
      <c r="I56" s="2">
        <f t="shared" si="66"/>
        <v>2484.936</v>
      </c>
      <c r="J56" s="2">
        <f t="shared" si="66"/>
        <v>2317.8</v>
      </c>
      <c r="K56" s="2">
        <f t="shared" si="66"/>
        <v>2379.5</v>
      </c>
      <c r="L56" s="2"/>
      <c r="M56" s="2"/>
      <c r="N56" s="2"/>
      <c r="O56" s="2"/>
      <c r="P56" s="2"/>
      <c r="Q56" s="2"/>
      <c r="R56" s="2"/>
      <c r="S56" s="1"/>
      <c r="T56" s="1"/>
      <c r="U56" s="1"/>
      <c r="V56" s="1"/>
      <c r="W56" s="1"/>
      <c r="X56" s="1"/>
      <c r="Y56" s="1"/>
      <c r="Z56" s="1"/>
      <c r="AA56" s="1"/>
      <c r="AB56" s="1">
        <f t="shared" ref="AB56:AG56" si="67">+AB55+AB52</f>
        <v>2243.95</v>
      </c>
      <c r="AC56" s="1">
        <f t="shared" si="67"/>
        <v>2188.968</v>
      </c>
      <c r="AD56" s="1">
        <f t="shared" si="67"/>
        <v>2006.857</v>
      </c>
      <c r="AE56" s="1">
        <f t="shared" si="67"/>
        <v>2017.265</v>
      </c>
      <c r="AF56" s="1">
        <f t="shared" si="67"/>
        <v>2218.529</v>
      </c>
      <c r="AG56" s="1">
        <f t="shared" si="67"/>
        <v>2317.8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</row>
    <row r="57" ht="12.75" customHeight="1">
      <c r="A57" s="1"/>
      <c r="B57" s="1" t="s">
        <v>77</v>
      </c>
      <c r="C57" s="2"/>
      <c r="D57" s="26">
        <f t="shared" ref="D57:K57" si="68">+D55/D56</f>
        <v>0.233718062</v>
      </c>
      <c r="E57" s="26">
        <f t="shared" si="68"/>
        <v>0.2233053199</v>
      </c>
      <c r="F57" s="26">
        <f t="shared" si="68"/>
        <v>0.2350480882</v>
      </c>
      <c r="G57" s="26">
        <f t="shared" si="68"/>
        <v>0.2176054954</v>
      </c>
      <c r="H57" s="26">
        <f t="shared" si="68"/>
        <v>0.2111020934</v>
      </c>
      <c r="I57" s="26">
        <f t="shared" si="68"/>
        <v>0.2098810593</v>
      </c>
      <c r="J57" s="26">
        <f t="shared" si="68"/>
        <v>0.2250409871</v>
      </c>
      <c r="K57" s="26">
        <f t="shared" si="68"/>
        <v>0.2192057155</v>
      </c>
      <c r="L57" s="2"/>
      <c r="M57" s="2"/>
      <c r="N57" s="2"/>
      <c r="O57" s="2"/>
      <c r="P57" s="2"/>
      <c r="Q57" s="2"/>
      <c r="R57" s="2"/>
      <c r="S57" s="1"/>
      <c r="T57" s="1"/>
      <c r="U57" s="1"/>
      <c r="V57" s="1"/>
      <c r="W57" s="1"/>
      <c r="X57" s="1"/>
      <c r="Y57" s="1"/>
      <c r="Z57" s="1"/>
      <c r="AA57" s="1"/>
      <c r="AB57" s="25">
        <f t="shared" ref="AB57:AG57" si="69">+AB55/AB56</f>
        <v>0.2520417122</v>
      </c>
      <c r="AC57" s="25">
        <f t="shared" si="69"/>
        <v>0.2584363956</v>
      </c>
      <c r="AD57" s="25">
        <f t="shared" si="69"/>
        <v>0.2819578077</v>
      </c>
      <c r="AE57" s="25">
        <f t="shared" si="69"/>
        <v>0.2806012101</v>
      </c>
      <c r="AF57" s="25">
        <f t="shared" si="69"/>
        <v>0.2350480882</v>
      </c>
      <c r="AG57" s="25">
        <f t="shared" si="69"/>
        <v>0.2250409871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</row>
    <row r="58" ht="12.75" customHeight="1">
      <c r="A58" s="1"/>
      <c r="B58" s="1" t="s">
        <v>78</v>
      </c>
      <c r="C58" s="2"/>
      <c r="D58" s="26">
        <f t="shared" ref="D58:K58" si="70">SUM(D31,D33)/D55</f>
        <v>1.773075544</v>
      </c>
      <c r="E58" s="26">
        <f t="shared" si="70"/>
        <v>1.713079699</v>
      </c>
      <c r="F58" s="26">
        <f t="shared" si="70"/>
        <v>1.833930054</v>
      </c>
      <c r="G58" s="26">
        <f t="shared" si="70"/>
        <v>2.233660667</v>
      </c>
      <c r="H58" s="26">
        <f t="shared" si="70"/>
        <v>2.05263713</v>
      </c>
      <c r="I58" s="26">
        <f t="shared" si="70"/>
        <v>2.126902775</v>
      </c>
      <c r="J58" s="26">
        <f t="shared" si="70"/>
        <v>2.000766871</v>
      </c>
      <c r="K58" s="26">
        <f t="shared" si="70"/>
        <v>2.222009202</v>
      </c>
      <c r="L58" s="2"/>
      <c r="M58" s="2"/>
      <c r="N58" s="2"/>
      <c r="O58" s="2"/>
      <c r="P58" s="2"/>
      <c r="Q58" s="2"/>
      <c r="R58" s="2"/>
      <c r="S58" s="1"/>
      <c r="T58" s="1"/>
      <c r="U58" s="1"/>
      <c r="V58" s="1"/>
      <c r="W58" s="1"/>
      <c r="X58" s="1"/>
      <c r="Y58" s="1"/>
      <c r="Z58" s="1"/>
      <c r="AA58" s="1"/>
      <c r="AB58" s="25">
        <f t="shared" ref="AB58:AG58" si="71">SUM(AB31,AB33)/AB55</f>
        <v>0.2183800739</v>
      </c>
      <c r="AC58" s="25">
        <f t="shared" si="71"/>
        <v>0.4897871521</v>
      </c>
      <c r="AD58" s="25">
        <f t="shared" si="71"/>
        <v>0.6368112341</v>
      </c>
      <c r="AE58" s="25">
        <f t="shared" si="71"/>
        <v>1.266253509</v>
      </c>
      <c r="AF58" s="25">
        <f t="shared" si="71"/>
        <v>1.833930054</v>
      </c>
      <c r="AG58" s="25">
        <f t="shared" si="71"/>
        <v>2.000766871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</row>
    <row r="59" ht="12.7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1"/>
      <c r="T59" s="1"/>
      <c r="U59" s="1"/>
      <c r="V59" s="1"/>
      <c r="W59" s="1"/>
      <c r="X59" s="1"/>
      <c r="Y59" s="1"/>
      <c r="Z59" s="1"/>
      <c r="AA59" s="1"/>
      <c r="AB59" s="25"/>
      <c r="AC59" s="25"/>
      <c r="AD59" s="25"/>
      <c r="AE59" s="25"/>
      <c r="AF59" s="25"/>
      <c r="AG59" s="25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</row>
    <row r="60" ht="12.7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</row>
    <row r="61" ht="12.7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</row>
    <row r="62" ht="12.75" customHeight="1">
      <c r="A62" s="1"/>
      <c r="B62" s="1" t="s">
        <v>79</v>
      </c>
      <c r="C62" s="2">
        <v>280.948</v>
      </c>
      <c r="D62" s="2">
        <f>397.85-C62</f>
        <v>116.902</v>
      </c>
      <c r="E62" s="2">
        <f>447.107-SUM(C62:D62)</f>
        <v>49.257</v>
      </c>
      <c r="F62" s="2">
        <f>883.59-SUM(C62:E62)</f>
        <v>436.483</v>
      </c>
      <c r="G62" s="2">
        <v>244.378</v>
      </c>
      <c r="H62" s="2">
        <f>175.957-G62</f>
        <v>-68.421</v>
      </c>
      <c r="I62" s="2">
        <f>349.434-SUM(G62:H62)</f>
        <v>173.477</v>
      </c>
      <c r="J62" s="2">
        <f>714.1-SUM(G62:I62)</f>
        <v>364.666</v>
      </c>
      <c r="K62" s="2">
        <v>232.6</v>
      </c>
      <c r="L62" s="2"/>
      <c r="M62" s="2"/>
      <c r="N62" s="2"/>
      <c r="O62" s="2"/>
      <c r="P62" s="2"/>
      <c r="Q62" s="2"/>
      <c r="R62" s="2"/>
      <c r="S62" s="1"/>
      <c r="T62" s="1"/>
      <c r="U62" s="1"/>
      <c r="V62" s="1"/>
      <c r="W62" s="1"/>
      <c r="X62" s="1"/>
      <c r="Y62" s="1"/>
      <c r="Z62" s="1"/>
      <c r="AA62" s="1">
        <v>367.288</v>
      </c>
      <c r="AB62" s="1">
        <v>365.074</v>
      </c>
      <c r="AC62" s="1">
        <v>252.946</v>
      </c>
      <c r="AD62" s="1">
        <v>1280.02</v>
      </c>
      <c r="AE62" s="1">
        <v>948.391</v>
      </c>
      <c r="AF62" s="1">
        <v>883.59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</row>
    <row r="63" ht="12.75" customHeight="1">
      <c r="A63" s="1"/>
      <c r="B63" s="1" t="s">
        <v>80</v>
      </c>
      <c r="C63" s="2">
        <v>-32.348</v>
      </c>
      <c r="D63" s="2">
        <f>+-63.807-C63</f>
        <v>-31.459</v>
      </c>
      <c r="E63" s="2">
        <f>+-104.679-SUM(C63:D63)</f>
        <v>-40.872</v>
      </c>
      <c r="F63" s="2">
        <f>+-132.944-SUM(C63:E63)</f>
        <v>-28.265</v>
      </c>
      <c r="G63" s="2">
        <v>-35.175</v>
      </c>
      <c r="H63" s="2">
        <f>+-61.086-G63</f>
        <v>-25.911</v>
      </c>
      <c r="I63" s="2">
        <f>+-89.147-SUM(G63:H63)</f>
        <v>-28.061</v>
      </c>
      <c r="J63" s="2">
        <f>+-104.6-SUM(G63:I63)</f>
        <v>-15.453</v>
      </c>
      <c r="K63" s="2">
        <v>-16.8</v>
      </c>
      <c r="L63" s="2"/>
      <c r="M63" s="2"/>
      <c r="N63" s="2"/>
      <c r="O63" s="2"/>
      <c r="P63" s="2"/>
      <c r="Q63" s="2"/>
      <c r="R63" s="2"/>
      <c r="S63" s="1"/>
      <c r="T63" s="1"/>
      <c r="U63" s="1"/>
      <c r="V63" s="1"/>
      <c r="W63" s="1"/>
      <c r="X63" s="1"/>
      <c r="Y63" s="1"/>
      <c r="Z63" s="1"/>
      <c r="AA63" s="1">
        <v>-137.064</v>
      </c>
      <c r="AB63" s="1">
        <v>-103.383</v>
      </c>
      <c r="AC63" s="1">
        <v>-60.453</v>
      </c>
      <c r="AD63" s="1">
        <v>-104.36</v>
      </c>
      <c r="AE63" s="1">
        <v>-120.105</v>
      </c>
      <c r="AF63" s="1">
        <v>-132.944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</row>
    <row r="64" ht="12.75" customHeight="1">
      <c r="A64" s="17"/>
      <c r="B64" s="17" t="s">
        <v>81</v>
      </c>
      <c r="C64" s="18">
        <f t="shared" ref="C64:K64" si="72">+SUM(C62:C63)</f>
        <v>248.6</v>
      </c>
      <c r="D64" s="18">
        <f t="shared" si="72"/>
        <v>85.443</v>
      </c>
      <c r="E64" s="18">
        <f t="shared" si="72"/>
        <v>8.385</v>
      </c>
      <c r="F64" s="18">
        <f t="shared" si="72"/>
        <v>408.218</v>
      </c>
      <c r="G64" s="18">
        <f t="shared" si="72"/>
        <v>209.203</v>
      </c>
      <c r="H64" s="18">
        <f t="shared" si="72"/>
        <v>-94.332</v>
      </c>
      <c r="I64" s="18">
        <f t="shared" si="72"/>
        <v>145.416</v>
      </c>
      <c r="J64" s="18">
        <f t="shared" si="72"/>
        <v>349.213</v>
      </c>
      <c r="K64" s="18">
        <f t="shared" si="72"/>
        <v>215.8</v>
      </c>
      <c r="L64" s="18"/>
      <c r="M64" s="18"/>
      <c r="N64" s="18"/>
      <c r="O64" s="18"/>
      <c r="P64" s="18"/>
      <c r="Q64" s="18"/>
      <c r="R64" s="18"/>
      <c r="S64" s="17"/>
      <c r="T64" s="17"/>
      <c r="U64" s="17"/>
      <c r="V64" s="17"/>
      <c r="W64" s="17"/>
      <c r="X64" s="17"/>
      <c r="Y64" s="17"/>
      <c r="Z64" s="17"/>
      <c r="AA64" s="17">
        <f t="shared" ref="AA64:AF64" si="73">+SUM(AA62:AA63)</f>
        <v>230.224</v>
      </c>
      <c r="AB64" s="17">
        <f t="shared" si="73"/>
        <v>261.691</v>
      </c>
      <c r="AC64" s="17">
        <f t="shared" si="73"/>
        <v>192.493</v>
      </c>
      <c r="AD64" s="17">
        <f t="shared" si="73"/>
        <v>1175.66</v>
      </c>
      <c r="AE64" s="17">
        <f t="shared" si="73"/>
        <v>828.286</v>
      </c>
      <c r="AF64" s="17">
        <f t="shared" si="73"/>
        <v>750.646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</row>
    <row r="65" ht="12.75" customHeight="1">
      <c r="A65" s="1"/>
      <c r="B65" s="1" t="s">
        <v>82</v>
      </c>
      <c r="C65" s="2">
        <f t="shared" ref="C65:K65" si="74">+C18</f>
        <v>245.449</v>
      </c>
      <c r="D65" s="2">
        <f t="shared" si="74"/>
        <v>176.169</v>
      </c>
      <c r="E65" s="2">
        <f t="shared" si="74"/>
        <v>195.993</v>
      </c>
      <c r="F65" s="2">
        <f t="shared" si="74"/>
        <v>294.756</v>
      </c>
      <c r="G65" s="2">
        <f t="shared" si="74"/>
        <v>225.674</v>
      </c>
      <c r="H65" s="2">
        <f t="shared" si="74"/>
        <v>120.846</v>
      </c>
      <c r="I65" s="2">
        <f t="shared" si="74"/>
        <v>168.47</v>
      </c>
      <c r="J65" s="2">
        <f t="shared" si="74"/>
        <v>255.7</v>
      </c>
      <c r="K65" s="2">
        <f t="shared" si="74"/>
        <v>208.2</v>
      </c>
      <c r="L65" s="2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>
        <f t="shared" ref="AA65:AF65" si="75">+AA18</f>
        <v>394.095</v>
      </c>
      <c r="AB65" s="1">
        <f t="shared" si="75"/>
        <v>313.137</v>
      </c>
      <c r="AC65" s="1">
        <f t="shared" si="75"/>
        <v>154.69</v>
      </c>
      <c r="AD65" s="1">
        <f t="shared" si="75"/>
        <v>1037.106</v>
      </c>
      <c r="AE65" s="1">
        <f t="shared" si="75"/>
        <v>1059.03</v>
      </c>
      <c r="AF65" s="1">
        <f t="shared" si="75"/>
        <v>912.367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</row>
    <row r="66" ht="12.7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</row>
    <row r="67" ht="12.75" customHeight="1">
      <c r="A67" s="1"/>
      <c r="B67" s="1" t="s">
        <v>83</v>
      </c>
      <c r="C67" s="2"/>
      <c r="D67" s="2"/>
      <c r="E67" s="2"/>
      <c r="F67" s="2">
        <f t="shared" ref="F67:K67" si="76">+SUM(C64:F64)</f>
        <v>750.646</v>
      </c>
      <c r="G67" s="2">
        <f t="shared" si="76"/>
        <v>711.249</v>
      </c>
      <c r="H67" s="2">
        <f t="shared" si="76"/>
        <v>531.474</v>
      </c>
      <c r="I67" s="2">
        <f t="shared" si="76"/>
        <v>668.505</v>
      </c>
      <c r="J67" s="2">
        <f t="shared" si="76"/>
        <v>609.5</v>
      </c>
      <c r="K67" s="2">
        <f t="shared" si="76"/>
        <v>616.097</v>
      </c>
      <c r="L67" s="2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</row>
    <row r="68" ht="12.75" customHeight="1">
      <c r="A68" s="1"/>
      <c r="B68" s="1" t="s">
        <v>84</v>
      </c>
      <c r="C68" s="2"/>
      <c r="D68" s="2"/>
      <c r="E68" s="2"/>
      <c r="F68" s="2">
        <f t="shared" ref="F68:K68" si="77">+SUM(C65:F65)</f>
        <v>912.367</v>
      </c>
      <c r="G68" s="2">
        <f t="shared" si="77"/>
        <v>892.592</v>
      </c>
      <c r="H68" s="2">
        <f t="shared" si="77"/>
        <v>837.269</v>
      </c>
      <c r="I68" s="2">
        <f t="shared" si="77"/>
        <v>809.746</v>
      </c>
      <c r="J68" s="2">
        <f t="shared" si="77"/>
        <v>770.69</v>
      </c>
      <c r="K68" s="2">
        <f t="shared" si="77"/>
        <v>753.216</v>
      </c>
      <c r="L68" s="2"/>
      <c r="M68" s="2"/>
      <c r="N68" s="2"/>
      <c r="O68" s="2"/>
      <c r="P68" s="2"/>
      <c r="Q68" s="2"/>
      <c r="R68" s="2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</row>
    <row r="69" ht="12.7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>
        <f>1^6 * 1^3</f>
        <v>1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</row>
    <row r="70" ht="12.7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</row>
    <row r="71" ht="12.7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</row>
    <row r="72" ht="12.7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</row>
    <row r="73" ht="12.7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</row>
    <row r="74" ht="12.7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</row>
    <row r="75" ht="12.7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</row>
    <row r="76" ht="12.7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</row>
    <row r="77" ht="12.7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</row>
    <row r="78" ht="12.7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</row>
    <row r="79" ht="12.7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</row>
    <row r="80" ht="12.7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</row>
    <row r="81" ht="12.7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</row>
    <row r="82" ht="12.7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</row>
    <row r="83" ht="12.7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</row>
    <row r="84" ht="12.7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</row>
    <row r="85" ht="12.7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</row>
    <row r="86" ht="12.7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</row>
    <row r="87" ht="12.7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</row>
    <row r="88" ht="12.7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</row>
    <row r="89" ht="12.7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</row>
    <row r="90" ht="12.7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</row>
    <row r="91" ht="12.7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</row>
    <row r="92" ht="12.7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</row>
    <row r="93" ht="12.7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</row>
    <row r="94" ht="12.7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</row>
    <row r="95" ht="12.7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</row>
    <row r="96" ht="12.7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</row>
    <row r="97" ht="12.7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</row>
    <row r="98" ht="12.7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</row>
    <row r="99" ht="12.7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</row>
    <row r="100" ht="12.7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</row>
    <row r="101" ht="12.7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</row>
    <row r="102" ht="12.7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</row>
    <row r="103" ht="12.7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</row>
    <row r="104" ht="12.7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</row>
    <row r="105" ht="12.7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</row>
    <row r="106" ht="12.7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</row>
    <row r="107" ht="12.7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</row>
    <row r="108" ht="12.7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</row>
    <row r="109" ht="12.7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</row>
    <row r="110" ht="12.7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</row>
    <row r="111" ht="12.7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</row>
    <row r="112" ht="12.7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</row>
    <row r="113" ht="12.7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</row>
    <row r="114" ht="12.7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</row>
    <row r="115" ht="12.7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</row>
    <row r="116" ht="12.7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</row>
    <row r="117" ht="12.7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</row>
    <row r="118" ht="12.7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</row>
    <row r="119" ht="12.7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</row>
    <row r="120" ht="12.7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</row>
    <row r="121" ht="12.7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</row>
    <row r="122" ht="12.7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</row>
    <row r="123" ht="12.7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</row>
    <row r="124" ht="12.7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</row>
    <row r="125" ht="12.7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</row>
    <row r="126" ht="12.7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</row>
    <row r="127" ht="12.7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</row>
    <row r="128" ht="12.7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</row>
    <row r="129" ht="12.7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</row>
    <row r="130" ht="12.7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</row>
    <row r="131" ht="12.7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</row>
    <row r="132" ht="12.7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</row>
    <row r="133" ht="12.7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</row>
    <row r="134" ht="12.7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</row>
    <row r="135" ht="12.7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</row>
    <row r="136" ht="12.7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</row>
    <row r="137" ht="12.7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</row>
    <row r="138" ht="12.7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</row>
    <row r="139" ht="12.7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</row>
    <row r="140" ht="12.7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</row>
    <row r="141" ht="12.7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</row>
    <row r="142" ht="12.7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</row>
    <row r="143" ht="12.7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</row>
    <row r="144" ht="12.7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</row>
    <row r="145" ht="12.7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</row>
    <row r="146" ht="12.7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</row>
    <row r="147" ht="12.7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</row>
    <row r="148" ht="12.7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</row>
    <row r="149" ht="12.7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</row>
    <row r="150" ht="12.7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</row>
    <row r="151" ht="12.7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</row>
    <row r="152" ht="12.7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</row>
    <row r="153" ht="12.7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</row>
    <row r="154" ht="12.7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</row>
    <row r="155" ht="12.7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</row>
    <row r="156" ht="12.7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</row>
    <row r="157" ht="12.7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</row>
    <row r="158" ht="12.7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</row>
    <row r="159" ht="12.7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</row>
    <row r="160" ht="12.7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</row>
    <row r="161" ht="12.7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</row>
    <row r="162" ht="12.7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</row>
    <row r="163" ht="12.7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</row>
    <row r="164" ht="12.7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</row>
    <row r="165" ht="12.7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</row>
    <row r="166" ht="12.7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</row>
    <row r="167" ht="12.7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</row>
    <row r="168" ht="12.7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</row>
    <row r="169" ht="12.7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</row>
    <row r="170" ht="12.7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</row>
    <row r="171" ht="12.7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</row>
    <row r="172" ht="12.7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</row>
    <row r="173" ht="12.7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</row>
    <row r="174" ht="12.7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</row>
    <row r="175" ht="12.7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</row>
    <row r="176" ht="12.7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</row>
    <row r="177" ht="12.7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</row>
    <row r="178" ht="12.7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</row>
    <row r="179" ht="12.7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</row>
    <row r="180" ht="12.7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</row>
    <row r="181" ht="12.7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</row>
    <row r="182" ht="12.7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</row>
    <row r="183" ht="12.7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</row>
    <row r="184" ht="12.7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</row>
    <row r="185" ht="12.7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</row>
    <row r="186" ht="12.7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</row>
    <row r="187" ht="12.7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</row>
    <row r="188" ht="12.7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</row>
    <row r="189" ht="12.7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</row>
    <row r="190" ht="12.7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</row>
    <row r="191" ht="12.7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</row>
    <row r="192" ht="12.7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</row>
    <row r="193" ht="12.7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</row>
    <row r="194" ht="12.7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</row>
    <row r="195" ht="12.7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</row>
    <row r="196" ht="12.7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</row>
    <row r="197" ht="12.7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</row>
    <row r="198" ht="12.7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</row>
    <row r="199" ht="12.7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</row>
    <row r="200" ht="12.7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</row>
    <row r="201" ht="12.7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</row>
    <row r="202" ht="12.7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</row>
    <row r="203" ht="12.7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</row>
    <row r="204" ht="12.7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</row>
    <row r="205" ht="12.7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</row>
    <row r="206" ht="12.7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</row>
    <row r="207" ht="12.7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</row>
    <row r="208" ht="12.7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</row>
    <row r="209" ht="12.7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</row>
    <row r="210" ht="12.7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</row>
    <row r="211" ht="12.7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</row>
    <row r="212" ht="12.7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</row>
    <row r="213" ht="12.7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</row>
    <row r="214" ht="12.7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</row>
    <row r="215" ht="12.7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</row>
    <row r="216" ht="12.7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</row>
    <row r="217" ht="12.7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</row>
    <row r="218" ht="12.7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</row>
    <row r="219" ht="12.7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</row>
    <row r="220" ht="12.7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</row>
    <row r="221" ht="12.7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</row>
    <row r="222" ht="12.7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</row>
    <row r="223" ht="12.7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</row>
    <row r="224" ht="12.7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</row>
    <row r="225" ht="12.7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</row>
    <row r="226" ht="12.7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</row>
    <row r="227" ht="12.7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</row>
    <row r="228" ht="12.7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</row>
    <row r="229" ht="12.7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</row>
    <row r="230" ht="12.7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</row>
    <row r="231" ht="12.7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</row>
    <row r="232" ht="12.7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</row>
    <row r="233" ht="12.7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</row>
    <row r="234" ht="12.7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</row>
    <row r="235" ht="12.7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</row>
    <row r="236" ht="12.7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</row>
    <row r="237" ht="12.7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</row>
    <row r="238" ht="12.7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</row>
    <row r="239" ht="12.7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</row>
    <row r="240" ht="12.7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</row>
    <row r="241" ht="12.7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</row>
    <row r="242" ht="12.7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</row>
    <row r="243" ht="12.7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</row>
    <row r="244" ht="12.7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</row>
    <row r="245" ht="12.7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</row>
    <row r="246" ht="12.7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</row>
    <row r="247" ht="12.7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</row>
    <row r="248" ht="12.7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</row>
    <row r="249" ht="12.7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</row>
    <row r="250" ht="12.7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</row>
    <row r="251" ht="12.7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</row>
    <row r="252" ht="12.7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</row>
    <row r="253" ht="12.7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</row>
    <row r="254" ht="12.7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</row>
    <row r="255" ht="12.7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</row>
    <row r="256" ht="12.7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</row>
    <row r="257" ht="12.7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</row>
    <row r="258" ht="12.7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</row>
    <row r="259" ht="12.7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</row>
    <row r="260" ht="12.7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</row>
    <row r="261" ht="12.7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</row>
    <row r="262" ht="12.7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</row>
    <row r="263" ht="12.7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</row>
    <row r="264" ht="12.7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</row>
    <row r="265" ht="12.7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</row>
    <row r="266" ht="12.7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</row>
    <row r="267" ht="12.7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</row>
    <row r="268" ht="12.7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</row>
    <row r="269" ht="12.7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</row>
    <row r="270" ht="12.7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</row>
    <row r="271" ht="12.7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</row>
    <row r="272" ht="12.7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</row>
    <row r="273" ht="12.7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</row>
    <row r="274" ht="12.7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</row>
    <row r="275" ht="12.7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</row>
    <row r="276" ht="12.7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</row>
    <row r="277" ht="12.7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</row>
    <row r="278" ht="12.7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</row>
    <row r="279" ht="12.7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</row>
    <row r="280" ht="12.7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</row>
    <row r="281" ht="12.7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</row>
    <row r="282" ht="12.7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</row>
    <row r="283" ht="12.7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</row>
    <row r="284" ht="12.7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</row>
    <row r="285" ht="12.7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</row>
    <row r="286" ht="12.7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</row>
    <row r="287" ht="12.7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</row>
    <row r="288" ht="12.7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</row>
    <row r="289" ht="12.7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</row>
    <row r="290" ht="12.7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</row>
    <row r="291" ht="12.7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</row>
    <row r="292" ht="12.7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</row>
    <row r="293" ht="12.7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</row>
    <row r="294" ht="12.7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</row>
    <row r="295" ht="12.7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</row>
    <row r="296" ht="12.7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</row>
    <row r="297" ht="12.7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</row>
    <row r="298" ht="12.7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</row>
    <row r="299" ht="12.7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</row>
    <row r="300" ht="12.7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</row>
    <row r="301" ht="12.7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</row>
    <row r="302" ht="12.7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</row>
    <row r="303" ht="12.7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</row>
    <row r="304" ht="12.7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</row>
    <row r="305" ht="12.7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</row>
    <row r="306" ht="12.7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</row>
    <row r="307" ht="12.7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</row>
    <row r="308" ht="12.7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</row>
    <row r="309" ht="12.7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</row>
    <row r="310" ht="12.7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</row>
    <row r="311" ht="12.7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</row>
    <row r="312" ht="12.7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</row>
    <row r="313" ht="12.7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</row>
    <row r="314" ht="12.7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</row>
    <row r="315" ht="12.7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</row>
    <row r="316" ht="12.7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</row>
    <row r="317" ht="12.7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</row>
    <row r="318" ht="12.7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</row>
    <row r="319" ht="12.7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</row>
    <row r="320" ht="12.7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</row>
    <row r="321" ht="12.7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</row>
    <row r="322" ht="12.7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</row>
    <row r="323" ht="12.7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</row>
    <row r="324" ht="12.7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</row>
    <row r="325" ht="12.7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</row>
    <row r="326" ht="12.7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</row>
    <row r="327" ht="12.7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</row>
    <row r="328" ht="12.7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</row>
    <row r="329" ht="12.7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</row>
    <row r="330" ht="12.7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</row>
    <row r="331" ht="12.7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</row>
    <row r="332" ht="12.7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</row>
    <row r="333" ht="12.7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</row>
    <row r="334" ht="12.7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</row>
    <row r="335" ht="12.7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</row>
    <row r="336" ht="12.7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</row>
    <row r="337" ht="12.7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</row>
    <row r="338" ht="12.7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</row>
    <row r="339" ht="12.7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</row>
    <row r="340" ht="12.7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</row>
    <row r="341" ht="12.7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</row>
    <row r="342" ht="12.7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</row>
    <row r="343" ht="12.7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</row>
    <row r="344" ht="12.7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</row>
    <row r="345" ht="12.7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</row>
    <row r="346" ht="12.7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</row>
    <row r="347" ht="12.7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</row>
    <row r="348" ht="12.7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</row>
    <row r="349" ht="12.7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</row>
    <row r="350" ht="12.7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</row>
    <row r="351" ht="12.7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</row>
    <row r="352" ht="12.7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</row>
    <row r="353" ht="12.7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</row>
    <row r="354" ht="12.7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</row>
    <row r="355" ht="12.7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</row>
    <row r="356" ht="12.7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</row>
    <row r="357" ht="12.7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</row>
    <row r="358" ht="12.7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</row>
    <row r="359" ht="12.7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</row>
    <row r="360" ht="12.7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</row>
    <row r="361" ht="12.7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</row>
    <row r="362" ht="12.7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</row>
    <row r="363" ht="12.7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</row>
    <row r="364" ht="12.7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</row>
    <row r="365" ht="12.7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</row>
    <row r="366" ht="12.7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</row>
    <row r="367" ht="12.7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</row>
    <row r="368" ht="12.7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</row>
    <row r="369" ht="12.7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</row>
    <row r="370" ht="12.7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</row>
    <row r="371" ht="12.7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</row>
    <row r="372" ht="12.7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</row>
    <row r="373" ht="12.7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</row>
    <row r="374" ht="12.7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</row>
    <row r="375" ht="12.7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</row>
    <row r="376" ht="12.7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</row>
    <row r="377" ht="12.7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</row>
    <row r="378" ht="12.7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</row>
    <row r="379" ht="12.7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</row>
    <row r="380" ht="12.7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</row>
    <row r="381" ht="12.7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</row>
    <row r="382" ht="12.7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</row>
    <row r="383" ht="12.7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</row>
    <row r="384" ht="12.7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</row>
    <row r="385" ht="12.7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</row>
    <row r="386" ht="12.7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</row>
    <row r="387" ht="12.7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</row>
    <row r="388" ht="12.7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</row>
    <row r="389" ht="12.7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</row>
    <row r="390" ht="12.7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</row>
    <row r="391" ht="12.7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</row>
    <row r="392" ht="12.7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</row>
    <row r="393" ht="12.7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</row>
    <row r="394" ht="12.7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</row>
    <row r="395" ht="12.7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</row>
    <row r="396" ht="12.7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</row>
    <row r="397" ht="12.7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</row>
    <row r="398" ht="12.7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</row>
    <row r="399" ht="12.7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</row>
    <row r="400" ht="12.7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</row>
    <row r="401" ht="12.7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</row>
    <row r="402" ht="12.7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</row>
    <row r="403" ht="12.7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</row>
    <row r="404" ht="12.7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</row>
    <row r="405" ht="12.7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</row>
    <row r="406" ht="12.7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</row>
    <row r="407" ht="12.7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</row>
    <row r="408" ht="12.7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</row>
    <row r="409" ht="12.7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</row>
    <row r="410" ht="12.7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</row>
    <row r="411" ht="12.7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</row>
    <row r="412" ht="12.7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</row>
    <row r="413" ht="12.7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</row>
    <row r="414" ht="12.7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</row>
    <row r="415" ht="12.7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</row>
    <row r="416" ht="12.7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</row>
    <row r="417" ht="12.7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</row>
    <row r="418" ht="12.7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</row>
    <row r="419" ht="12.7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</row>
    <row r="420" ht="12.7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</row>
    <row r="421" ht="12.7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</row>
    <row r="422" ht="12.7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</row>
    <row r="423" ht="12.7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</row>
    <row r="424" ht="12.7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</row>
    <row r="425" ht="12.7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</row>
    <row r="426" ht="12.7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</row>
    <row r="427" ht="12.7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</row>
    <row r="428" ht="12.7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</row>
    <row r="429" ht="12.7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</row>
    <row r="430" ht="12.7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</row>
    <row r="431" ht="12.7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</row>
    <row r="432" ht="12.7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</row>
    <row r="433" ht="12.7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</row>
    <row r="434" ht="12.7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</row>
    <row r="435" ht="12.7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</row>
    <row r="436" ht="12.7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</row>
    <row r="437" ht="12.7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</row>
    <row r="438" ht="12.7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</row>
    <row r="439" ht="12.7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</row>
    <row r="440" ht="12.7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</row>
    <row r="441" ht="12.7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</row>
    <row r="442" ht="12.7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</row>
    <row r="443" ht="12.7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</row>
    <row r="444" ht="12.7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</row>
    <row r="445" ht="12.7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</row>
    <row r="446" ht="12.7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</row>
    <row r="447" ht="12.7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</row>
    <row r="448" ht="12.7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</row>
    <row r="449" ht="12.7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</row>
    <row r="450" ht="12.7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</row>
    <row r="451" ht="12.7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</row>
    <row r="452" ht="12.7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</row>
    <row r="453" ht="12.7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</row>
    <row r="454" ht="12.7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</row>
    <row r="455" ht="12.7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</row>
    <row r="456" ht="12.7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</row>
    <row r="457" ht="12.7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</row>
    <row r="458" ht="12.7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</row>
    <row r="459" ht="12.7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</row>
    <row r="460" ht="12.7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</row>
    <row r="461" ht="12.7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</row>
    <row r="462" ht="12.7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</row>
    <row r="463" ht="12.7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</row>
    <row r="464" ht="12.7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</row>
    <row r="465" ht="12.7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</row>
    <row r="466" ht="12.7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</row>
    <row r="467" ht="12.7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</row>
    <row r="468" ht="12.7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</row>
    <row r="469" ht="12.7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</row>
    <row r="470" ht="12.7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</row>
    <row r="471" ht="12.7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</row>
    <row r="472" ht="12.7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</row>
    <row r="473" ht="12.7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</row>
    <row r="474" ht="12.7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</row>
    <row r="475" ht="12.7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</row>
    <row r="476" ht="12.7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</row>
    <row r="477" ht="12.7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</row>
    <row r="478" ht="12.7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</row>
    <row r="479" ht="12.7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</row>
    <row r="480" ht="12.7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</row>
    <row r="481" ht="12.7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</row>
    <row r="482" ht="12.7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</row>
    <row r="483" ht="12.7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</row>
    <row r="484" ht="12.7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</row>
    <row r="485" ht="12.7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</row>
    <row r="486" ht="12.7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</row>
    <row r="487" ht="12.7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</row>
    <row r="488" ht="12.7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</row>
    <row r="489" ht="12.7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</row>
    <row r="490" ht="12.7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</row>
    <row r="491" ht="12.7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</row>
    <row r="492" ht="12.7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</row>
    <row r="493" ht="12.7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</row>
    <row r="494" ht="12.7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</row>
    <row r="495" ht="12.7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</row>
    <row r="496" ht="12.7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</row>
    <row r="497" ht="12.7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</row>
    <row r="498" ht="12.7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</row>
    <row r="499" ht="12.7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</row>
    <row r="500" ht="12.7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</row>
    <row r="501" ht="12.7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</row>
    <row r="502" ht="12.7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</row>
    <row r="503" ht="12.7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</row>
    <row r="504" ht="12.7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</row>
    <row r="505" ht="12.7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</row>
    <row r="506" ht="12.7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</row>
    <row r="507" ht="12.7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</row>
    <row r="508" ht="12.7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</row>
    <row r="509" ht="12.7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</row>
    <row r="510" ht="12.7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</row>
    <row r="511" ht="12.7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</row>
    <row r="512" ht="12.7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</row>
    <row r="513" ht="12.7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</row>
    <row r="514" ht="12.7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</row>
    <row r="515" ht="12.7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</row>
    <row r="516" ht="12.7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</row>
    <row r="517" ht="12.7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</row>
    <row r="518" ht="12.7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</row>
    <row r="519" ht="12.7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</row>
    <row r="520" ht="12.7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</row>
    <row r="521" ht="12.7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</row>
    <row r="522" ht="12.7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</row>
    <row r="523" ht="12.7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</row>
    <row r="524" ht="12.7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</row>
    <row r="525" ht="12.7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</row>
    <row r="526" ht="12.7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</row>
    <row r="527" ht="12.7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</row>
    <row r="528" ht="12.7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</row>
    <row r="529" ht="12.7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</row>
    <row r="530" ht="12.7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</row>
    <row r="531" ht="12.7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</row>
    <row r="532" ht="12.7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</row>
    <row r="533" ht="12.7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</row>
    <row r="534" ht="12.7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</row>
    <row r="535" ht="12.7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</row>
    <row r="536" ht="12.7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</row>
    <row r="537" ht="12.7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</row>
    <row r="538" ht="12.7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</row>
    <row r="539" ht="12.7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</row>
    <row r="540" ht="12.7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</row>
    <row r="541" ht="12.7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</row>
    <row r="542" ht="12.7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</row>
    <row r="543" ht="12.7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</row>
    <row r="544" ht="12.7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</row>
    <row r="545" ht="12.7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</row>
    <row r="546" ht="12.7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</row>
    <row r="547" ht="12.7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</row>
    <row r="548" ht="12.7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</row>
    <row r="549" ht="12.7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</row>
    <row r="550" ht="12.7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</row>
    <row r="551" ht="12.7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</row>
    <row r="552" ht="12.7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</row>
    <row r="553" ht="12.7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</row>
    <row r="554" ht="12.7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</row>
    <row r="555" ht="12.7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</row>
    <row r="556" ht="12.7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</row>
    <row r="557" ht="12.7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</row>
    <row r="558" ht="12.7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</row>
    <row r="559" ht="12.7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</row>
    <row r="560" ht="12.7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</row>
    <row r="561" ht="12.7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</row>
    <row r="562" ht="12.7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</row>
    <row r="563" ht="12.7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</row>
    <row r="564" ht="12.7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</row>
    <row r="565" ht="12.7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</row>
    <row r="566" ht="12.7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</row>
    <row r="567" ht="12.7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</row>
    <row r="568" ht="12.7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</row>
    <row r="569" ht="12.7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</row>
    <row r="570" ht="12.7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</row>
    <row r="571" ht="12.7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</row>
    <row r="572" ht="12.7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</row>
    <row r="573" ht="12.7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</row>
    <row r="574" ht="12.7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</row>
    <row r="575" ht="12.7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</row>
    <row r="576" ht="12.7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</row>
    <row r="577" ht="12.7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</row>
    <row r="578" ht="12.7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</row>
    <row r="579" ht="12.7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</row>
    <row r="580" ht="12.7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</row>
    <row r="581" ht="12.7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</row>
    <row r="582" ht="12.7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</row>
    <row r="583" ht="12.7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</row>
    <row r="584" ht="12.7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</row>
    <row r="585" ht="12.7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</row>
    <row r="586" ht="12.7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</row>
    <row r="587" ht="12.7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</row>
    <row r="588" ht="12.7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</row>
    <row r="589" ht="12.7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</row>
    <row r="590" ht="12.7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</row>
    <row r="591" ht="12.7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</row>
    <row r="592" ht="12.7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</row>
    <row r="593" ht="12.7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</row>
    <row r="594" ht="12.7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</row>
    <row r="595" ht="12.7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</row>
    <row r="596" ht="12.7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</row>
    <row r="597" ht="12.7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</row>
    <row r="598" ht="12.7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</row>
    <row r="599" ht="12.7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</row>
    <row r="600" ht="12.7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</row>
    <row r="601" ht="12.7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</row>
    <row r="602" ht="12.7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</row>
    <row r="603" ht="12.7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</row>
    <row r="604" ht="12.7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</row>
    <row r="605" ht="12.7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</row>
    <row r="606" ht="12.7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</row>
    <row r="607" ht="12.7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</row>
    <row r="608" ht="12.7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</row>
    <row r="609" ht="12.7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</row>
    <row r="610" ht="12.7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</row>
    <row r="611" ht="12.7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</row>
    <row r="612" ht="12.7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</row>
    <row r="613" ht="12.7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</row>
    <row r="614" ht="12.7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</row>
    <row r="615" ht="12.7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</row>
    <row r="616" ht="12.7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</row>
    <row r="617" ht="12.7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</row>
    <row r="618" ht="12.7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</row>
    <row r="619" ht="12.7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</row>
    <row r="620" ht="12.7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</row>
    <row r="621" ht="12.7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</row>
    <row r="622" ht="12.7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</row>
    <row r="623" ht="12.7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</row>
    <row r="624" ht="12.7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</row>
    <row r="625" ht="12.7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</row>
    <row r="626" ht="12.7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</row>
    <row r="627" ht="12.7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</row>
    <row r="628" ht="12.7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</row>
    <row r="629" ht="12.7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</row>
    <row r="630" ht="12.7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</row>
    <row r="631" ht="12.7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</row>
    <row r="632" ht="12.7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</row>
    <row r="633" ht="12.7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</row>
    <row r="634" ht="12.7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</row>
    <row r="635" ht="12.7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</row>
    <row r="636" ht="12.7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</row>
    <row r="637" ht="12.7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</row>
    <row r="638" ht="12.7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</row>
    <row r="639" ht="12.7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</row>
    <row r="640" ht="12.7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</row>
    <row r="641" ht="12.7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</row>
    <row r="642" ht="12.7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</row>
    <row r="643" ht="12.7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</row>
    <row r="644" ht="12.7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</row>
    <row r="645" ht="12.7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</row>
    <row r="646" ht="12.7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</row>
    <row r="647" ht="12.7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</row>
    <row r="648" ht="12.7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</row>
    <row r="649" ht="12.7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</row>
    <row r="650" ht="12.7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</row>
    <row r="651" ht="12.7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</row>
    <row r="652" ht="12.7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</row>
    <row r="653" ht="12.7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</row>
    <row r="654" ht="12.7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</row>
    <row r="655" ht="12.7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</row>
    <row r="656" ht="12.7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</row>
    <row r="657" ht="12.7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</row>
    <row r="658" ht="12.7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</row>
    <row r="659" ht="12.7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</row>
    <row r="660" ht="12.7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</row>
    <row r="661" ht="12.7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</row>
    <row r="662" ht="12.7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</row>
    <row r="663" ht="12.7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</row>
    <row r="664" ht="12.7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</row>
    <row r="665" ht="12.7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</row>
    <row r="666" ht="12.7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</row>
    <row r="667" ht="12.7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</row>
    <row r="668" ht="12.7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</row>
    <row r="669" ht="12.7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</row>
    <row r="670" ht="12.7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</row>
    <row r="671" ht="12.7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</row>
    <row r="672" ht="12.7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</row>
    <row r="673" ht="12.7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</row>
    <row r="674" ht="12.7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</row>
    <row r="675" ht="12.7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</row>
    <row r="676" ht="12.7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</row>
    <row r="677" ht="12.7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</row>
    <row r="678" ht="12.7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</row>
    <row r="679" ht="12.7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</row>
    <row r="680" ht="12.7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</row>
    <row r="681" ht="12.7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</row>
    <row r="682" ht="12.7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</row>
    <row r="683" ht="12.7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</row>
    <row r="684" ht="12.7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</row>
    <row r="685" ht="12.7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</row>
    <row r="686" ht="12.7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</row>
    <row r="687" ht="12.7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</row>
    <row r="688" ht="12.7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</row>
    <row r="689" ht="12.7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</row>
    <row r="690" ht="12.7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</row>
    <row r="691" ht="12.7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</row>
    <row r="692" ht="12.7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</row>
    <row r="693" ht="12.7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</row>
    <row r="694" ht="12.7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</row>
    <row r="695" ht="12.7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</row>
    <row r="696" ht="12.7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</row>
    <row r="697" ht="12.7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</row>
    <row r="698" ht="12.7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</row>
    <row r="699" ht="12.7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</row>
    <row r="700" ht="12.7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</row>
    <row r="701" ht="12.7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</row>
    <row r="702" ht="12.7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</row>
    <row r="703" ht="12.7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</row>
    <row r="704" ht="12.7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</row>
    <row r="705" ht="12.7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</row>
    <row r="706" ht="12.7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</row>
    <row r="707" ht="12.7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</row>
    <row r="708" ht="12.7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</row>
    <row r="709" ht="12.7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</row>
    <row r="710" ht="12.7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</row>
    <row r="711" ht="12.7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</row>
    <row r="712" ht="12.7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</row>
    <row r="713" ht="12.7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</row>
    <row r="714" ht="12.7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</row>
    <row r="715" ht="12.7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</row>
    <row r="716" ht="12.7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</row>
    <row r="717" ht="12.7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</row>
    <row r="718" ht="12.7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</row>
    <row r="719" ht="12.7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</row>
    <row r="720" ht="12.7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</row>
    <row r="721" ht="12.7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</row>
    <row r="722" ht="12.7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</row>
    <row r="723" ht="12.7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</row>
    <row r="724" ht="12.7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</row>
    <row r="725" ht="12.7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</row>
    <row r="726" ht="12.7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</row>
    <row r="727" ht="12.7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</row>
    <row r="728" ht="12.7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</row>
    <row r="729" ht="12.7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</row>
    <row r="730" ht="12.7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</row>
    <row r="731" ht="12.7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</row>
    <row r="732" ht="12.7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</row>
    <row r="733" ht="12.7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</row>
    <row r="734" ht="12.7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</row>
    <row r="735" ht="12.7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</row>
    <row r="736" ht="12.7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</row>
    <row r="737" ht="12.7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</row>
    <row r="738" ht="12.7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</row>
    <row r="739" ht="12.7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</row>
    <row r="740" ht="12.7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</row>
    <row r="741" ht="12.7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</row>
    <row r="742" ht="12.7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</row>
    <row r="743" ht="12.7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</row>
    <row r="744" ht="12.7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</row>
    <row r="745" ht="12.7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</row>
    <row r="746" ht="12.7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</row>
    <row r="747" ht="12.7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</row>
    <row r="748" ht="12.7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</row>
    <row r="749" ht="12.7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</row>
    <row r="750" ht="12.7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</row>
    <row r="751" ht="12.7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</row>
    <row r="752" ht="12.7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</row>
    <row r="753" ht="12.7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</row>
    <row r="754" ht="12.7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</row>
    <row r="755" ht="12.7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</row>
    <row r="756" ht="12.7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</row>
    <row r="757" ht="12.7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</row>
    <row r="758" ht="12.7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</row>
    <row r="759" ht="12.7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</row>
    <row r="760" ht="12.7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</row>
    <row r="761" ht="12.7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</row>
    <row r="762" ht="12.7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</row>
    <row r="763" ht="12.7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</row>
    <row r="764" ht="12.7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</row>
    <row r="765" ht="12.7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</row>
    <row r="766" ht="12.7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</row>
    <row r="767" ht="12.7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</row>
    <row r="768" ht="12.7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</row>
    <row r="769" ht="12.7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</row>
    <row r="770" ht="12.7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</row>
    <row r="771" ht="12.7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</row>
    <row r="772" ht="12.7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</row>
    <row r="773" ht="12.7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</row>
    <row r="774" ht="12.7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</row>
    <row r="775" ht="12.7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</row>
    <row r="776" ht="12.7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</row>
    <row r="777" ht="12.7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</row>
    <row r="778" ht="12.7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</row>
    <row r="779" ht="12.7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</row>
    <row r="780" ht="12.7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</row>
    <row r="781" ht="12.7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</row>
    <row r="782" ht="12.7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</row>
    <row r="783" ht="12.7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</row>
    <row r="784" ht="12.7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</row>
    <row r="785" ht="12.7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</row>
    <row r="786" ht="12.7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</row>
    <row r="787" ht="12.7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</row>
    <row r="788" ht="12.7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</row>
    <row r="789" ht="12.7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</row>
    <row r="790" ht="12.7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</row>
    <row r="791" ht="12.7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</row>
    <row r="792" ht="12.7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</row>
    <row r="793" ht="12.7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</row>
    <row r="794" ht="12.7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</row>
    <row r="795" ht="12.7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</row>
    <row r="796" ht="12.7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</row>
    <row r="797" ht="12.7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</row>
    <row r="798" ht="12.7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</row>
    <row r="799" ht="12.7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</row>
    <row r="800" ht="12.7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</row>
    <row r="801" ht="12.7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</row>
    <row r="802" ht="12.7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</row>
    <row r="803" ht="12.7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</row>
    <row r="804" ht="12.7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</row>
    <row r="805" ht="12.7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</row>
    <row r="806" ht="12.7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</row>
    <row r="807" ht="12.7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</row>
    <row r="808" ht="12.7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</row>
    <row r="809" ht="12.7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</row>
    <row r="810" ht="12.7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</row>
    <row r="811" ht="12.7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</row>
    <row r="812" ht="12.7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</row>
    <row r="813" ht="12.7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</row>
    <row r="814" ht="12.7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</row>
    <row r="815" ht="12.7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</row>
    <row r="816" ht="12.7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</row>
    <row r="817" ht="12.7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</row>
    <row r="818" ht="12.7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</row>
    <row r="819" ht="12.7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</row>
    <row r="820" ht="12.7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</row>
    <row r="821" ht="12.7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</row>
    <row r="822" ht="12.7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</row>
    <row r="823" ht="12.7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</row>
    <row r="824" ht="12.7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</row>
    <row r="825" ht="12.7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</row>
    <row r="826" ht="12.7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</row>
    <row r="827" ht="12.7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</row>
    <row r="828" ht="12.7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</row>
    <row r="829" ht="12.7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</row>
    <row r="830" ht="12.7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</row>
    <row r="831" ht="12.7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</row>
    <row r="832" ht="12.7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</row>
    <row r="833" ht="12.7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</row>
    <row r="834" ht="12.7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</row>
    <row r="835" ht="12.7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</row>
    <row r="836" ht="12.7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</row>
    <row r="837" ht="12.7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</row>
    <row r="838" ht="12.7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</row>
    <row r="839" ht="12.7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</row>
    <row r="840" ht="12.7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</row>
    <row r="841" ht="12.7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</row>
    <row r="842" ht="12.7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</row>
    <row r="843" ht="12.7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</row>
    <row r="844" ht="12.7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</row>
    <row r="845" ht="12.7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</row>
    <row r="846" ht="12.7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</row>
    <row r="847" ht="12.7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</row>
    <row r="848" ht="12.7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</row>
    <row r="849" ht="12.7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</row>
    <row r="850" ht="12.7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</row>
    <row r="851" ht="12.7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</row>
    <row r="852" ht="12.7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</row>
    <row r="853" ht="12.7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</row>
    <row r="854" ht="12.7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</row>
    <row r="855" ht="12.7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</row>
    <row r="856" ht="12.7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</row>
    <row r="857" ht="12.7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</row>
    <row r="858" ht="12.7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</row>
    <row r="859" ht="12.7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</row>
    <row r="860" ht="12.7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</row>
    <row r="861" ht="12.7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</row>
    <row r="862" ht="12.7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</row>
    <row r="863" ht="12.7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</row>
    <row r="864" ht="12.7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</row>
    <row r="865" ht="12.7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</row>
    <row r="866" ht="12.7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</row>
    <row r="867" ht="12.7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</row>
    <row r="868" ht="12.7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</row>
    <row r="869" ht="12.7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</row>
    <row r="870" ht="12.7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</row>
    <row r="871" ht="12.7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</row>
    <row r="872" ht="12.7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</row>
    <row r="873" ht="12.7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</row>
    <row r="874" ht="12.7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</row>
    <row r="875" ht="12.7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</row>
    <row r="876" ht="12.7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</row>
    <row r="877" ht="12.7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</row>
    <row r="878" ht="12.7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</row>
    <row r="879" ht="12.7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</row>
    <row r="880" ht="12.7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</row>
    <row r="881" ht="12.7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</row>
    <row r="882" ht="12.7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</row>
    <row r="883" ht="12.7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</row>
    <row r="884" ht="12.7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</row>
    <row r="885" ht="12.7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</row>
    <row r="886" ht="12.7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</row>
    <row r="887" ht="12.7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</row>
    <row r="888" ht="12.7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</row>
    <row r="889" ht="12.7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</row>
    <row r="890" ht="12.7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</row>
    <row r="891" ht="12.7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</row>
    <row r="892" ht="12.7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</row>
    <row r="893" ht="12.7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</row>
    <row r="894" ht="12.7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</row>
    <row r="895" ht="12.7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</row>
    <row r="896" ht="12.7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</row>
    <row r="897" ht="12.7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</row>
    <row r="898" ht="12.7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</row>
    <row r="899" ht="12.7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</row>
    <row r="900" ht="12.7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</row>
    <row r="901" ht="12.7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</row>
    <row r="902" ht="12.7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</row>
    <row r="903" ht="12.7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</row>
    <row r="904" ht="12.7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</row>
    <row r="905" ht="12.7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</row>
    <row r="906" ht="12.7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</row>
    <row r="907" ht="12.7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</row>
    <row r="908" ht="12.7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</row>
    <row r="909" ht="12.7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</row>
    <row r="910" ht="12.7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</row>
    <row r="911" ht="12.7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</row>
    <row r="912" ht="12.7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</row>
    <row r="913" ht="12.7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</row>
    <row r="914" ht="12.7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</row>
    <row r="915" ht="12.7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</row>
    <row r="916" ht="12.7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</row>
    <row r="917" ht="12.7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</row>
    <row r="918" ht="12.7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</row>
    <row r="919" ht="12.7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</row>
    <row r="920" ht="12.7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</row>
    <row r="921" ht="12.7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</row>
    <row r="922" ht="12.7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</row>
    <row r="923" ht="12.7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</row>
    <row r="924" ht="12.7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</row>
    <row r="925" ht="12.7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</row>
    <row r="926" ht="12.7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</row>
    <row r="927" ht="12.7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</row>
    <row r="928" ht="12.7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</row>
    <row r="929" ht="12.7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</row>
    <row r="930" ht="12.7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</row>
    <row r="931" ht="12.7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</row>
    <row r="932" ht="12.7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</row>
    <row r="933" ht="12.7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</row>
    <row r="934" ht="12.7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</row>
    <row r="935" ht="12.7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</row>
    <row r="936" ht="12.7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</row>
    <row r="937" ht="12.7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</row>
    <row r="938" ht="12.7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</row>
    <row r="939" ht="12.7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</row>
    <row r="940" ht="12.7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</row>
    <row r="941" ht="12.7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</row>
    <row r="942" ht="12.7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</row>
    <row r="943" ht="12.7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</row>
    <row r="944" ht="12.7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</row>
    <row r="945" ht="12.7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</row>
    <row r="946" ht="12.7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</row>
    <row r="947" ht="12.7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</row>
    <row r="948" ht="12.7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</row>
    <row r="949" ht="12.7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</row>
    <row r="950" ht="12.7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</row>
    <row r="951" ht="12.7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</row>
    <row r="952" ht="12.7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</row>
    <row r="953" ht="12.7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</row>
    <row r="954" ht="12.7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</row>
    <row r="955" ht="12.7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</row>
    <row r="956" ht="12.7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</row>
    <row r="957" ht="12.7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</row>
    <row r="958" ht="12.7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</row>
    <row r="959" ht="12.7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</row>
    <row r="960" ht="12.7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</row>
    <row r="961" ht="12.7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</row>
    <row r="962" ht="12.7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</row>
    <row r="963" ht="12.7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</row>
    <row r="964" ht="12.7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</row>
    <row r="965" ht="12.7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</row>
    <row r="966" ht="12.7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</row>
    <row r="967" ht="12.7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</row>
    <row r="968" ht="12.7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</row>
    <row r="969" ht="12.7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</row>
    <row r="970" ht="12.7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</row>
    <row r="971" ht="12.7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</row>
    <row r="972" ht="12.7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</row>
    <row r="973" ht="12.7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</row>
    <row r="974" ht="12.7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</row>
    <row r="975" ht="12.7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</row>
    <row r="976" ht="12.7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</row>
    <row r="977" ht="12.7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</row>
    <row r="978" ht="12.7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</row>
    <row r="979" ht="12.7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</row>
    <row r="980" ht="12.7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</row>
    <row r="981" ht="12.7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</row>
    <row r="982" ht="12.7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</row>
    <row r="983" ht="12.7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</row>
    <row r="984" ht="12.7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</row>
    <row r="985" ht="12.7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</row>
    <row r="986" ht="12.7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</row>
    <row r="987" ht="12.7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</row>
    <row r="988" ht="12.7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</row>
    <row r="989" ht="12.7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</row>
    <row r="990" ht="12.7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</row>
    <row r="991" ht="12.7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</row>
    <row r="992" ht="12.7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</row>
    <row r="993" ht="12.7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</row>
    <row r="994" ht="12.7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</row>
    <row r="995" ht="12.7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</row>
    <row r="996" ht="12.7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</row>
    <row r="997" ht="12.7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</row>
    <row r="998" ht="12.7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2025-01-26T14:24:39Z</dcterms:created>
  <dc:creator>jameel</dc:creator>
</cp:coreProperties>
</file>