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meel/Library/CloudStorage/Dropbox/models/"/>
    </mc:Choice>
  </mc:AlternateContent>
  <xr:revisionPtr revIDLastSave="0" documentId="13_ncr:1_{1199D5E6-0E85-0D4F-85FC-D41750F1A99A}" xr6:coauthVersionLast="47" xr6:coauthVersionMax="47" xr10:uidLastSave="{00000000-0000-0000-0000-000000000000}"/>
  <bookViews>
    <workbookView xWindow="21760" yWindow="2540" windowWidth="27640" windowHeight="16940" activeTab="1" xr2:uid="{27F60E39-8796-CF4A-B1D2-37956AA09A65}"/>
  </bookViews>
  <sheets>
    <sheet name="Main" sheetId="1" r:id="rId1"/>
    <sheet name="Model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62" i="2" l="1"/>
  <c r="Y62" i="2"/>
  <c r="Z62" i="2"/>
  <c r="G62" i="2"/>
  <c r="K62" i="2"/>
  <c r="AC9" i="2"/>
  <c r="AD9" i="2" s="1"/>
  <c r="AE9" i="2" s="1"/>
  <c r="AF9" i="2" s="1"/>
  <c r="AG9" i="2" s="1"/>
  <c r="AH9" i="2" s="1"/>
  <c r="AI9" i="2" s="1"/>
  <c r="AJ9" i="2" s="1"/>
  <c r="AB9" i="2"/>
  <c r="AA9" i="2"/>
  <c r="AB14" i="2"/>
  <c r="AC14" i="2"/>
  <c r="AD14" i="2"/>
  <c r="AE14" i="2"/>
  <c r="AF14" i="2"/>
  <c r="AG14" i="2"/>
  <c r="AH14" i="2"/>
  <c r="AI14" i="2" s="1"/>
  <c r="AJ14" i="2" s="1"/>
  <c r="AA14" i="2"/>
  <c r="Z27" i="2"/>
  <c r="J27" i="2"/>
  <c r="J49" i="2"/>
  <c r="J54" i="2" s="1"/>
  <c r="J56" i="2" s="1"/>
  <c r="J33" i="2"/>
  <c r="J41" i="2" s="1"/>
  <c r="K27" i="2"/>
  <c r="K54" i="2"/>
  <c r="K56" i="2" s="1"/>
  <c r="K49" i="2"/>
  <c r="K33" i="2"/>
  <c r="K41" i="2" s="1"/>
  <c r="AN24" i="2"/>
  <c r="AA15" i="2"/>
  <c r="AB15" i="2" s="1"/>
  <c r="AC15" i="2" s="1"/>
  <c r="AD15" i="2" s="1"/>
  <c r="AE15" i="2" s="1"/>
  <c r="AF15" i="2" s="1"/>
  <c r="AG15" i="2" s="1"/>
  <c r="AH15" i="2" s="1"/>
  <c r="AI15" i="2" s="1"/>
  <c r="AJ15" i="2" s="1"/>
  <c r="I25" i="2"/>
  <c r="H25" i="2"/>
  <c r="G25" i="2"/>
  <c r="E25" i="2"/>
  <c r="D25" i="2"/>
  <c r="C25" i="2"/>
  <c r="K25" i="2"/>
  <c r="AA21" i="2"/>
  <c r="AA10" i="2"/>
  <c r="AA12" i="2"/>
  <c r="K23" i="2"/>
  <c r="C23" i="2"/>
  <c r="I21" i="2"/>
  <c r="H21" i="2"/>
  <c r="F17" i="2"/>
  <c r="F15" i="2"/>
  <c r="F14" i="2"/>
  <c r="F12" i="2"/>
  <c r="F10" i="2"/>
  <c r="F9" i="2"/>
  <c r="F25" i="2" s="1"/>
  <c r="J17" i="2"/>
  <c r="J15" i="2"/>
  <c r="J14" i="2"/>
  <c r="J12" i="2"/>
  <c r="J25" i="2" s="1"/>
  <c r="J10" i="2"/>
  <c r="J9" i="2"/>
  <c r="F2" i="2"/>
  <c r="J2" i="2"/>
  <c r="Y21" i="2"/>
  <c r="Z21" i="2"/>
  <c r="X11" i="2"/>
  <c r="X13" i="2" s="1"/>
  <c r="X16" i="2" s="1"/>
  <c r="X18" i="2" s="1"/>
  <c r="Y11" i="2"/>
  <c r="Y13" i="2" s="1"/>
  <c r="Y16" i="2" s="1"/>
  <c r="Y18" i="2" s="1"/>
  <c r="Z11" i="2"/>
  <c r="Z13" i="2" s="1"/>
  <c r="Z16" i="2" s="1"/>
  <c r="Z18" i="2" s="1"/>
  <c r="C11" i="2"/>
  <c r="C13" i="2" s="1"/>
  <c r="C16" i="2" s="1"/>
  <c r="C18" i="2" s="1"/>
  <c r="D11" i="2"/>
  <c r="D13" i="2" s="1"/>
  <c r="D16" i="2" s="1"/>
  <c r="D18" i="2" s="1"/>
  <c r="H11" i="2"/>
  <c r="H13" i="2" s="1"/>
  <c r="H16" i="2" s="1"/>
  <c r="H18" i="2" s="1"/>
  <c r="E11" i="2"/>
  <c r="E13" i="2" s="1"/>
  <c r="E16" i="2" s="1"/>
  <c r="E18" i="2" s="1"/>
  <c r="I11" i="2"/>
  <c r="I13" i="2" s="1"/>
  <c r="I16" i="2" s="1"/>
  <c r="I18" i="2" s="1"/>
  <c r="K21" i="2"/>
  <c r="G11" i="2"/>
  <c r="G13" i="2" s="1"/>
  <c r="G23" i="2" s="1"/>
  <c r="K11" i="2"/>
  <c r="K13" i="2" s="1"/>
  <c r="K16" i="2" s="1"/>
  <c r="K18" i="2" s="1"/>
  <c r="R3" i="2"/>
  <c r="S3" i="2" s="1"/>
  <c r="T3" i="2" s="1"/>
  <c r="U3" i="2" s="1"/>
  <c r="V3" i="2" s="1"/>
  <c r="W3" i="2" s="1"/>
  <c r="X3" i="2" s="1"/>
  <c r="Y3" i="2" s="1"/>
  <c r="Z3" i="2" s="1"/>
  <c r="AA3" i="2" s="1"/>
  <c r="AB3" i="2" s="1"/>
  <c r="AC3" i="2" s="1"/>
  <c r="AD3" i="2" s="1"/>
  <c r="AE3" i="2" s="1"/>
  <c r="AF3" i="2" s="1"/>
  <c r="AG3" i="2" s="1"/>
  <c r="AH3" i="2" s="1"/>
  <c r="AI3" i="2" s="1"/>
  <c r="AJ3" i="2" s="1"/>
  <c r="AK3" i="2" s="1"/>
  <c r="AL3" i="2" s="1"/>
  <c r="AM3" i="2" s="1"/>
  <c r="AN3" i="2" s="1"/>
  <c r="AO3" i="2" s="1"/>
  <c r="AP3" i="2" s="1"/>
  <c r="AQ3" i="2" s="1"/>
  <c r="AR3" i="2" s="1"/>
  <c r="AS3" i="2" s="1"/>
  <c r="AT3" i="2" s="1"/>
  <c r="AU3" i="2" s="1"/>
  <c r="AV3" i="2" s="1"/>
  <c r="AW3" i="2" s="1"/>
  <c r="AX3" i="2" s="1"/>
  <c r="AY3" i="2" s="1"/>
  <c r="AZ3" i="2" s="1"/>
  <c r="BA3" i="2" s="1"/>
  <c r="BB3" i="2" s="1"/>
  <c r="BC3" i="2" s="1"/>
  <c r="BD3" i="2" s="1"/>
  <c r="BE3" i="2" s="1"/>
  <c r="BF3" i="2" s="1"/>
  <c r="BG3" i="2" s="1"/>
  <c r="BH3" i="2" s="1"/>
  <c r="BI3" i="2" s="1"/>
  <c r="BJ3" i="2" s="1"/>
  <c r="BK3" i="2" s="1"/>
  <c r="BL3" i="2" s="1"/>
  <c r="BM3" i="2" s="1"/>
  <c r="BN3" i="2" s="1"/>
  <c r="BO3" i="2" s="1"/>
  <c r="BP3" i="2" s="1"/>
  <c r="BQ3" i="2" s="1"/>
  <c r="BR3" i="2" s="1"/>
  <c r="BS3" i="2" s="1"/>
  <c r="BT3" i="2" s="1"/>
  <c r="BU3" i="2" s="1"/>
  <c r="BV3" i="2" s="1"/>
  <c r="BW3" i="2" s="1"/>
  <c r="BX3" i="2" s="1"/>
  <c r="BY3" i="2" s="1"/>
  <c r="BZ3" i="2" s="1"/>
  <c r="CA3" i="2" s="1"/>
  <c r="CB3" i="2" s="1"/>
  <c r="CC3" i="2" s="1"/>
  <c r="CD3" i="2" s="1"/>
  <c r="CE3" i="2" s="1"/>
  <c r="CF3" i="2" s="1"/>
  <c r="CG3" i="2" s="1"/>
  <c r="CH3" i="2" s="1"/>
  <c r="CI3" i="2" s="1"/>
  <c r="CJ3" i="2" s="1"/>
  <c r="CK3" i="2" s="1"/>
  <c r="CL3" i="2" s="1"/>
  <c r="CM3" i="2" s="1"/>
  <c r="CN3" i="2" s="1"/>
  <c r="CO3" i="2" s="1"/>
  <c r="CP3" i="2" s="1"/>
  <c r="CQ3" i="2" s="1"/>
  <c r="CR3" i="2" s="1"/>
  <c r="CS3" i="2" s="1"/>
  <c r="CT3" i="2" s="1"/>
  <c r="CU3" i="2" s="1"/>
  <c r="CV3" i="2" s="1"/>
  <c r="CW3" i="2" s="1"/>
  <c r="CX3" i="2" s="1"/>
  <c r="CY3" i="2" s="1"/>
  <c r="CZ3" i="2" s="1"/>
  <c r="DA3" i="2" s="1"/>
  <c r="DB3" i="2" s="1"/>
  <c r="DC3" i="2" s="1"/>
  <c r="DD3" i="2" s="1"/>
  <c r="DE3" i="2" s="1"/>
  <c r="DF3" i="2" s="1"/>
  <c r="DG3" i="2" s="1"/>
  <c r="DH3" i="2" s="1"/>
  <c r="DI3" i="2" s="1"/>
  <c r="DJ3" i="2" s="1"/>
  <c r="DK3" i="2" s="1"/>
  <c r="DL3" i="2" s="1"/>
  <c r="DM3" i="2" s="1"/>
  <c r="DN3" i="2" s="1"/>
  <c r="DO3" i="2" s="1"/>
  <c r="DP3" i="2" s="1"/>
  <c r="DQ3" i="2" s="1"/>
  <c r="DR3" i="2" s="1"/>
  <c r="DS3" i="2" s="1"/>
  <c r="DT3" i="2" s="1"/>
  <c r="DU3" i="2" s="1"/>
  <c r="DV3" i="2" s="1"/>
  <c r="DW3" i="2" s="1"/>
  <c r="DX3" i="2" s="1"/>
  <c r="DY3" i="2" s="1"/>
  <c r="DZ3" i="2" s="1"/>
  <c r="EA3" i="2" s="1"/>
  <c r="EB3" i="2" s="1"/>
  <c r="EC3" i="2" s="1"/>
  <c r="ED3" i="2" s="1"/>
  <c r="EE3" i="2" s="1"/>
  <c r="EF3" i="2" s="1"/>
  <c r="EG3" i="2" s="1"/>
  <c r="EH3" i="2" s="1"/>
  <c r="EI3" i="2" s="1"/>
  <c r="EJ3" i="2" s="1"/>
  <c r="EK3" i="2" s="1"/>
  <c r="EL3" i="2" s="1"/>
  <c r="EM3" i="2" s="1"/>
  <c r="EN3" i="2" s="1"/>
  <c r="EO3" i="2" s="1"/>
  <c r="EP3" i="2" s="1"/>
  <c r="EQ3" i="2" s="1"/>
  <c r="ER3" i="2" s="1"/>
  <c r="ES3" i="2" s="1"/>
  <c r="ET3" i="2" s="1"/>
  <c r="EU3" i="2" s="1"/>
  <c r="EV3" i="2" s="1"/>
  <c r="EW3" i="2" s="1"/>
  <c r="EX3" i="2" s="1"/>
  <c r="EY3" i="2" s="1"/>
  <c r="EZ3" i="2" s="1"/>
  <c r="FA3" i="2" s="1"/>
  <c r="FB3" i="2" s="1"/>
  <c r="FC3" i="2" s="1"/>
  <c r="FD3" i="2" s="1"/>
  <c r="FE3" i="2" s="1"/>
  <c r="FF3" i="2" s="1"/>
  <c r="FG3" i="2" s="1"/>
  <c r="FH3" i="2" s="1"/>
  <c r="FI3" i="2" s="1"/>
  <c r="FJ3" i="2" s="1"/>
  <c r="FK3" i="2" s="1"/>
  <c r="FL3" i="2" s="1"/>
  <c r="FM3" i="2" s="1"/>
  <c r="FN3" i="2" s="1"/>
  <c r="FO3" i="2" s="1"/>
  <c r="FP3" i="2" s="1"/>
  <c r="FQ3" i="2" s="1"/>
  <c r="FR3" i="2" s="1"/>
  <c r="FS3" i="2" s="1"/>
  <c r="FT3" i="2" s="1"/>
  <c r="FU3" i="2" s="1"/>
  <c r="FV3" i="2" s="1"/>
  <c r="FW3" i="2" s="1"/>
  <c r="FX3" i="2" s="1"/>
  <c r="FY3" i="2" s="1"/>
  <c r="FZ3" i="2" s="1"/>
  <c r="GA3" i="2" s="1"/>
  <c r="GB3" i="2" s="1"/>
  <c r="GC3" i="2" s="1"/>
  <c r="GD3" i="2" s="1"/>
  <c r="GE3" i="2" s="1"/>
  <c r="GF3" i="2" s="1"/>
  <c r="GG3" i="2" s="1"/>
  <c r="GH3" i="2" s="1"/>
  <c r="GI3" i="2" s="1"/>
  <c r="GJ3" i="2" s="1"/>
  <c r="GK3" i="2" s="1"/>
  <c r="GL3" i="2" s="1"/>
  <c r="GM3" i="2" s="1"/>
  <c r="GN3" i="2" s="1"/>
  <c r="GO3" i="2" s="1"/>
  <c r="GP3" i="2" s="1"/>
  <c r="GQ3" i="2" s="1"/>
  <c r="GR3" i="2" s="1"/>
  <c r="GS3" i="2" s="1"/>
  <c r="GT3" i="2" s="1"/>
  <c r="GU3" i="2" s="1"/>
  <c r="GV3" i="2" s="1"/>
  <c r="GW3" i="2" s="1"/>
  <c r="GX3" i="2" s="1"/>
  <c r="GY3" i="2" s="1"/>
  <c r="GZ3" i="2" s="1"/>
  <c r="HA3" i="2" s="1"/>
  <c r="HB3" i="2" s="1"/>
  <c r="HC3" i="2" s="1"/>
  <c r="HD3" i="2" s="1"/>
  <c r="HE3" i="2" s="1"/>
  <c r="HF3" i="2" s="1"/>
  <c r="HG3" i="2" s="1"/>
  <c r="HH3" i="2" s="1"/>
  <c r="HI3" i="2" s="1"/>
  <c r="HJ3" i="2" s="1"/>
  <c r="HK3" i="2" s="1"/>
  <c r="HL3" i="2" s="1"/>
  <c r="HM3" i="2" s="1"/>
  <c r="HN3" i="2" s="1"/>
  <c r="HO3" i="2" s="1"/>
  <c r="HP3" i="2" s="1"/>
  <c r="HQ3" i="2" s="1"/>
  <c r="HR3" i="2" s="1"/>
  <c r="HS3" i="2" s="1"/>
  <c r="HT3" i="2" s="1"/>
  <c r="HU3" i="2" s="1"/>
  <c r="HV3" i="2" s="1"/>
  <c r="HW3" i="2" s="1"/>
  <c r="HX3" i="2" s="1"/>
  <c r="HY3" i="2" s="1"/>
  <c r="HZ3" i="2" s="1"/>
  <c r="IA3" i="2" s="1"/>
  <c r="IB3" i="2" s="1"/>
  <c r="IC3" i="2" s="1"/>
  <c r="K8" i="1"/>
  <c r="K4" i="1"/>
  <c r="K5" i="1" s="1"/>
  <c r="AB12" i="2" l="1"/>
  <c r="AB10" i="2"/>
  <c r="AB11" i="2" s="1"/>
  <c r="AB22" i="2" s="1"/>
  <c r="AB21" i="2"/>
  <c r="I23" i="2"/>
  <c r="D23" i="2"/>
  <c r="E23" i="2"/>
  <c r="E22" i="2"/>
  <c r="D22" i="2"/>
  <c r="C22" i="2"/>
  <c r="H23" i="2"/>
  <c r="AA11" i="2"/>
  <c r="F16" i="2"/>
  <c r="J21" i="2"/>
  <c r="X22" i="2"/>
  <c r="F18" i="2"/>
  <c r="Y22" i="2"/>
  <c r="J13" i="2"/>
  <c r="J23" i="2" s="1"/>
  <c r="Z22" i="2"/>
  <c r="J11" i="2"/>
  <c r="J22" i="2" s="1"/>
  <c r="F11" i="2"/>
  <c r="F22" i="2" s="1"/>
  <c r="F13" i="2"/>
  <c r="F23" i="2" s="1"/>
  <c r="G22" i="2"/>
  <c r="H22" i="2"/>
  <c r="K22" i="2"/>
  <c r="I22" i="2"/>
  <c r="G16" i="2"/>
  <c r="G18" i="2" s="1"/>
  <c r="J18" i="2" s="1"/>
  <c r="AC21" i="2" l="1"/>
  <c r="AC12" i="2"/>
  <c r="AC10" i="2"/>
  <c r="AC11" i="2" s="1"/>
  <c r="AB13" i="2"/>
  <c r="AB16" i="2" s="1"/>
  <c r="AB17" i="2" s="1"/>
  <c r="AB18" i="2" s="1"/>
  <c r="AA22" i="2"/>
  <c r="AA13" i="2"/>
  <c r="AA16" i="2" s="1"/>
  <c r="AA17" i="2" s="1"/>
  <c r="AA18" i="2" s="1"/>
  <c r="AA27" i="2" s="1"/>
  <c r="J16" i="2"/>
  <c r="AB27" i="2" l="1"/>
  <c r="AC22" i="2"/>
  <c r="AC13" i="2"/>
  <c r="AC16" i="2" s="1"/>
  <c r="AD21" i="2"/>
  <c r="AD10" i="2"/>
  <c r="AD11" i="2" s="1"/>
  <c r="AD22" i="2" s="1"/>
  <c r="AD12" i="2"/>
  <c r="AC17" i="2"/>
  <c r="AC18" i="2" s="1"/>
  <c r="AC27" i="2" l="1"/>
  <c r="AD13" i="2"/>
  <c r="AE21" i="2"/>
  <c r="AE10" i="2"/>
  <c r="AE11" i="2" s="1"/>
  <c r="AE12" i="2"/>
  <c r="AD16" i="2" l="1"/>
  <c r="AD17" i="2" s="1"/>
  <c r="AD18" i="2" s="1"/>
  <c r="AD27" i="2" s="1"/>
  <c r="AE22" i="2"/>
  <c r="AE13" i="2"/>
  <c r="AE16" i="2" s="1"/>
  <c r="AE17" i="2" s="1"/>
  <c r="AE18" i="2" s="1"/>
  <c r="AE27" i="2" s="1"/>
  <c r="AF21" i="2"/>
  <c r="AF12" i="2"/>
  <c r="AF10" i="2"/>
  <c r="AF11" i="2" s="1"/>
  <c r="AG12" i="2" l="1"/>
  <c r="AG10" i="2"/>
  <c r="AG11" i="2" s="1"/>
  <c r="AG21" i="2"/>
  <c r="AF22" i="2"/>
  <c r="AF13" i="2"/>
  <c r="AF16" i="2" s="1"/>
  <c r="AF17" i="2" s="1"/>
  <c r="AF18" i="2" s="1"/>
  <c r="AF27" i="2" s="1"/>
  <c r="AH21" i="2" l="1"/>
  <c r="AH10" i="2"/>
  <c r="AH11" i="2" s="1"/>
  <c r="AH12" i="2"/>
  <c r="AG22" i="2"/>
  <c r="AG13" i="2"/>
  <c r="AG16" i="2" s="1"/>
  <c r="AG17" i="2" s="1"/>
  <c r="AG18" i="2" s="1"/>
  <c r="AG27" i="2" s="1"/>
  <c r="AH22" i="2" l="1"/>
  <c r="AH13" i="2"/>
  <c r="AH16" i="2" s="1"/>
  <c r="AH17" i="2" s="1"/>
  <c r="AH18" i="2" s="1"/>
  <c r="AH27" i="2" s="1"/>
  <c r="AI10" i="2"/>
  <c r="AI11" i="2" s="1"/>
  <c r="AI22" i="2" s="1"/>
  <c r="AI21" i="2"/>
  <c r="AI12" i="2"/>
  <c r="AI13" i="2" l="1"/>
  <c r="AI16" i="2"/>
  <c r="AJ10" i="2"/>
  <c r="AJ11" i="2" s="1"/>
  <c r="AJ21" i="2"/>
  <c r="AJ12" i="2"/>
  <c r="AI17" i="2"/>
  <c r="AI18" i="2" s="1"/>
  <c r="AI27" i="2" s="1"/>
  <c r="AJ22" i="2" l="1"/>
  <c r="AJ13" i="2"/>
  <c r="AJ16" i="2" s="1"/>
  <c r="AJ17" i="2" s="1"/>
  <c r="AJ18" i="2" s="1"/>
  <c r="AK18" i="2" l="1"/>
  <c r="AL18" i="2" s="1"/>
  <c r="AM18" i="2" s="1"/>
  <c r="AN18" i="2" s="1"/>
  <c r="AO18" i="2" s="1"/>
  <c r="AP18" i="2" s="1"/>
  <c r="AQ18" i="2" s="1"/>
  <c r="AR18" i="2" s="1"/>
  <c r="AS18" i="2" s="1"/>
  <c r="AT18" i="2" s="1"/>
  <c r="AU18" i="2" s="1"/>
  <c r="AV18" i="2" s="1"/>
  <c r="AW18" i="2" s="1"/>
  <c r="AX18" i="2" s="1"/>
  <c r="AY18" i="2" s="1"/>
  <c r="AZ18" i="2" s="1"/>
  <c r="BA18" i="2" s="1"/>
  <c r="BB18" i="2" s="1"/>
  <c r="BC18" i="2" s="1"/>
  <c r="BD18" i="2" s="1"/>
  <c r="BE18" i="2" s="1"/>
  <c r="BF18" i="2" s="1"/>
  <c r="BG18" i="2" s="1"/>
  <c r="BH18" i="2" s="1"/>
  <c r="BI18" i="2" s="1"/>
  <c r="BJ18" i="2" s="1"/>
  <c r="BK18" i="2" s="1"/>
  <c r="BL18" i="2" s="1"/>
  <c r="BM18" i="2" s="1"/>
  <c r="BN18" i="2" s="1"/>
  <c r="BO18" i="2" s="1"/>
  <c r="BP18" i="2" s="1"/>
  <c r="BQ18" i="2" s="1"/>
  <c r="BR18" i="2" s="1"/>
  <c r="BS18" i="2" s="1"/>
  <c r="BT18" i="2" s="1"/>
  <c r="BU18" i="2" s="1"/>
  <c r="BV18" i="2" s="1"/>
  <c r="BW18" i="2" s="1"/>
  <c r="BX18" i="2" s="1"/>
  <c r="BY18" i="2" s="1"/>
  <c r="BZ18" i="2" s="1"/>
  <c r="CA18" i="2" s="1"/>
  <c r="CB18" i="2" s="1"/>
  <c r="CC18" i="2" s="1"/>
  <c r="CD18" i="2" s="1"/>
  <c r="CE18" i="2" s="1"/>
  <c r="CF18" i="2" s="1"/>
  <c r="CG18" i="2" s="1"/>
  <c r="CH18" i="2" s="1"/>
  <c r="CI18" i="2" s="1"/>
  <c r="CJ18" i="2" s="1"/>
  <c r="CK18" i="2" s="1"/>
  <c r="CL18" i="2" s="1"/>
  <c r="CM18" i="2" s="1"/>
  <c r="CN18" i="2" s="1"/>
  <c r="CO18" i="2" s="1"/>
  <c r="CP18" i="2" s="1"/>
  <c r="CQ18" i="2" s="1"/>
  <c r="CR18" i="2" s="1"/>
  <c r="CS18" i="2" s="1"/>
  <c r="CT18" i="2" s="1"/>
  <c r="CU18" i="2" s="1"/>
  <c r="CV18" i="2" s="1"/>
  <c r="CW18" i="2" s="1"/>
  <c r="CX18" i="2" s="1"/>
  <c r="CY18" i="2" s="1"/>
  <c r="CZ18" i="2" s="1"/>
  <c r="DA18" i="2" s="1"/>
  <c r="DB18" i="2" s="1"/>
  <c r="DC18" i="2" s="1"/>
  <c r="DD18" i="2" s="1"/>
  <c r="DE18" i="2" s="1"/>
  <c r="DF18" i="2" s="1"/>
  <c r="DG18" i="2" s="1"/>
  <c r="DH18" i="2" s="1"/>
  <c r="DI18" i="2" s="1"/>
  <c r="DJ18" i="2" s="1"/>
  <c r="DK18" i="2" s="1"/>
  <c r="DL18" i="2" s="1"/>
  <c r="DM18" i="2" s="1"/>
  <c r="DN18" i="2" s="1"/>
  <c r="DO18" i="2" s="1"/>
  <c r="DP18" i="2" s="1"/>
  <c r="DQ18" i="2" s="1"/>
  <c r="DR18" i="2" s="1"/>
  <c r="DS18" i="2" s="1"/>
  <c r="DT18" i="2" s="1"/>
  <c r="DU18" i="2" s="1"/>
  <c r="DV18" i="2" s="1"/>
  <c r="DW18" i="2" s="1"/>
  <c r="DX18" i="2" s="1"/>
  <c r="DY18" i="2" s="1"/>
  <c r="DZ18" i="2" s="1"/>
  <c r="EA18" i="2" s="1"/>
  <c r="EB18" i="2" s="1"/>
  <c r="EC18" i="2" s="1"/>
  <c r="ED18" i="2" s="1"/>
  <c r="EE18" i="2" s="1"/>
  <c r="EF18" i="2" s="1"/>
  <c r="EG18" i="2" s="1"/>
  <c r="EH18" i="2" s="1"/>
  <c r="EI18" i="2" s="1"/>
  <c r="EJ18" i="2" s="1"/>
  <c r="EK18" i="2" s="1"/>
  <c r="EL18" i="2" s="1"/>
  <c r="EM18" i="2" s="1"/>
  <c r="EN18" i="2" s="1"/>
  <c r="EO18" i="2" s="1"/>
  <c r="EP18" i="2" s="1"/>
  <c r="EQ18" i="2" s="1"/>
  <c r="ER18" i="2" s="1"/>
  <c r="ES18" i="2" s="1"/>
  <c r="ET18" i="2" s="1"/>
  <c r="EU18" i="2" s="1"/>
  <c r="EV18" i="2" s="1"/>
  <c r="EW18" i="2" s="1"/>
  <c r="EX18" i="2" s="1"/>
  <c r="EY18" i="2" s="1"/>
  <c r="EZ18" i="2" s="1"/>
  <c r="FA18" i="2" s="1"/>
  <c r="FB18" i="2" s="1"/>
  <c r="FC18" i="2" s="1"/>
  <c r="FD18" i="2" s="1"/>
  <c r="FE18" i="2" s="1"/>
  <c r="FF18" i="2" s="1"/>
  <c r="FG18" i="2" s="1"/>
  <c r="FH18" i="2" s="1"/>
  <c r="FI18" i="2" s="1"/>
  <c r="FJ18" i="2" s="1"/>
  <c r="FK18" i="2" s="1"/>
  <c r="FL18" i="2" s="1"/>
  <c r="FM18" i="2" s="1"/>
  <c r="FN18" i="2" s="1"/>
  <c r="FO18" i="2" s="1"/>
  <c r="FP18" i="2" s="1"/>
  <c r="FQ18" i="2" s="1"/>
  <c r="FR18" i="2" s="1"/>
  <c r="FS18" i="2" s="1"/>
  <c r="FT18" i="2" s="1"/>
  <c r="FU18" i="2" s="1"/>
  <c r="FV18" i="2" s="1"/>
  <c r="FW18" i="2" s="1"/>
  <c r="FX18" i="2" s="1"/>
  <c r="FY18" i="2" s="1"/>
  <c r="FZ18" i="2" s="1"/>
  <c r="GA18" i="2" s="1"/>
  <c r="GB18" i="2" s="1"/>
  <c r="GC18" i="2" s="1"/>
  <c r="GD18" i="2" s="1"/>
  <c r="GE18" i="2" s="1"/>
  <c r="GF18" i="2" s="1"/>
  <c r="GG18" i="2" s="1"/>
  <c r="GH18" i="2" s="1"/>
  <c r="GI18" i="2" s="1"/>
  <c r="GJ18" i="2" s="1"/>
  <c r="GK18" i="2" s="1"/>
  <c r="GL18" i="2" s="1"/>
  <c r="GM18" i="2" s="1"/>
  <c r="GN18" i="2" s="1"/>
  <c r="GO18" i="2" s="1"/>
  <c r="GP18" i="2" s="1"/>
  <c r="GQ18" i="2" s="1"/>
  <c r="GR18" i="2" s="1"/>
  <c r="GS18" i="2" s="1"/>
  <c r="GT18" i="2" s="1"/>
  <c r="GU18" i="2" s="1"/>
  <c r="GV18" i="2" s="1"/>
  <c r="GW18" i="2" s="1"/>
  <c r="GX18" i="2" s="1"/>
  <c r="GY18" i="2" s="1"/>
  <c r="GZ18" i="2" s="1"/>
  <c r="HA18" i="2" s="1"/>
  <c r="HB18" i="2" s="1"/>
  <c r="HC18" i="2" s="1"/>
  <c r="HD18" i="2" s="1"/>
  <c r="HE18" i="2" s="1"/>
  <c r="HF18" i="2" s="1"/>
  <c r="HG18" i="2" s="1"/>
  <c r="HH18" i="2" s="1"/>
  <c r="HI18" i="2" s="1"/>
  <c r="HJ18" i="2" s="1"/>
  <c r="HK18" i="2" s="1"/>
  <c r="HL18" i="2" s="1"/>
  <c r="HM18" i="2" s="1"/>
  <c r="HN18" i="2" s="1"/>
  <c r="HO18" i="2" s="1"/>
  <c r="HP18" i="2" s="1"/>
  <c r="HQ18" i="2" s="1"/>
  <c r="HR18" i="2" s="1"/>
  <c r="HS18" i="2" s="1"/>
  <c r="HT18" i="2" s="1"/>
  <c r="HU18" i="2" s="1"/>
  <c r="HV18" i="2" s="1"/>
  <c r="HW18" i="2" s="1"/>
  <c r="HX18" i="2" s="1"/>
  <c r="HY18" i="2" s="1"/>
  <c r="HZ18" i="2" s="1"/>
  <c r="IA18" i="2" s="1"/>
  <c r="IB18" i="2" s="1"/>
  <c r="IC18" i="2" s="1"/>
  <c r="AN23" i="2" s="1"/>
  <c r="AN25" i="2" s="1"/>
  <c r="AN26" i="2" s="1"/>
  <c r="AJ27" i="2"/>
</calcChain>
</file>

<file path=xl/sharedStrings.xml><?xml version="1.0" encoding="utf-8"?>
<sst xmlns="http://schemas.openxmlformats.org/spreadsheetml/2006/main" count="83" uniqueCount="78">
  <si>
    <t>P</t>
  </si>
  <si>
    <t>S</t>
  </si>
  <si>
    <t>MC</t>
  </si>
  <si>
    <t>C</t>
  </si>
  <si>
    <t>D</t>
  </si>
  <si>
    <t>EV</t>
  </si>
  <si>
    <t>Q125</t>
  </si>
  <si>
    <t>CEO</t>
  </si>
  <si>
    <t>CFO</t>
  </si>
  <si>
    <t>Q123</t>
  </si>
  <si>
    <t>Q223</t>
  </si>
  <si>
    <t>Q323</t>
  </si>
  <si>
    <t>Q423</t>
  </si>
  <si>
    <t>Q124</t>
  </si>
  <si>
    <t>Q224</t>
  </si>
  <si>
    <t>Q324</t>
  </si>
  <si>
    <t>Q424</t>
  </si>
  <si>
    <t>Q225</t>
  </si>
  <si>
    <t>Q325</t>
  </si>
  <si>
    <t>Q425</t>
  </si>
  <si>
    <t>Net Revenue</t>
  </si>
  <si>
    <t>GP</t>
  </si>
  <si>
    <t>SgA</t>
  </si>
  <si>
    <t>Op Income</t>
  </si>
  <si>
    <t>Interest Exp</t>
  </si>
  <si>
    <t>Other Exp</t>
  </si>
  <si>
    <t>EBT</t>
  </si>
  <si>
    <t>Tax</t>
  </si>
  <si>
    <t>Net Income</t>
  </si>
  <si>
    <t>Net Rev Y/Y</t>
  </si>
  <si>
    <t>OM%</t>
  </si>
  <si>
    <t xml:space="preserve">terminal </t>
  </si>
  <si>
    <t>discount</t>
  </si>
  <si>
    <t>NPV</t>
  </si>
  <si>
    <t>Shares</t>
  </si>
  <si>
    <t>Estimate</t>
  </si>
  <si>
    <t>Upside</t>
  </si>
  <si>
    <t xml:space="preserve">Cash </t>
  </si>
  <si>
    <t>Equity</t>
  </si>
  <si>
    <t>TL + Equity</t>
  </si>
  <si>
    <t>TL</t>
  </si>
  <si>
    <t>A/P</t>
  </si>
  <si>
    <t>Accrued Salaries</t>
  </si>
  <si>
    <t>Accrued Sales returns</t>
  </si>
  <si>
    <t>Short term op lease</t>
  </si>
  <si>
    <t>Other accrued liab</t>
  </si>
  <si>
    <t>Current Liab held for sale</t>
  </si>
  <si>
    <t xml:space="preserve">Current Liabilities </t>
  </si>
  <si>
    <t>LTD</t>
  </si>
  <si>
    <t>LT op Lease</t>
  </si>
  <si>
    <t>LT employee related benefits</t>
  </si>
  <si>
    <t>LT liabilities held for sale</t>
  </si>
  <si>
    <t>TA</t>
  </si>
  <si>
    <t>Trade Rec</t>
  </si>
  <si>
    <t>Inventories</t>
  </si>
  <si>
    <t>OCA</t>
  </si>
  <si>
    <t xml:space="preserve">Current assets held </t>
  </si>
  <si>
    <t>Current Assets</t>
  </si>
  <si>
    <t>PPE</t>
  </si>
  <si>
    <t>Goodwill</t>
  </si>
  <si>
    <t>Other intangibles</t>
  </si>
  <si>
    <t>Deferred Tax Assets</t>
  </si>
  <si>
    <t>Op Lease</t>
  </si>
  <si>
    <t>ONCA</t>
  </si>
  <si>
    <t>NCA held for sale</t>
  </si>
  <si>
    <t xml:space="preserve">Net Cash </t>
  </si>
  <si>
    <t>ROIC</t>
  </si>
  <si>
    <t>Michelle Gass</t>
  </si>
  <si>
    <t>Harmit Singh</t>
  </si>
  <si>
    <t>News</t>
  </si>
  <si>
    <t>selling dockers</t>
  </si>
  <si>
    <t>Date</t>
  </si>
  <si>
    <t>plans 25 new murals across SF</t>
  </si>
  <si>
    <t>chapter 3 ad w/ beyonce</t>
  </si>
  <si>
    <t xml:space="preserve">chapter 2 ad w/ beyonce </t>
  </si>
  <si>
    <t>CFFO</t>
  </si>
  <si>
    <t>Capex</t>
  </si>
  <si>
    <t xml:space="preserve">FCF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</si>
</sst>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165" formatCode="m/d;@"/>
    <numFmt numFmtId="166" formatCode="0.0%"/>
  </numFmts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3" fontId="0" fillId="0" borderId="0" xfId="0" applyNumberFormat="1"/>
    <xf numFmtId="1" fontId="0" fillId="0" borderId="0" xfId="0" applyNumberFormat="1"/>
    <xf numFmtId="9" fontId="0" fillId="0" borderId="0" xfId="0" applyNumberFormat="1"/>
    <xf numFmtId="9" fontId="1" fillId="0" borderId="0" xfId="0" applyNumberFormat="1" applyFont="1"/>
    <xf numFmtId="165" fontId="0" fillId="0" borderId="0" xfId="0" applyNumberFormat="1"/>
    <xf numFmtId="166" fontId="0" fillId="0" borderId="0" xfId="0" applyNumberFormat="1"/>
    <xf numFmtId="166" fontId="1" fillId="0" borderId="0" xfId="0" applyNumberFormat="1" applyFont="1"/>
    <xf numFmtId="8" fontId="0" fillId="0" borderId="0" xfId="0" applyNumberFormat="1"/>
    <xf numFmtId="3" fontId="0" fillId="0" borderId="1" xfId="0" applyNumberFormat="1" applyBorder="1"/>
    <xf numFmtId="3" fontId="0" fillId="0" borderId="2" xfId="0" applyNumberFormat="1" applyBorder="1"/>
    <xf numFmtId="3" fontId="1" fillId="0" borderId="0" xfId="0" applyNumberFormat="1" applyFont="1"/>
    <xf numFmtId="3" fontId="2" fillId="0" borderId="0" xfId="1" applyNumberFormat="1"/>
    <xf numFmtId="14" fontId="0" fillId="0" borderId="0" xfId="0" applyNumberFormat="1"/>
    <xf numFmtId="3" fontId="0" fillId="0" borderId="1" xfId="0" applyNumberFormat="1" applyBorder="1" applyAlignment="1">
      <alignment horizontal="center"/>
    </xf>
    <xf numFmtId="3" fontId="0" fillId="0" borderId="2" xfId="0" applyNumberForma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0</xdr:colOff>
      <xdr:row>0</xdr:row>
      <xdr:rowOff>38100</xdr:rowOff>
    </xdr:from>
    <xdr:to>
      <xdr:col>26</xdr:col>
      <xdr:colOff>25400</xdr:colOff>
      <xdr:row>58</xdr:row>
      <xdr:rowOff>114300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B67C87E3-F8DD-93B1-BDE1-7EFF26A7B28D}"/>
            </a:ext>
          </a:extLst>
        </xdr:cNvPr>
        <xdr:cNvCxnSpPr/>
      </xdr:nvCxnSpPr>
      <xdr:spPr>
        <a:xfrm>
          <a:off x="11849100" y="38100"/>
          <a:ext cx="25400" cy="118618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outube.com/watch?v=CaJCypvWZoQ" TargetMode="External"/><Relationship Id="rId2" Type="http://schemas.openxmlformats.org/officeDocument/2006/relationships/hyperlink" Target="https://investors.levistrauss.com/news/financial-news/news-details/2025/Levi-Strauss--Co--Unveils-Plans-for-25-New-Murals-Across-San-Francisco/default.aspx" TargetMode="External"/><Relationship Id="rId1" Type="http://schemas.openxmlformats.org/officeDocument/2006/relationships/hyperlink" Target="https://investors.levistrauss.com/news/financial-news/news-details/2025/Levi-Strauss--Co--Enters-into-Definitive-Agreement-to-Sell-Dockers-to-Authentic-Brands-Group/default.aspx" TargetMode="External"/><Relationship Id="rId4" Type="http://schemas.openxmlformats.org/officeDocument/2006/relationships/hyperlink" Target="https://www.youtube.com/watch?v=y2o2FuqMtxI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3B01E-012B-7544-B5A0-7E83FF47CBB9}">
  <dimension ref="B3:L23"/>
  <sheetViews>
    <sheetView workbookViewId="0">
      <selection activeCell="E18" sqref="E18"/>
    </sheetView>
  </sheetViews>
  <sheetFormatPr baseColWidth="10" defaultRowHeight="16" x14ac:dyDescent="0.2"/>
  <cols>
    <col min="1" max="1" width="3.83203125" style="1" customWidth="1"/>
    <col min="2" max="2" width="6.1640625" style="1" customWidth="1"/>
    <col min="3" max="3" width="12.83203125" style="1" customWidth="1"/>
    <col min="4" max="9" width="10.83203125" style="1"/>
    <col min="10" max="10" width="4" style="1" bestFit="1" customWidth="1"/>
    <col min="11" max="11" width="5.6640625" style="1" bestFit="1" customWidth="1"/>
    <col min="12" max="12" width="5.5" style="1" bestFit="1" customWidth="1"/>
    <col min="13" max="16384" width="10.83203125" style="1"/>
  </cols>
  <sheetData>
    <row r="3" spans="2:12" x14ac:dyDescent="0.2">
      <c r="B3" s="1" t="s">
        <v>7</v>
      </c>
      <c r="C3" s="1" t="s">
        <v>67</v>
      </c>
      <c r="J3" s="1" t="s">
        <v>0</v>
      </c>
      <c r="K3" s="1">
        <v>19.55</v>
      </c>
    </row>
    <row r="4" spans="2:12" x14ac:dyDescent="0.2">
      <c r="B4" s="1" t="s">
        <v>8</v>
      </c>
      <c r="C4" s="1" t="s">
        <v>68</v>
      </c>
      <c r="J4" s="1" t="s">
        <v>1</v>
      </c>
      <c r="K4" s="1">
        <f>104.585522+290.742518</f>
        <v>395.32803999999999</v>
      </c>
      <c r="L4" s="1" t="s">
        <v>6</v>
      </c>
    </row>
    <row r="5" spans="2:12" x14ac:dyDescent="0.2">
      <c r="J5" s="1" t="s">
        <v>2</v>
      </c>
      <c r="K5" s="1">
        <f>+K3*K4</f>
        <v>7728.6631820000002</v>
      </c>
    </row>
    <row r="6" spans="2:12" x14ac:dyDescent="0.2">
      <c r="J6" s="1" t="s">
        <v>3</v>
      </c>
      <c r="K6" s="1">
        <v>574.4</v>
      </c>
      <c r="L6" s="1" t="s">
        <v>6</v>
      </c>
    </row>
    <row r="7" spans="2:12" x14ac:dyDescent="0.2">
      <c r="J7" s="1" t="s">
        <v>4</v>
      </c>
      <c r="K7" s="1">
        <v>987.4</v>
      </c>
      <c r="L7" s="1" t="s">
        <v>6</v>
      </c>
    </row>
    <row r="8" spans="2:12" x14ac:dyDescent="0.2">
      <c r="J8" s="1" t="s">
        <v>5</v>
      </c>
      <c r="K8" s="1">
        <f>+K5-K6+K7</f>
        <v>8141.6631820000002</v>
      </c>
    </row>
    <row r="9" spans="2:12" x14ac:dyDescent="0.2">
      <c r="B9" s="14" t="s">
        <v>69</v>
      </c>
      <c r="C9" s="15" t="s">
        <v>71</v>
      </c>
    </row>
    <row r="10" spans="2:12" x14ac:dyDescent="0.2">
      <c r="B10" s="12" t="s">
        <v>70</v>
      </c>
      <c r="C10" s="13">
        <v>45797</v>
      </c>
    </row>
    <row r="11" spans="2:12" x14ac:dyDescent="0.2">
      <c r="B11" s="12" t="s">
        <v>72</v>
      </c>
      <c r="C11" s="13">
        <v>45785</v>
      </c>
    </row>
    <row r="12" spans="2:12" x14ac:dyDescent="0.2">
      <c r="B12" s="12" t="s">
        <v>73</v>
      </c>
      <c r="C12" s="13"/>
    </row>
    <row r="13" spans="2:12" x14ac:dyDescent="0.2">
      <c r="B13" s="12" t="s">
        <v>74</v>
      </c>
      <c r="C13" s="13"/>
    </row>
    <row r="14" spans="2:12" x14ac:dyDescent="0.2">
      <c r="C14" s="13"/>
    </row>
    <row r="15" spans="2:12" x14ac:dyDescent="0.2">
      <c r="C15" s="13"/>
    </row>
    <row r="16" spans="2:12" x14ac:dyDescent="0.2">
      <c r="C16" s="13"/>
    </row>
    <row r="17" spans="3:3" x14ac:dyDescent="0.2">
      <c r="C17" s="13"/>
    </row>
    <row r="18" spans="3:3" x14ac:dyDescent="0.2">
      <c r="C18" s="13"/>
    </row>
    <row r="19" spans="3:3" x14ac:dyDescent="0.2">
      <c r="C19" s="13"/>
    </row>
    <row r="20" spans="3:3" x14ac:dyDescent="0.2">
      <c r="C20" s="13"/>
    </row>
    <row r="21" spans="3:3" x14ac:dyDescent="0.2">
      <c r="C21" s="13"/>
    </row>
    <row r="22" spans="3:3" x14ac:dyDescent="0.2">
      <c r="C22" s="13"/>
    </row>
    <row r="23" spans="3:3" x14ac:dyDescent="0.2">
      <c r="C23" s="13"/>
    </row>
  </sheetData>
  <hyperlinks>
    <hyperlink ref="B10" r:id="rId1" xr:uid="{7AC58E60-FC61-1645-8C5E-D9D9BDF2769C}"/>
    <hyperlink ref="B11" r:id="rId2" xr:uid="{57846956-29B2-AE4F-AE1F-3C0F2036F935}"/>
    <hyperlink ref="B12" r:id="rId3" xr:uid="{619D2C94-7155-8F45-A321-A13DB0E80733}"/>
    <hyperlink ref="B13" r:id="rId4" xr:uid="{84BEA44A-0A85-D74E-B5D0-F1702225013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06E6D-083B-964D-839F-2CB54DA95E0B}">
  <dimension ref="B2:IC62"/>
  <sheetViews>
    <sheetView tabSelected="1" workbookViewId="0">
      <pane xSplit="2" ySplit="3" topLeftCell="C47" activePane="bottomRight" state="frozen"/>
      <selection pane="topRight" activeCell="C1" sqref="C1"/>
      <selection pane="bottomLeft" activeCell="A3" sqref="A3"/>
      <selection pane="bottomRight" activeCell="H65" sqref="H65"/>
    </sheetView>
  </sheetViews>
  <sheetFormatPr baseColWidth="10" defaultRowHeight="16" x14ac:dyDescent="0.2"/>
  <cols>
    <col min="1" max="1" width="1.1640625" style="1" customWidth="1"/>
    <col min="2" max="2" width="14.5" style="1" customWidth="1"/>
    <col min="3" max="5" width="5.6640625" style="1" bestFit="1" customWidth="1"/>
    <col min="6" max="6" width="5.83203125" style="1" bestFit="1" customWidth="1"/>
    <col min="7" max="11" width="5.6640625" style="1" bestFit="1" customWidth="1"/>
    <col min="12" max="14" width="5.5" style="1" bestFit="1" customWidth="1"/>
    <col min="15" max="16" width="10.83203125" style="1"/>
    <col min="17" max="23" width="5.1640625" style="1" bestFit="1" customWidth="1"/>
    <col min="24" max="25" width="5.83203125" style="1" bestFit="1" customWidth="1"/>
    <col min="26" max="36" width="5.6640625" style="1" bestFit="1" customWidth="1"/>
    <col min="37" max="38" width="5.1640625" style="1" bestFit="1" customWidth="1"/>
    <col min="39" max="39" width="8.33203125" style="1" bestFit="1" customWidth="1"/>
    <col min="40" max="40" width="9.83203125" style="1" bestFit="1" customWidth="1"/>
    <col min="41" max="75" width="5.1640625" style="1" bestFit="1" customWidth="1"/>
    <col min="76" max="237" width="5.6640625" style="1" bestFit="1" customWidth="1"/>
    <col min="238" max="16384" width="10.83203125" style="1"/>
  </cols>
  <sheetData>
    <row r="2" spans="2:237" s="5" customFormat="1" x14ac:dyDescent="0.2">
      <c r="C2" s="5">
        <v>44983</v>
      </c>
      <c r="D2" s="5">
        <v>45074</v>
      </c>
      <c r="E2" s="5">
        <v>45165</v>
      </c>
      <c r="F2" s="5">
        <f>+Y2</f>
        <v>45256</v>
      </c>
      <c r="G2" s="5">
        <v>45347</v>
      </c>
      <c r="H2" s="5">
        <v>45438</v>
      </c>
      <c r="I2" s="5">
        <v>45529</v>
      </c>
      <c r="J2" s="5">
        <f>+Z2</f>
        <v>45627</v>
      </c>
      <c r="K2" s="5">
        <v>45718</v>
      </c>
      <c r="X2" s="5">
        <v>44892</v>
      </c>
      <c r="Y2" s="5">
        <v>45256</v>
      </c>
      <c r="Z2" s="5">
        <v>45627</v>
      </c>
    </row>
    <row r="3" spans="2:237" s="2" customFormat="1" x14ac:dyDescent="0.2">
      <c r="C3" s="2" t="s">
        <v>9</v>
      </c>
      <c r="D3" s="2" t="s">
        <v>10</v>
      </c>
      <c r="E3" s="2" t="s">
        <v>11</v>
      </c>
      <c r="F3" s="2" t="s">
        <v>12</v>
      </c>
      <c r="G3" s="2" t="s">
        <v>13</v>
      </c>
      <c r="H3" s="2" t="s">
        <v>14</v>
      </c>
      <c r="I3" s="2" t="s">
        <v>15</v>
      </c>
      <c r="J3" s="2" t="s">
        <v>16</v>
      </c>
      <c r="K3" s="2" t="s">
        <v>6</v>
      </c>
      <c r="L3" s="2" t="s">
        <v>17</v>
      </c>
      <c r="M3" s="2" t="s">
        <v>18</v>
      </c>
      <c r="N3" s="2" t="s">
        <v>19</v>
      </c>
      <c r="Q3" s="2">
        <v>2015</v>
      </c>
      <c r="R3" s="2">
        <f>+Q3+1</f>
        <v>2016</v>
      </c>
      <c r="S3" s="2">
        <f t="shared" ref="S3:AT3" si="0">+R3+1</f>
        <v>2017</v>
      </c>
      <c r="T3" s="2">
        <f t="shared" si="0"/>
        <v>2018</v>
      </c>
      <c r="U3" s="2">
        <f t="shared" si="0"/>
        <v>2019</v>
      </c>
      <c r="V3" s="2">
        <f t="shared" si="0"/>
        <v>2020</v>
      </c>
      <c r="W3" s="2">
        <f t="shared" si="0"/>
        <v>2021</v>
      </c>
      <c r="X3" s="2">
        <f t="shared" si="0"/>
        <v>2022</v>
      </c>
      <c r="Y3" s="2">
        <f t="shared" si="0"/>
        <v>2023</v>
      </c>
      <c r="Z3" s="2">
        <f t="shared" si="0"/>
        <v>2024</v>
      </c>
      <c r="AA3" s="2">
        <f t="shared" si="0"/>
        <v>2025</v>
      </c>
      <c r="AB3" s="2">
        <f t="shared" si="0"/>
        <v>2026</v>
      </c>
      <c r="AC3" s="2">
        <f t="shared" si="0"/>
        <v>2027</v>
      </c>
      <c r="AD3" s="2">
        <f t="shared" si="0"/>
        <v>2028</v>
      </c>
      <c r="AE3" s="2">
        <f t="shared" si="0"/>
        <v>2029</v>
      </c>
      <c r="AF3" s="2">
        <f t="shared" si="0"/>
        <v>2030</v>
      </c>
      <c r="AG3" s="2">
        <f t="shared" si="0"/>
        <v>2031</v>
      </c>
      <c r="AH3" s="2">
        <f t="shared" si="0"/>
        <v>2032</v>
      </c>
      <c r="AI3" s="2">
        <f t="shared" si="0"/>
        <v>2033</v>
      </c>
      <c r="AJ3" s="2">
        <f t="shared" si="0"/>
        <v>2034</v>
      </c>
      <c r="AK3" s="2">
        <f>+AJ3+1</f>
        <v>2035</v>
      </c>
      <c r="AL3" s="2">
        <f t="shared" ref="AL3:CW3" si="1">+AK3+1</f>
        <v>2036</v>
      </c>
      <c r="AM3" s="2">
        <f t="shared" si="1"/>
        <v>2037</v>
      </c>
      <c r="AN3" s="2">
        <f t="shared" si="1"/>
        <v>2038</v>
      </c>
      <c r="AO3" s="2">
        <f t="shared" si="1"/>
        <v>2039</v>
      </c>
      <c r="AP3" s="2">
        <f t="shared" si="1"/>
        <v>2040</v>
      </c>
      <c r="AQ3" s="2">
        <f t="shared" si="1"/>
        <v>2041</v>
      </c>
      <c r="AR3" s="2">
        <f t="shared" si="1"/>
        <v>2042</v>
      </c>
      <c r="AS3" s="2">
        <f t="shared" si="1"/>
        <v>2043</v>
      </c>
      <c r="AT3" s="2">
        <f t="shared" si="1"/>
        <v>2044</v>
      </c>
      <c r="AU3" s="2">
        <f t="shared" si="1"/>
        <v>2045</v>
      </c>
      <c r="AV3" s="2">
        <f t="shared" si="1"/>
        <v>2046</v>
      </c>
      <c r="AW3" s="2">
        <f t="shared" si="1"/>
        <v>2047</v>
      </c>
      <c r="AX3" s="2">
        <f t="shared" si="1"/>
        <v>2048</v>
      </c>
      <c r="AY3" s="2">
        <f t="shared" si="1"/>
        <v>2049</v>
      </c>
      <c r="AZ3" s="2">
        <f t="shared" si="1"/>
        <v>2050</v>
      </c>
      <c r="BA3" s="2">
        <f t="shared" si="1"/>
        <v>2051</v>
      </c>
      <c r="BB3" s="2">
        <f t="shared" si="1"/>
        <v>2052</v>
      </c>
      <c r="BC3" s="2">
        <f t="shared" si="1"/>
        <v>2053</v>
      </c>
      <c r="BD3" s="2">
        <f t="shared" si="1"/>
        <v>2054</v>
      </c>
      <c r="BE3" s="2">
        <f t="shared" si="1"/>
        <v>2055</v>
      </c>
      <c r="BF3" s="2">
        <f t="shared" si="1"/>
        <v>2056</v>
      </c>
      <c r="BG3" s="2">
        <f t="shared" si="1"/>
        <v>2057</v>
      </c>
      <c r="BH3" s="2">
        <f t="shared" si="1"/>
        <v>2058</v>
      </c>
      <c r="BI3" s="2">
        <f t="shared" si="1"/>
        <v>2059</v>
      </c>
      <c r="BJ3" s="2">
        <f t="shared" si="1"/>
        <v>2060</v>
      </c>
      <c r="BK3" s="2">
        <f t="shared" si="1"/>
        <v>2061</v>
      </c>
      <c r="BL3" s="2">
        <f t="shared" si="1"/>
        <v>2062</v>
      </c>
      <c r="BM3" s="2">
        <f t="shared" si="1"/>
        <v>2063</v>
      </c>
      <c r="BN3" s="2">
        <f t="shared" si="1"/>
        <v>2064</v>
      </c>
      <c r="BO3" s="2">
        <f t="shared" si="1"/>
        <v>2065</v>
      </c>
      <c r="BP3" s="2">
        <f t="shared" si="1"/>
        <v>2066</v>
      </c>
      <c r="BQ3" s="2">
        <f t="shared" si="1"/>
        <v>2067</v>
      </c>
      <c r="BR3" s="2">
        <f t="shared" si="1"/>
        <v>2068</v>
      </c>
      <c r="BS3" s="2">
        <f t="shared" si="1"/>
        <v>2069</v>
      </c>
      <c r="BT3" s="2">
        <f t="shared" si="1"/>
        <v>2070</v>
      </c>
      <c r="BU3" s="2">
        <f t="shared" si="1"/>
        <v>2071</v>
      </c>
      <c r="BV3" s="2">
        <f t="shared" si="1"/>
        <v>2072</v>
      </c>
      <c r="BW3" s="2">
        <f t="shared" si="1"/>
        <v>2073</v>
      </c>
      <c r="BX3" s="2">
        <f t="shared" si="1"/>
        <v>2074</v>
      </c>
      <c r="BY3" s="2">
        <f t="shared" si="1"/>
        <v>2075</v>
      </c>
      <c r="BZ3" s="2">
        <f t="shared" si="1"/>
        <v>2076</v>
      </c>
      <c r="CA3" s="2">
        <f t="shared" si="1"/>
        <v>2077</v>
      </c>
      <c r="CB3" s="2">
        <f t="shared" si="1"/>
        <v>2078</v>
      </c>
      <c r="CC3" s="2">
        <f t="shared" si="1"/>
        <v>2079</v>
      </c>
      <c r="CD3" s="2">
        <f t="shared" si="1"/>
        <v>2080</v>
      </c>
      <c r="CE3" s="2">
        <f t="shared" si="1"/>
        <v>2081</v>
      </c>
      <c r="CF3" s="2">
        <f t="shared" si="1"/>
        <v>2082</v>
      </c>
      <c r="CG3" s="2">
        <f t="shared" si="1"/>
        <v>2083</v>
      </c>
      <c r="CH3" s="2">
        <f t="shared" si="1"/>
        <v>2084</v>
      </c>
      <c r="CI3" s="2">
        <f t="shared" si="1"/>
        <v>2085</v>
      </c>
      <c r="CJ3" s="2">
        <f t="shared" si="1"/>
        <v>2086</v>
      </c>
      <c r="CK3" s="2">
        <f t="shared" si="1"/>
        <v>2087</v>
      </c>
      <c r="CL3" s="2">
        <f t="shared" si="1"/>
        <v>2088</v>
      </c>
      <c r="CM3" s="2">
        <f t="shared" si="1"/>
        <v>2089</v>
      </c>
      <c r="CN3" s="2">
        <f t="shared" si="1"/>
        <v>2090</v>
      </c>
      <c r="CO3" s="2">
        <f t="shared" si="1"/>
        <v>2091</v>
      </c>
      <c r="CP3" s="2">
        <f t="shared" si="1"/>
        <v>2092</v>
      </c>
      <c r="CQ3" s="2">
        <f t="shared" si="1"/>
        <v>2093</v>
      </c>
      <c r="CR3" s="2">
        <f t="shared" si="1"/>
        <v>2094</v>
      </c>
      <c r="CS3" s="2">
        <f t="shared" si="1"/>
        <v>2095</v>
      </c>
      <c r="CT3" s="2">
        <f t="shared" si="1"/>
        <v>2096</v>
      </c>
      <c r="CU3" s="2">
        <f t="shared" si="1"/>
        <v>2097</v>
      </c>
      <c r="CV3" s="2">
        <f t="shared" si="1"/>
        <v>2098</v>
      </c>
      <c r="CW3" s="2">
        <f t="shared" si="1"/>
        <v>2099</v>
      </c>
      <c r="CX3" s="2">
        <f t="shared" ref="CX3:EK3" si="2">+CW3+1</f>
        <v>2100</v>
      </c>
      <c r="CY3" s="2">
        <f t="shared" si="2"/>
        <v>2101</v>
      </c>
      <c r="CZ3" s="2">
        <f t="shared" si="2"/>
        <v>2102</v>
      </c>
      <c r="DA3" s="2">
        <f t="shared" si="2"/>
        <v>2103</v>
      </c>
      <c r="DB3" s="2">
        <f t="shared" si="2"/>
        <v>2104</v>
      </c>
      <c r="DC3" s="2">
        <f t="shared" si="2"/>
        <v>2105</v>
      </c>
      <c r="DD3" s="2">
        <f t="shared" si="2"/>
        <v>2106</v>
      </c>
      <c r="DE3" s="2">
        <f t="shared" si="2"/>
        <v>2107</v>
      </c>
      <c r="DF3" s="2">
        <f t="shared" si="2"/>
        <v>2108</v>
      </c>
      <c r="DG3" s="2">
        <f t="shared" si="2"/>
        <v>2109</v>
      </c>
      <c r="DH3" s="2">
        <f t="shared" si="2"/>
        <v>2110</v>
      </c>
      <c r="DI3" s="2">
        <f t="shared" si="2"/>
        <v>2111</v>
      </c>
      <c r="DJ3" s="2">
        <f t="shared" si="2"/>
        <v>2112</v>
      </c>
      <c r="DK3" s="2">
        <f t="shared" si="2"/>
        <v>2113</v>
      </c>
      <c r="DL3" s="2">
        <f t="shared" si="2"/>
        <v>2114</v>
      </c>
      <c r="DM3" s="2">
        <f t="shared" si="2"/>
        <v>2115</v>
      </c>
      <c r="DN3" s="2">
        <f t="shared" si="2"/>
        <v>2116</v>
      </c>
      <c r="DO3" s="2">
        <f t="shared" si="2"/>
        <v>2117</v>
      </c>
      <c r="DP3" s="2">
        <f t="shared" si="2"/>
        <v>2118</v>
      </c>
      <c r="DQ3" s="2">
        <f t="shared" si="2"/>
        <v>2119</v>
      </c>
      <c r="DR3" s="2">
        <f t="shared" si="2"/>
        <v>2120</v>
      </c>
      <c r="DS3" s="2">
        <f t="shared" si="2"/>
        <v>2121</v>
      </c>
      <c r="DT3" s="2">
        <f t="shared" si="2"/>
        <v>2122</v>
      </c>
      <c r="DU3" s="2">
        <f t="shared" si="2"/>
        <v>2123</v>
      </c>
      <c r="DV3" s="2">
        <f t="shared" si="2"/>
        <v>2124</v>
      </c>
      <c r="DW3" s="2">
        <f t="shared" si="2"/>
        <v>2125</v>
      </c>
      <c r="DX3" s="2">
        <f t="shared" si="2"/>
        <v>2126</v>
      </c>
      <c r="DY3" s="2">
        <f t="shared" si="2"/>
        <v>2127</v>
      </c>
      <c r="DZ3" s="2">
        <f t="shared" si="2"/>
        <v>2128</v>
      </c>
      <c r="EA3" s="2">
        <f t="shared" si="2"/>
        <v>2129</v>
      </c>
      <c r="EB3" s="2">
        <f t="shared" si="2"/>
        <v>2130</v>
      </c>
      <c r="EC3" s="2">
        <f t="shared" si="2"/>
        <v>2131</v>
      </c>
      <c r="ED3" s="2">
        <f t="shared" si="2"/>
        <v>2132</v>
      </c>
      <c r="EE3" s="2">
        <f t="shared" si="2"/>
        <v>2133</v>
      </c>
      <c r="EF3" s="2">
        <f t="shared" si="2"/>
        <v>2134</v>
      </c>
      <c r="EG3" s="2">
        <f t="shared" si="2"/>
        <v>2135</v>
      </c>
      <c r="EH3" s="2">
        <f t="shared" si="2"/>
        <v>2136</v>
      </c>
      <c r="EI3" s="2">
        <f t="shared" si="2"/>
        <v>2137</v>
      </c>
      <c r="EJ3" s="2">
        <f t="shared" si="2"/>
        <v>2138</v>
      </c>
      <c r="EK3" s="2">
        <f t="shared" si="2"/>
        <v>2139</v>
      </c>
      <c r="EL3" s="2">
        <f t="shared" ref="EL3:FJ3" si="3">+EK3+1</f>
        <v>2140</v>
      </c>
      <c r="EM3" s="2">
        <f t="shared" si="3"/>
        <v>2141</v>
      </c>
      <c r="EN3" s="2">
        <f t="shared" si="3"/>
        <v>2142</v>
      </c>
      <c r="EO3" s="2">
        <f t="shared" si="3"/>
        <v>2143</v>
      </c>
      <c r="EP3" s="2">
        <f t="shared" si="3"/>
        <v>2144</v>
      </c>
      <c r="EQ3" s="2">
        <f t="shared" si="3"/>
        <v>2145</v>
      </c>
      <c r="ER3" s="2">
        <f t="shared" si="3"/>
        <v>2146</v>
      </c>
      <c r="ES3" s="2">
        <f t="shared" si="3"/>
        <v>2147</v>
      </c>
      <c r="ET3" s="2">
        <f t="shared" si="3"/>
        <v>2148</v>
      </c>
      <c r="EU3" s="2">
        <f t="shared" si="3"/>
        <v>2149</v>
      </c>
      <c r="EV3" s="2">
        <f t="shared" si="3"/>
        <v>2150</v>
      </c>
      <c r="EW3" s="2">
        <f t="shared" si="3"/>
        <v>2151</v>
      </c>
      <c r="EX3" s="2">
        <f t="shared" si="3"/>
        <v>2152</v>
      </c>
      <c r="EY3" s="2">
        <f t="shared" si="3"/>
        <v>2153</v>
      </c>
      <c r="EZ3" s="2">
        <f t="shared" si="3"/>
        <v>2154</v>
      </c>
      <c r="FA3" s="2">
        <f t="shared" si="3"/>
        <v>2155</v>
      </c>
      <c r="FB3" s="2">
        <f t="shared" si="3"/>
        <v>2156</v>
      </c>
      <c r="FC3" s="2">
        <f t="shared" si="3"/>
        <v>2157</v>
      </c>
      <c r="FD3" s="2">
        <f t="shared" si="3"/>
        <v>2158</v>
      </c>
      <c r="FE3" s="2">
        <f t="shared" si="3"/>
        <v>2159</v>
      </c>
      <c r="FF3" s="2">
        <f t="shared" si="3"/>
        <v>2160</v>
      </c>
      <c r="FG3" s="2">
        <f t="shared" si="3"/>
        <v>2161</v>
      </c>
      <c r="FH3" s="2">
        <f t="shared" si="3"/>
        <v>2162</v>
      </c>
      <c r="FI3" s="2">
        <f t="shared" si="3"/>
        <v>2163</v>
      </c>
      <c r="FJ3" s="2">
        <f t="shared" si="3"/>
        <v>2164</v>
      </c>
      <c r="FK3" s="2">
        <f t="shared" ref="FK3:HL3" si="4">+FJ3+1</f>
        <v>2165</v>
      </c>
      <c r="FL3" s="2">
        <f t="shared" si="4"/>
        <v>2166</v>
      </c>
      <c r="FM3" s="2">
        <f t="shared" si="4"/>
        <v>2167</v>
      </c>
      <c r="FN3" s="2">
        <f t="shared" si="4"/>
        <v>2168</v>
      </c>
      <c r="FO3" s="2">
        <f t="shared" si="4"/>
        <v>2169</v>
      </c>
      <c r="FP3" s="2">
        <f t="shared" si="4"/>
        <v>2170</v>
      </c>
      <c r="FQ3" s="2">
        <f t="shared" si="4"/>
        <v>2171</v>
      </c>
      <c r="FR3" s="2">
        <f t="shared" si="4"/>
        <v>2172</v>
      </c>
      <c r="FS3" s="2">
        <f t="shared" si="4"/>
        <v>2173</v>
      </c>
      <c r="FT3" s="2">
        <f t="shared" si="4"/>
        <v>2174</v>
      </c>
      <c r="FU3" s="2">
        <f t="shared" si="4"/>
        <v>2175</v>
      </c>
      <c r="FV3" s="2">
        <f t="shared" si="4"/>
        <v>2176</v>
      </c>
      <c r="FW3" s="2">
        <f t="shared" si="4"/>
        <v>2177</v>
      </c>
      <c r="FX3" s="2">
        <f t="shared" si="4"/>
        <v>2178</v>
      </c>
      <c r="FY3" s="2">
        <f t="shared" si="4"/>
        <v>2179</v>
      </c>
      <c r="FZ3" s="2">
        <f t="shared" si="4"/>
        <v>2180</v>
      </c>
      <c r="GA3" s="2">
        <f t="shared" si="4"/>
        <v>2181</v>
      </c>
      <c r="GB3" s="2">
        <f t="shared" si="4"/>
        <v>2182</v>
      </c>
      <c r="GC3" s="2">
        <f t="shared" si="4"/>
        <v>2183</v>
      </c>
      <c r="GD3" s="2">
        <f t="shared" si="4"/>
        <v>2184</v>
      </c>
      <c r="GE3" s="2">
        <f t="shared" si="4"/>
        <v>2185</v>
      </c>
      <c r="GF3" s="2">
        <f t="shared" si="4"/>
        <v>2186</v>
      </c>
      <c r="GG3" s="2">
        <f t="shared" si="4"/>
        <v>2187</v>
      </c>
      <c r="GH3" s="2">
        <f t="shared" si="4"/>
        <v>2188</v>
      </c>
      <c r="GI3" s="2">
        <f t="shared" si="4"/>
        <v>2189</v>
      </c>
      <c r="GJ3" s="2">
        <f t="shared" si="4"/>
        <v>2190</v>
      </c>
      <c r="GK3" s="2">
        <f t="shared" si="4"/>
        <v>2191</v>
      </c>
      <c r="GL3" s="2">
        <f t="shared" si="4"/>
        <v>2192</v>
      </c>
      <c r="GM3" s="2">
        <f t="shared" si="4"/>
        <v>2193</v>
      </c>
      <c r="GN3" s="2">
        <f t="shared" si="4"/>
        <v>2194</v>
      </c>
      <c r="GO3" s="2">
        <f t="shared" si="4"/>
        <v>2195</v>
      </c>
      <c r="GP3" s="2">
        <f t="shared" si="4"/>
        <v>2196</v>
      </c>
      <c r="GQ3" s="2">
        <f t="shared" si="4"/>
        <v>2197</v>
      </c>
      <c r="GR3" s="2">
        <f t="shared" si="4"/>
        <v>2198</v>
      </c>
      <c r="GS3" s="2">
        <f t="shared" si="4"/>
        <v>2199</v>
      </c>
      <c r="GT3" s="2">
        <f t="shared" si="4"/>
        <v>2200</v>
      </c>
      <c r="GU3" s="2">
        <f t="shared" si="4"/>
        <v>2201</v>
      </c>
      <c r="GV3" s="2">
        <f t="shared" si="4"/>
        <v>2202</v>
      </c>
      <c r="GW3" s="2">
        <f t="shared" si="4"/>
        <v>2203</v>
      </c>
      <c r="GX3" s="2">
        <f t="shared" si="4"/>
        <v>2204</v>
      </c>
      <c r="GY3" s="2">
        <f t="shared" si="4"/>
        <v>2205</v>
      </c>
      <c r="GZ3" s="2">
        <f t="shared" si="4"/>
        <v>2206</v>
      </c>
      <c r="HA3" s="2">
        <f t="shared" si="4"/>
        <v>2207</v>
      </c>
      <c r="HB3" s="2">
        <f t="shared" si="4"/>
        <v>2208</v>
      </c>
      <c r="HC3" s="2">
        <f t="shared" si="4"/>
        <v>2209</v>
      </c>
      <c r="HD3" s="2">
        <f t="shared" si="4"/>
        <v>2210</v>
      </c>
      <c r="HE3" s="2">
        <f t="shared" si="4"/>
        <v>2211</v>
      </c>
      <c r="HF3" s="2">
        <f t="shared" si="4"/>
        <v>2212</v>
      </c>
      <c r="HG3" s="2">
        <f t="shared" si="4"/>
        <v>2213</v>
      </c>
      <c r="HH3" s="2">
        <f t="shared" si="4"/>
        <v>2214</v>
      </c>
      <c r="HI3" s="2">
        <f t="shared" si="4"/>
        <v>2215</v>
      </c>
      <c r="HJ3" s="2">
        <f t="shared" si="4"/>
        <v>2216</v>
      </c>
      <c r="HK3" s="2">
        <f t="shared" si="4"/>
        <v>2217</v>
      </c>
      <c r="HL3" s="2">
        <f t="shared" si="4"/>
        <v>2218</v>
      </c>
      <c r="HM3" s="2">
        <f t="shared" ref="HM3:IB3" si="5">+HL3+1</f>
        <v>2219</v>
      </c>
      <c r="HN3" s="2">
        <f t="shared" si="5"/>
        <v>2220</v>
      </c>
      <c r="HO3" s="2">
        <f t="shared" si="5"/>
        <v>2221</v>
      </c>
      <c r="HP3" s="2">
        <f t="shared" si="5"/>
        <v>2222</v>
      </c>
      <c r="HQ3" s="2">
        <f t="shared" si="5"/>
        <v>2223</v>
      </c>
      <c r="HR3" s="2">
        <f t="shared" si="5"/>
        <v>2224</v>
      </c>
      <c r="HS3" s="2">
        <f t="shared" si="5"/>
        <v>2225</v>
      </c>
      <c r="HT3" s="2">
        <f t="shared" si="5"/>
        <v>2226</v>
      </c>
      <c r="HU3" s="2">
        <f t="shared" si="5"/>
        <v>2227</v>
      </c>
      <c r="HV3" s="2">
        <f t="shared" si="5"/>
        <v>2228</v>
      </c>
      <c r="HW3" s="2">
        <f t="shared" si="5"/>
        <v>2229</v>
      </c>
      <c r="HX3" s="2">
        <f t="shared" si="5"/>
        <v>2230</v>
      </c>
      <c r="HY3" s="2">
        <f t="shared" si="5"/>
        <v>2231</v>
      </c>
      <c r="HZ3" s="2">
        <f t="shared" si="5"/>
        <v>2232</v>
      </c>
      <c r="IA3" s="2">
        <f t="shared" si="5"/>
        <v>2233</v>
      </c>
      <c r="IB3" s="2">
        <f t="shared" si="5"/>
        <v>2234</v>
      </c>
      <c r="IC3" s="2">
        <f t="shared" ref="IC3" si="6">+IB3+1</f>
        <v>2235</v>
      </c>
    </row>
    <row r="4" spans="2:237" s="2" customFormat="1" x14ac:dyDescent="0.2">
      <c r="G4" s="2">
        <v>736</v>
      </c>
      <c r="K4" s="2">
        <v>783</v>
      </c>
    </row>
    <row r="5" spans="2:237" s="2" customFormat="1" x14ac:dyDescent="0.2">
      <c r="G5" s="2">
        <v>423</v>
      </c>
      <c r="K5" s="2">
        <v>400</v>
      </c>
    </row>
    <row r="6" spans="2:237" s="2" customFormat="1" x14ac:dyDescent="0.2">
      <c r="G6" s="2">
        <v>289</v>
      </c>
      <c r="K6" s="2">
        <v>308</v>
      </c>
    </row>
    <row r="7" spans="2:237" s="2" customFormat="1" x14ac:dyDescent="0.2">
      <c r="G7" s="2">
        <v>32</v>
      </c>
      <c r="K7" s="2">
        <v>35</v>
      </c>
    </row>
    <row r="8" spans="2:237" s="2" customFormat="1" x14ac:dyDescent="0.2"/>
    <row r="9" spans="2:237" x14ac:dyDescent="0.2">
      <c r="B9" s="1" t="s">
        <v>20</v>
      </c>
      <c r="C9" s="1">
        <v>1688.9</v>
      </c>
      <c r="D9" s="1">
        <v>1336.8</v>
      </c>
      <c r="E9" s="1">
        <v>1511</v>
      </c>
      <c r="F9" s="1">
        <f>+Y9-SUM(C9:E9)</f>
        <v>1642.3000000000002</v>
      </c>
      <c r="G9" s="1">
        <v>1480.2</v>
      </c>
      <c r="H9" s="1">
        <v>1441.2</v>
      </c>
      <c r="I9" s="1">
        <v>1516.8</v>
      </c>
      <c r="J9" s="1">
        <f>+Z9-SUM(G9:I9)</f>
        <v>1917.1000000000004</v>
      </c>
      <c r="K9" s="1">
        <v>1526.8</v>
      </c>
      <c r="X9" s="1">
        <v>6168.6</v>
      </c>
      <c r="Y9" s="1">
        <v>6179</v>
      </c>
      <c r="Z9" s="1">
        <v>6355.3</v>
      </c>
      <c r="AA9" s="1">
        <f>+Z9*1.02</f>
        <v>6482.4059999999999</v>
      </c>
      <c r="AB9" s="1">
        <f t="shared" ref="AB9:AJ9" si="7">+AA9*1.02</f>
        <v>6612.0541199999998</v>
      </c>
      <c r="AC9" s="1">
        <f t="shared" si="7"/>
        <v>6744.2952023999997</v>
      </c>
      <c r="AD9" s="1">
        <f t="shared" si="7"/>
        <v>6879.1811064479998</v>
      </c>
      <c r="AE9" s="1">
        <f t="shared" si="7"/>
        <v>7016.7647285769599</v>
      </c>
      <c r="AF9" s="1">
        <f t="shared" si="7"/>
        <v>7157.1000231484995</v>
      </c>
      <c r="AG9" s="1">
        <f t="shared" si="7"/>
        <v>7300.2420236114694</v>
      </c>
      <c r="AH9" s="1">
        <f t="shared" si="7"/>
        <v>7446.2468640836987</v>
      </c>
      <c r="AI9" s="1">
        <f t="shared" si="7"/>
        <v>7595.1718013653726</v>
      </c>
      <c r="AJ9" s="1">
        <f t="shared" si="7"/>
        <v>7747.0752373926798</v>
      </c>
    </row>
    <row r="10" spans="2:237" x14ac:dyDescent="0.2">
      <c r="B10" s="1" t="s">
        <v>3</v>
      </c>
      <c r="C10" s="1">
        <v>746.6</v>
      </c>
      <c r="D10" s="1">
        <v>552.6</v>
      </c>
      <c r="E10" s="1">
        <v>671.5</v>
      </c>
      <c r="F10" s="1">
        <f t="shared" ref="F10:F18" si="8">+Y10-SUM(C10:E10)</f>
        <v>692.60000000000014</v>
      </c>
      <c r="G10" s="1">
        <v>610.4</v>
      </c>
      <c r="H10" s="1">
        <v>569.5</v>
      </c>
      <c r="I10" s="1">
        <v>606.1</v>
      </c>
      <c r="J10" s="1">
        <f t="shared" ref="J10:J18" si="9">+Z10-SUM(G10:I10)</f>
        <v>753.40000000000009</v>
      </c>
      <c r="K10" s="1">
        <v>579.20000000000005</v>
      </c>
      <c r="X10" s="1">
        <v>2619.8000000000002</v>
      </c>
      <c r="Y10" s="1">
        <v>2663.3</v>
      </c>
      <c r="Z10" s="1">
        <v>2539.4</v>
      </c>
      <c r="AA10" s="1">
        <f>+AA9*0.4</f>
        <v>2592.9624000000003</v>
      </c>
      <c r="AB10" s="1">
        <f t="shared" ref="AB10:AJ10" si="10">+AB9*0.4</f>
        <v>2644.8216480000001</v>
      </c>
      <c r="AC10" s="1">
        <f t="shared" si="10"/>
        <v>2697.71808096</v>
      </c>
      <c r="AD10" s="1">
        <f t="shared" si="10"/>
        <v>2751.6724425791999</v>
      </c>
      <c r="AE10" s="1">
        <f t="shared" si="10"/>
        <v>2806.705891430784</v>
      </c>
      <c r="AF10" s="1">
        <f t="shared" si="10"/>
        <v>2862.8400092594002</v>
      </c>
      <c r="AG10" s="1">
        <f t="shared" si="10"/>
        <v>2920.096809444588</v>
      </c>
      <c r="AH10" s="1">
        <f t="shared" si="10"/>
        <v>2978.4987456334798</v>
      </c>
      <c r="AI10" s="1">
        <f t="shared" si="10"/>
        <v>3038.0687205461491</v>
      </c>
      <c r="AJ10" s="1">
        <f t="shared" si="10"/>
        <v>3098.8300949570721</v>
      </c>
    </row>
    <row r="11" spans="2:237" x14ac:dyDescent="0.2">
      <c r="B11" s="1" t="s">
        <v>21</v>
      </c>
      <c r="C11" s="1">
        <f>+C9-C10</f>
        <v>942.30000000000007</v>
      </c>
      <c r="D11" s="1">
        <f>+D9-D10</f>
        <v>784.19999999999993</v>
      </c>
      <c r="E11" s="1">
        <f>+E9-E10</f>
        <v>839.5</v>
      </c>
      <c r="F11" s="1">
        <f t="shared" si="8"/>
        <v>949.69999999999982</v>
      </c>
      <c r="G11" s="1">
        <f>+G9-G10</f>
        <v>869.80000000000007</v>
      </c>
      <c r="H11" s="1">
        <f>+H9-H10</f>
        <v>871.7</v>
      </c>
      <c r="I11" s="1">
        <f>+I9-I10</f>
        <v>910.69999999999993</v>
      </c>
      <c r="J11" s="1">
        <f t="shared" si="9"/>
        <v>1163.7000000000003</v>
      </c>
      <c r="K11" s="1">
        <f>+K9-K10</f>
        <v>947.59999999999991</v>
      </c>
      <c r="X11" s="1">
        <f>+X9-X10</f>
        <v>3548.8</v>
      </c>
      <c r="Y11" s="1">
        <f>+Y9-Y10</f>
        <v>3515.7</v>
      </c>
      <c r="Z11" s="1">
        <f>+Z9-Z10</f>
        <v>3815.9</v>
      </c>
      <c r="AA11" s="1">
        <f>+AA9-AA10</f>
        <v>3889.4435999999996</v>
      </c>
      <c r="AB11" s="1">
        <f t="shared" ref="AB11:AJ11" si="11">+AB9-AB10</f>
        <v>3967.2324719999997</v>
      </c>
      <c r="AC11" s="1">
        <f t="shared" si="11"/>
        <v>4046.5771214399997</v>
      </c>
      <c r="AD11" s="1">
        <f t="shared" si="11"/>
        <v>4127.5086638687999</v>
      </c>
      <c r="AE11" s="1">
        <f t="shared" si="11"/>
        <v>4210.0588371461763</v>
      </c>
      <c r="AF11" s="1">
        <f t="shared" si="11"/>
        <v>4294.2600138890994</v>
      </c>
      <c r="AG11" s="1">
        <f t="shared" si="11"/>
        <v>4380.1452141668815</v>
      </c>
      <c r="AH11" s="1">
        <f t="shared" si="11"/>
        <v>4467.7481184502194</v>
      </c>
      <c r="AI11" s="1">
        <f t="shared" si="11"/>
        <v>4557.1030808192236</v>
      </c>
      <c r="AJ11" s="1">
        <f t="shared" si="11"/>
        <v>4648.2451424356077</v>
      </c>
    </row>
    <row r="12" spans="2:237" x14ac:dyDescent="0.2">
      <c r="B12" s="1" t="s">
        <v>22</v>
      </c>
      <c r="C12" s="1">
        <v>773.5</v>
      </c>
      <c r="D12" s="1">
        <v>767.8</v>
      </c>
      <c r="E12" s="1">
        <v>713</v>
      </c>
      <c r="F12" s="1">
        <f t="shared" si="8"/>
        <v>797.59999999999991</v>
      </c>
      <c r="G12" s="1">
        <v>756.1</v>
      </c>
      <c r="H12" s="1">
        <v>794.7</v>
      </c>
      <c r="I12" s="1">
        <v>765.6</v>
      </c>
      <c r="J12" s="1">
        <f t="shared" si="9"/>
        <v>929.79999999999973</v>
      </c>
      <c r="K12" s="1">
        <v>749.3</v>
      </c>
      <c r="X12" s="1">
        <v>2881.6</v>
      </c>
      <c r="Y12" s="1">
        <v>3051.9</v>
      </c>
      <c r="Z12" s="1">
        <v>3246.2</v>
      </c>
      <c r="AA12" s="1">
        <f>+AA9*0.5</f>
        <v>3241.203</v>
      </c>
      <c r="AB12" s="1">
        <f t="shared" ref="AB12:AJ12" si="12">+AB9*0.5</f>
        <v>3306.0270599999999</v>
      </c>
      <c r="AC12" s="1">
        <f t="shared" si="12"/>
        <v>3372.1476011999998</v>
      </c>
      <c r="AD12" s="1">
        <f t="shared" si="12"/>
        <v>3439.5905532239999</v>
      </c>
      <c r="AE12" s="1">
        <f t="shared" si="12"/>
        <v>3508.3823642884799</v>
      </c>
      <c r="AF12" s="1">
        <f t="shared" si="12"/>
        <v>3578.5500115742498</v>
      </c>
      <c r="AG12" s="1">
        <f t="shared" si="12"/>
        <v>3650.1210118057347</v>
      </c>
      <c r="AH12" s="1">
        <f t="shared" si="12"/>
        <v>3723.1234320418494</v>
      </c>
      <c r="AI12" s="1">
        <f t="shared" si="12"/>
        <v>3797.5859006826863</v>
      </c>
      <c r="AJ12" s="1">
        <f t="shared" si="12"/>
        <v>3873.5376186963399</v>
      </c>
    </row>
    <row r="13" spans="2:237" x14ac:dyDescent="0.2">
      <c r="B13" s="1" t="s">
        <v>23</v>
      </c>
      <c r="C13" s="1">
        <f>+C11-C12</f>
        <v>168.80000000000007</v>
      </c>
      <c r="D13" s="1">
        <f>+D11-D12</f>
        <v>16.399999999999977</v>
      </c>
      <c r="E13" s="1">
        <f>+E11-E12</f>
        <v>126.5</v>
      </c>
      <c r="F13" s="1">
        <f t="shared" si="8"/>
        <v>152.09999999999968</v>
      </c>
      <c r="G13" s="1">
        <f>+G11-G12</f>
        <v>113.70000000000005</v>
      </c>
      <c r="H13" s="1">
        <f>+H11-H12</f>
        <v>77</v>
      </c>
      <c r="I13" s="1">
        <f>+I11-I12</f>
        <v>145.09999999999991</v>
      </c>
      <c r="J13" s="1">
        <f t="shared" si="9"/>
        <v>233.90000000000032</v>
      </c>
      <c r="K13" s="1">
        <f>+K11-K12</f>
        <v>198.29999999999995</v>
      </c>
      <c r="X13" s="1">
        <f>+X11-X12</f>
        <v>667.20000000000027</v>
      </c>
      <c r="Y13" s="1">
        <f>+Y11-Y12</f>
        <v>463.79999999999973</v>
      </c>
      <c r="Z13" s="1">
        <f>+Z11-Z12</f>
        <v>569.70000000000027</v>
      </c>
      <c r="AA13" s="1">
        <f>+AA11-AA12</f>
        <v>648.24059999999963</v>
      </c>
      <c r="AB13" s="1">
        <f t="shared" ref="AB13:AJ13" si="13">+AB11-AB12</f>
        <v>661.2054119999998</v>
      </c>
      <c r="AC13" s="1">
        <f t="shared" si="13"/>
        <v>674.42952023999987</v>
      </c>
      <c r="AD13" s="1">
        <f t="shared" si="13"/>
        <v>687.91811064479998</v>
      </c>
      <c r="AE13" s="1">
        <f t="shared" si="13"/>
        <v>701.67647285769635</v>
      </c>
      <c r="AF13" s="1">
        <f t="shared" si="13"/>
        <v>715.71000231484959</v>
      </c>
      <c r="AG13" s="1">
        <f t="shared" si="13"/>
        <v>730.02420236114676</v>
      </c>
      <c r="AH13" s="1">
        <f t="shared" si="13"/>
        <v>744.62468640837005</v>
      </c>
      <c r="AI13" s="1">
        <f t="shared" si="13"/>
        <v>759.51718013653726</v>
      </c>
      <c r="AJ13" s="1">
        <f t="shared" si="13"/>
        <v>774.7075237392678</v>
      </c>
    </row>
    <row r="14" spans="2:237" x14ac:dyDescent="0.2">
      <c r="B14" s="1" t="s">
        <v>24</v>
      </c>
      <c r="C14" s="1">
        <v>-10.7</v>
      </c>
      <c r="D14" s="1">
        <v>-13.2</v>
      </c>
      <c r="E14" s="1">
        <v>-11.5</v>
      </c>
      <c r="F14" s="1">
        <f t="shared" si="8"/>
        <v>-10.5</v>
      </c>
      <c r="G14" s="1">
        <v>-11.7</v>
      </c>
      <c r="H14" s="1">
        <v>-10.3</v>
      </c>
      <c r="I14" s="1">
        <v>-10.1</v>
      </c>
      <c r="J14" s="1">
        <f t="shared" si="9"/>
        <v>-9.6999999999999957</v>
      </c>
      <c r="K14" s="1">
        <v>-10.9</v>
      </c>
      <c r="X14" s="1">
        <v>-25.7</v>
      </c>
      <c r="Y14" s="1">
        <v>-45.9</v>
      </c>
      <c r="Z14" s="1">
        <v>-41.8</v>
      </c>
      <c r="AA14" s="1">
        <f>+Z27*$AN$20</f>
        <v>-24.779999999999998</v>
      </c>
      <c r="AB14" s="1">
        <f t="shared" ref="AB14:AJ14" si="14">+AA14</f>
        <v>-24.779999999999998</v>
      </c>
      <c r="AC14" s="1">
        <f t="shared" si="14"/>
        <v>-24.779999999999998</v>
      </c>
      <c r="AD14" s="1">
        <f t="shared" si="14"/>
        <v>-24.779999999999998</v>
      </c>
      <c r="AE14" s="1">
        <f t="shared" si="14"/>
        <v>-24.779999999999998</v>
      </c>
      <c r="AF14" s="1">
        <f t="shared" si="14"/>
        <v>-24.779999999999998</v>
      </c>
      <c r="AG14" s="1">
        <f t="shared" si="14"/>
        <v>-24.779999999999998</v>
      </c>
      <c r="AH14" s="1">
        <f t="shared" si="14"/>
        <v>-24.779999999999998</v>
      </c>
      <c r="AI14" s="1">
        <f t="shared" si="14"/>
        <v>-24.779999999999998</v>
      </c>
      <c r="AJ14" s="1">
        <f t="shared" si="14"/>
        <v>-24.779999999999998</v>
      </c>
    </row>
    <row r="15" spans="2:237" x14ac:dyDescent="0.2">
      <c r="B15" s="1" t="s">
        <v>25</v>
      </c>
      <c r="C15" s="1">
        <v>-7.5</v>
      </c>
      <c r="D15" s="1">
        <v>-3.9</v>
      </c>
      <c r="E15" s="1">
        <v>-26.7</v>
      </c>
      <c r="F15" s="1">
        <f t="shared" si="8"/>
        <v>-4.1000000000000014</v>
      </c>
      <c r="G15" s="1">
        <v>-1.9</v>
      </c>
      <c r="H15" s="1">
        <v>0.4</v>
      </c>
      <c r="I15" s="1">
        <v>-0.4</v>
      </c>
      <c r="J15" s="1">
        <f t="shared" si="9"/>
        <v>-1.4</v>
      </c>
      <c r="K15" s="1">
        <v>-4.0999999999999996</v>
      </c>
      <c r="X15" s="1">
        <v>28.8</v>
      </c>
      <c r="Y15" s="1">
        <v>-42.2</v>
      </c>
      <c r="Z15" s="1">
        <v>-3.3</v>
      </c>
      <c r="AA15" s="1">
        <f>+Z15</f>
        <v>-3.3</v>
      </c>
      <c r="AB15" s="1">
        <f t="shared" ref="AB15:AJ15" si="15">+AA15</f>
        <v>-3.3</v>
      </c>
      <c r="AC15" s="1">
        <f t="shared" si="15"/>
        <v>-3.3</v>
      </c>
      <c r="AD15" s="1">
        <f t="shared" si="15"/>
        <v>-3.3</v>
      </c>
      <c r="AE15" s="1">
        <f t="shared" si="15"/>
        <v>-3.3</v>
      </c>
      <c r="AF15" s="1">
        <f t="shared" si="15"/>
        <v>-3.3</v>
      </c>
      <c r="AG15" s="1">
        <f t="shared" si="15"/>
        <v>-3.3</v>
      </c>
      <c r="AH15" s="1">
        <f t="shared" si="15"/>
        <v>-3.3</v>
      </c>
      <c r="AI15" s="1">
        <f t="shared" si="15"/>
        <v>-3.3</v>
      </c>
      <c r="AJ15" s="1">
        <f t="shared" si="15"/>
        <v>-3.3</v>
      </c>
    </row>
    <row r="16" spans="2:237" x14ac:dyDescent="0.2">
      <c r="B16" s="1" t="s">
        <v>26</v>
      </c>
      <c r="C16" s="1">
        <f>+C13+SUM(C14:C15)</f>
        <v>150.60000000000008</v>
      </c>
      <c r="D16" s="1">
        <f>+D13+SUM(D14:D15)</f>
        <v>-0.70000000000002061</v>
      </c>
      <c r="E16" s="1">
        <f>+E13+SUM(E14:E15)</f>
        <v>88.3</v>
      </c>
      <c r="F16" s="1">
        <f t="shared" si="8"/>
        <v>137.49999999999966</v>
      </c>
      <c r="G16" s="1">
        <f>+G13+SUM(G14:G15)</f>
        <v>100.10000000000005</v>
      </c>
      <c r="H16" s="1">
        <f>+H13+SUM(H14:H15)</f>
        <v>67.099999999999994</v>
      </c>
      <c r="I16" s="1">
        <f>+I13+SUM(I14:I15)</f>
        <v>134.59999999999991</v>
      </c>
      <c r="J16" s="1">
        <f t="shared" si="9"/>
        <v>222.8000000000003</v>
      </c>
      <c r="K16" s="1">
        <f>+K13+SUM(K14:K15)</f>
        <v>183.29999999999995</v>
      </c>
      <c r="X16" s="1">
        <f>+X13+SUM(X14:X15)</f>
        <v>670.3000000000003</v>
      </c>
      <c r="Y16" s="1">
        <f>+Y13+SUM(Y14:Y15)</f>
        <v>375.6999999999997</v>
      </c>
      <c r="Z16" s="1">
        <f>+Z13+SUM(Z14:Z15)</f>
        <v>524.60000000000025</v>
      </c>
      <c r="AA16" s="1">
        <f>+AA13+SUM(AA14:AA15)</f>
        <v>620.16059999999959</v>
      </c>
      <c r="AB16" s="1">
        <f t="shared" ref="AB16:AJ16" si="16">+AB13+SUM(AB14:AB15)</f>
        <v>633.12541199999976</v>
      </c>
      <c r="AC16" s="1">
        <f t="shared" si="16"/>
        <v>646.34952023999983</v>
      </c>
      <c r="AD16" s="1">
        <f t="shared" si="16"/>
        <v>659.83811064479994</v>
      </c>
      <c r="AE16" s="1">
        <f t="shared" si="16"/>
        <v>673.59647285769631</v>
      </c>
      <c r="AF16" s="1">
        <f t="shared" si="16"/>
        <v>687.63000231484955</v>
      </c>
      <c r="AG16" s="1">
        <f t="shared" si="16"/>
        <v>701.94420236114672</v>
      </c>
      <c r="AH16" s="1">
        <f t="shared" si="16"/>
        <v>716.54468640837001</v>
      </c>
      <c r="AI16" s="1">
        <f t="shared" si="16"/>
        <v>731.43718013653722</v>
      </c>
      <c r="AJ16" s="1">
        <f t="shared" si="16"/>
        <v>746.62752373926776</v>
      </c>
    </row>
    <row r="17" spans="2:237" x14ac:dyDescent="0.2">
      <c r="B17" s="1" t="s">
        <v>27</v>
      </c>
      <c r="C17" s="1">
        <v>24.5</v>
      </c>
      <c r="D17" s="1">
        <v>-5.6</v>
      </c>
      <c r="E17" s="1">
        <v>-13</v>
      </c>
      <c r="F17" s="1">
        <f t="shared" si="8"/>
        <v>9.7000000000000011</v>
      </c>
      <c r="G17" s="1">
        <v>-0.8</v>
      </c>
      <c r="H17" s="1">
        <v>-6</v>
      </c>
      <c r="I17" s="1">
        <v>-0.9</v>
      </c>
      <c r="J17" s="1">
        <f t="shared" si="9"/>
        <v>16.100000000000001</v>
      </c>
      <c r="K17" s="1">
        <v>36.4</v>
      </c>
      <c r="X17" s="1">
        <v>80.5</v>
      </c>
      <c r="Y17" s="1">
        <v>15.6</v>
      </c>
      <c r="Z17" s="1">
        <v>8.4</v>
      </c>
      <c r="AA17" s="1">
        <f>+AA16*0.21</f>
        <v>130.2337259999999</v>
      </c>
      <c r="AB17" s="1">
        <f t="shared" ref="AB17:AJ17" si="17">+AB16*0.21</f>
        <v>132.95633651999995</v>
      </c>
      <c r="AC17" s="1">
        <f t="shared" si="17"/>
        <v>135.73339925039997</v>
      </c>
      <c r="AD17" s="1">
        <f t="shared" si="17"/>
        <v>138.56600323540798</v>
      </c>
      <c r="AE17" s="1">
        <f t="shared" si="17"/>
        <v>141.45525930011621</v>
      </c>
      <c r="AF17" s="1">
        <f t="shared" si="17"/>
        <v>144.40230048611841</v>
      </c>
      <c r="AG17" s="1">
        <f t="shared" si="17"/>
        <v>147.40828249584081</v>
      </c>
      <c r="AH17" s="1">
        <f t="shared" si="17"/>
        <v>150.47438414575771</v>
      </c>
      <c r="AI17" s="1">
        <f t="shared" si="17"/>
        <v>153.6018078286728</v>
      </c>
      <c r="AJ17" s="1">
        <f t="shared" si="17"/>
        <v>156.79177998524622</v>
      </c>
    </row>
    <row r="18" spans="2:237" x14ac:dyDescent="0.2">
      <c r="B18" s="1" t="s">
        <v>28</v>
      </c>
      <c r="C18" s="1">
        <f>+C16-C17</f>
        <v>126.10000000000008</v>
      </c>
      <c r="D18" s="1">
        <f>+D16-D17</f>
        <v>4.899999999999979</v>
      </c>
      <c r="E18" s="1">
        <f>+E16-E17</f>
        <v>101.3</v>
      </c>
      <c r="F18" s="1">
        <f t="shared" si="8"/>
        <v>127.79999999999961</v>
      </c>
      <c r="G18" s="1">
        <f>+G16-G17</f>
        <v>100.90000000000005</v>
      </c>
      <c r="H18" s="1">
        <f>+H16-H17</f>
        <v>73.099999999999994</v>
      </c>
      <c r="I18" s="1">
        <f>+I16-I17</f>
        <v>135.49999999999991</v>
      </c>
      <c r="J18" s="1">
        <f t="shared" si="9"/>
        <v>206.70000000000027</v>
      </c>
      <c r="K18" s="1">
        <f>+K16-K17</f>
        <v>146.89999999999995</v>
      </c>
      <c r="X18" s="1">
        <f>+X16-X17</f>
        <v>589.8000000000003</v>
      </c>
      <c r="Y18" s="1">
        <f>+Y16-Y17</f>
        <v>360.09999999999968</v>
      </c>
      <c r="Z18" s="1">
        <f>+Z16-Z17</f>
        <v>516.20000000000027</v>
      </c>
      <c r="AA18" s="1">
        <f>+AA16-AA17</f>
        <v>489.92687399999966</v>
      </c>
      <c r="AB18" s="1">
        <f t="shared" ref="AB18:AJ18" si="18">+AB16-AB17</f>
        <v>500.16907547999983</v>
      </c>
      <c r="AC18" s="1">
        <f t="shared" si="18"/>
        <v>510.61612098959984</v>
      </c>
      <c r="AD18" s="1">
        <f t="shared" si="18"/>
        <v>521.27210740939199</v>
      </c>
      <c r="AE18" s="1">
        <f t="shared" si="18"/>
        <v>532.14121355758016</v>
      </c>
      <c r="AF18" s="1">
        <f t="shared" si="18"/>
        <v>543.22770182873114</v>
      </c>
      <c r="AG18" s="1">
        <f t="shared" si="18"/>
        <v>554.53591986530591</v>
      </c>
      <c r="AH18" s="1">
        <f t="shared" si="18"/>
        <v>566.07030226261236</v>
      </c>
      <c r="AI18" s="1">
        <f t="shared" si="18"/>
        <v>577.83537230786442</v>
      </c>
      <c r="AJ18" s="1">
        <f t="shared" si="18"/>
        <v>589.83574375402156</v>
      </c>
      <c r="AK18" s="1">
        <f>+AJ18*(1+$AN$21)</f>
        <v>595.73410119156176</v>
      </c>
      <c r="AL18" s="1">
        <f>+AK18*(1+$AN$21)</f>
        <v>601.69144220347744</v>
      </c>
      <c r="AM18" s="1">
        <f>+AL18*(1+$AN$21)</f>
        <v>607.70835662551224</v>
      </c>
      <c r="AN18" s="1">
        <f>+AM18*(1+$AN$21)</f>
        <v>613.78544019176741</v>
      </c>
      <c r="AO18" s="1">
        <f>+AN18*(1+$AN$21)</f>
        <v>619.92329459368511</v>
      </c>
      <c r="AP18" s="1">
        <f>+AO18*(1+$AN$21)</f>
        <v>626.12252753962196</v>
      </c>
      <c r="AQ18" s="1">
        <f>+AP18*(1+$AN$21)</f>
        <v>632.38375281501817</v>
      </c>
      <c r="AR18" s="1">
        <f>+AQ18*(1+$AN$21)</f>
        <v>638.70759034316836</v>
      </c>
      <c r="AS18" s="1">
        <f>+AR18*(1+$AN$21)</f>
        <v>645.09466624660001</v>
      </c>
      <c r="AT18" s="1">
        <f>+AS18*(1+$AN$21)</f>
        <v>651.54561290906599</v>
      </c>
      <c r="AU18" s="1">
        <f>+AT18*(1+$AN$21)</f>
        <v>658.06106903815669</v>
      </c>
      <c r="AV18" s="1">
        <f>+AU18*(1+$AN$21)</f>
        <v>664.64167972853829</v>
      </c>
      <c r="AW18" s="1">
        <f>+AV18*(1+$AN$21)</f>
        <v>671.28809652582368</v>
      </c>
      <c r="AX18" s="1">
        <f>+AW18*(1+$AN$21)</f>
        <v>678.00097749108193</v>
      </c>
      <c r="AY18" s="1">
        <f>+AX18*(1+$AN$21)</f>
        <v>684.78098726599274</v>
      </c>
      <c r="AZ18" s="1">
        <f>+AY18*(1+$AN$21)</f>
        <v>691.62879713865266</v>
      </c>
      <c r="BA18" s="1">
        <f>+AZ18*(1+$AN$21)</f>
        <v>698.54508511003917</v>
      </c>
      <c r="BB18" s="1">
        <f>+BA18*(1+$AN$21)</f>
        <v>705.53053596113955</v>
      </c>
      <c r="BC18" s="1">
        <f>+BB18*(1+$AN$21)</f>
        <v>712.585841320751</v>
      </c>
      <c r="BD18" s="1">
        <f>+BC18*(1+$AN$21)</f>
        <v>719.71169973395854</v>
      </c>
      <c r="BE18" s="1">
        <f>+BD18*(1+$AN$21)</f>
        <v>726.90881673129809</v>
      </c>
      <c r="BF18" s="1">
        <f>+BE18*(1+$AN$21)</f>
        <v>734.17790489861113</v>
      </c>
      <c r="BG18" s="1">
        <f>+BF18*(1+$AN$21)</f>
        <v>741.51968394759729</v>
      </c>
      <c r="BH18" s="1">
        <f>+BG18*(1+$AN$21)</f>
        <v>748.93488078707321</v>
      </c>
      <c r="BI18" s="1">
        <f>+BH18*(1+$AN$21)</f>
        <v>756.42422959494399</v>
      </c>
      <c r="BJ18" s="1">
        <f>+BI18*(1+$AN$21)</f>
        <v>763.98847189089349</v>
      </c>
      <c r="BK18" s="1">
        <f>+BJ18*(1+$AN$21)</f>
        <v>771.62835660980238</v>
      </c>
      <c r="BL18" s="1">
        <f>+BK18*(1+$AN$21)</f>
        <v>779.34464017590039</v>
      </c>
      <c r="BM18" s="1">
        <f>+BL18*(1+$AN$21)</f>
        <v>787.13808657765935</v>
      </c>
      <c r="BN18" s="1">
        <f>+BM18*(1+$AN$21)</f>
        <v>795.00946744343594</v>
      </c>
      <c r="BO18" s="1">
        <f>+BN18*(1+$AN$21)</f>
        <v>802.95956211787029</v>
      </c>
      <c r="BP18" s="1">
        <f>+BO18*(1+$AN$21)</f>
        <v>810.98915773904901</v>
      </c>
      <c r="BQ18" s="1">
        <f>+BP18*(1+$AN$21)</f>
        <v>819.0990493164395</v>
      </c>
      <c r="BR18" s="1">
        <f>+BQ18*(1+$AN$21)</f>
        <v>827.29003980960385</v>
      </c>
      <c r="BS18" s="1">
        <f>+BR18*(1+$AN$21)</f>
        <v>835.56294020769985</v>
      </c>
      <c r="BT18" s="1">
        <f>+BS18*(1+$AN$21)</f>
        <v>843.91856960977691</v>
      </c>
      <c r="BU18" s="1">
        <f>+BT18*(1+$AN$21)</f>
        <v>852.35775530587466</v>
      </c>
      <c r="BV18" s="1">
        <f>+BU18*(1+$AN$21)</f>
        <v>860.88133285893343</v>
      </c>
      <c r="BW18" s="1">
        <f>+BV18*(1+$AN$21)</f>
        <v>869.49014618752278</v>
      </c>
      <c r="BX18" s="1">
        <f>+BW18*(1+$AN$21)</f>
        <v>878.18504764939803</v>
      </c>
      <c r="BY18" s="1">
        <f>+BX18*(1+$AN$21)</f>
        <v>886.96689812589204</v>
      </c>
      <c r="BZ18" s="1">
        <f>+BY18*(1+$AN$21)</f>
        <v>895.83656710715093</v>
      </c>
      <c r="CA18" s="1">
        <f>+BZ18*(1+$AN$21)</f>
        <v>904.79493277822246</v>
      </c>
      <c r="CB18" s="1">
        <f>+CA18*(1+$AN$21)</f>
        <v>913.84288210600471</v>
      </c>
      <c r="CC18" s="1">
        <f>+CB18*(1+$AN$21)</f>
        <v>922.98131092706478</v>
      </c>
      <c r="CD18" s="1">
        <f>+CC18*(1+$AN$21)</f>
        <v>932.21112403633549</v>
      </c>
      <c r="CE18" s="1">
        <f>+CD18*(1+$AN$21)</f>
        <v>941.53323527669886</v>
      </c>
      <c r="CF18" s="1">
        <f>+CE18*(1+$AN$21)</f>
        <v>950.94856762946586</v>
      </c>
      <c r="CG18" s="1">
        <f>+CF18*(1+$AN$21)</f>
        <v>960.45805330576047</v>
      </c>
      <c r="CH18" s="1">
        <f>+CG18*(1+$AN$21)</f>
        <v>970.0626338388181</v>
      </c>
      <c r="CI18" s="1">
        <f>+CH18*(1+$AN$21)</f>
        <v>979.76326017720623</v>
      </c>
      <c r="CJ18" s="1">
        <f>+CI18*(1+$AN$21)</f>
        <v>989.56089277897831</v>
      </c>
      <c r="CK18" s="1">
        <f>+CJ18*(1+$AN$21)</f>
        <v>999.45650170676811</v>
      </c>
      <c r="CL18" s="1">
        <f>+CK18*(1+$AN$21)</f>
        <v>1009.4510667238358</v>
      </c>
      <c r="CM18" s="1">
        <f>+CL18*(1+$AN$21)</f>
        <v>1019.5455773910742</v>
      </c>
      <c r="CN18" s="1">
        <f>+CM18*(1+$AN$21)</f>
        <v>1029.7410331649849</v>
      </c>
      <c r="CO18" s="1">
        <f>+CN18*(1+$AN$21)</f>
        <v>1040.0384434966347</v>
      </c>
      <c r="CP18" s="1">
        <f>+CO18*(1+$AN$21)</f>
        <v>1050.4388279316011</v>
      </c>
      <c r="CQ18" s="1">
        <f>+CP18*(1+$AN$21)</f>
        <v>1060.9432162109172</v>
      </c>
      <c r="CR18" s="1">
        <f>+CQ18*(1+$AN$21)</f>
        <v>1071.5526483730264</v>
      </c>
      <c r="CS18" s="1">
        <f>+CR18*(1+$AN$21)</f>
        <v>1082.2681748567566</v>
      </c>
      <c r="CT18" s="1">
        <f>+CS18*(1+$AN$21)</f>
        <v>1093.0908566053242</v>
      </c>
      <c r="CU18" s="1">
        <f>+CT18*(1+$AN$21)</f>
        <v>1104.0217651713774</v>
      </c>
      <c r="CV18" s="1">
        <f>+CU18*(1+$AN$21)</f>
        <v>1115.0619828230913</v>
      </c>
      <c r="CW18" s="1">
        <f>+CV18*(1+$AN$21)</f>
        <v>1126.2126026513222</v>
      </c>
      <c r="CX18" s="1">
        <f>+CW18*(1+$AN$21)</f>
        <v>1137.4747286778354</v>
      </c>
      <c r="CY18" s="1">
        <f>+CX18*(1+$AN$21)</f>
        <v>1148.8494759646137</v>
      </c>
      <c r="CZ18" s="1">
        <f>+CY18*(1+$AN$21)</f>
        <v>1160.3379707242598</v>
      </c>
      <c r="DA18" s="1">
        <f>+CZ18*(1+$AN$21)</f>
        <v>1171.9413504315023</v>
      </c>
      <c r="DB18" s="1">
        <f>+DA18*(1+$AN$21)</f>
        <v>1183.6607639358174</v>
      </c>
      <c r="DC18" s="1">
        <f>+DB18*(1+$AN$21)</f>
        <v>1195.4973715751755</v>
      </c>
      <c r="DD18" s="1">
        <f>+DC18*(1+$AN$21)</f>
        <v>1207.4523452909273</v>
      </c>
      <c r="DE18" s="1">
        <f>+DD18*(1+$AN$21)</f>
        <v>1219.5268687438365</v>
      </c>
      <c r="DF18" s="1">
        <f>+DE18*(1+$AN$21)</f>
        <v>1231.7221374312749</v>
      </c>
      <c r="DG18" s="1">
        <f>+DF18*(1+$AN$21)</f>
        <v>1244.0393588055877</v>
      </c>
      <c r="DH18" s="1">
        <f>+DG18*(1+$AN$21)</f>
        <v>1256.4797523936436</v>
      </c>
      <c r="DI18" s="1">
        <f>+DH18*(1+$AN$21)</f>
        <v>1269.0445499175801</v>
      </c>
      <c r="DJ18" s="1">
        <f>+DI18*(1+$AN$21)</f>
        <v>1281.734995416756</v>
      </c>
      <c r="DK18" s="1">
        <f>+DJ18*(1+$AN$21)</f>
        <v>1294.5523453709236</v>
      </c>
      <c r="DL18" s="1">
        <f>+DK18*(1+$AN$21)</f>
        <v>1307.4978688246329</v>
      </c>
      <c r="DM18" s="1">
        <f>+DL18*(1+$AN$21)</f>
        <v>1320.5728475128792</v>
      </c>
      <c r="DN18" s="1">
        <f>+DM18*(1+$AN$21)</f>
        <v>1333.778575988008</v>
      </c>
      <c r="DO18" s="1">
        <f>+DN18*(1+$AN$21)</f>
        <v>1347.116361747888</v>
      </c>
      <c r="DP18" s="1">
        <f>+DO18*(1+$AN$21)</f>
        <v>1360.5875253653669</v>
      </c>
      <c r="DQ18" s="1">
        <f>+DP18*(1+$AN$21)</f>
        <v>1374.1934006190206</v>
      </c>
      <c r="DR18" s="1">
        <f>+DQ18*(1+$AN$21)</f>
        <v>1387.9353346252108</v>
      </c>
      <c r="DS18" s="1">
        <f>+DR18*(1+$AN$21)</f>
        <v>1401.8146879714629</v>
      </c>
      <c r="DT18" s="1">
        <f>+DS18*(1+$AN$21)</f>
        <v>1415.8328348511775</v>
      </c>
      <c r="DU18" s="1">
        <f>+DT18*(1+$AN$21)</f>
        <v>1429.9911631996893</v>
      </c>
      <c r="DV18" s="1">
        <f>+DU18*(1+$AN$21)</f>
        <v>1444.291074831686</v>
      </c>
      <c r="DW18" s="1">
        <f>+DV18*(1+$AN$21)</f>
        <v>1458.7339855800028</v>
      </c>
      <c r="DX18" s="1">
        <f>+DW18*(1+$AN$21)</f>
        <v>1473.3213254358029</v>
      </c>
      <c r="DY18" s="1">
        <f>+DX18*(1+$AN$21)</f>
        <v>1488.0545386901611</v>
      </c>
      <c r="DZ18" s="1">
        <f>+DY18*(1+$AN$21)</f>
        <v>1502.9350840770626</v>
      </c>
      <c r="EA18" s="1">
        <f>+DZ18*(1+$AN$21)</f>
        <v>1517.9644349178332</v>
      </c>
      <c r="EB18" s="1">
        <f>+EA18*(1+$AN$21)</f>
        <v>1533.1440792670114</v>
      </c>
      <c r="EC18" s="1">
        <f>+EB18*(1+$AN$21)</f>
        <v>1548.4755200596815</v>
      </c>
      <c r="ED18" s="1">
        <f>+EC18*(1+$AN$21)</f>
        <v>1563.9602752602782</v>
      </c>
      <c r="EE18" s="1">
        <f>+ED18*(1+$AN$21)</f>
        <v>1579.5998780128809</v>
      </c>
      <c r="EF18" s="1">
        <f>+EE18*(1+$AN$21)</f>
        <v>1595.3958767930098</v>
      </c>
      <c r="EG18" s="1">
        <f>+EF18*(1+$AN$21)</f>
        <v>1611.3498355609399</v>
      </c>
      <c r="EH18" s="1">
        <f>+EG18*(1+$AN$21)</f>
        <v>1627.4633339165493</v>
      </c>
      <c r="EI18" s="1">
        <f>+EH18*(1+$AN$21)</f>
        <v>1643.7379672557149</v>
      </c>
      <c r="EJ18" s="1">
        <f>+EI18*(1+$AN$21)</f>
        <v>1660.1753469282721</v>
      </c>
      <c r="EK18" s="1">
        <f>+EJ18*(1+$AN$21)</f>
        <v>1676.7771003975549</v>
      </c>
      <c r="EL18" s="1">
        <f>+EK18*(1+$AN$21)</f>
        <v>1693.5448714015306</v>
      </c>
      <c r="EM18" s="1">
        <f>+EL18*(1+$AN$21)</f>
        <v>1710.480320115546</v>
      </c>
      <c r="EN18" s="1">
        <f>+EM18*(1+$AN$21)</f>
        <v>1727.5851233167014</v>
      </c>
      <c r="EO18" s="1">
        <f>+EN18*(1+$AN$21)</f>
        <v>1744.8609745498684</v>
      </c>
      <c r="EP18" s="1">
        <f>+EO18*(1+$AN$21)</f>
        <v>1762.3095842953671</v>
      </c>
      <c r="EQ18" s="1">
        <f>+EP18*(1+$AN$21)</f>
        <v>1779.9326801383208</v>
      </c>
      <c r="ER18" s="1">
        <f>+EQ18*(1+$AN$21)</f>
        <v>1797.732006939704</v>
      </c>
      <c r="ES18" s="1">
        <f>+ER18*(1+$AN$21)</f>
        <v>1815.7093270091011</v>
      </c>
      <c r="ET18" s="1">
        <f>+ES18*(1+$AN$21)</f>
        <v>1833.8664202791922</v>
      </c>
      <c r="EU18" s="1">
        <f>+ET18*(1+$AN$21)</f>
        <v>1852.2050844819842</v>
      </c>
      <c r="EV18" s="1">
        <f>+EU18*(1+$AN$21)</f>
        <v>1870.727135326804</v>
      </c>
      <c r="EW18" s="1">
        <f>+EV18*(1+$AN$21)</f>
        <v>1889.434406680072</v>
      </c>
      <c r="EX18" s="1">
        <f>+EW18*(1+$AN$21)</f>
        <v>1908.3287507468729</v>
      </c>
      <c r="EY18" s="1">
        <f>+EX18*(1+$AN$21)</f>
        <v>1927.4120382543415</v>
      </c>
      <c r="EZ18" s="1">
        <f>+EY18*(1+$AN$21)</f>
        <v>1946.686158636885</v>
      </c>
      <c r="FA18" s="1">
        <f>+EZ18*(1+$AN$21)</f>
        <v>1966.1530202232539</v>
      </c>
      <c r="FB18" s="1">
        <f>+FA18*(1+$AN$21)</f>
        <v>1985.8145504254865</v>
      </c>
      <c r="FC18" s="1">
        <f>+FB18*(1+$AN$21)</f>
        <v>2005.6726959297414</v>
      </c>
      <c r="FD18" s="1">
        <f>+FC18*(1+$AN$21)</f>
        <v>2025.7294228890389</v>
      </c>
      <c r="FE18" s="1">
        <f>+FD18*(1+$AN$21)</f>
        <v>2045.9867171179294</v>
      </c>
      <c r="FF18" s="1">
        <f>+FE18*(1+$AN$21)</f>
        <v>2066.4465842891086</v>
      </c>
      <c r="FG18" s="1">
        <f>+FF18*(1+$AN$21)</f>
        <v>2087.1110501319999</v>
      </c>
      <c r="FH18" s="1">
        <f>+FG18*(1+$AN$21)</f>
        <v>2107.9821606333198</v>
      </c>
      <c r="FI18" s="1">
        <f>+FH18*(1+$AN$21)</f>
        <v>2129.0619822396529</v>
      </c>
      <c r="FJ18" s="1">
        <f>+FI18*(1+$AN$21)</f>
        <v>2150.3526020620493</v>
      </c>
      <c r="FK18" s="1">
        <f>+FJ18*(1+$AN$21)</f>
        <v>2171.8561280826698</v>
      </c>
      <c r="FL18" s="1">
        <f>+FK18*(1+$AN$21)</f>
        <v>2193.5746893634964</v>
      </c>
      <c r="FM18" s="1">
        <f>+FL18*(1+$AN$21)</f>
        <v>2215.5104362571315</v>
      </c>
      <c r="FN18" s="1">
        <f>+FM18*(1+$AN$21)</f>
        <v>2237.6655406197028</v>
      </c>
      <c r="FO18" s="1">
        <f>+FN18*(1+$AN$21)</f>
        <v>2260.0421960259</v>
      </c>
      <c r="FP18" s="1">
        <f>+FO18*(1+$AN$21)</f>
        <v>2282.6426179861592</v>
      </c>
      <c r="FQ18" s="1">
        <f>+FP18*(1+$AN$21)</f>
        <v>2305.4690441660209</v>
      </c>
      <c r="FR18" s="1">
        <f>+FQ18*(1+$AN$21)</f>
        <v>2328.523734607681</v>
      </c>
      <c r="FS18" s="1">
        <f>+FR18*(1+$AN$21)</f>
        <v>2351.8089719537579</v>
      </c>
      <c r="FT18" s="1">
        <f>+FS18*(1+$AN$21)</f>
        <v>2375.3270616732957</v>
      </c>
      <c r="FU18" s="1">
        <f>+FT18*(1+$AN$21)</f>
        <v>2399.0803322900288</v>
      </c>
      <c r="FV18" s="1">
        <f>+FU18*(1+$AN$21)</f>
        <v>2423.0711356129291</v>
      </c>
      <c r="FW18" s="1">
        <f>+FV18*(1+$AN$21)</f>
        <v>2447.3018469690583</v>
      </c>
      <c r="FX18" s="1">
        <f>+FW18*(1+$AN$21)</f>
        <v>2471.7748654387487</v>
      </c>
      <c r="FY18" s="1">
        <f>+FX18*(1+$AN$21)</f>
        <v>2496.4926140931361</v>
      </c>
      <c r="FZ18" s="1">
        <f>+FY18*(1+$AN$21)</f>
        <v>2521.4575402340674</v>
      </c>
      <c r="GA18" s="1">
        <f>+FZ18*(1+$AN$21)</f>
        <v>2546.6721156364083</v>
      </c>
      <c r="GB18" s="1">
        <f>+GA18*(1+$AN$21)</f>
        <v>2572.1388367927725</v>
      </c>
      <c r="GC18" s="1">
        <f>+GB18*(1+$AN$21)</f>
        <v>2597.8602251607003</v>
      </c>
      <c r="GD18" s="1">
        <f>+GC18*(1+$AN$21)</f>
        <v>2623.8388274123072</v>
      </c>
      <c r="GE18" s="1">
        <f>+GD18*(1+$AN$21)</f>
        <v>2650.0772156864305</v>
      </c>
      <c r="GF18" s="1">
        <f>+GE18*(1+$AN$21)</f>
        <v>2676.577987843295</v>
      </c>
      <c r="GG18" s="1">
        <f>+GF18*(1+$AN$21)</f>
        <v>2703.343767721728</v>
      </c>
      <c r="GH18" s="1">
        <f>+GG18*(1+$AN$21)</f>
        <v>2730.3772053989451</v>
      </c>
      <c r="GI18" s="1">
        <f>+GH18*(1+$AN$21)</f>
        <v>2757.6809774529347</v>
      </c>
      <c r="GJ18" s="1">
        <f>+GI18*(1+$AN$21)</f>
        <v>2785.2577872274642</v>
      </c>
      <c r="GK18" s="1">
        <f>+GJ18*(1+$AN$21)</f>
        <v>2813.1103650997388</v>
      </c>
      <c r="GL18" s="1">
        <f>+GK18*(1+$AN$21)</f>
        <v>2841.2414687507362</v>
      </c>
      <c r="GM18" s="1">
        <f>+GL18*(1+$AN$21)</f>
        <v>2869.6538834382436</v>
      </c>
      <c r="GN18" s="1">
        <f>+GM18*(1+$AN$21)</f>
        <v>2898.350422272626</v>
      </c>
      <c r="GO18" s="1">
        <f>+GN18*(1+$AN$21)</f>
        <v>2927.3339264953524</v>
      </c>
      <c r="GP18" s="1">
        <f>+GO18*(1+$AN$21)</f>
        <v>2956.6072657603058</v>
      </c>
      <c r="GQ18" s="1">
        <f>+GP18*(1+$AN$21)</f>
        <v>2986.1733384179088</v>
      </c>
      <c r="GR18" s="1">
        <f>+GQ18*(1+$AN$21)</f>
        <v>3016.0350718020877</v>
      </c>
      <c r="GS18" s="1">
        <f>+GR18*(1+$AN$21)</f>
        <v>3046.1954225201084</v>
      </c>
      <c r="GT18" s="1">
        <f>+GS18*(1+$AN$21)</f>
        <v>3076.6573767453096</v>
      </c>
      <c r="GU18" s="1">
        <f>+GT18*(1+$AN$21)</f>
        <v>3107.423950512763</v>
      </c>
      <c r="GV18" s="1">
        <f>+GU18*(1+$AN$21)</f>
        <v>3138.4981900178905</v>
      </c>
      <c r="GW18" s="1">
        <f>+GV18*(1+$AN$21)</f>
        <v>3169.8831719180694</v>
      </c>
      <c r="GX18" s="1">
        <f>+GW18*(1+$AN$21)</f>
        <v>3201.5820036372502</v>
      </c>
      <c r="GY18" s="1">
        <f>+GX18*(1+$AN$21)</f>
        <v>3233.5978236736228</v>
      </c>
      <c r="GZ18" s="1">
        <f>+GY18*(1+$AN$21)</f>
        <v>3265.9338019103589</v>
      </c>
      <c r="HA18" s="1">
        <f>+GZ18*(1+$AN$21)</f>
        <v>3298.5931399294623</v>
      </c>
      <c r="HB18" s="1">
        <f>+HA18*(1+$AN$21)</f>
        <v>3331.579071328757</v>
      </c>
      <c r="HC18" s="1">
        <f>+HB18*(1+$AN$21)</f>
        <v>3364.8948620420447</v>
      </c>
      <c r="HD18" s="1">
        <f>+HC18*(1+$AN$21)</f>
        <v>3398.5438106624651</v>
      </c>
      <c r="HE18" s="1">
        <f>+HD18*(1+$AN$21)</f>
        <v>3432.5292487690899</v>
      </c>
      <c r="HF18" s="1">
        <f>+HE18*(1+$AN$21)</f>
        <v>3466.854541256781</v>
      </c>
      <c r="HG18" s="1">
        <f>+HF18*(1+$AN$21)</f>
        <v>3501.5230866693487</v>
      </c>
      <c r="HH18" s="1">
        <f>+HG18*(1+$AN$21)</f>
        <v>3536.5383175360421</v>
      </c>
      <c r="HI18" s="1">
        <f>+HH18*(1+$AN$21)</f>
        <v>3571.9037007114025</v>
      </c>
      <c r="HJ18" s="1">
        <f>+HI18*(1+$AN$21)</f>
        <v>3607.6227377185164</v>
      </c>
      <c r="HK18" s="1">
        <f>+HJ18*(1+$AN$21)</f>
        <v>3643.6989650957016</v>
      </c>
      <c r="HL18" s="1">
        <f>+HK18*(1+$AN$21)</f>
        <v>3680.1359547466586</v>
      </c>
      <c r="HM18" s="1">
        <f>+HL18*(1+$AN$21)</f>
        <v>3716.9373142941254</v>
      </c>
      <c r="HN18" s="1">
        <f>+HM18*(1+$AN$21)</f>
        <v>3754.1066874370667</v>
      </c>
      <c r="HO18" s="1">
        <f>+HN18*(1+$AN$21)</f>
        <v>3791.6477543114374</v>
      </c>
      <c r="HP18" s="1">
        <f>+HO18*(1+$AN$21)</f>
        <v>3829.564231854552</v>
      </c>
      <c r="HQ18" s="1">
        <f>+HP18*(1+$AN$21)</f>
        <v>3867.8598741730975</v>
      </c>
      <c r="HR18" s="1">
        <f>+HQ18*(1+$AN$21)</f>
        <v>3906.5384729148286</v>
      </c>
      <c r="HS18" s="1">
        <f>+HR18*(1+$AN$21)</f>
        <v>3945.6038576439769</v>
      </c>
      <c r="HT18" s="1">
        <f>+HS18*(1+$AN$21)</f>
        <v>3985.0598962204167</v>
      </c>
      <c r="HU18" s="1">
        <f>+HT18*(1+$AN$21)</f>
        <v>4024.9104951826207</v>
      </c>
      <c r="HV18" s="1">
        <f>+HU18*(1+$AN$21)</f>
        <v>4065.1596001344469</v>
      </c>
      <c r="HW18" s="1">
        <f>+HV18*(1+$AN$21)</f>
        <v>4105.8111961357918</v>
      </c>
      <c r="HX18" s="1">
        <f>+HW18*(1+$AN$21)</f>
        <v>4146.8693080971498</v>
      </c>
      <c r="HY18" s="1">
        <f>+HX18*(1+$AN$21)</f>
        <v>4188.338001178121</v>
      </c>
      <c r="HZ18" s="1">
        <f>+HY18*(1+$AN$21)</f>
        <v>4230.2213811899019</v>
      </c>
      <c r="IA18" s="1">
        <f>+HZ18*(1+$AN$21)</f>
        <v>4272.5235950018014</v>
      </c>
      <c r="IB18" s="1">
        <f>+IA18*(1+$AN$21)</f>
        <v>4315.2488309518194</v>
      </c>
      <c r="IC18" s="1">
        <f>+IB18*(1+$AN$21)</f>
        <v>4358.4013192613374</v>
      </c>
    </row>
    <row r="20" spans="2:237" x14ac:dyDescent="0.2">
      <c r="AM20" s="1" t="s">
        <v>66</v>
      </c>
      <c r="AN20" s="3">
        <v>0.06</v>
      </c>
    </row>
    <row r="21" spans="2:237" s="4" customFormat="1" x14ac:dyDescent="0.2">
      <c r="B21" s="4" t="s">
        <v>29</v>
      </c>
      <c r="H21" s="4">
        <f t="shared" ref="H21:J21" si="19">+H9/D9-1</f>
        <v>7.8096947935368144E-2</v>
      </c>
      <c r="I21" s="4">
        <f t="shared" si="19"/>
        <v>3.838517538054198E-3</v>
      </c>
      <c r="J21" s="4">
        <f t="shared" si="19"/>
        <v>0.16732631066187675</v>
      </c>
      <c r="K21" s="4">
        <f>+K9/G9-1</f>
        <v>3.1482232130793042E-2</v>
      </c>
      <c r="Y21" s="7">
        <f>+Y9/X9-1</f>
        <v>1.685957915896541E-3</v>
      </c>
      <c r="Z21" s="7">
        <f>+Z9/Y9-1</f>
        <v>2.8532124939310677E-2</v>
      </c>
      <c r="AA21" s="7">
        <f t="shared" ref="AA21:AJ21" si="20">+AA9/Z9-1</f>
        <v>2.0000000000000018E-2</v>
      </c>
      <c r="AB21" s="7">
        <f t="shared" si="20"/>
        <v>2.0000000000000018E-2</v>
      </c>
      <c r="AC21" s="7">
        <f t="shared" si="20"/>
        <v>2.0000000000000018E-2</v>
      </c>
      <c r="AD21" s="7">
        <f t="shared" si="20"/>
        <v>2.0000000000000018E-2</v>
      </c>
      <c r="AE21" s="7">
        <f t="shared" si="20"/>
        <v>2.0000000000000018E-2</v>
      </c>
      <c r="AF21" s="7">
        <f t="shared" si="20"/>
        <v>2.0000000000000018E-2</v>
      </c>
      <c r="AG21" s="7">
        <f t="shared" si="20"/>
        <v>2.0000000000000018E-2</v>
      </c>
      <c r="AH21" s="7">
        <f t="shared" si="20"/>
        <v>2.0000000000000018E-2</v>
      </c>
      <c r="AI21" s="7">
        <f t="shared" si="20"/>
        <v>2.0000000000000018E-2</v>
      </c>
      <c r="AJ21" s="7">
        <f t="shared" si="20"/>
        <v>2.0000000000000018E-2</v>
      </c>
      <c r="AM21" s="1" t="s">
        <v>31</v>
      </c>
      <c r="AN21" s="6">
        <v>0.01</v>
      </c>
    </row>
    <row r="22" spans="2:237" s="3" customFormat="1" x14ac:dyDescent="0.2">
      <c r="B22" s="3" t="s">
        <v>21</v>
      </c>
      <c r="C22" s="3">
        <f>+C11/C9</f>
        <v>0.55793711883474451</v>
      </c>
      <c r="D22" s="3">
        <f>+D11/D9</f>
        <v>0.58662477558348292</v>
      </c>
      <c r="E22" s="3">
        <f>+E11/E9</f>
        <v>0.55559232296492389</v>
      </c>
      <c r="F22" s="3">
        <f>+F11/F9</f>
        <v>0.57827437130853054</v>
      </c>
      <c r="G22" s="3">
        <f>+G11/G9</f>
        <v>0.58762329414943926</v>
      </c>
      <c r="H22" s="3">
        <f>+H11/H9</f>
        <v>0.60484318623369415</v>
      </c>
      <c r="I22" s="3">
        <f>+I11/I9</f>
        <v>0.60040875527426163</v>
      </c>
      <c r="J22" s="3">
        <f>+J11/J9</f>
        <v>0.60701058891033333</v>
      </c>
      <c r="K22" s="3">
        <f>+K11/K9</f>
        <v>0.62064448519779924</v>
      </c>
      <c r="X22" s="3">
        <f>+X11/X9</f>
        <v>0.57530071653211423</v>
      </c>
      <c r="Y22" s="3">
        <f>+Y11/Y9</f>
        <v>0.56897556238873603</v>
      </c>
      <c r="Z22" s="3">
        <f>+Z11/Z9</f>
        <v>0.60042798923732943</v>
      </c>
      <c r="AA22" s="3">
        <f t="shared" ref="AA22:AJ22" si="21">+AA11/AA9</f>
        <v>0.6</v>
      </c>
      <c r="AB22" s="3">
        <f t="shared" si="21"/>
        <v>0.6</v>
      </c>
      <c r="AC22" s="3">
        <f t="shared" si="21"/>
        <v>0.6</v>
      </c>
      <c r="AD22" s="3">
        <f t="shared" si="21"/>
        <v>0.6</v>
      </c>
      <c r="AE22" s="3">
        <f t="shared" si="21"/>
        <v>0.60000000000000009</v>
      </c>
      <c r="AF22" s="3">
        <f t="shared" si="21"/>
        <v>0.6</v>
      </c>
      <c r="AG22" s="3">
        <f t="shared" si="21"/>
        <v>0.6</v>
      </c>
      <c r="AH22" s="3">
        <f t="shared" si="21"/>
        <v>0.6</v>
      </c>
      <c r="AI22" s="3">
        <f t="shared" si="21"/>
        <v>0.6</v>
      </c>
      <c r="AJ22" s="3">
        <f t="shared" si="21"/>
        <v>0.6</v>
      </c>
      <c r="AM22" s="4" t="s">
        <v>32</v>
      </c>
      <c r="AN22" s="7">
        <v>7.0000000000000007E-2</v>
      </c>
    </row>
    <row r="23" spans="2:237" s="3" customFormat="1" x14ac:dyDescent="0.2">
      <c r="B23" s="3" t="s">
        <v>30</v>
      </c>
      <c r="C23" s="3">
        <f>+C13/C9</f>
        <v>9.9946710876902156E-2</v>
      </c>
      <c r="D23" s="3">
        <f t="shared" ref="D23:K23" si="22">+D13/D9</f>
        <v>1.2268102932375806E-2</v>
      </c>
      <c r="E23" s="3">
        <f t="shared" si="22"/>
        <v>8.3719391131700863E-2</v>
      </c>
      <c r="F23" s="3">
        <f t="shared" si="22"/>
        <v>9.2614016927479545E-2</v>
      </c>
      <c r="G23" s="3">
        <f t="shared" si="22"/>
        <v>7.6813944061613321E-2</v>
      </c>
      <c r="H23" s="3">
        <f t="shared" si="22"/>
        <v>5.3427699139605885E-2</v>
      </c>
      <c r="I23" s="3">
        <f t="shared" si="22"/>
        <v>9.5661919831223574E-2</v>
      </c>
      <c r="J23" s="3">
        <f t="shared" si="22"/>
        <v>0.12200719837254201</v>
      </c>
      <c r="K23" s="3">
        <f t="shared" si="22"/>
        <v>0.12987948650772857</v>
      </c>
      <c r="AM23" s="3" t="s">
        <v>33</v>
      </c>
      <c r="AN23" s="8">
        <f>NPV(AN22,AA18:IC18)</f>
        <v>8786.8641211170561</v>
      </c>
    </row>
    <row r="24" spans="2:237" x14ac:dyDescent="0.2">
      <c r="AM24" s="3" t="s">
        <v>34</v>
      </c>
      <c r="AN24" s="2">
        <f>+Main!K4</f>
        <v>395.32803999999999</v>
      </c>
    </row>
    <row r="25" spans="2:237" x14ac:dyDescent="0.2">
      <c r="C25" s="3">
        <f t="shared" ref="C25:K25" si="23">+C12/C9</f>
        <v>0.45799040795784235</v>
      </c>
      <c r="D25" s="3">
        <f t="shared" si="23"/>
        <v>0.57435667265110713</v>
      </c>
      <c r="E25" s="3">
        <f t="shared" si="23"/>
        <v>0.47187293183322304</v>
      </c>
      <c r="F25" s="3">
        <f t="shared" si="23"/>
        <v>0.48566035438105087</v>
      </c>
      <c r="G25" s="3">
        <f t="shared" si="23"/>
        <v>0.51080935008782602</v>
      </c>
      <c r="H25" s="3">
        <f t="shared" si="23"/>
        <v>0.55141548709408827</v>
      </c>
      <c r="I25" s="3">
        <f t="shared" si="23"/>
        <v>0.504746835443038</v>
      </c>
      <c r="J25" s="3">
        <f t="shared" si="23"/>
        <v>0.48500339053779123</v>
      </c>
      <c r="K25" s="3">
        <f>+K12/K9</f>
        <v>0.49076499869007073</v>
      </c>
      <c r="AM25" s="9" t="s">
        <v>35</v>
      </c>
      <c r="AN25" s="10">
        <f>+AN23/AN24</f>
        <v>22.226766715351271</v>
      </c>
    </row>
    <row r="26" spans="2:237" x14ac:dyDescent="0.2">
      <c r="AM26" s="1" t="s">
        <v>36</v>
      </c>
      <c r="AN26" s="3">
        <f>+AN25/Main!K3-1</f>
        <v>0.136919013572955</v>
      </c>
    </row>
    <row r="27" spans="2:237" s="11" customFormat="1" x14ac:dyDescent="0.2">
      <c r="B27" s="11" t="s">
        <v>65</v>
      </c>
      <c r="J27" s="11">
        <f>+J28-J50</f>
        <v>-304</v>
      </c>
      <c r="K27" s="11">
        <f>+K28-K50</f>
        <v>-413</v>
      </c>
      <c r="Z27" s="11">
        <f>+K27</f>
        <v>-413</v>
      </c>
      <c r="AA27" s="11">
        <f>+Z27+AA18</f>
        <v>76.926873999999657</v>
      </c>
      <c r="AB27" s="11">
        <f t="shared" ref="AB27:AJ27" si="24">+AA27+AB18</f>
        <v>577.09594947999949</v>
      </c>
      <c r="AC27" s="11">
        <f t="shared" si="24"/>
        <v>1087.7120704695994</v>
      </c>
      <c r="AD27" s="11">
        <f t="shared" si="24"/>
        <v>1608.9841778789914</v>
      </c>
      <c r="AE27" s="11">
        <f t="shared" si="24"/>
        <v>2141.1253914365716</v>
      </c>
      <c r="AF27" s="11">
        <f t="shared" si="24"/>
        <v>2684.353093265303</v>
      </c>
      <c r="AG27" s="11">
        <f t="shared" si="24"/>
        <v>3238.8890131306089</v>
      </c>
      <c r="AH27" s="11">
        <f t="shared" si="24"/>
        <v>3804.959315393221</v>
      </c>
      <c r="AI27" s="11">
        <f t="shared" si="24"/>
        <v>4382.7946877010854</v>
      </c>
      <c r="AJ27" s="11">
        <f t="shared" si="24"/>
        <v>4972.6304314551071</v>
      </c>
    </row>
    <row r="28" spans="2:237" x14ac:dyDescent="0.2">
      <c r="B28" s="1" t="s">
        <v>37</v>
      </c>
      <c r="J28" s="1">
        <v>690</v>
      </c>
      <c r="K28" s="1">
        <v>574.4</v>
      </c>
    </row>
    <row r="29" spans="2:237" x14ac:dyDescent="0.2">
      <c r="B29" s="1" t="s">
        <v>53</v>
      </c>
      <c r="J29" s="1">
        <v>710</v>
      </c>
      <c r="K29" s="1">
        <v>654.9</v>
      </c>
    </row>
    <row r="30" spans="2:237" x14ac:dyDescent="0.2">
      <c r="B30" s="1" t="s">
        <v>54</v>
      </c>
      <c r="J30" s="1">
        <v>1131.3</v>
      </c>
      <c r="K30" s="1">
        <v>1073.2</v>
      </c>
    </row>
    <row r="31" spans="2:237" x14ac:dyDescent="0.2">
      <c r="B31" s="1" t="s">
        <v>55</v>
      </c>
      <c r="J31" s="1">
        <v>211.7</v>
      </c>
      <c r="K31" s="1">
        <v>241.3</v>
      </c>
    </row>
    <row r="32" spans="2:237" x14ac:dyDescent="0.2">
      <c r="B32" s="1" t="s">
        <v>56</v>
      </c>
      <c r="J32" s="1">
        <v>107.7</v>
      </c>
      <c r="K32" s="1">
        <v>107.7</v>
      </c>
    </row>
    <row r="33" spans="2:11" x14ac:dyDescent="0.2">
      <c r="B33" s="1" t="s">
        <v>57</v>
      </c>
      <c r="J33" s="1">
        <f>+SUM(J28:J32)</f>
        <v>2850.7</v>
      </c>
      <c r="K33" s="1">
        <f>+SUM(K28:K32)</f>
        <v>2651.5</v>
      </c>
    </row>
    <row r="34" spans="2:11" x14ac:dyDescent="0.2">
      <c r="B34" s="1" t="s">
        <v>58</v>
      </c>
      <c r="J34" s="1">
        <v>687.4</v>
      </c>
      <c r="K34" s="1">
        <v>673.2</v>
      </c>
    </row>
    <row r="35" spans="2:11" x14ac:dyDescent="0.2">
      <c r="B35" s="1" t="s">
        <v>59</v>
      </c>
      <c r="J35" s="1">
        <v>277.60000000000002</v>
      </c>
      <c r="K35" s="1">
        <v>276.2</v>
      </c>
    </row>
    <row r="36" spans="2:11" x14ac:dyDescent="0.2">
      <c r="B36" s="1" t="s">
        <v>60</v>
      </c>
      <c r="J36" s="1">
        <v>196.6</v>
      </c>
      <c r="K36" s="1">
        <v>196.3</v>
      </c>
    </row>
    <row r="37" spans="2:11" x14ac:dyDescent="0.2">
      <c r="B37" s="1" t="s">
        <v>61</v>
      </c>
      <c r="J37" s="1">
        <v>798.5</v>
      </c>
      <c r="K37" s="1">
        <v>800.5</v>
      </c>
    </row>
    <row r="38" spans="2:11" x14ac:dyDescent="0.2">
      <c r="B38" s="1" t="s">
        <v>62</v>
      </c>
      <c r="J38" s="1">
        <v>1065.5</v>
      </c>
      <c r="K38" s="1">
        <v>1042.3</v>
      </c>
    </row>
    <row r="39" spans="2:11" x14ac:dyDescent="0.2">
      <c r="B39" s="1" t="s">
        <v>63</v>
      </c>
      <c r="J39" s="1">
        <v>463.9</v>
      </c>
      <c r="K39" s="1">
        <v>522.29999999999995</v>
      </c>
    </row>
    <row r="40" spans="2:11" x14ac:dyDescent="0.2">
      <c r="B40" s="1" t="s">
        <v>64</v>
      </c>
      <c r="J40" s="1">
        <v>34.9</v>
      </c>
      <c r="K40" s="1">
        <v>35.9</v>
      </c>
    </row>
    <row r="41" spans="2:11" s="11" customFormat="1" x14ac:dyDescent="0.2">
      <c r="B41" s="11" t="s">
        <v>52</v>
      </c>
      <c r="J41" s="11">
        <f>+SUM(J33:J40)</f>
        <v>6375.0999999999985</v>
      </c>
      <c r="K41" s="11">
        <f>+SUM(K33:K40)</f>
        <v>6198.2</v>
      </c>
    </row>
    <row r="43" spans="2:11" x14ac:dyDescent="0.2">
      <c r="B43" s="1" t="s">
        <v>41</v>
      </c>
      <c r="J43" s="1">
        <v>663.4</v>
      </c>
      <c r="K43" s="1">
        <v>556.9</v>
      </c>
    </row>
    <row r="44" spans="2:11" x14ac:dyDescent="0.2">
      <c r="B44" s="1" t="s">
        <v>42</v>
      </c>
      <c r="J44" s="1">
        <v>234.2</v>
      </c>
      <c r="K44" s="1">
        <v>179.1</v>
      </c>
    </row>
    <row r="45" spans="2:11" x14ac:dyDescent="0.2">
      <c r="B45" s="1" t="s">
        <v>43</v>
      </c>
      <c r="J45" s="1">
        <v>193.4</v>
      </c>
      <c r="K45" s="1">
        <v>184</v>
      </c>
    </row>
    <row r="46" spans="2:11" x14ac:dyDescent="0.2">
      <c r="B46" s="1" t="s">
        <v>44</v>
      </c>
      <c r="J46" s="1">
        <v>247.4</v>
      </c>
      <c r="K46" s="1">
        <v>247.9</v>
      </c>
    </row>
    <row r="47" spans="2:11" x14ac:dyDescent="0.2">
      <c r="B47" s="1" t="s">
        <v>45</v>
      </c>
      <c r="J47" s="1">
        <v>666.2</v>
      </c>
      <c r="K47" s="1">
        <v>594.70000000000005</v>
      </c>
    </row>
    <row r="48" spans="2:11" x14ac:dyDescent="0.2">
      <c r="B48" s="1" t="s">
        <v>46</v>
      </c>
      <c r="J48" s="1">
        <v>5.9</v>
      </c>
      <c r="K48" s="1">
        <v>6</v>
      </c>
    </row>
    <row r="49" spans="2:26" s="11" customFormat="1" x14ac:dyDescent="0.2">
      <c r="B49" s="11" t="s">
        <v>47</v>
      </c>
      <c r="J49" s="11">
        <f>+SUM(J43:J48)</f>
        <v>2010.5000000000002</v>
      </c>
      <c r="K49" s="11">
        <f>+SUM(K43:K48)</f>
        <v>1768.6000000000001</v>
      </c>
    </row>
    <row r="50" spans="2:26" x14ac:dyDescent="0.2">
      <c r="B50" s="1" t="s">
        <v>48</v>
      </c>
      <c r="J50" s="1">
        <v>994</v>
      </c>
      <c r="K50" s="1">
        <v>987.4</v>
      </c>
    </row>
    <row r="51" spans="2:26" x14ac:dyDescent="0.2">
      <c r="B51" s="1" t="s">
        <v>49</v>
      </c>
      <c r="J51" s="1">
        <v>943</v>
      </c>
      <c r="K51" s="1">
        <v>916.4</v>
      </c>
    </row>
    <row r="52" spans="2:26" x14ac:dyDescent="0.2">
      <c r="B52" s="1" t="s">
        <v>50</v>
      </c>
      <c r="J52" s="1">
        <v>440</v>
      </c>
      <c r="K52" s="1">
        <v>473.1</v>
      </c>
    </row>
    <row r="53" spans="2:26" x14ac:dyDescent="0.2">
      <c r="B53" s="1" t="s">
        <v>51</v>
      </c>
      <c r="J53" s="1">
        <v>17.5</v>
      </c>
      <c r="K53" s="1">
        <v>18.2</v>
      </c>
    </row>
    <row r="54" spans="2:26" s="11" customFormat="1" x14ac:dyDescent="0.2">
      <c r="B54" s="1" t="s">
        <v>40</v>
      </c>
      <c r="J54" s="11">
        <f>+SUM(J49:J53)</f>
        <v>4405</v>
      </c>
      <c r="K54" s="11">
        <f>+SUM(K49:K53)</f>
        <v>4163.7</v>
      </c>
    </row>
    <row r="55" spans="2:26" x14ac:dyDescent="0.2">
      <c r="B55" s="1" t="s">
        <v>38</v>
      </c>
      <c r="J55" s="1">
        <v>1970.5</v>
      </c>
      <c r="K55" s="1">
        <v>2034.5</v>
      </c>
    </row>
    <row r="56" spans="2:26" s="11" customFormat="1" x14ac:dyDescent="0.2">
      <c r="B56" s="11" t="s">
        <v>39</v>
      </c>
      <c r="J56" s="11">
        <f>+SUM(J54:J55)</f>
        <v>6375.5</v>
      </c>
      <c r="K56" s="11">
        <f>+SUM(K54:K55)</f>
        <v>6198.2</v>
      </c>
    </row>
    <row r="60" spans="2:26" x14ac:dyDescent="0.2">
      <c r="B60" s="1" t="s">
        <v>75</v>
      </c>
      <c r="G60" s="1">
        <v>286</v>
      </c>
      <c r="K60" s="1">
        <v>52.5</v>
      </c>
      <c r="X60" s="1">
        <v>228.1</v>
      </c>
      <c r="Y60" s="1">
        <v>435.5</v>
      </c>
      <c r="Z60" s="1">
        <v>898.4</v>
      </c>
    </row>
    <row r="61" spans="2:26" x14ac:dyDescent="0.2">
      <c r="B61" s="1" t="s">
        <v>76</v>
      </c>
      <c r="G61" s="1">
        <v>-71.599999999999994</v>
      </c>
      <c r="K61" s="1">
        <v>-66.599999999999994</v>
      </c>
      <c r="X61" s="1">
        <v>-267.10000000000002</v>
      </c>
      <c r="Y61" s="1">
        <v>-313.60000000000002</v>
      </c>
      <c r="Z61" s="1">
        <v>-227.5</v>
      </c>
    </row>
    <row r="62" spans="2:26" s="11" customFormat="1" x14ac:dyDescent="0.2">
      <c r="B62" s="11" t="s">
        <v>77</v>
      </c>
      <c r="G62" s="11">
        <f>+SUM(G60:G61)</f>
        <v>214.4</v>
      </c>
      <c r="K62" s="11">
        <f>+SUM(K60:K61)</f>
        <v>-14.099999999999994</v>
      </c>
      <c r="X62" s="11">
        <f>+SUM(X60:X61)</f>
        <v>-39.000000000000028</v>
      </c>
      <c r="Y62" s="11">
        <f>+SUM(Y60:Y61)</f>
        <v>121.89999999999998</v>
      </c>
      <c r="Z62" s="11">
        <f>+SUM(Z60:Z61)</f>
        <v>670.9</v>
      </c>
    </row>
  </sheetData>
  <pageMargins left="0.7" right="0.7" top="0.75" bottom="0.75" header="0.3" footer="0.3"/>
  <ignoredErrors>
    <ignoredError sqref="AA12:AJ12" formula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Jameel Brannon</dc:creator>
  <cp:lastModifiedBy>Jameel Brannon</cp:lastModifiedBy>
  <dcterms:created xsi:type="dcterms:W3CDTF">2025-07-08T12:31:49Z</dcterms:created>
  <dcterms:modified xsi:type="dcterms:W3CDTF">2025-07-08T13:29:11Z</dcterms:modified>
</cp:coreProperties>
</file>