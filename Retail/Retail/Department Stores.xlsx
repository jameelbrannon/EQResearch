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Bonds" sheetId="2" r:id="rId5"/>
    <sheet state="visible" name="M Curve" sheetId="3" r:id="rId6"/>
  </sheets>
  <definedNames>
    <definedName hidden="1" localSheetId="1" name="_xlnm._FilterDatabase">Bonds!$B$3:$V$34</definedName>
  </definedNames>
  <calcPr/>
  <extLst>
    <ext uri="GoogleSheetsCustomDataVersion2">
      <go:sheetsCustomData xmlns:go="http://customooxmlschemas.google.com/" r:id="rId7" roundtripDataChecksum="Qa9sxz5y0jKm/0RDuqa2ZhGG440I0+H5pJamu2WS2g0="/>
    </ext>
  </extLst>
</workbook>
</file>

<file path=xl/sharedStrings.xml><?xml version="1.0" encoding="utf-8"?>
<sst xmlns="http://schemas.openxmlformats.org/spreadsheetml/2006/main" count="250" uniqueCount="128">
  <si>
    <t xml:space="preserve">Capital </t>
  </si>
  <si>
    <t xml:space="preserve">Debt to Capital </t>
  </si>
  <si>
    <t xml:space="preserve">Cash to Debt </t>
  </si>
  <si>
    <t xml:space="preserve">Company </t>
  </si>
  <si>
    <t>Ticker</t>
  </si>
  <si>
    <t>Price</t>
  </si>
  <si>
    <t>Shares</t>
  </si>
  <si>
    <t>MC</t>
  </si>
  <si>
    <t>Cash</t>
  </si>
  <si>
    <t>Debt</t>
  </si>
  <si>
    <t>EV</t>
  </si>
  <si>
    <t>LastQ</t>
  </si>
  <si>
    <t>Next E Date</t>
  </si>
  <si>
    <t xml:space="preserve">Discount </t>
  </si>
  <si>
    <t>NPV</t>
  </si>
  <si>
    <t xml:space="preserve">Status </t>
  </si>
  <si>
    <t>Notes</t>
  </si>
  <si>
    <t>Q124</t>
  </si>
  <si>
    <t>Q224</t>
  </si>
  <si>
    <t>Q324</t>
  </si>
  <si>
    <t>Q424</t>
  </si>
  <si>
    <t>Q125</t>
  </si>
  <si>
    <t>Q225</t>
  </si>
  <si>
    <t>Dillards</t>
  </si>
  <si>
    <t>DDS</t>
  </si>
  <si>
    <t>Beat</t>
  </si>
  <si>
    <t>Miss</t>
  </si>
  <si>
    <t>Macy's</t>
  </si>
  <si>
    <t>M</t>
  </si>
  <si>
    <t xml:space="preserve">Kohl's </t>
  </si>
  <si>
    <t>KSS</t>
  </si>
  <si>
    <t>V</t>
  </si>
  <si>
    <t xml:space="preserve">Private </t>
  </si>
  <si>
    <t>Nordstrom</t>
  </si>
  <si>
    <t>JWN</t>
  </si>
  <si>
    <t>2025 taken private by Nordstrom family and El Puerto de Liverpool</t>
  </si>
  <si>
    <t>Belk</t>
  </si>
  <si>
    <t>2015 taken private by Sycamore Partners</t>
  </si>
  <si>
    <t>Bankrupt / Restructured</t>
  </si>
  <si>
    <t xml:space="preserve">JcPenney </t>
  </si>
  <si>
    <t>JCP</t>
  </si>
  <si>
    <t xml:space="preserve">2020 bankrupcy, restructured as Catalyst Brands </t>
  </si>
  <si>
    <t xml:space="preserve">Sears </t>
  </si>
  <si>
    <t>SHLDC</t>
  </si>
  <si>
    <t>2018 bankruptcy but still trades pink sheets, privately owned by Transformco</t>
  </si>
  <si>
    <t>Defunct/Absorbed</t>
  </si>
  <si>
    <t>Marshall Field's</t>
  </si>
  <si>
    <t xml:space="preserve">2006 Absorbed into Macy's </t>
  </si>
  <si>
    <t>Filene's</t>
  </si>
  <si>
    <t>Wanamaker's</t>
  </si>
  <si>
    <t xml:space="preserve">1995 Absorbed into Hecht's, then Macy's </t>
  </si>
  <si>
    <t>Monthomery Ward</t>
  </si>
  <si>
    <t xml:space="preserve">2001 Liquidated 2001, brand revived online only </t>
  </si>
  <si>
    <t>Mervyn's</t>
  </si>
  <si>
    <t>2008 Bankrupt</t>
  </si>
  <si>
    <t>Returns</t>
  </si>
  <si>
    <t xml:space="preserve">Underlying </t>
  </si>
  <si>
    <t>Symbol</t>
  </si>
  <si>
    <t>CUSIP</t>
  </si>
  <si>
    <t>Type</t>
  </si>
  <si>
    <t>Coupon</t>
  </si>
  <si>
    <t xml:space="preserve">Issue Date </t>
  </si>
  <si>
    <t>Maturity</t>
  </si>
  <si>
    <t>Callable</t>
  </si>
  <si>
    <t>Years</t>
  </si>
  <si>
    <t xml:space="preserve">Post 20% rally </t>
  </si>
  <si>
    <t>S&amp;P</t>
  </si>
  <si>
    <t>S&amp;P Last R</t>
  </si>
  <si>
    <t>Moody</t>
  </si>
  <si>
    <t>Moody Last R</t>
  </si>
  <si>
    <t>Coupons</t>
  </si>
  <si>
    <t>Capital Gain</t>
  </si>
  <si>
    <t>Total Return $</t>
  </si>
  <si>
    <t>Return</t>
  </si>
  <si>
    <t>IRR</t>
  </si>
  <si>
    <t xml:space="preserve">Curr Yield </t>
  </si>
  <si>
    <t>SHLD</t>
  </si>
  <si>
    <t>SHLDQ3675201</t>
  </si>
  <si>
    <t>ELN</t>
  </si>
  <si>
    <t>708130AD1</t>
  </si>
  <si>
    <t>WR</t>
  </si>
  <si>
    <t>708160CB0</t>
  </si>
  <si>
    <t>USU7083NAB74</t>
  </si>
  <si>
    <t>708160CF1</t>
  </si>
  <si>
    <t>C</t>
  </si>
  <si>
    <t>708160BE5</t>
  </si>
  <si>
    <t>USU7083NAC57</t>
  </si>
  <si>
    <t>708160CD6</t>
  </si>
  <si>
    <t>708160BK1</t>
  </si>
  <si>
    <t>708160BR6</t>
  </si>
  <si>
    <t>708130AC3</t>
  </si>
  <si>
    <t>708130BS4</t>
  </si>
  <si>
    <t>708160BL9</t>
  </si>
  <si>
    <t>KSS.GI</t>
  </si>
  <si>
    <t>500255AQ7</t>
  </si>
  <si>
    <t>Corp</t>
  </si>
  <si>
    <t>N</t>
  </si>
  <si>
    <t>BB-</t>
  </si>
  <si>
    <t>B3</t>
  </si>
  <si>
    <t>KSS.GG</t>
  </si>
  <si>
    <t>500255AN4</t>
  </si>
  <si>
    <t>KSS4268838</t>
  </si>
  <si>
    <t>500255AV6</t>
  </si>
  <si>
    <t>Y</t>
  </si>
  <si>
    <t>KSS5159081</t>
  </si>
  <si>
    <t>500255AX2</t>
  </si>
  <si>
    <t>USU5003PAC15</t>
  </si>
  <si>
    <t>Ba3</t>
  </si>
  <si>
    <t>M.AJ</t>
  </si>
  <si>
    <t>55616XAC1</t>
  </si>
  <si>
    <t>BB+</t>
  </si>
  <si>
    <t>Ba2</t>
  </si>
  <si>
    <t>M4184487</t>
  </si>
  <si>
    <t>55616XAM9</t>
  </si>
  <si>
    <t>M.AA</t>
  </si>
  <si>
    <t>55616XAG2</t>
  </si>
  <si>
    <t>M390952</t>
  </si>
  <si>
    <t>55616XAJ6</t>
  </si>
  <si>
    <t>314275AC2</t>
  </si>
  <si>
    <t>5516XAM9</t>
  </si>
  <si>
    <t>USU5562LAF68</t>
  </si>
  <si>
    <t>USU5562LAJ80</t>
  </si>
  <si>
    <t>USU5562LAH25</t>
  </si>
  <si>
    <t>31410HAQ4</t>
  </si>
  <si>
    <t>254063AU4</t>
  </si>
  <si>
    <t>Baa3</t>
  </si>
  <si>
    <t>254063AW0</t>
  </si>
  <si>
    <t>254067AN1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</si>
</sst>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\x"/>
    <numFmt numFmtId="165" formatCode="0.000"/>
    <numFmt numFmtId="166" formatCode="0.0"/>
    <numFmt numFmtId="167" formatCode="0.0%"/>
  </numFmts>
  <fonts count="12">
    <font>
      <sz val="10.0"/>
      <color theme="1"/>
      <name val="Arial"/>
      <scheme val="minor"/>
    </font>
    <font>
      <sz val="10.0"/>
      <color theme="1"/>
      <name val="Aptos"/>
    </font>
    <font>
      <b/>
      <sz val="10.0"/>
      <color theme="1"/>
      <name val="Aptos"/>
    </font>
    <font/>
    <font>
      <u/>
      <sz val="10.0"/>
      <color theme="10"/>
      <name val="Aptos"/>
    </font>
    <font>
      <u/>
      <sz val="10.0"/>
      <color theme="1"/>
      <name val="Aptos"/>
    </font>
    <font>
      <b/>
      <u/>
      <sz val="10.0"/>
      <color theme="1"/>
      <name val="Aptos"/>
    </font>
    <font>
      <sz val="12.0"/>
      <color theme="1"/>
      <name val="Aptos Narrow"/>
    </font>
    <font>
      <sz val="10.0"/>
      <color theme="1"/>
      <name val="Arial"/>
    </font>
    <font>
      <u/>
      <sz val="10.0"/>
      <color theme="10"/>
      <name val="Arial"/>
    </font>
    <font>
      <b/>
      <sz val="12.0"/>
      <color theme="1"/>
      <name val="Aptos Narrow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8"/>
        <bgColor rgb="FFFFFFF8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0D0D0"/>
        <bgColor rgb="FFD0D0D0"/>
      </patternFill>
    </fill>
    <fill>
      <patternFill patternType="solid">
        <fgColor rgb="FFE3FFFB"/>
        <bgColor rgb="FFE3FFFB"/>
      </patternFill>
    </fill>
    <fill>
      <patternFill patternType="solid">
        <fgColor rgb="FFD9F2D0"/>
        <bgColor rgb="FFD9F2D0"/>
      </patternFill>
    </fill>
  </fills>
  <borders count="7">
    <border/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left"/>
    </xf>
    <xf borderId="1" fillId="2" fontId="2" numFmtId="3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1" numFmtId="3" xfId="0" applyAlignment="1" applyBorder="1" applyFill="1" applyFont="1" applyNumberFormat="1">
      <alignment horizontal="center"/>
    </xf>
    <xf borderId="1" fillId="4" fontId="2" numFmtId="3" xfId="0" applyAlignment="1" applyBorder="1" applyFill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4" numFmtId="3" xfId="0" applyFont="1" applyNumberFormat="1"/>
    <xf borderId="0" fillId="0" fontId="1" numFmtId="164" xfId="0" applyAlignment="1" applyFont="1" applyNumberFormat="1">
      <alignment horizontal="left"/>
    </xf>
    <xf borderId="0" fillId="0" fontId="1" numFmtId="14" xfId="0" applyAlignment="1" applyFont="1" applyNumberFormat="1">
      <alignment horizontal="left"/>
    </xf>
    <xf borderId="0" fillId="0" fontId="1" numFmtId="9" xfId="0" applyAlignment="1" applyFont="1" applyNumberFormat="1">
      <alignment horizontal="left"/>
    </xf>
    <xf borderId="4" fillId="5" fontId="1" numFmtId="3" xfId="0" applyBorder="1" applyFill="1" applyFont="1" applyNumberFormat="1"/>
    <xf borderId="4" fillId="3" fontId="1" numFmtId="9" xfId="0" applyBorder="1" applyFont="1" applyNumberFormat="1"/>
    <xf borderId="4" fillId="3" fontId="1" numFmtId="3" xfId="0" applyBorder="1" applyFont="1" applyNumberFormat="1"/>
    <xf borderId="4" fillId="6" fontId="1" numFmtId="9" xfId="0" applyBorder="1" applyFill="1" applyFont="1" applyNumberFormat="1"/>
    <xf borderId="5" fillId="5" fontId="1" numFmtId="3" xfId="0" applyBorder="1" applyFont="1" applyNumberFormat="1"/>
    <xf borderId="5" fillId="3" fontId="1" numFmtId="9" xfId="0" applyBorder="1" applyFont="1" applyNumberFormat="1"/>
    <xf borderId="5" fillId="3" fontId="1" numFmtId="3" xfId="0" applyBorder="1" applyFont="1" applyNumberFormat="1"/>
    <xf borderId="5" fillId="6" fontId="1" numFmtId="9" xfId="0" applyBorder="1" applyFont="1" applyNumberFormat="1"/>
    <xf borderId="0" fillId="0" fontId="1" numFmtId="9" xfId="0" applyFont="1" applyNumberFormat="1"/>
    <xf borderId="0" fillId="0" fontId="1" numFmtId="164" xfId="0" applyFont="1" applyNumberFormat="1"/>
    <xf borderId="0" fillId="0" fontId="5" numFmtId="3" xfId="0" applyFont="1" applyNumberFormat="1"/>
    <xf borderId="0" fillId="0" fontId="6" numFmtId="3" xfId="0" applyFont="1" applyNumberFormat="1"/>
    <xf borderId="0" fillId="0" fontId="1" numFmtId="4" xfId="0" applyAlignment="1" applyFont="1" applyNumberFormat="1">
      <alignment horizontal="left"/>
    </xf>
    <xf borderId="0" fillId="0" fontId="7" numFmtId="0" xfId="0" applyFont="1"/>
    <xf borderId="0" fillId="0" fontId="7" numFmtId="14" xfId="0" applyFont="1" applyNumberFormat="1"/>
    <xf borderId="0" fillId="0" fontId="7" numFmtId="1" xfId="0" applyAlignment="1" applyFont="1" applyNumberFormat="1">
      <alignment horizontal="center"/>
    </xf>
    <xf borderId="1" fillId="7" fontId="7" numFmtId="0" xfId="0" applyAlignment="1" applyBorder="1" applyFill="1" applyFont="1">
      <alignment horizontal="center"/>
    </xf>
    <xf borderId="2" fillId="0" fontId="7" numFmtId="0" xfId="0" applyAlignment="1" applyBorder="1" applyFont="1">
      <alignment horizontal="center"/>
    </xf>
    <xf borderId="2" fillId="0" fontId="7" numFmtId="14" xfId="0" applyAlignment="1" applyBorder="1" applyFont="1" applyNumberFormat="1">
      <alignment horizontal="center"/>
    </xf>
    <xf borderId="2" fillId="0" fontId="7" numFmtId="1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10" xfId="0" applyAlignment="1" applyFont="1" applyNumberFormat="1">
      <alignment horizontal="center"/>
    </xf>
    <xf borderId="0" fillId="0" fontId="7" numFmtId="9" xfId="0" applyAlignment="1" applyFont="1" applyNumberFormat="1">
      <alignment horizontal="center"/>
    </xf>
    <xf borderId="0" fillId="0" fontId="7" numFmtId="14" xfId="0" applyAlignment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0" fillId="0" fontId="8" numFmtId="167" xfId="0" applyAlignment="1" applyFont="1" applyNumberFormat="1">
      <alignment horizontal="center"/>
    </xf>
    <xf borderId="0" fillId="0" fontId="9" numFmtId="0" xfId="0" applyFont="1"/>
    <xf borderId="4" fillId="8" fontId="8" numFmtId="10" xfId="0" applyAlignment="1" applyBorder="1" applyFill="1" applyFont="1" applyNumberFormat="1">
      <alignment horizontal="center"/>
    </xf>
    <xf borderId="4" fillId="8" fontId="7" numFmtId="10" xfId="0" applyAlignment="1" applyBorder="1" applyFont="1" applyNumberFormat="1">
      <alignment horizontal="center"/>
    </xf>
    <xf borderId="6" fillId="3" fontId="10" numFmtId="0" xfId="0" applyAlignment="1" applyBorder="1" applyFont="1">
      <alignment horizontal="center"/>
    </xf>
    <xf borderId="6" fillId="3" fontId="10" numFmtId="10" xfId="0" applyAlignment="1" applyBorder="1" applyFont="1" applyNumberFormat="1">
      <alignment horizontal="center"/>
    </xf>
    <xf borderId="6" fillId="3" fontId="10" numFmtId="14" xfId="0" applyAlignment="1" applyBorder="1" applyFont="1" applyNumberFormat="1">
      <alignment horizontal="center"/>
    </xf>
    <xf borderId="6" fillId="3" fontId="10" numFmtId="1" xfId="0" applyAlignment="1" applyBorder="1" applyFont="1" applyNumberFormat="1">
      <alignment horizontal="center"/>
    </xf>
    <xf borderId="6" fillId="3" fontId="10" numFmtId="166" xfId="0" applyAlignment="1" applyBorder="1" applyFont="1" applyNumberFormat="1">
      <alignment horizontal="center"/>
    </xf>
    <xf borderId="6" fillId="3" fontId="10" numFmtId="9" xfId="0" applyAlignment="1" applyBorder="1" applyFont="1" applyNumberFormat="1">
      <alignment horizontal="center"/>
    </xf>
    <xf borderId="4" fillId="8" fontId="10" numFmtId="10" xfId="0" applyAlignment="1" applyBorder="1" applyFont="1" applyNumberFormat="1">
      <alignment horizontal="center"/>
    </xf>
    <xf borderId="0" fillId="0" fontId="8" numFmtId="14" xfId="0" applyFont="1" applyNumberFormat="1"/>
    <xf borderId="0" fillId="0" fontId="8" numFmtId="9" xfId="0" applyFont="1" applyNumberFormat="1"/>
    <xf borderId="0" fillId="0" fontId="11" numFmtId="0" xfId="0" applyFont="1"/>
    <xf borderId="0" fillId="0" fontId="8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ptos Narrow"/>
              </a:defRPr>
            </a:pPr>
            <a:r>
              <a:rPr b="0" i="0" sz="1400">
                <a:solidFill>
                  <a:srgbClr val="757575"/>
                </a:solidFill>
                <a:latin typeface="Aptos Narrow"/>
              </a:rPr>
              <a:t>Macy 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Coupon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 Curve'!$F$9:$F$18</c:f>
            </c:numRef>
          </c:xVal>
          <c:yVal>
            <c:numRef>
              <c:f>'M Curve'!$G$9:$G$18</c:f>
              <c:numCache/>
            </c:numRef>
          </c:yVal>
        </c:ser>
        <c:ser>
          <c:idx val="1"/>
          <c:order val="1"/>
          <c:tx>
            <c:v>IRR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'M Curve'!$F$9:$F$18</c:f>
            </c:numRef>
          </c:xVal>
          <c:yVal>
            <c:numRef>
              <c:f>'M Curve'!$H$9:$H$18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490827"/>
        <c:axId val="30304434"/>
      </c:scatterChart>
      <c:valAx>
        <c:axId val="2974908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30304434"/>
      </c:valAx>
      <c:valAx>
        <c:axId val="30304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29749082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 Narrow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ptos Narrow"/>
              </a:defRPr>
            </a:pPr>
            <a:r>
              <a:rPr b="0" i="0" sz="1400">
                <a:solidFill>
                  <a:srgbClr val="757575"/>
                </a:solidFill>
                <a:latin typeface="Aptos Narrow"/>
              </a:rPr>
              <a:t>Macy Bond Price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 Curve'!$F$9:$F$18</c:f>
            </c:numRef>
          </c:xVal>
          <c:yVal>
            <c:numRef>
              <c:f>'M Curve'!$I$9:$I$18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116230"/>
        <c:axId val="372591670"/>
      </c:scatterChart>
      <c:valAx>
        <c:axId val="456116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372591670"/>
      </c:valAx>
      <c:valAx>
        <c:axId val="37259167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1162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 Narrow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19</xdr:row>
      <xdr:rowOff>95250</xdr:rowOff>
    </xdr:from>
    <xdr:ext cx="4524375" cy="2657475"/>
    <xdr:graphicFrame>
      <xdr:nvGraphicFramePr>
        <xdr:cNvPr id="94429745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704850</xdr:colOff>
      <xdr:row>17</xdr:row>
      <xdr:rowOff>47625</xdr:rowOff>
    </xdr:from>
    <xdr:ext cx="4457700" cy="2657475"/>
    <xdr:graphicFrame>
      <xdr:nvGraphicFramePr>
        <xdr:cNvPr id="195274706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ds.xlsx" TargetMode="External"/><Relationship Id="rId2" Type="http://schemas.openxmlformats.org/officeDocument/2006/relationships/hyperlink" Target="http://m.xlsx" TargetMode="External"/><Relationship Id="rId3" Type="http://schemas.openxmlformats.org/officeDocument/2006/relationships/hyperlink" Target="http://kss.xlsx" TargetMode="External"/><Relationship Id="rId4" Type="http://schemas.openxmlformats.org/officeDocument/2006/relationships/hyperlink" Target="http://jwn.xlsx" TargetMode="External"/><Relationship Id="rId5" Type="http://schemas.openxmlformats.org/officeDocument/2006/relationships/hyperlink" Target="http://jcp.xlsx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nra.org/finra-data/fixed-income/bond?symbol=KSS.GI&amp;bondType=CORP" TargetMode="External"/><Relationship Id="rId2" Type="http://schemas.openxmlformats.org/officeDocument/2006/relationships/hyperlink" Target="https://www.finra.org/finra-data/fixed-income/bond?symbol=KSS.GG&amp;bondType=CORP" TargetMode="External"/><Relationship Id="rId3" Type="http://schemas.openxmlformats.org/officeDocument/2006/relationships/hyperlink" Target="https://www.finra.org/finra-data/fixed-income/bond?symbol=KSS4268838&amp;bondType=CORP" TargetMode="External"/><Relationship Id="rId4" Type="http://schemas.openxmlformats.org/officeDocument/2006/relationships/hyperlink" Target="https://www.finra.org/finra-data/fixed-income/bond?symbol=KSS5159081&amp;bondType=CORP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finra.org/finra-data/fixed-income/bond?symbol=M.AJ&amp;bondType=CORP" TargetMode="External"/><Relationship Id="rId6" Type="http://schemas.openxmlformats.org/officeDocument/2006/relationships/hyperlink" Target="https://www.finra.org/finra-data/fixed-income/bond?symbol=M4184487&amp;bondType=CORP" TargetMode="External"/><Relationship Id="rId7" Type="http://schemas.openxmlformats.org/officeDocument/2006/relationships/hyperlink" Target="https://www.finra.org/finra-data/fixed-income/bond?symbol=M.AA&amp;bondType=CORP" TargetMode="External"/><Relationship Id="rId8" Type="http://schemas.openxmlformats.org/officeDocument/2006/relationships/hyperlink" Target="https://www.finra.org/finra-data/fixed-income/bond?symbol=M3930952&amp;bondType=COR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.0"/>
    <col customWidth="1" min="2" max="2" width="20.13"/>
    <col customWidth="1" min="3" max="3" width="6.5"/>
    <col customWidth="1" min="4" max="4" width="4.63"/>
    <col customWidth="1" min="5" max="5" width="6.13"/>
    <col customWidth="1" min="6" max="9" width="5.0"/>
    <col customWidth="1" min="10" max="10" width="5.38"/>
    <col customWidth="1" min="11" max="11" width="9.38"/>
    <col customWidth="1" min="12" max="12" width="8.13"/>
    <col customWidth="1" min="13" max="14" width="5.0"/>
    <col customWidth="1" min="15" max="16" width="5.88"/>
    <col customWidth="1" min="17" max="21" width="5.0"/>
    <col customWidth="1" min="22" max="22" width="4.5"/>
    <col customWidth="1" min="23" max="29" width="5.0"/>
    <col customWidth="1" min="30" max="33" width="4.5"/>
    <col customWidth="1" min="34" max="37" width="5.0"/>
    <col customWidth="1" min="38" max="38" width="4.5"/>
    <col customWidth="1" min="39" max="39" width="58.13"/>
    <col customWidth="1" min="40" max="45" width="4.88"/>
  </cols>
  <sheetData>
    <row r="1" ht="13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</row>
    <row r="2" ht="13.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0</v>
      </c>
      <c r="P2" s="4"/>
      <c r="Q2" s="4"/>
      <c r="R2" s="4"/>
      <c r="S2" s="4"/>
      <c r="T2" s="4"/>
      <c r="U2" s="4"/>
      <c r="V2" s="5"/>
      <c r="W2" s="6" t="s">
        <v>1</v>
      </c>
      <c r="X2" s="4"/>
      <c r="Y2" s="4"/>
      <c r="Z2" s="4"/>
      <c r="AA2" s="4"/>
      <c r="AB2" s="4"/>
      <c r="AC2" s="4"/>
      <c r="AD2" s="5"/>
      <c r="AE2" s="7" t="s">
        <v>2</v>
      </c>
      <c r="AF2" s="4"/>
      <c r="AG2" s="4"/>
      <c r="AH2" s="4"/>
      <c r="AI2" s="4"/>
      <c r="AJ2" s="4"/>
      <c r="AK2" s="4"/>
      <c r="AL2" s="5"/>
      <c r="AM2" s="2"/>
      <c r="AN2" s="1"/>
      <c r="AO2" s="1"/>
      <c r="AP2" s="1"/>
      <c r="AQ2" s="1"/>
      <c r="AR2" s="1"/>
      <c r="AS2" s="1"/>
    </row>
    <row r="3" ht="13.5" customHeight="1">
      <c r="A3" s="1"/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8">
        <v>2019.0</v>
      </c>
      <c r="P3" s="8">
        <f t="shared" ref="P3:V3" si="1">+O3+1</f>
        <v>2020</v>
      </c>
      <c r="Q3" s="8">
        <f t="shared" si="1"/>
        <v>2021</v>
      </c>
      <c r="R3" s="8">
        <f t="shared" si="1"/>
        <v>2022</v>
      </c>
      <c r="S3" s="8">
        <f t="shared" si="1"/>
        <v>2023</v>
      </c>
      <c r="T3" s="8">
        <f t="shared" si="1"/>
        <v>2024</v>
      </c>
      <c r="U3" s="8">
        <f t="shared" si="1"/>
        <v>2025</v>
      </c>
      <c r="V3" s="8">
        <f t="shared" si="1"/>
        <v>2026</v>
      </c>
      <c r="W3" s="8">
        <v>2019.0</v>
      </c>
      <c r="X3" s="8">
        <f t="shared" ref="X3:AD3" si="2">+W3+1</f>
        <v>2020</v>
      </c>
      <c r="Y3" s="8">
        <f t="shared" si="2"/>
        <v>2021</v>
      </c>
      <c r="Z3" s="8">
        <f t="shared" si="2"/>
        <v>2022</v>
      </c>
      <c r="AA3" s="8">
        <f t="shared" si="2"/>
        <v>2023</v>
      </c>
      <c r="AB3" s="8">
        <f t="shared" si="2"/>
        <v>2024</v>
      </c>
      <c r="AC3" s="8">
        <f t="shared" si="2"/>
        <v>2025</v>
      </c>
      <c r="AD3" s="8">
        <f t="shared" si="2"/>
        <v>2026</v>
      </c>
      <c r="AE3" s="8">
        <v>2019.0</v>
      </c>
      <c r="AF3" s="8">
        <f t="shared" ref="AF3:AL3" si="3">+AE3+1</f>
        <v>2020</v>
      </c>
      <c r="AG3" s="8">
        <f t="shared" si="3"/>
        <v>2021</v>
      </c>
      <c r="AH3" s="8">
        <f t="shared" si="3"/>
        <v>2022</v>
      </c>
      <c r="AI3" s="8">
        <f t="shared" si="3"/>
        <v>2023</v>
      </c>
      <c r="AJ3" s="8">
        <f t="shared" si="3"/>
        <v>2024</v>
      </c>
      <c r="AK3" s="8">
        <f t="shared" si="3"/>
        <v>2025</v>
      </c>
      <c r="AL3" s="8">
        <f t="shared" si="3"/>
        <v>2026</v>
      </c>
      <c r="AM3" s="2" t="s">
        <v>16</v>
      </c>
      <c r="AN3" s="9" t="s">
        <v>17</v>
      </c>
      <c r="AO3" s="9" t="s">
        <v>18</v>
      </c>
      <c r="AP3" s="9" t="s">
        <v>19</v>
      </c>
      <c r="AQ3" s="9" t="s">
        <v>20</v>
      </c>
      <c r="AR3" s="9" t="s">
        <v>21</v>
      </c>
      <c r="AS3" s="9" t="s">
        <v>22</v>
      </c>
    </row>
    <row r="4" ht="13.5" customHeight="1">
      <c r="A4" s="1"/>
      <c r="B4" s="10" t="s">
        <v>23</v>
      </c>
      <c r="C4" s="2" t="s">
        <v>24</v>
      </c>
      <c r="D4" s="2">
        <v>532.7</v>
      </c>
      <c r="E4" s="2">
        <f>11.651202+3.986233</f>
        <v>15.637435</v>
      </c>
      <c r="F4" s="2">
        <f t="shared" ref="F4:F6" si="4">+D4*E4</f>
        <v>8330.061625</v>
      </c>
      <c r="G4" s="2">
        <v>900.504</v>
      </c>
      <c r="H4" s="2">
        <f>321.594+200</f>
        <v>521.594</v>
      </c>
      <c r="I4" s="2">
        <f t="shared" ref="I4:I6" si="5">+F4-G4+H4</f>
        <v>7951.151625</v>
      </c>
      <c r="J4" s="11" t="s">
        <v>22</v>
      </c>
      <c r="K4" s="12">
        <v>45883.0</v>
      </c>
      <c r="L4" s="13">
        <v>0.08</v>
      </c>
      <c r="M4" s="2">
        <v>7455.0</v>
      </c>
      <c r="N4" s="2" t="s">
        <v>25</v>
      </c>
      <c r="O4" s="14">
        <v>2243.95</v>
      </c>
      <c r="P4" s="14">
        <v>2188.968</v>
      </c>
      <c r="Q4" s="14">
        <v>2006.857</v>
      </c>
      <c r="R4" s="14">
        <v>2017.265</v>
      </c>
      <c r="S4" s="14">
        <v>2218.529</v>
      </c>
      <c r="T4" s="14">
        <v>2317.8</v>
      </c>
      <c r="U4" s="14">
        <v>2380.0</v>
      </c>
      <c r="V4" s="14"/>
      <c r="W4" s="15">
        <v>0.25204171215936183</v>
      </c>
      <c r="X4" s="15">
        <v>0.2584363955982911</v>
      </c>
      <c r="Y4" s="15">
        <v>0.28195780765644984</v>
      </c>
      <c r="Z4" s="15">
        <v>0.2806012100542071</v>
      </c>
      <c r="AA4" s="15">
        <v>0.23504808817013437</v>
      </c>
      <c r="AB4" s="15">
        <v>0.2250409871429804</v>
      </c>
      <c r="AC4" s="15">
        <v>0.22</v>
      </c>
      <c r="AD4" s="16"/>
      <c r="AE4" s="17">
        <v>0.21838007387250719</v>
      </c>
      <c r="AF4" s="17">
        <v>0.48978715205167317</v>
      </c>
      <c r="AG4" s="17">
        <v>0.6368112340924876</v>
      </c>
      <c r="AH4" s="17">
        <v>1.2662535089842362</v>
      </c>
      <c r="AI4" s="17">
        <v>1.833930054213067</v>
      </c>
      <c r="AJ4" s="17">
        <v>2.000766871165644</v>
      </c>
      <c r="AK4" s="17">
        <v>2.22</v>
      </c>
      <c r="AL4" s="17"/>
      <c r="AM4" s="2"/>
      <c r="AN4" s="9" t="s">
        <v>25</v>
      </c>
      <c r="AO4" s="9" t="s">
        <v>26</v>
      </c>
      <c r="AP4" s="9" t="s">
        <v>25</v>
      </c>
      <c r="AQ4" s="9" t="s">
        <v>25</v>
      </c>
      <c r="AR4" s="9" t="s">
        <v>25</v>
      </c>
      <c r="AS4" s="9" t="s">
        <v>25</v>
      </c>
    </row>
    <row r="5" ht="13.5" customHeight="1">
      <c r="A5" s="1"/>
      <c r="B5" s="10" t="s">
        <v>27</v>
      </c>
      <c r="C5" s="2" t="s">
        <v>28</v>
      </c>
      <c r="D5" s="2">
        <v>15.0</v>
      </c>
      <c r="E5" s="2">
        <v>271.539526</v>
      </c>
      <c r="F5" s="2">
        <f t="shared" si="4"/>
        <v>4073.09289</v>
      </c>
      <c r="G5" s="2">
        <v>932.0</v>
      </c>
      <c r="H5" s="2">
        <f>6+2774</f>
        <v>2780</v>
      </c>
      <c r="I5" s="2">
        <f t="shared" si="5"/>
        <v>5921.09289</v>
      </c>
      <c r="J5" s="11" t="s">
        <v>22</v>
      </c>
      <c r="K5" s="12">
        <v>45903.0</v>
      </c>
      <c r="L5" s="13">
        <v>0.08</v>
      </c>
      <c r="M5" s="2">
        <v>2203.0</v>
      </c>
      <c r="N5" s="2"/>
      <c r="O5" s="14">
        <v>11187.0</v>
      </c>
      <c r="P5" s="14">
        <v>10537.0</v>
      </c>
      <c r="Q5" s="14">
        <v>7412.0</v>
      </c>
      <c r="R5" s="14">
        <v>7078.0</v>
      </c>
      <c r="S5" s="14">
        <v>7033.0</v>
      </c>
      <c r="T5" s="14">
        <v>7331.0</v>
      </c>
      <c r="U5" s="14">
        <v>7231.0</v>
      </c>
      <c r="V5" s="14"/>
      <c r="W5" s="15">
        <v>0.42468937159202647</v>
      </c>
      <c r="X5" s="15">
        <v>0.3947992787320869</v>
      </c>
      <c r="Y5" s="15">
        <v>0.655558553696708</v>
      </c>
      <c r="Z5" s="15">
        <v>0.423283413393614</v>
      </c>
      <c r="AA5" s="15">
        <v>0.42627612683065547</v>
      </c>
      <c r="AB5" s="15">
        <v>0.3790751602782704</v>
      </c>
      <c r="AC5" s="15">
        <v>0.38</v>
      </c>
      <c r="AD5" s="16"/>
      <c r="AE5" s="17">
        <v>0.24458008840244158</v>
      </c>
      <c r="AF5" s="17">
        <v>0.16466346153846154</v>
      </c>
      <c r="AG5" s="17">
        <v>0.3455443506894423</v>
      </c>
      <c r="AH5" s="17">
        <v>0.287716955941255</v>
      </c>
      <c r="AI5" s="17">
        <v>0.34489659773182124</v>
      </c>
      <c r="AJ5" s="17">
        <v>0.46995322058294353</v>
      </c>
      <c r="AK5" s="17">
        <v>0.34</v>
      </c>
      <c r="AL5" s="17"/>
      <c r="AM5" s="11"/>
      <c r="AN5" s="9" t="s">
        <v>25</v>
      </c>
      <c r="AO5" s="9" t="s">
        <v>25</v>
      </c>
      <c r="AP5" s="9" t="s">
        <v>25</v>
      </c>
      <c r="AQ5" s="9" t="s">
        <v>25</v>
      </c>
      <c r="AR5" s="9" t="s">
        <v>25</v>
      </c>
      <c r="AS5" s="1"/>
    </row>
    <row r="6" ht="13.5" customHeight="1">
      <c r="A6" s="1"/>
      <c r="B6" s="10" t="s">
        <v>29</v>
      </c>
      <c r="C6" s="2" t="s">
        <v>30</v>
      </c>
      <c r="D6" s="2">
        <v>13.89</v>
      </c>
      <c r="E6" s="2">
        <v>112.0</v>
      </c>
      <c r="F6" s="2">
        <f t="shared" si="4"/>
        <v>1555.68</v>
      </c>
      <c r="G6" s="2">
        <v>153.0</v>
      </c>
      <c r="H6" s="2">
        <v>2072.0</v>
      </c>
      <c r="I6" s="2">
        <f t="shared" si="5"/>
        <v>3474.68</v>
      </c>
      <c r="J6" s="11" t="s">
        <v>31</v>
      </c>
      <c r="K6" s="12">
        <v>45896.0</v>
      </c>
      <c r="L6" s="13">
        <v>0.1</v>
      </c>
      <c r="M6" s="2">
        <v>2115.0</v>
      </c>
      <c r="N6" s="2" t="s">
        <v>25</v>
      </c>
      <c r="O6" s="18">
        <v>7567.0</v>
      </c>
      <c r="P6" s="18">
        <v>7354.0</v>
      </c>
      <c r="Q6" s="18">
        <v>7647.0</v>
      </c>
      <c r="R6" s="18">
        <v>5760.0</v>
      </c>
      <c r="S6" s="18">
        <v>5623.0</v>
      </c>
      <c r="T6" s="18">
        <v>5616.0</v>
      </c>
      <c r="U6" s="18">
        <v>5851.0</v>
      </c>
      <c r="V6" s="18"/>
      <c r="W6" s="19">
        <v>0.26959164794502444</v>
      </c>
      <c r="X6" s="19">
        <v>0.25890671743268967</v>
      </c>
      <c r="Y6" s="19">
        <v>0.32051785013730877</v>
      </c>
      <c r="Z6" s="19">
        <v>0.3467013888888889</v>
      </c>
      <c r="AA6" s="19">
        <v>0.307664947536902</v>
      </c>
      <c r="AB6" s="19">
        <v>0.3233671471792134</v>
      </c>
      <c r="AC6" s="19">
        <v>0.3541274995727226</v>
      </c>
      <c r="AD6" s="20"/>
      <c r="AE6" s="21">
        <v>0.45784313725490194</v>
      </c>
      <c r="AF6" s="21">
        <v>0.3797268907563025</v>
      </c>
      <c r="AG6" s="21">
        <v>0.9265605875152999</v>
      </c>
      <c r="AH6" s="21">
        <v>0.07661492238357537</v>
      </c>
      <c r="AI6" s="21">
        <v>0.10578034682080925</v>
      </c>
      <c r="AJ6" s="21">
        <v>0.07374793615850303</v>
      </c>
      <c r="AK6" s="21">
        <v>0.07</v>
      </c>
      <c r="AL6" s="21"/>
      <c r="AM6" s="11"/>
      <c r="AN6" s="9" t="s">
        <v>26</v>
      </c>
      <c r="AO6" s="9" t="s">
        <v>25</v>
      </c>
      <c r="AP6" s="9" t="s">
        <v>25</v>
      </c>
      <c r="AQ6" s="9" t="s">
        <v>25</v>
      </c>
      <c r="AR6" s="9" t="s">
        <v>25</v>
      </c>
      <c r="AS6" s="9" t="s">
        <v>25</v>
      </c>
    </row>
    <row r="7" ht="13.5" customHeight="1">
      <c r="A7" s="1"/>
      <c r="B7" s="1"/>
      <c r="C7" s="2"/>
      <c r="D7" s="2"/>
      <c r="E7" s="2"/>
      <c r="F7" s="2"/>
      <c r="G7" s="2"/>
      <c r="H7" s="2"/>
      <c r="I7" s="2"/>
      <c r="J7" s="11"/>
      <c r="K7" s="11"/>
      <c r="L7" s="13"/>
      <c r="M7" s="2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22"/>
      <c r="AF7" s="22"/>
      <c r="AG7" s="22"/>
      <c r="AH7" s="22"/>
      <c r="AI7" s="22"/>
      <c r="AJ7" s="22"/>
      <c r="AK7" s="22"/>
      <c r="AL7" s="22"/>
      <c r="AM7" s="11"/>
      <c r="AN7" s="23"/>
      <c r="AO7" s="1"/>
      <c r="AP7" s="1"/>
      <c r="AQ7" s="1"/>
      <c r="AR7" s="1"/>
      <c r="AS7" s="1"/>
    </row>
    <row r="8" ht="13.5" customHeight="1">
      <c r="A8" s="1"/>
      <c r="B8" s="24" t="s">
        <v>32</v>
      </c>
      <c r="C8" s="2"/>
      <c r="D8" s="2"/>
      <c r="E8" s="2"/>
      <c r="F8" s="2"/>
      <c r="G8" s="2"/>
      <c r="H8" s="2"/>
      <c r="I8" s="2"/>
      <c r="J8" s="11"/>
      <c r="K8" s="11"/>
      <c r="L8" s="11"/>
      <c r="M8" s="2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23"/>
      <c r="AF8" s="23"/>
      <c r="AG8" s="23"/>
      <c r="AH8" s="23"/>
      <c r="AI8" s="23"/>
      <c r="AJ8" s="23"/>
      <c r="AK8" s="23"/>
      <c r="AL8" s="23"/>
      <c r="AM8" s="11"/>
      <c r="AN8" s="23"/>
      <c r="AO8" s="1"/>
      <c r="AP8" s="1"/>
      <c r="AQ8" s="1"/>
      <c r="AR8" s="1"/>
      <c r="AS8" s="1"/>
    </row>
    <row r="9" ht="13.5" customHeight="1">
      <c r="A9" s="1"/>
      <c r="B9" s="10" t="s">
        <v>33</v>
      </c>
      <c r="C9" s="2" t="s">
        <v>34</v>
      </c>
      <c r="D9" s="2"/>
      <c r="E9" s="2"/>
      <c r="F9" s="2"/>
      <c r="G9" s="2"/>
      <c r="H9" s="2"/>
      <c r="I9" s="2"/>
      <c r="J9" s="11"/>
      <c r="K9" s="11"/>
      <c r="L9" s="11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23"/>
      <c r="AF9" s="23"/>
      <c r="AG9" s="23"/>
      <c r="AH9" s="23"/>
      <c r="AI9" s="23"/>
      <c r="AJ9" s="23"/>
      <c r="AK9" s="23"/>
      <c r="AL9" s="23"/>
      <c r="AM9" s="2" t="s">
        <v>35</v>
      </c>
      <c r="AN9" s="23"/>
      <c r="AO9" s="1"/>
      <c r="AP9" s="1"/>
      <c r="AQ9" s="1"/>
      <c r="AR9" s="1"/>
      <c r="AS9" s="1"/>
    </row>
    <row r="10" ht="13.5" customHeight="1">
      <c r="A10" s="1"/>
      <c r="B10" s="10" t="s">
        <v>36</v>
      </c>
      <c r="C10" s="2"/>
      <c r="D10" s="2"/>
      <c r="E10" s="2"/>
      <c r="F10" s="2"/>
      <c r="G10" s="2"/>
      <c r="H10" s="2"/>
      <c r="I10" s="2"/>
      <c r="J10" s="11"/>
      <c r="K10" s="11"/>
      <c r="L10" s="11"/>
      <c r="M10" s="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23"/>
      <c r="AF10" s="23"/>
      <c r="AG10" s="23"/>
      <c r="AH10" s="23"/>
      <c r="AI10" s="23"/>
      <c r="AJ10" s="23"/>
      <c r="AK10" s="23"/>
      <c r="AL10" s="23"/>
      <c r="AM10" s="2" t="s">
        <v>37</v>
      </c>
      <c r="AN10" s="23"/>
      <c r="AO10" s="1"/>
      <c r="AP10" s="1"/>
      <c r="AQ10" s="1"/>
      <c r="AR10" s="1"/>
      <c r="AS10" s="1"/>
    </row>
    <row r="11" ht="13.5" customHeight="1">
      <c r="A11" s="1"/>
      <c r="B11" s="10"/>
      <c r="C11" s="2"/>
      <c r="D11" s="2"/>
      <c r="E11" s="2"/>
      <c r="F11" s="2"/>
      <c r="G11" s="2"/>
      <c r="H11" s="2"/>
      <c r="I11" s="2"/>
      <c r="J11" s="11"/>
      <c r="K11" s="11"/>
      <c r="L11" s="11"/>
      <c r="M11" s="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23"/>
      <c r="AF11" s="23"/>
      <c r="AG11" s="23"/>
      <c r="AH11" s="23"/>
      <c r="AI11" s="23"/>
      <c r="AJ11" s="23"/>
      <c r="AK11" s="23"/>
      <c r="AL11" s="23"/>
      <c r="AM11" s="2"/>
      <c r="AN11" s="23"/>
      <c r="AO11" s="1"/>
      <c r="AP11" s="1"/>
      <c r="AQ11" s="1"/>
      <c r="AR11" s="1"/>
      <c r="AS11" s="1"/>
    </row>
    <row r="12" ht="13.5" customHeight="1">
      <c r="A12" s="1"/>
      <c r="B12" s="25" t="s">
        <v>38</v>
      </c>
      <c r="C12" s="2"/>
      <c r="D12" s="2"/>
      <c r="E12" s="2"/>
      <c r="F12" s="2"/>
      <c r="G12" s="2"/>
      <c r="H12" s="2"/>
      <c r="I12" s="2"/>
      <c r="J12" s="11"/>
      <c r="K12" s="11"/>
      <c r="L12" s="11"/>
      <c r="M12" s="2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23"/>
      <c r="AF12" s="23"/>
      <c r="AG12" s="23"/>
      <c r="AH12" s="23"/>
      <c r="AI12" s="23"/>
      <c r="AJ12" s="23"/>
      <c r="AK12" s="23"/>
      <c r="AL12" s="23"/>
      <c r="AM12" s="2"/>
      <c r="AN12" s="23"/>
      <c r="AO12" s="1"/>
      <c r="AP12" s="1"/>
      <c r="AQ12" s="1"/>
      <c r="AR12" s="1"/>
      <c r="AS12" s="1"/>
    </row>
    <row r="13" ht="13.5" customHeight="1">
      <c r="A13" s="1"/>
      <c r="B13" s="10" t="s">
        <v>39</v>
      </c>
      <c r="C13" s="2" t="s">
        <v>40</v>
      </c>
      <c r="D13" s="26">
        <v>0.13</v>
      </c>
      <c r="E13" s="2"/>
      <c r="F13" s="2"/>
      <c r="G13" s="2">
        <v>386.0</v>
      </c>
      <c r="H13" s="2">
        <v>3721.0</v>
      </c>
      <c r="I13" s="2"/>
      <c r="J13" s="11"/>
      <c r="K13" s="11"/>
      <c r="L13" s="11"/>
      <c r="M13" s="2"/>
      <c r="N13" s="2"/>
      <c r="O13" s="1">
        <v>4550.0</v>
      </c>
      <c r="P13" s="1"/>
      <c r="Q13" s="1"/>
      <c r="R13" s="1"/>
      <c r="S13" s="1"/>
      <c r="T13" s="1"/>
      <c r="U13" s="1"/>
      <c r="V13" s="1"/>
      <c r="W13" s="22">
        <f>+H13/O13</f>
        <v>0.8178021978</v>
      </c>
      <c r="X13" s="1"/>
      <c r="Y13" s="1"/>
      <c r="Z13" s="1"/>
      <c r="AA13" s="1"/>
      <c r="AB13" s="1"/>
      <c r="AC13" s="1"/>
      <c r="AD13" s="1"/>
      <c r="AE13" s="22">
        <f>+G13/H13</f>
        <v>0.103735555</v>
      </c>
      <c r="AF13" s="23"/>
      <c r="AG13" s="23"/>
      <c r="AH13" s="23"/>
      <c r="AI13" s="23"/>
      <c r="AJ13" s="23"/>
      <c r="AK13" s="23"/>
      <c r="AL13" s="23"/>
      <c r="AM13" s="2" t="s">
        <v>41</v>
      </c>
      <c r="AN13" s="23"/>
      <c r="AO13" s="1"/>
      <c r="AP13" s="1"/>
      <c r="AQ13" s="1"/>
      <c r="AR13" s="1"/>
      <c r="AS13" s="1"/>
    </row>
    <row r="14" ht="13.5" customHeight="1">
      <c r="A14" s="1"/>
      <c r="B14" s="1" t="s">
        <v>42</v>
      </c>
      <c r="C14" s="2" t="s">
        <v>43</v>
      </c>
      <c r="D14" s="2"/>
      <c r="E14" s="2"/>
      <c r="F14" s="2"/>
      <c r="G14" s="2"/>
      <c r="H14" s="2"/>
      <c r="I14" s="2"/>
      <c r="J14" s="11"/>
      <c r="K14" s="11"/>
      <c r="L14" s="11"/>
      <c r="M14" s="2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23"/>
      <c r="AF14" s="23"/>
      <c r="AG14" s="23"/>
      <c r="AH14" s="23"/>
      <c r="AI14" s="23"/>
      <c r="AJ14" s="23"/>
      <c r="AK14" s="23"/>
      <c r="AL14" s="23"/>
      <c r="AM14" s="2" t="s">
        <v>44</v>
      </c>
      <c r="AN14" s="23"/>
      <c r="AO14" s="1"/>
      <c r="AP14" s="1"/>
      <c r="AQ14" s="1"/>
      <c r="AR14" s="1"/>
      <c r="AS14" s="1"/>
    </row>
    <row r="15" ht="13.5" customHeight="1">
      <c r="A15" s="1"/>
      <c r="B15" s="1"/>
      <c r="C15" s="2"/>
      <c r="D15" s="2"/>
      <c r="E15" s="2"/>
      <c r="F15" s="2"/>
      <c r="G15" s="2"/>
      <c r="H15" s="2"/>
      <c r="I15" s="2"/>
      <c r="J15" s="11"/>
      <c r="K15" s="11"/>
      <c r="L15" s="11"/>
      <c r="M15" s="2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23"/>
      <c r="AF15" s="23"/>
      <c r="AG15" s="23"/>
      <c r="AH15" s="23"/>
      <c r="AI15" s="23"/>
      <c r="AJ15" s="23"/>
      <c r="AK15" s="23"/>
      <c r="AL15" s="23"/>
      <c r="AM15" s="2"/>
      <c r="AN15" s="23"/>
      <c r="AO15" s="1"/>
      <c r="AP15" s="1"/>
      <c r="AQ15" s="1"/>
      <c r="AR15" s="1"/>
      <c r="AS15" s="1"/>
    </row>
    <row r="16" ht="13.5" customHeight="1">
      <c r="A16" s="1"/>
      <c r="B16" s="24" t="s">
        <v>45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2"/>
      <c r="AN16" s="1"/>
      <c r="AO16" s="1"/>
      <c r="AP16" s="1"/>
      <c r="AQ16" s="1"/>
      <c r="AR16" s="1"/>
      <c r="AS16" s="1"/>
    </row>
    <row r="17" ht="13.5" customHeight="1">
      <c r="A17" s="1"/>
      <c r="B17" s="1" t="s">
        <v>46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2" t="s">
        <v>47</v>
      </c>
      <c r="AN17" s="1"/>
      <c r="AO17" s="1"/>
      <c r="AP17" s="1"/>
      <c r="AQ17" s="1"/>
      <c r="AR17" s="1"/>
      <c r="AS17" s="1"/>
    </row>
    <row r="18" ht="13.5" customHeight="1">
      <c r="A18" s="1"/>
      <c r="B18" s="1" t="s">
        <v>48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2" t="s">
        <v>47</v>
      </c>
      <c r="AN18" s="1"/>
      <c r="AO18" s="1"/>
      <c r="AP18" s="1"/>
      <c r="AQ18" s="1"/>
      <c r="AR18" s="1"/>
      <c r="AS18" s="1"/>
    </row>
    <row r="19" ht="13.5" customHeight="1">
      <c r="A19" s="1"/>
      <c r="B19" s="1" t="s">
        <v>49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2" t="s">
        <v>50</v>
      </c>
      <c r="AN19" s="1"/>
      <c r="AO19" s="1"/>
      <c r="AP19" s="1"/>
      <c r="AQ19" s="1"/>
      <c r="AR19" s="1"/>
      <c r="AS19" s="1"/>
    </row>
    <row r="20" ht="13.5" customHeight="1">
      <c r="A20" s="1"/>
      <c r="B20" s="1" t="s">
        <v>51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2" t="s">
        <v>52</v>
      </c>
      <c r="AN20" s="1"/>
      <c r="AO20" s="1"/>
      <c r="AP20" s="1"/>
      <c r="AQ20" s="1"/>
      <c r="AR20" s="1"/>
      <c r="AS20" s="1"/>
    </row>
    <row r="21" ht="13.5" customHeight="1">
      <c r="A21" s="1"/>
      <c r="B21" s="1" t="s">
        <v>53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2" t="s">
        <v>54</v>
      </c>
      <c r="AN21" s="1"/>
      <c r="AO21" s="1"/>
      <c r="AP21" s="1"/>
      <c r="AQ21" s="1"/>
      <c r="AR21" s="1"/>
      <c r="AS21" s="1"/>
    </row>
    <row r="22" ht="13.5" customHeight="1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2"/>
      <c r="AN22" s="1"/>
      <c r="AO22" s="1"/>
      <c r="AP22" s="1"/>
      <c r="AQ22" s="1"/>
      <c r="AR22" s="1"/>
      <c r="AS22" s="1"/>
    </row>
    <row r="23" ht="13.5" customHeight="1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2"/>
      <c r="AN23" s="1"/>
      <c r="AO23" s="1"/>
      <c r="AP23" s="1"/>
      <c r="AQ23" s="1"/>
      <c r="AR23" s="1"/>
      <c r="AS23" s="1"/>
    </row>
    <row r="24" ht="13.5" customHeight="1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2"/>
      <c r="AN24" s="1"/>
      <c r="AO24" s="1"/>
      <c r="AP24" s="1"/>
      <c r="AQ24" s="1"/>
      <c r="AR24" s="1"/>
      <c r="AS24" s="1"/>
    </row>
    <row r="25" ht="13.5" customHeight="1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2"/>
      <c r="AN25" s="1"/>
      <c r="AO25" s="1"/>
      <c r="AP25" s="1"/>
      <c r="AQ25" s="1"/>
      <c r="AR25" s="1"/>
      <c r="AS25" s="1"/>
    </row>
    <row r="26" ht="13.5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1"/>
      <c r="AO26" s="1"/>
      <c r="AP26" s="1"/>
      <c r="AQ26" s="1"/>
      <c r="AR26" s="1"/>
      <c r="AS26" s="1"/>
    </row>
    <row r="27" ht="13.5" customHeight="1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1"/>
      <c r="AO27" s="1"/>
      <c r="AP27" s="1"/>
      <c r="AQ27" s="1"/>
      <c r="AR27" s="1"/>
      <c r="AS27" s="1"/>
    </row>
    <row r="28" ht="13.5" customHeight="1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1"/>
      <c r="AO28" s="1"/>
      <c r="AP28" s="1"/>
      <c r="AQ28" s="1"/>
      <c r="AR28" s="1"/>
      <c r="AS28" s="1"/>
    </row>
    <row r="29" ht="13.5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1"/>
      <c r="AO29" s="1"/>
      <c r="AP29" s="1"/>
      <c r="AQ29" s="1"/>
      <c r="AR29" s="1"/>
      <c r="AS29" s="1"/>
    </row>
    <row r="30" ht="13.5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1"/>
      <c r="AO30" s="1"/>
      <c r="AP30" s="1"/>
      <c r="AQ30" s="1"/>
      <c r="AR30" s="1"/>
      <c r="AS30" s="1"/>
    </row>
    <row r="31" ht="13.5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1"/>
      <c r="AO31" s="1"/>
      <c r="AP31" s="1"/>
      <c r="AQ31" s="1"/>
      <c r="AR31" s="1"/>
      <c r="AS31" s="1"/>
    </row>
    <row r="32" ht="13.5" customHeight="1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1"/>
      <c r="AO32" s="1"/>
      <c r="AP32" s="1"/>
      <c r="AQ32" s="1"/>
      <c r="AR32" s="1"/>
      <c r="AS32" s="1"/>
    </row>
    <row r="33" ht="13.5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1"/>
      <c r="AO33" s="1"/>
      <c r="AP33" s="1"/>
      <c r="AQ33" s="1"/>
      <c r="AR33" s="1"/>
      <c r="AS33" s="1"/>
    </row>
    <row r="34" ht="13.5" customHeight="1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1"/>
      <c r="AO34" s="1"/>
      <c r="AP34" s="1"/>
      <c r="AQ34" s="1"/>
      <c r="AR34" s="1"/>
      <c r="AS34" s="1"/>
    </row>
    <row r="35" ht="13.5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1"/>
      <c r="AO35" s="1"/>
      <c r="AP35" s="1"/>
      <c r="AQ35" s="1"/>
      <c r="AR35" s="1"/>
      <c r="AS35" s="1"/>
    </row>
    <row r="36" ht="13.5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1"/>
      <c r="AO36" s="1"/>
      <c r="AP36" s="1"/>
      <c r="AQ36" s="1"/>
      <c r="AR36" s="1"/>
      <c r="AS36" s="1"/>
    </row>
    <row r="37" ht="13.5" customHeight="1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1"/>
      <c r="AO37" s="1"/>
      <c r="AP37" s="1"/>
      <c r="AQ37" s="1"/>
      <c r="AR37" s="1"/>
      <c r="AS37" s="1"/>
    </row>
    <row r="38" ht="13.5" customHeight="1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1"/>
      <c r="AO38" s="1"/>
      <c r="AP38" s="1"/>
      <c r="AQ38" s="1"/>
      <c r="AR38" s="1"/>
      <c r="AS38" s="1"/>
    </row>
    <row r="39" ht="13.5" customHeight="1">
      <c r="A39" s="1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1"/>
      <c r="AO39" s="1"/>
      <c r="AP39" s="1"/>
      <c r="AQ39" s="1"/>
      <c r="AR39" s="1"/>
      <c r="AS39" s="1"/>
    </row>
    <row r="40" ht="13.5" customHeight="1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1"/>
      <c r="AO40" s="1"/>
      <c r="AP40" s="1"/>
      <c r="AQ40" s="1"/>
      <c r="AR40" s="1"/>
      <c r="AS40" s="1"/>
    </row>
    <row r="41" ht="13.5" customHeight="1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1"/>
      <c r="AO41" s="1"/>
      <c r="AP41" s="1"/>
      <c r="AQ41" s="1"/>
      <c r="AR41" s="1"/>
      <c r="AS41" s="1"/>
    </row>
    <row r="42" ht="13.5" customHeight="1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1"/>
      <c r="AO42" s="1"/>
      <c r="AP42" s="1"/>
      <c r="AQ42" s="1"/>
      <c r="AR42" s="1"/>
      <c r="AS42" s="1"/>
    </row>
    <row r="43" ht="13.5" customHeight="1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1"/>
      <c r="AO43" s="1"/>
      <c r="AP43" s="1"/>
      <c r="AQ43" s="1"/>
      <c r="AR43" s="1"/>
      <c r="AS43" s="1"/>
    </row>
    <row r="44" ht="13.5" customHeight="1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1"/>
      <c r="AO44" s="1"/>
      <c r="AP44" s="1"/>
      <c r="AQ44" s="1"/>
      <c r="AR44" s="1"/>
      <c r="AS44" s="1"/>
    </row>
    <row r="45" ht="13.5" customHeight="1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1"/>
      <c r="AO45" s="1"/>
      <c r="AP45" s="1"/>
      <c r="AQ45" s="1"/>
      <c r="AR45" s="1"/>
      <c r="AS45" s="1"/>
    </row>
    <row r="46" ht="13.5" customHeight="1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1"/>
      <c r="AO46" s="1"/>
      <c r="AP46" s="1"/>
      <c r="AQ46" s="1"/>
      <c r="AR46" s="1"/>
      <c r="AS46" s="1"/>
    </row>
    <row r="47" ht="13.5" customHeight="1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1"/>
      <c r="AO47" s="1"/>
      <c r="AP47" s="1"/>
      <c r="AQ47" s="1"/>
      <c r="AR47" s="1"/>
      <c r="AS47" s="1"/>
    </row>
    <row r="48" ht="13.5" customHeight="1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1"/>
      <c r="AO48" s="1"/>
      <c r="AP48" s="1"/>
      <c r="AQ48" s="1"/>
      <c r="AR48" s="1"/>
      <c r="AS48" s="1"/>
    </row>
    <row r="49" ht="13.5" customHeight="1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1"/>
      <c r="AO49" s="1"/>
      <c r="AP49" s="1"/>
      <c r="AQ49" s="1"/>
      <c r="AR49" s="1"/>
      <c r="AS49" s="1"/>
    </row>
    <row r="50" ht="13.5" customHeight="1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1"/>
      <c r="AO50" s="1"/>
      <c r="AP50" s="1"/>
      <c r="AQ50" s="1"/>
      <c r="AR50" s="1"/>
      <c r="AS50" s="1"/>
    </row>
    <row r="51" ht="13.5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1"/>
      <c r="AO51" s="1"/>
      <c r="AP51" s="1"/>
      <c r="AQ51" s="1"/>
      <c r="AR51" s="1"/>
      <c r="AS51" s="1"/>
    </row>
    <row r="52" ht="13.5" customHeight="1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1"/>
      <c r="AO52" s="1"/>
      <c r="AP52" s="1"/>
      <c r="AQ52" s="1"/>
      <c r="AR52" s="1"/>
      <c r="AS52" s="1"/>
    </row>
    <row r="53" ht="13.5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1"/>
      <c r="AO53" s="1"/>
      <c r="AP53" s="1"/>
      <c r="AQ53" s="1"/>
      <c r="AR53" s="1"/>
      <c r="AS53" s="1"/>
    </row>
    <row r="54" ht="13.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1"/>
      <c r="AO54" s="1"/>
      <c r="AP54" s="1"/>
      <c r="AQ54" s="1"/>
      <c r="AR54" s="1"/>
      <c r="AS54" s="1"/>
    </row>
    <row r="55" ht="13.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1"/>
      <c r="AO55" s="1"/>
      <c r="AP55" s="1"/>
      <c r="AQ55" s="1"/>
      <c r="AR55" s="1"/>
      <c r="AS55" s="1"/>
    </row>
    <row r="56" ht="13.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1"/>
      <c r="AO56" s="1"/>
      <c r="AP56" s="1"/>
      <c r="AQ56" s="1"/>
      <c r="AR56" s="1"/>
      <c r="AS56" s="1"/>
    </row>
    <row r="57" ht="13.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1"/>
      <c r="AO57" s="1"/>
      <c r="AP57" s="1"/>
      <c r="AQ57" s="1"/>
      <c r="AR57" s="1"/>
      <c r="AS57" s="1"/>
    </row>
    <row r="58" ht="13.5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1"/>
      <c r="AO58" s="1"/>
      <c r="AP58" s="1"/>
      <c r="AQ58" s="1"/>
      <c r="AR58" s="1"/>
      <c r="AS58" s="1"/>
    </row>
    <row r="59" ht="13.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1"/>
      <c r="AO59" s="1"/>
      <c r="AP59" s="1"/>
      <c r="AQ59" s="1"/>
      <c r="AR59" s="1"/>
      <c r="AS59" s="1"/>
    </row>
    <row r="60" ht="13.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1"/>
      <c r="AO60" s="1"/>
      <c r="AP60" s="1"/>
      <c r="AQ60" s="1"/>
      <c r="AR60" s="1"/>
      <c r="AS60" s="1"/>
    </row>
    <row r="61" ht="13.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1"/>
      <c r="AO61" s="1"/>
      <c r="AP61" s="1"/>
      <c r="AQ61" s="1"/>
      <c r="AR61" s="1"/>
      <c r="AS61" s="1"/>
    </row>
    <row r="62" ht="13.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1"/>
      <c r="AO62" s="1"/>
      <c r="AP62" s="1"/>
      <c r="AQ62" s="1"/>
      <c r="AR62" s="1"/>
      <c r="AS62" s="1"/>
    </row>
    <row r="63" ht="13.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1"/>
      <c r="AO63" s="1"/>
      <c r="AP63" s="1"/>
      <c r="AQ63" s="1"/>
      <c r="AR63" s="1"/>
      <c r="AS63" s="1"/>
    </row>
    <row r="64" ht="13.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1"/>
      <c r="AO64" s="1"/>
      <c r="AP64" s="1"/>
      <c r="AQ64" s="1"/>
      <c r="AR64" s="1"/>
      <c r="AS64" s="1"/>
    </row>
    <row r="65" ht="13.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1"/>
      <c r="AO65" s="1"/>
      <c r="AP65" s="1"/>
      <c r="AQ65" s="1"/>
      <c r="AR65" s="1"/>
      <c r="AS65" s="1"/>
    </row>
    <row r="66" ht="13.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1"/>
      <c r="AO66" s="1"/>
      <c r="AP66" s="1"/>
      <c r="AQ66" s="1"/>
      <c r="AR66" s="1"/>
      <c r="AS66" s="1"/>
    </row>
    <row r="67" ht="13.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1"/>
      <c r="AO67" s="1"/>
      <c r="AP67" s="1"/>
      <c r="AQ67" s="1"/>
      <c r="AR67" s="1"/>
      <c r="AS67" s="1"/>
    </row>
    <row r="68" ht="13.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1"/>
      <c r="AO68" s="1"/>
      <c r="AP68" s="1"/>
      <c r="AQ68" s="1"/>
      <c r="AR68" s="1"/>
      <c r="AS68" s="1"/>
    </row>
    <row r="69" ht="13.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</row>
    <row r="70" ht="13.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</row>
    <row r="71" ht="13.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</row>
    <row r="72" ht="13.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1"/>
      <c r="AO72" s="1"/>
      <c r="AP72" s="1"/>
      <c r="AQ72" s="1"/>
      <c r="AR72" s="1"/>
      <c r="AS72" s="1"/>
    </row>
    <row r="73" ht="13.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1"/>
      <c r="AO73" s="1"/>
      <c r="AP73" s="1"/>
      <c r="AQ73" s="1"/>
      <c r="AR73" s="1"/>
      <c r="AS73" s="1"/>
    </row>
    <row r="74" ht="13.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1"/>
      <c r="AO74" s="1"/>
      <c r="AP74" s="1"/>
      <c r="AQ74" s="1"/>
      <c r="AR74" s="1"/>
      <c r="AS74" s="1"/>
    </row>
    <row r="75" ht="13.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1"/>
      <c r="AO75" s="1"/>
      <c r="AP75" s="1"/>
      <c r="AQ75" s="1"/>
      <c r="AR75" s="1"/>
      <c r="AS75" s="1"/>
    </row>
    <row r="76" ht="13.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1"/>
      <c r="AO76" s="1"/>
      <c r="AP76" s="1"/>
      <c r="AQ76" s="1"/>
      <c r="AR76" s="1"/>
      <c r="AS76" s="1"/>
    </row>
    <row r="77" ht="13.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1"/>
      <c r="AO77" s="1"/>
      <c r="AP77" s="1"/>
      <c r="AQ77" s="1"/>
      <c r="AR77" s="1"/>
      <c r="AS77" s="1"/>
    </row>
    <row r="78" ht="13.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1"/>
      <c r="AO78" s="1"/>
      <c r="AP78" s="1"/>
      <c r="AQ78" s="1"/>
      <c r="AR78" s="1"/>
      <c r="AS78" s="1"/>
    </row>
    <row r="79" ht="13.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1"/>
      <c r="AO79" s="1"/>
      <c r="AP79" s="1"/>
      <c r="AQ79" s="1"/>
      <c r="AR79" s="1"/>
      <c r="AS79" s="1"/>
    </row>
    <row r="80" ht="13.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1"/>
      <c r="AO80" s="1"/>
      <c r="AP80" s="1"/>
      <c r="AQ80" s="1"/>
      <c r="AR80" s="1"/>
      <c r="AS80" s="1"/>
    </row>
    <row r="81" ht="13.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1"/>
      <c r="AO81" s="1"/>
      <c r="AP81" s="1"/>
      <c r="AQ81" s="1"/>
      <c r="AR81" s="1"/>
      <c r="AS81" s="1"/>
    </row>
    <row r="82" ht="13.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1"/>
      <c r="AO82" s="1"/>
      <c r="AP82" s="1"/>
      <c r="AQ82" s="1"/>
      <c r="AR82" s="1"/>
      <c r="AS82" s="1"/>
    </row>
    <row r="83" ht="13.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1"/>
      <c r="AO83" s="1"/>
      <c r="AP83" s="1"/>
      <c r="AQ83" s="1"/>
      <c r="AR83" s="1"/>
      <c r="AS83" s="1"/>
    </row>
    <row r="84" ht="13.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1"/>
      <c r="AO84" s="1"/>
      <c r="AP84" s="1"/>
      <c r="AQ84" s="1"/>
      <c r="AR84" s="1"/>
      <c r="AS84" s="1"/>
    </row>
    <row r="85" ht="13.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1"/>
      <c r="AO85" s="1"/>
      <c r="AP85" s="1"/>
      <c r="AQ85" s="1"/>
      <c r="AR85" s="1"/>
      <c r="AS85" s="1"/>
    </row>
    <row r="86" ht="13.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1"/>
      <c r="AO86" s="1"/>
      <c r="AP86" s="1"/>
      <c r="AQ86" s="1"/>
      <c r="AR86" s="1"/>
      <c r="AS86" s="1"/>
    </row>
    <row r="87" ht="13.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1"/>
      <c r="AO87" s="1"/>
      <c r="AP87" s="1"/>
      <c r="AQ87" s="1"/>
      <c r="AR87" s="1"/>
      <c r="AS87" s="1"/>
    </row>
    <row r="88" ht="13.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1"/>
      <c r="AO88" s="1"/>
      <c r="AP88" s="1"/>
      <c r="AQ88" s="1"/>
      <c r="AR88" s="1"/>
      <c r="AS88" s="1"/>
    </row>
    <row r="89" ht="13.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1"/>
      <c r="AO89" s="1"/>
      <c r="AP89" s="1"/>
      <c r="AQ89" s="1"/>
      <c r="AR89" s="1"/>
      <c r="AS89" s="1"/>
    </row>
    <row r="90" ht="13.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1"/>
      <c r="AO90" s="1"/>
      <c r="AP90" s="1"/>
      <c r="AQ90" s="1"/>
      <c r="AR90" s="1"/>
      <c r="AS90" s="1"/>
    </row>
    <row r="91" ht="13.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1"/>
      <c r="AO91" s="1"/>
      <c r="AP91" s="1"/>
      <c r="AQ91" s="1"/>
      <c r="AR91" s="1"/>
      <c r="AS91" s="1"/>
    </row>
    <row r="92" ht="13.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1"/>
      <c r="AO92" s="1"/>
      <c r="AP92" s="1"/>
      <c r="AQ92" s="1"/>
      <c r="AR92" s="1"/>
      <c r="AS92" s="1"/>
    </row>
    <row r="93" ht="13.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1"/>
      <c r="AO93" s="1"/>
      <c r="AP93" s="1"/>
      <c r="AQ93" s="1"/>
      <c r="AR93" s="1"/>
      <c r="AS93" s="1"/>
    </row>
    <row r="94" ht="13.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1"/>
      <c r="AO94" s="1"/>
      <c r="AP94" s="1"/>
      <c r="AQ94" s="1"/>
      <c r="AR94" s="1"/>
      <c r="AS94" s="1"/>
    </row>
    <row r="95" ht="13.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1"/>
      <c r="AO95" s="1"/>
      <c r="AP95" s="1"/>
      <c r="AQ95" s="1"/>
      <c r="AR95" s="1"/>
      <c r="AS95" s="1"/>
    </row>
    <row r="96" ht="13.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1"/>
      <c r="AS96" s="1"/>
    </row>
    <row r="97" ht="13.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1"/>
      <c r="AS97" s="1"/>
    </row>
    <row r="98" ht="13.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1"/>
      <c r="AS98" s="1"/>
    </row>
    <row r="99" ht="13.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</row>
    <row r="100" ht="13.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</row>
    <row r="101" ht="13.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</row>
    <row r="102" ht="13.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</row>
    <row r="103" ht="13.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1"/>
      <c r="AO103" s="1"/>
      <c r="AP103" s="1"/>
      <c r="AQ103" s="1"/>
      <c r="AR103" s="1"/>
      <c r="AS103" s="1"/>
    </row>
    <row r="104" ht="13.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1"/>
      <c r="AO104" s="1"/>
      <c r="AP104" s="1"/>
      <c r="AQ104" s="1"/>
      <c r="AR104" s="1"/>
      <c r="AS104" s="1"/>
    </row>
    <row r="105" ht="13.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</row>
    <row r="106" ht="13.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1"/>
      <c r="AO106" s="1"/>
      <c r="AP106" s="1"/>
      <c r="AQ106" s="1"/>
      <c r="AR106" s="1"/>
      <c r="AS106" s="1"/>
    </row>
    <row r="107" ht="13.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"/>
      <c r="AR107" s="1"/>
      <c r="AS107" s="1"/>
    </row>
    <row r="108" ht="13.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1"/>
      <c r="AO108" s="1"/>
      <c r="AP108" s="1"/>
      <c r="AQ108" s="1"/>
      <c r="AR108" s="1"/>
      <c r="AS108" s="1"/>
    </row>
    <row r="109" ht="13.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1"/>
      <c r="AO109" s="1"/>
      <c r="AP109" s="1"/>
      <c r="AQ109" s="1"/>
      <c r="AR109" s="1"/>
      <c r="AS109" s="1"/>
    </row>
    <row r="110" ht="13.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1"/>
      <c r="AO110" s="1"/>
      <c r="AP110" s="1"/>
      <c r="AQ110" s="1"/>
      <c r="AR110" s="1"/>
      <c r="AS110" s="1"/>
    </row>
    <row r="111" ht="13.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1"/>
      <c r="AO111" s="1"/>
      <c r="AP111" s="1"/>
      <c r="AQ111" s="1"/>
      <c r="AR111" s="1"/>
      <c r="AS111" s="1"/>
    </row>
    <row r="112" ht="13.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1"/>
      <c r="AO112" s="1"/>
      <c r="AP112" s="1"/>
      <c r="AQ112" s="1"/>
      <c r="AR112" s="1"/>
      <c r="AS112" s="1"/>
    </row>
    <row r="113" ht="13.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1"/>
      <c r="AO113" s="1"/>
      <c r="AP113" s="1"/>
      <c r="AQ113" s="1"/>
      <c r="AR113" s="1"/>
      <c r="AS113" s="1"/>
    </row>
    <row r="114" ht="13.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1"/>
      <c r="AO114" s="1"/>
      <c r="AP114" s="1"/>
      <c r="AQ114" s="1"/>
      <c r="AR114" s="1"/>
      <c r="AS114" s="1"/>
    </row>
    <row r="115" ht="13.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1"/>
      <c r="AO115" s="1"/>
      <c r="AP115" s="1"/>
      <c r="AQ115" s="1"/>
      <c r="AR115" s="1"/>
      <c r="AS115" s="1"/>
    </row>
    <row r="116" ht="13.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1"/>
      <c r="AO116" s="1"/>
      <c r="AP116" s="1"/>
      <c r="AQ116" s="1"/>
      <c r="AR116" s="1"/>
      <c r="AS116" s="1"/>
    </row>
    <row r="117" ht="13.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1"/>
      <c r="AO117" s="1"/>
      <c r="AP117" s="1"/>
      <c r="AQ117" s="1"/>
      <c r="AR117" s="1"/>
      <c r="AS117" s="1"/>
    </row>
    <row r="118" ht="13.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1"/>
      <c r="AO118" s="1"/>
      <c r="AP118" s="1"/>
      <c r="AQ118" s="1"/>
      <c r="AR118" s="1"/>
      <c r="AS118" s="1"/>
    </row>
    <row r="119" ht="13.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1"/>
      <c r="AO119" s="1"/>
      <c r="AP119" s="1"/>
      <c r="AQ119" s="1"/>
      <c r="AR119" s="1"/>
      <c r="AS119" s="1"/>
    </row>
    <row r="120" ht="13.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1"/>
      <c r="AO120" s="1"/>
      <c r="AP120" s="1"/>
      <c r="AQ120" s="1"/>
      <c r="AR120" s="1"/>
      <c r="AS120" s="1"/>
    </row>
    <row r="121" ht="13.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1"/>
      <c r="AO121" s="1"/>
      <c r="AP121" s="1"/>
      <c r="AQ121" s="1"/>
      <c r="AR121" s="1"/>
      <c r="AS121" s="1"/>
    </row>
    <row r="122" ht="13.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</row>
    <row r="123" ht="13.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</row>
    <row r="124" ht="13.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"/>
      <c r="AR124" s="1"/>
      <c r="AS124" s="1"/>
    </row>
    <row r="125" ht="13.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1"/>
      <c r="AO125" s="1"/>
      <c r="AP125" s="1"/>
      <c r="AQ125" s="1"/>
      <c r="AR125" s="1"/>
      <c r="AS125" s="1"/>
    </row>
    <row r="126" ht="13.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"/>
      <c r="AR126" s="1"/>
      <c r="AS126" s="1"/>
    </row>
    <row r="127" ht="13.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1"/>
      <c r="AO127" s="1"/>
      <c r="AP127" s="1"/>
      <c r="AQ127" s="1"/>
      <c r="AR127" s="1"/>
      <c r="AS127" s="1"/>
    </row>
    <row r="128" ht="13.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1"/>
      <c r="AO128" s="1"/>
      <c r="AP128" s="1"/>
      <c r="AQ128" s="1"/>
      <c r="AR128" s="1"/>
      <c r="AS128" s="1"/>
    </row>
    <row r="129" ht="13.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1"/>
      <c r="AO129" s="1"/>
      <c r="AP129" s="1"/>
      <c r="AQ129" s="1"/>
      <c r="AR129" s="1"/>
      <c r="AS129" s="1"/>
    </row>
    <row r="130" ht="13.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1"/>
      <c r="AO130" s="1"/>
      <c r="AP130" s="1"/>
      <c r="AQ130" s="1"/>
      <c r="AR130" s="1"/>
      <c r="AS130" s="1"/>
    </row>
    <row r="131" ht="13.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1"/>
      <c r="AO131" s="1"/>
      <c r="AP131" s="1"/>
      <c r="AQ131" s="1"/>
      <c r="AR131" s="1"/>
      <c r="AS131" s="1"/>
    </row>
    <row r="132" ht="13.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1"/>
      <c r="AO132" s="1"/>
      <c r="AP132" s="1"/>
      <c r="AQ132" s="1"/>
      <c r="AR132" s="1"/>
      <c r="AS132" s="1"/>
    </row>
    <row r="133" ht="13.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1"/>
      <c r="AO133" s="1"/>
      <c r="AP133" s="1"/>
      <c r="AQ133" s="1"/>
      <c r="AR133" s="1"/>
      <c r="AS133" s="1"/>
    </row>
    <row r="134" ht="13.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1"/>
      <c r="AO134" s="1"/>
      <c r="AP134" s="1"/>
      <c r="AQ134" s="1"/>
      <c r="AR134" s="1"/>
      <c r="AS134" s="1"/>
    </row>
    <row r="135" ht="13.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1"/>
      <c r="AO135" s="1"/>
      <c r="AP135" s="1"/>
      <c r="AQ135" s="1"/>
      <c r="AR135" s="1"/>
      <c r="AS135" s="1"/>
    </row>
    <row r="136" ht="13.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1"/>
      <c r="AO136" s="1"/>
      <c r="AP136" s="1"/>
      <c r="AQ136" s="1"/>
      <c r="AR136" s="1"/>
      <c r="AS136" s="1"/>
    </row>
    <row r="137" ht="13.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1"/>
      <c r="AO137" s="1"/>
      <c r="AP137" s="1"/>
      <c r="AQ137" s="1"/>
      <c r="AR137" s="1"/>
      <c r="AS137" s="1"/>
    </row>
    <row r="138" ht="13.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1"/>
      <c r="AO138" s="1"/>
      <c r="AP138" s="1"/>
      <c r="AQ138" s="1"/>
      <c r="AR138" s="1"/>
      <c r="AS138" s="1"/>
    </row>
    <row r="139" ht="13.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1"/>
      <c r="AO139" s="1"/>
      <c r="AP139" s="1"/>
      <c r="AQ139" s="1"/>
      <c r="AR139" s="1"/>
      <c r="AS139" s="1"/>
    </row>
    <row r="140" ht="13.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1"/>
      <c r="AO140" s="1"/>
      <c r="AP140" s="1"/>
      <c r="AQ140" s="1"/>
      <c r="AR140" s="1"/>
      <c r="AS140" s="1"/>
    </row>
    <row r="141" ht="13.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1"/>
      <c r="AO141" s="1"/>
      <c r="AP141" s="1"/>
      <c r="AQ141" s="1"/>
      <c r="AR141" s="1"/>
      <c r="AS141" s="1"/>
    </row>
    <row r="142" ht="13.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1"/>
      <c r="AO142" s="1"/>
      <c r="AP142" s="1"/>
      <c r="AQ142" s="1"/>
      <c r="AR142" s="1"/>
      <c r="AS142" s="1"/>
    </row>
    <row r="143" ht="13.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1"/>
      <c r="AR143" s="1"/>
      <c r="AS143" s="1"/>
    </row>
    <row r="144" ht="13.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1"/>
      <c r="AR144" s="1"/>
      <c r="AS144" s="1"/>
    </row>
    <row r="145" ht="13.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1"/>
      <c r="AR145" s="1"/>
      <c r="AS145" s="1"/>
    </row>
    <row r="146" ht="13.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1"/>
      <c r="AO146" s="1"/>
      <c r="AP146" s="1"/>
      <c r="AQ146" s="1"/>
      <c r="AR146" s="1"/>
      <c r="AS146" s="1"/>
    </row>
    <row r="147" ht="13.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</row>
    <row r="148" ht="13.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</row>
    <row r="149" ht="13.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</row>
    <row r="150" ht="13.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1"/>
      <c r="AO150" s="1"/>
      <c r="AP150" s="1"/>
      <c r="AQ150" s="1"/>
      <c r="AR150" s="1"/>
      <c r="AS150" s="1"/>
    </row>
    <row r="151" ht="13.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</row>
    <row r="152" ht="13.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1"/>
      <c r="AO152" s="1"/>
      <c r="AP152" s="1"/>
      <c r="AQ152" s="1"/>
      <c r="AR152" s="1"/>
      <c r="AS152" s="1"/>
    </row>
    <row r="153" ht="13.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1"/>
      <c r="AO153" s="1"/>
      <c r="AP153" s="1"/>
      <c r="AQ153" s="1"/>
      <c r="AR153" s="1"/>
      <c r="AS153" s="1"/>
    </row>
    <row r="154" ht="13.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1"/>
      <c r="AO154" s="1"/>
      <c r="AP154" s="1"/>
      <c r="AQ154" s="1"/>
      <c r="AR154" s="1"/>
      <c r="AS154" s="1"/>
    </row>
    <row r="155" ht="13.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1"/>
      <c r="AO155" s="1"/>
      <c r="AP155" s="1"/>
      <c r="AQ155" s="1"/>
      <c r="AR155" s="1"/>
      <c r="AS155" s="1"/>
    </row>
    <row r="156" ht="13.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1"/>
      <c r="AO156" s="1"/>
      <c r="AP156" s="1"/>
      <c r="AQ156" s="1"/>
      <c r="AR156" s="1"/>
      <c r="AS156" s="1"/>
    </row>
    <row r="157" ht="13.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1"/>
      <c r="AO157" s="1"/>
      <c r="AP157" s="1"/>
      <c r="AQ157" s="1"/>
      <c r="AR157" s="1"/>
      <c r="AS157" s="1"/>
    </row>
    <row r="158" ht="13.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1"/>
      <c r="AO158" s="1"/>
      <c r="AP158" s="1"/>
      <c r="AQ158" s="1"/>
      <c r="AR158" s="1"/>
      <c r="AS158" s="1"/>
    </row>
    <row r="159" ht="13.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1"/>
      <c r="AO159" s="1"/>
      <c r="AP159" s="1"/>
      <c r="AQ159" s="1"/>
      <c r="AR159" s="1"/>
      <c r="AS159" s="1"/>
    </row>
    <row r="160" ht="13.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1"/>
      <c r="AO160" s="1"/>
      <c r="AP160" s="1"/>
      <c r="AQ160" s="1"/>
      <c r="AR160" s="1"/>
      <c r="AS160" s="1"/>
    </row>
    <row r="161" ht="13.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1"/>
      <c r="AO161" s="1"/>
      <c r="AP161" s="1"/>
      <c r="AQ161" s="1"/>
      <c r="AR161" s="1"/>
      <c r="AS161" s="1"/>
    </row>
    <row r="162" ht="13.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1"/>
      <c r="AO162" s="1"/>
      <c r="AP162" s="1"/>
      <c r="AQ162" s="1"/>
      <c r="AR162" s="1"/>
      <c r="AS162" s="1"/>
    </row>
    <row r="163" ht="13.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1"/>
      <c r="AO163" s="1"/>
      <c r="AP163" s="1"/>
      <c r="AQ163" s="1"/>
      <c r="AR163" s="1"/>
      <c r="AS163" s="1"/>
    </row>
    <row r="164" ht="13.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1"/>
      <c r="AO164" s="1"/>
      <c r="AP164" s="1"/>
      <c r="AQ164" s="1"/>
      <c r="AR164" s="1"/>
      <c r="AS164" s="1"/>
    </row>
    <row r="165" ht="13.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1"/>
      <c r="AO165" s="1"/>
      <c r="AP165" s="1"/>
      <c r="AQ165" s="1"/>
      <c r="AR165" s="1"/>
      <c r="AS165" s="1"/>
    </row>
    <row r="166" ht="13.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1"/>
      <c r="AO166" s="1"/>
      <c r="AP166" s="1"/>
      <c r="AQ166" s="1"/>
      <c r="AR166" s="1"/>
      <c r="AS166" s="1"/>
    </row>
    <row r="167" ht="13.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1"/>
      <c r="AO167" s="1"/>
      <c r="AP167" s="1"/>
      <c r="AQ167" s="1"/>
      <c r="AR167" s="1"/>
      <c r="AS167" s="1"/>
    </row>
    <row r="168" ht="13.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1"/>
      <c r="AO168" s="1"/>
      <c r="AP168" s="1"/>
      <c r="AQ168" s="1"/>
      <c r="AR168" s="1"/>
      <c r="AS168" s="1"/>
    </row>
    <row r="169" ht="13.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1"/>
      <c r="AO169" s="1"/>
      <c r="AP169" s="1"/>
      <c r="AQ169" s="1"/>
      <c r="AR169" s="1"/>
      <c r="AS169" s="1"/>
    </row>
    <row r="170" ht="13.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</row>
    <row r="171" ht="13.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</row>
    <row r="172" ht="13.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</row>
    <row r="173" ht="13.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</row>
    <row r="174" ht="13.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</row>
    <row r="175" ht="13.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</row>
    <row r="176" ht="13.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</row>
    <row r="177" ht="13.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</row>
    <row r="178" ht="13.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</row>
    <row r="179" ht="13.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</row>
    <row r="180" ht="13.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</row>
    <row r="181" ht="13.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</row>
    <row r="182" ht="13.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</row>
    <row r="183" ht="13.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</row>
    <row r="184" ht="13.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</row>
    <row r="185" ht="13.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</row>
    <row r="186" ht="13.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</row>
    <row r="187" ht="13.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</row>
    <row r="188" ht="13.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</row>
    <row r="189" ht="13.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</row>
    <row r="190" ht="13.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</row>
    <row r="191" ht="13.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</row>
    <row r="192" ht="13.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</row>
    <row r="193" ht="13.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</row>
    <row r="194" ht="13.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</row>
    <row r="195" ht="13.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</row>
    <row r="196" ht="13.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</row>
    <row r="197" ht="13.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</row>
    <row r="198" ht="13.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</row>
    <row r="199" ht="13.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</row>
    <row r="200" ht="13.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</row>
    <row r="201" ht="13.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</row>
    <row r="202" ht="13.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</row>
    <row r="203" ht="13.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</row>
    <row r="204" ht="13.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</row>
    <row r="205" ht="13.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</row>
    <row r="206" ht="13.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</row>
    <row r="207" ht="13.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</row>
    <row r="208" ht="13.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</row>
    <row r="209" ht="13.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</row>
    <row r="210" ht="13.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</row>
    <row r="211" ht="13.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</row>
    <row r="212" ht="13.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</row>
    <row r="213" ht="13.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</row>
    <row r="214" ht="13.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</row>
    <row r="215" ht="13.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</row>
    <row r="216" ht="13.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</row>
    <row r="217" ht="13.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</row>
    <row r="218" ht="13.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</row>
    <row r="219" ht="13.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</row>
    <row r="220" ht="13.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</row>
    <row r="221" ht="13.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</row>
    <row r="222" ht="13.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</row>
    <row r="223" ht="13.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</row>
    <row r="224" ht="13.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</row>
    <row r="225" ht="13.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</row>
    <row r="226" ht="13.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</row>
    <row r="227" ht="13.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</row>
    <row r="228" ht="13.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</row>
    <row r="229" ht="13.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</row>
    <row r="230" ht="13.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</row>
    <row r="231" ht="13.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</row>
    <row r="232" ht="13.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</row>
    <row r="233" ht="13.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</row>
    <row r="234" ht="13.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</row>
    <row r="235" ht="13.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</row>
    <row r="236" ht="13.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</row>
    <row r="237" ht="13.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</row>
    <row r="238" ht="13.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</row>
    <row r="239" ht="13.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</row>
    <row r="240" ht="13.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</row>
    <row r="241" ht="13.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</row>
    <row r="242" ht="13.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</row>
    <row r="243" ht="13.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</row>
    <row r="244" ht="13.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</row>
    <row r="245" ht="13.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</row>
    <row r="246" ht="13.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</row>
    <row r="247" ht="13.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</row>
    <row r="248" ht="13.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</row>
    <row r="249" ht="13.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</row>
    <row r="250" ht="13.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</row>
    <row r="251" ht="13.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</row>
    <row r="252" ht="13.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1"/>
      <c r="AO252" s="1"/>
      <c r="AP252" s="1"/>
      <c r="AQ252" s="1"/>
      <c r="AR252" s="1"/>
      <c r="AS252" s="1"/>
    </row>
    <row r="253" ht="13.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</row>
    <row r="254" ht="13.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</row>
    <row r="255" ht="13.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</row>
    <row r="256" ht="13.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</row>
    <row r="257" ht="13.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</row>
    <row r="258" ht="13.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</row>
    <row r="259" ht="13.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</row>
    <row r="260" ht="13.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</row>
    <row r="261" ht="13.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</row>
    <row r="262" ht="13.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</row>
    <row r="263" ht="13.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</row>
    <row r="264" ht="13.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</row>
    <row r="265" ht="13.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</row>
    <row r="266" ht="13.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</row>
    <row r="267" ht="13.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</row>
    <row r="268" ht="13.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</row>
    <row r="269" ht="13.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</row>
    <row r="270" ht="13.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</row>
    <row r="271" ht="13.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</row>
    <row r="272" ht="13.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</row>
    <row r="273" ht="13.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</row>
    <row r="274" ht="13.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</row>
    <row r="275" ht="13.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</row>
    <row r="276" ht="13.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</row>
    <row r="277" ht="13.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</row>
    <row r="278" ht="13.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</row>
    <row r="279" ht="13.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</row>
    <row r="280" ht="13.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</row>
    <row r="281" ht="13.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</row>
    <row r="282" ht="13.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</row>
    <row r="283" ht="13.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</row>
    <row r="284" ht="13.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</row>
    <row r="285" ht="13.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</row>
    <row r="286" ht="13.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</row>
    <row r="287" ht="13.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</row>
    <row r="288" ht="13.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</row>
    <row r="289" ht="13.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</row>
    <row r="290" ht="13.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</row>
    <row r="291" ht="13.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</row>
    <row r="292" ht="13.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</row>
    <row r="293" ht="13.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</row>
    <row r="294" ht="13.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</row>
    <row r="295" ht="13.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</row>
    <row r="296" ht="13.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</row>
    <row r="297" ht="13.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</row>
    <row r="298" ht="13.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</row>
    <row r="299" ht="13.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</row>
    <row r="300" ht="13.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</row>
    <row r="301" ht="13.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</row>
    <row r="302" ht="13.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</row>
    <row r="303" ht="13.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</row>
    <row r="304" ht="13.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</row>
    <row r="305" ht="13.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</row>
    <row r="306" ht="13.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</row>
    <row r="307" ht="13.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</row>
    <row r="308" ht="13.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</row>
    <row r="309" ht="13.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</row>
    <row r="310" ht="13.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</row>
    <row r="311" ht="13.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</row>
    <row r="312" ht="13.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</row>
    <row r="313" ht="13.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</row>
    <row r="314" ht="13.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</row>
    <row r="315" ht="13.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</row>
    <row r="316" ht="13.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</row>
    <row r="317" ht="13.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</row>
    <row r="318" ht="13.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</row>
    <row r="319" ht="13.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</row>
    <row r="320" ht="13.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</row>
    <row r="321" ht="13.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</row>
    <row r="322" ht="13.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</row>
    <row r="323" ht="13.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</row>
    <row r="324" ht="13.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</row>
    <row r="325" ht="13.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</row>
    <row r="326" ht="13.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</row>
    <row r="327" ht="13.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</row>
    <row r="328" ht="13.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</row>
    <row r="329" ht="13.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</row>
    <row r="330" ht="13.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</row>
    <row r="331" ht="13.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</row>
    <row r="332" ht="13.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</row>
    <row r="333" ht="13.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</row>
    <row r="334" ht="13.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</row>
    <row r="335" ht="13.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</row>
    <row r="336" ht="13.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</row>
    <row r="337" ht="13.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</row>
    <row r="338" ht="13.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</row>
    <row r="339" ht="13.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</row>
    <row r="340" ht="13.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</row>
    <row r="341" ht="13.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</row>
    <row r="342" ht="13.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</row>
    <row r="343" ht="13.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</row>
    <row r="344" ht="13.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</row>
    <row r="345" ht="13.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</row>
    <row r="346" ht="13.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1"/>
      <c r="AO346" s="1"/>
      <c r="AP346" s="1"/>
      <c r="AQ346" s="1"/>
      <c r="AR346" s="1"/>
      <c r="AS346" s="1"/>
    </row>
    <row r="347" ht="13.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1"/>
      <c r="AO347" s="1"/>
      <c r="AP347" s="1"/>
      <c r="AQ347" s="1"/>
      <c r="AR347" s="1"/>
      <c r="AS347" s="1"/>
    </row>
    <row r="348" ht="13.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1"/>
      <c r="AO348" s="1"/>
      <c r="AP348" s="1"/>
      <c r="AQ348" s="1"/>
      <c r="AR348" s="1"/>
      <c r="AS348" s="1"/>
    </row>
    <row r="349" ht="13.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1"/>
      <c r="AO349" s="1"/>
      <c r="AP349" s="1"/>
      <c r="AQ349" s="1"/>
      <c r="AR349" s="1"/>
      <c r="AS349" s="1"/>
    </row>
    <row r="350" ht="13.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1"/>
      <c r="AO350" s="1"/>
      <c r="AP350" s="1"/>
      <c r="AQ350" s="1"/>
      <c r="AR350" s="1"/>
      <c r="AS350" s="1"/>
    </row>
    <row r="351" ht="13.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1"/>
      <c r="AO351" s="1"/>
      <c r="AP351" s="1"/>
      <c r="AQ351" s="1"/>
      <c r="AR351" s="1"/>
      <c r="AS351" s="1"/>
    </row>
    <row r="352" ht="13.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1"/>
      <c r="AO352" s="1"/>
      <c r="AP352" s="1"/>
      <c r="AQ352" s="1"/>
      <c r="AR352" s="1"/>
      <c r="AS352" s="1"/>
    </row>
    <row r="353" ht="13.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1"/>
      <c r="AO353" s="1"/>
      <c r="AP353" s="1"/>
      <c r="AQ353" s="1"/>
      <c r="AR353" s="1"/>
      <c r="AS353" s="1"/>
    </row>
    <row r="354" ht="13.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1"/>
      <c r="AO354" s="1"/>
      <c r="AP354" s="1"/>
      <c r="AQ354" s="1"/>
      <c r="AR354" s="1"/>
      <c r="AS354" s="1"/>
    </row>
    <row r="355" ht="13.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1"/>
      <c r="AO355" s="1"/>
      <c r="AP355" s="1"/>
      <c r="AQ355" s="1"/>
      <c r="AR355" s="1"/>
      <c r="AS355" s="1"/>
    </row>
    <row r="356" ht="13.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1"/>
      <c r="AO356" s="1"/>
      <c r="AP356" s="1"/>
      <c r="AQ356" s="1"/>
      <c r="AR356" s="1"/>
      <c r="AS356" s="1"/>
    </row>
    <row r="357" ht="13.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1"/>
      <c r="AO357" s="1"/>
      <c r="AP357" s="1"/>
      <c r="AQ357" s="1"/>
      <c r="AR357" s="1"/>
      <c r="AS357" s="1"/>
    </row>
    <row r="358" ht="13.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1"/>
      <c r="AO358" s="1"/>
      <c r="AP358" s="1"/>
      <c r="AQ358" s="1"/>
      <c r="AR358" s="1"/>
      <c r="AS358" s="1"/>
    </row>
    <row r="359" ht="13.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1"/>
      <c r="AO359" s="1"/>
      <c r="AP359" s="1"/>
      <c r="AQ359" s="1"/>
      <c r="AR359" s="1"/>
      <c r="AS359" s="1"/>
    </row>
    <row r="360" ht="13.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1"/>
      <c r="AO360" s="1"/>
      <c r="AP360" s="1"/>
      <c r="AQ360" s="1"/>
      <c r="AR360" s="1"/>
      <c r="AS360" s="1"/>
    </row>
    <row r="361" ht="13.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1"/>
      <c r="AO361" s="1"/>
      <c r="AP361" s="1"/>
      <c r="AQ361" s="1"/>
      <c r="AR361" s="1"/>
      <c r="AS361" s="1"/>
    </row>
    <row r="362" ht="13.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1"/>
      <c r="AO362" s="1"/>
      <c r="AP362" s="1"/>
      <c r="AQ362" s="1"/>
      <c r="AR362" s="1"/>
      <c r="AS362" s="1"/>
    </row>
    <row r="363" ht="13.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1"/>
      <c r="AO363" s="1"/>
      <c r="AP363" s="1"/>
      <c r="AQ363" s="1"/>
      <c r="AR363" s="1"/>
      <c r="AS363" s="1"/>
    </row>
    <row r="364" ht="13.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1"/>
      <c r="AO364" s="1"/>
      <c r="AP364" s="1"/>
      <c r="AQ364" s="1"/>
      <c r="AR364" s="1"/>
      <c r="AS364" s="1"/>
    </row>
    <row r="365" ht="13.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1"/>
      <c r="AO365" s="1"/>
      <c r="AP365" s="1"/>
      <c r="AQ365" s="1"/>
      <c r="AR365" s="1"/>
      <c r="AS365" s="1"/>
    </row>
    <row r="366" ht="13.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1"/>
      <c r="AO366" s="1"/>
      <c r="AP366" s="1"/>
      <c r="AQ366" s="1"/>
      <c r="AR366" s="1"/>
      <c r="AS366" s="1"/>
    </row>
    <row r="367" ht="13.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1"/>
      <c r="AO367" s="1"/>
      <c r="AP367" s="1"/>
      <c r="AQ367" s="1"/>
      <c r="AR367" s="1"/>
      <c r="AS367" s="1"/>
    </row>
    <row r="368" ht="13.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1"/>
      <c r="AO368" s="1"/>
      <c r="AP368" s="1"/>
      <c r="AQ368" s="1"/>
      <c r="AR368" s="1"/>
      <c r="AS368" s="1"/>
    </row>
    <row r="369" ht="13.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1"/>
      <c r="AO369" s="1"/>
      <c r="AP369" s="1"/>
      <c r="AQ369" s="1"/>
      <c r="AR369" s="1"/>
      <c r="AS369" s="1"/>
    </row>
    <row r="370" ht="13.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1"/>
      <c r="AO370" s="1"/>
      <c r="AP370" s="1"/>
      <c r="AQ370" s="1"/>
      <c r="AR370" s="1"/>
      <c r="AS370" s="1"/>
    </row>
    <row r="371" ht="13.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1"/>
      <c r="AO371" s="1"/>
      <c r="AP371" s="1"/>
      <c r="AQ371" s="1"/>
      <c r="AR371" s="1"/>
      <c r="AS371" s="1"/>
    </row>
    <row r="372" ht="13.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1"/>
      <c r="AO372" s="1"/>
      <c r="AP372" s="1"/>
      <c r="AQ372" s="1"/>
      <c r="AR372" s="1"/>
      <c r="AS372" s="1"/>
    </row>
    <row r="373" ht="13.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1"/>
      <c r="AO373" s="1"/>
      <c r="AP373" s="1"/>
      <c r="AQ373" s="1"/>
      <c r="AR373" s="1"/>
      <c r="AS373" s="1"/>
    </row>
    <row r="374" ht="13.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1"/>
      <c r="AO374" s="1"/>
      <c r="AP374" s="1"/>
      <c r="AQ374" s="1"/>
      <c r="AR374" s="1"/>
      <c r="AS374" s="1"/>
    </row>
    <row r="375" ht="13.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1"/>
      <c r="AO375" s="1"/>
      <c r="AP375" s="1"/>
      <c r="AQ375" s="1"/>
      <c r="AR375" s="1"/>
      <c r="AS375" s="1"/>
    </row>
    <row r="376" ht="13.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1"/>
      <c r="AO376" s="1"/>
      <c r="AP376" s="1"/>
      <c r="AQ376" s="1"/>
      <c r="AR376" s="1"/>
      <c r="AS376" s="1"/>
    </row>
    <row r="377" ht="13.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1"/>
      <c r="AO377" s="1"/>
      <c r="AP377" s="1"/>
      <c r="AQ377" s="1"/>
      <c r="AR377" s="1"/>
      <c r="AS377" s="1"/>
    </row>
    <row r="378" ht="13.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1"/>
      <c r="AO378" s="1"/>
      <c r="AP378" s="1"/>
      <c r="AQ378" s="1"/>
      <c r="AR378" s="1"/>
      <c r="AS378" s="1"/>
    </row>
    <row r="379" ht="13.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1"/>
      <c r="AO379" s="1"/>
      <c r="AP379" s="1"/>
      <c r="AQ379" s="1"/>
      <c r="AR379" s="1"/>
      <c r="AS379" s="1"/>
    </row>
    <row r="380" ht="13.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1"/>
      <c r="AO380" s="1"/>
      <c r="AP380" s="1"/>
      <c r="AQ380" s="1"/>
      <c r="AR380" s="1"/>
      <c r="AS380" s="1"/>
    </row>
    <row r="381" ht="13.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1"/>
      <c r="AO381" s="1"/>
      <c r="AP381" s="1"/>
      <c r="AQ381" s="1"/>
      <c r="AR381" s="1"/>
      <c r="AS381" s="1"/>
    </row>
    <row r="382" ht="13.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1"/>
      <c r="AO382" s="1"/>
      <c r="AP382" s="1"/>
      <c r="AQ382" s="1"/>
      <c r="AR382" s="1"/>
      <c r="AS382" s="1"/>
    </row>
    <row r="383" ht="13.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1"/>
      <c r="AO383" s="1"/>
      <c r="AP383" s="1"/>
      <c r="AQ383" s="1"/>
      <c r="AR383" s="1"/>
      <c r="AS383" s="1"/>
    </row>
    <row r="384" ht="13.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1"/>
      <c r="AO384" s="1"/>
      <c r="AP384" s="1"/>
      <c r="AQ384" s="1"/>
      <c r="AR384" s="1"/>
      <c r="AS384" s="1"/>
    </row>
    <row r="385" ht="13.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1"/>
      <c r="AO385" s="1"/>
      <c r="AP385" s="1"/>
      <c r="AQ385" s="1"/>
      <c r="AR385" s="1"/>
      <c r="AS385" s="1"/>
    </row>
    <row r="386" ht="13.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1"/>
      <c r="AO386" s="1"/>
      <c r="AP386" s="1"/>
      <c r="AQ386" s="1"/>
      <c r="AR386" s="1"/>
      <c r="AS386" s="1"/>
    </row>
    <row r="387" ht="13.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1"/>
      <c r="AO387" s="1"/>
      <c r="AP387" s="1"/>
      <c r="AQ387" s="1"/>
      <c r="AR387" s="1"/>
      <c r="AS387" s="1"/>
    </row>
    <row r="388" ht="13.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1"/>
      <c r="AO388" s="1"/>
      <c r="AP388" s="1"/>
      <c r="AQ388" s="1"/>
      <c r="AR388" s="1"/>
      <c r="AS388" s="1"/>
    </row>
    <row r="389" ht="13.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1"/>
      <c r="AO389" s="1"/>
      <c r="AP389" s="1"/>
      <c r="AQ389" s="1"/>
      <c r="AR389" s="1"/>
      <c r="AS389" s="1"/>
    </row>
    <row r="390" ht="13.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1"/>
      <c r="AO390" s="1"/>
      <c r="AP390" s="1"/>
      <c r="AQ390" s="1"/>
      <c r="AR390" s="1"/>
      <c r="AS390" s="1"/>
    </row>
    <row r="391" ht="13.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1"/>
      <c r="AO391" s="1"/>
      <c r="AP391" s="1"/>
      <c r="AQ391" s="1"/>
      <c r="AR391" s="1"/>
      <c r="AS391" s="1"/>
    </row>
    <row r="392" ht="13.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1"/>
      <c r="AO392" s="1"/>
      <c r="AP392" s="1"/>
      <c r="AQ392" s="1"/>
      <c r="AR392" s="1"/>
      <c r="AS392" s="1"/>
    </row>
    <row r="393" ht="13.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1"/>
      <c r="AO393" s="1"/>
      <c r="AP393" s="1"/>
      <c r="AQ393" s="1"/>
      <c r="AR393" s="1"/>
      <c r="AS393" s="1"/>
    </row>
    <row r="394" ht="13.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1"/>
      <c r="AO394" s="1"/>
      <c r="AP394" s="1"/>
      <c r="AQ394" s="1"/>
      <c r="AR394" s="1"/>
      <c r="AS394" s="1"/>
    </row>
    <row r="395" ht="13.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1"/>
      <c r="AO395" s="1"/>
      <c r="AP395" s="1"/>
      <c r="AQ395" s="1"/>
      <c r="AR395" s="1"/>
      <c r="AS395" s="1"/>
    </row>
    <row r="396" ht="13.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1"/>
      <c r="AO396" s="1"/>
      <c r="AP396" s="1"/>
      <c r="AQ396" s="1"/>
      <c r="AR396" s="1"/>
      <c r="AS396" s="1"/>
    </row>
    <row r="397" ht="13.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1"/>
      <c r="AO397" s="1"/>
      <c r="AP397" s="1"/>
      <c r="AQ397" s="1"/>
      <c r="AR397" s="1"/>
      <c r="AS397" s="1"/>
    </row>
    <row r="398" ht="13.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1"/>
      <c r="AO398" s="1"/>
      <c r="AP398" s="1"/>
      <c r="AQ398" s="1"/>
      <c r="AR398" s="1"/>
      <c r="AS398" s="1"/>
    </row>
    <row r="399" ht="13.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1"/>
      <c r="AO399" s="1"/>
      <c r="AP399" s="1"/>
      <c r="AQ399" s="1"/>
      <c r="AR399" s="1"/>
      <c r="AS399" s="1"/>
    </row>
    <row r="400" ht="13.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1"/>
      <c r="AO400" s="1"/>
      <c r="AP400" s="1"/>
      <c r="AQ400" s="1"/>
      <c r="AR400" s="1"/>
      <c r="AS400" s="1"/>
    </row>
    <row r="401" ht="13.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1"/>
      <c r="AO401" s="1"/>
      <c r="AP401" s="1"/>
      <c r="AQ401" s="1"/>
      <c r="AR401" s="1"/>
      <c r="AS401" s="1"/>
    </row>
    <row r="402" ht="13.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1"/>
      <c r="AO402" s="1"/>
      <c r="AP402" s="1"/>
      <c r="AQ402" s="1"/>
      <c r="AR402" s="1"/>
      <c r="AS402" s="1"/>
    </row>
    <row r="403" ht="13.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1"/>
      <c r="AO403" s="1"/>
      <c r="AP403" s="1"/>
      <c r="AQ403" s="1"/>
      <c r="AR403" s="1"/>
      <c r="AS403" s="1"/>
    </row>
    <row r="404" ht="13.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1"/>
      <c r="AO404" s="1"/>
      <c r="AP404" s="1"/>
      <c r="AQ404" s="1"/>
      <c r="AR404" s="1"/>
      <c r="AS404" s="1"/>
    </row>
    <row r="405" ht="13.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1"/>
      <c r="AO405" s="1"/>
      <c r="AP405" s="1"/>
      <c r="AQ405" s="1"/>
      <c r="AR405" s="1"/>
      <c r="AS405" s="1"/>
    </row>
    <row r="406" ht="13.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1"/>
      <c r="AO406" s="1"/>
      <c r="AP406" s="1"/>
      <c r="AQ406" s="1"/>
      <c r="AR406" s="1"/>
      <c r="AS406" s="1"/>
    </row>
    <row r="407" ht="13.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1"/>
      <c r="AO407" s="1"/>
      <c r="AP407" s="1"/>
      <c r="AQ407" s="1"/>
      <c r="AR407" s="1"/>
      <c r="AS407" s="1"/>
    </row>
    <row r="408" ht="13.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1"/>
      <c r="AO408" s="1"/>
      <c r="AP408" s="1"/>
      <c r="AQ408" s="1"/>
      <c r="AR408" s="1"/>
      <c r="AS408" s="1"/>
    </row>
    <row r="409" ht="13.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1"/>
      <c r="AO409" s="1"/>
      <c r="AP409" s="1"/>
      <c r="AQ409" s="1"/>
      <c r="AR409" s="1"/>
      <c r="AS409" s="1"/>
    </row>
    <row r="410" ht="13.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1"/>
      <c r="AO410" s="1"/>
      <c r="AP410" s="1"/>
      <c r="AQ410" s="1"/>
      <c r="AR410" s="1"/>
      <c r="AS410" s="1"/>
    </row>
    <row r="411" ht="13.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1"/>
      <c r="AO411" s="1"/>
      <c r="AP411" s="1"/>
      <c r="AQ411" s="1"/>
      <c r="AR411" s="1"/>
      <c r="AS411" s="1"/>
    </row>
    <row r="412" ht="13.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1"/>
      <c r="AO412" s="1"/>
      <c r="AP412" s="1"/>
      <c r="AQ412" s="1"/>
      <c r="AR412" s="1"/>
      <c r="AS412" s="1"/>
    </row>
    <row r="413" ht="13.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1"/>
      <c r="AO413" s="1"/>
      <c r="AP413" s="1"/>
      <c r="AQ413" s="1"/>
      <c r="AR413" s="1"/>
      <c r="AS413" s="1"/>
    </row>
    <row r="414" ht="13.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1"/>
      <c r="AO414" s="1"/>
      <c r="AP414" s="1"/>
      <c r="AQ414" s="1"/>
      <c r="AR414" s="1"/>
      <c r="AS414" s="1"/>
    </row>
    <row r="415" ht="13.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1"/>
      <c r="AO415" s="1"/>
      <c r="AP415" s="1"/>
      <c r="AQ415" s="1"/>
      <c r="AR415" s="1"/>
      <c r="AS415" s="1"/>
    </row>
    <row r="416" ht="13.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1"/>
      <c r="AO416" s="1"/>
      <c r="AP416" s="1"/>
      <c r="AQ416" s="1"/>
      <c r="AR416" s="1"/>
      <c r="AS416" s="1"/>
    </row>
    <row r="417" ht="13.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1"/>
      <c r="AO417" s="1"/>
      <c r="AP417" s="1"/>
      <c r="AQ417" s="1"/>
      <c r="AR417" s="1"/>
      <c r="AS417" s="1"/>
    </row>
    <row r="418" ht="13.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1"/>
      <c r="AO418" s="1"/>
      <c r="AP418" s="1"/>
      <c r="AQ418" s="1"/>
      <c r="AR418" s="1"/>
      <c r="AS418" s="1"/>
    </row>
    <row r="419" ht="13.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1"/>
      <c r="AO419" s="1"/>
      <c r="AP419" s="1"/>
      <c r="AQ419" s="1"/>
      <c r="AR419" s="1"/>
      <c r="AS419" s="1"/>
    </row>
    <row r="420" ht="13.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1"/>
      <c r="AO420" s="1"/>
      <c r="AP420" s="1"/>
      <c r="AQ420" s="1"/>
      <c r="AR420" s="1"/>
      <c r="AS420" s="1"/>
    </row>
    <row r="421" ht="13.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1"/>
      <c r="AO421" s="1"/>
      <c r="AP421" s="1"/>
      <c r="AQ421" s="1"/>
      <c r="AR421" s="1"/>
      <c r="AS421" s="1"/>
    </row>
    <row r="422" ht="13.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1"/>
      <c r="AO422" s="1"/>
      <c r="AP422" s="1"/>
      <c r="AQ422" s="1"/>
      <c r="AR422" s="1"/>
      <c r="AS422" s="1"/>
    </row>
    <row r="423" ht="13.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1"/>
      <c r="AO423" s="1"/>
      <c r="AP423" s="1"/>
      <c r="AQ423" s="1"/>
      <c r="AR423" s="1"/>
      <c r="AS423" s="1"/>
    </row>
    <row r="424" ht="13.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1"/>
      <c r="AO424" s="1"/>
      <c r="AP424" s="1"/>
      <c r="AQ424" s="1"/>
      <c r="AR424" s="1"/>
      <c r="AS424" s="1"/>
    </row>
    <row r="425" ht="13.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1"/>
      <c r="AO425" s="1"/>
      <c r="AP425" s="1"/>
      <c r="AQ425" s="1"/>
      <c r="AR425" s="1"/>
      <c r="AS425" s="1"/>
    </row>
    <row r="426" ht="13.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1"/>
      <c r="AO426" s="1"/>
      <c r="AP426" s="1"/>
      <c r="AQ426" s="1"/>
      <c r="AR426" s="1"/>
      <c r="AS426" s="1"/>
    </row>
    <row r="427" ht="13.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1"/>
      <c r="AO427" s="1"/>
      <c r="AP427" s="1"/>
      <c r="AQ427" s="1"/>
      <c r="AR427" s="1"/>
      <c r="AS427" s="1"/>
    </row>
    <row r="428" ht="13.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1"/>
      <c r="AO428" s="1"/>
      <c r="AP428" s="1"/>
      <c r="AQ428" s="1"/>
      <c r="AR428" s="1"/>
      <c r="AS428" s="1"/>
    </row>
    <row r="429" ht="13.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1"/>
      <c r="AO429" s="1"/>
      <c r="AP429" s="1"/>
      <c r="AQ429" s="1"/>
      <c r="AR429" s="1"/>
      <c r="AS429" s="1"/>
    </row>
    <row r="430" ht="13.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1"/>
      <c r="AO430" s="1"/>
      <c r="AP430" s="1"/>
      <c r="AQ430" s="1"/>
      <c r="AR430" s="1"/>
      <c r="AS430" s="1"/>
    </row>
    <row r="431" ht="13.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1"/>
      <c r="AO431" s="1"/>
      <c r="AP431" s="1"/>
      <c r="AQ431" s="1"/>
      <c r="AR431" s="1"/>
      <c r="AS431" s="1"/>
    </row>
    <row r="432" ht="13.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1"/>
      <c r="AO432" s="1"/>
      <c r="AP432" s="1"/>
      <c r="AQ432" s="1"/>
      <c r="AR432" s="1"/>
      <c r="AS432" s="1"/>
    </row>
    <row r="433" ht="13.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1"/>
      <c r="AO433" s="1"/>
      <c r="AP433" s="1"/>
      <c r="AQ433" s="1"/>
      <c r="AR433" s="1"/>
      <c r="AS433" s="1"/>
    </row>
    <row r="434" ht="13.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1"/>
      <c r="AO434" s="1"/>
      <c r="AP434" s="1"/>
      <c r="AQ434" s="1"/>
      <c r="AR434" s="1"/>
      <c r="AS434" s="1"/>
    </row>
    <row r="435" ht="13.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1"/>
      <c r="AO435" s="1"/>
      <c r="AP435" s="1"/>
      <c r="AQ435" s="1"/>
      <c r="AR435" s="1"/>
      <c r="AS435" s="1"/>
    </row>
    <row r="436" ht="13.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1"/>
      <c r="AO436" s="1"/>
      <c r="AP436" s="1"/>
      <c r="AQ436" s="1"/>
      <c r="AR436" s="1"/>
      <c r="AS436" s="1"/>
    </row>
    <row r="437" ht="13.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1"/>
      <c r="AO437" s="1"/>
      <c r="AP437" s="1"/>
      <c r="AQ437" s="1"/>
      <c r="AR437" s="1"/>
      <c r="AS437" s="1"/>
    </row>
    <row r="438" ht="13.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1"/>
      <c r="AO438" s="1"/>
      <c r="AP438" s="1"/>
      <c r="AQ438" s="1"/>
      <c r="AR438" s="1"/>
      <c r="AS438" s="1"/>
    </row>
    <row r="439" ht="13.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1"/>
      <c r="AO439" s="1"/>
      <c r="AP439" s="1"/>
      <c r="AQ439" s="1"/>
      <c r="AR439" s="1"/>
      <c r="AS439" s="1"/>
    </row>
    <row r="440" ht="13.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1"/>
      <c r="AO440" s="1"/>
      <c r="AP440" s="1"/>
      <c r="AQ440" s="1"/>
      <c r="AR440" s="1"/>
      <c r="AS440" s="1"/>
    </row>
    <row r="441" ht="13.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1"/>
      <c r="AO441" s="1"/>
      <c r="AP441" s="1"/>
      <c r="AQ441" s="1"/>
      <c r="AR441" s="1"/>
      <c r="AS441" s="1"/>
    </row>
    <row r="442" ht="13.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1"/>
      <c r="AO442" s="1"/>
      <c r="AP442" s="1"/>
      <c r="AQ442" s="1"/>
      <c r="AR442" s="1"/>
      <c r="AS442" s="1"/>
    </row>
    <row r="443" ht="13.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1"/>
      <c r="AO443" s="1"/>
      <c r="AP443" s="1"/>
      <c r="AQ443" s="1"/>
      <c r="AR443" s="1"/>
      <c r="AS443" s="1"/>
    </row>
    <row r="444" ht="13.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1"/>
      <c r="AO444" s="1"/>
      <c r="AP444" s="1"/>
      <c r="AQ444" s="1"/>
      <c r="AR444" s="1"/>
      <c r="AS444" s="1"/>
    </row>
    <row r="445" ht="13.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1"/>
      <c r="AO445" s="1"/>
      <c r="AP445" s="1"/>
      <c r="AQ445" s="1"/>
      <c r="AR445" s="1"/>
      <c r="AS445" s="1"/>
    </row>
    <row r="446" ht="13.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1"/>
      <c r="AO446" s="1"/>
      <c r="AP446" s="1"/>
      <c r="AQ446" s="1"/>
      <c r="AR446" s="1"/>
      <c r="AS446" s="1"/>
    </row>
    <row r="447" ht="13.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1"/>
      <c r="AO447" s="1"/>
      <c r="AP447" s="1"/>
      <c r="AQ447" s="1"/>
      <c r="AR447" s="1"/>
      <c r="AS447" s="1"/>
    </row>
    <row r="448" ht="13.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1"/>
      <c r="AO448" s="1"/>
      <c r="AP448" s="1"/>
      <c r="AQ448" s="1"/>
      <c r="AR448" s="1"/>
      <c r="AS448" s="1"/>
    </row>
    <row r="449" ht="13.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1"/>
      <c r="AO449" s="1"/>
      <c r="AP449" s="1"/>
      <c r="AQ449" s="1"/>
      <c r="AR449" s="1"/>
      <c r="AS449" s="1"/>
    </row>
    <row r="450" ht="13.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1"/>
      <c r="AO450" s="1"/>
      <c r="AP450" s="1"/>
      <c r="AQ450" s="1"/>
      <c r="AR450" s="1"/>
      <c r="AS450" s="1"/>
    </row>
    <row r="451" ht="13.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1"/>
      <c r="AO451" s="1"/>
      <c r="AP451" s="1"/>
      <c r="AQ451" s="1"/>
      <c r="AR451" s="1"/>
      <c r="AS451" s="1"/>
    </row>
    <row r="452" ht="13.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1"/>
      <c r="AO452" s="1"/>
      <c r="AP452" s="1"/>
      <c r="AQ452" s="1"/>
      <c r="AR452" s="1"/>
      <c r="AS452" s="1"/>
    </row>
    <row r="453" ht="13.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1"/>
      <c r="AO453" s="1"/>
      <c r="AP453" s="1"/>
      <c r="AQ453" s="1"/>
      <c r="AR453" s="1"/>
      <c r="AS453" s="1"/>
    </row>
    <row r="454" ht="13.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1"/>
      <c r="AO454" s="1"/>
      <c r="AP454" s="1"/>
      <c r="AQ454" s="1"/>
      <c r="AR454" s="1"/>
      <c r="AS454" s="1"/>
    </row>
    <row r="455" ht="13.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1"/>
      <c r="AO455" s="1"/>
      <c r="AP455" s="1"/>
      <c r="AQ455" s="1"/>
      <c r="AR455" s="1"/>
      <c r="AS455" s="1"/>
    </row>
    <row r="456" ht="13.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1"/>
      <c r="AO456" s="1"/>
      <c r="AP456" s="1"/>
      <c r="AQ456" s="1"/>
      <c r="AR456" s="1"/>
      <c r="AS456" s="1"/>
    </row>
    <row r="457" ht="13.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1"/>
      <c r="AO457" s="1"/>
      <c r="AP457" s="1"/>
      <c r="AQ457" s="1"/>
      <c r="AR457" s="1"/>
      <c r="AS457" s="1"/>
    </row>
    <row r="458" ht="13.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1"/>
      <c r="AO458" s="1"/>
      <c r="AP458" s="1"/>
      <c r="AQ458" s="1"/>
      <c r="AR458" s="1"/>
      <c r="AS458" s="1"/>
    </row>
    <row r="459" ht="13.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1"/>
      <c r="AO459" s="1"/>
      <c r="AP459" s="1"/>
      <c r="AQ459" s="1"/>
      <c r="AR459" s="1"/>
      <c r="AS459" s="1"/>
    </row>
    <row r="460" ht="13.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1"/>
      <c r="AO460" s="1"/>
      <c r="AP460" s="1"/>
      <c r="AQ460" s="1"/>
      <c r="AR460" s="1"/>
      <c r="AS460" s="1"/>
    </row>
    <row r="461" ht="13.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1"/>
      <c r="AO461" s="1"/>
      <c r="AP461" s="1"/>
      <c r="AQ461" s="1"/>
      <c r="AR461" s="1"/>
      <c r="AS461" s="1"/>
    </row>
    <row r="462" ht="13.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1"/>
      <c r="AO462" s="1"/>
      <c r="AP462" s="1"/>
      <c r="AQ462" s="1"/>
      <c r="AR462" s="1"/>
      <c r="AS462" s="1"/>
    </row>
    <row r="463" ht="13.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1"/>
      <c r="AO463" s="1"/>
      <c r="AP463" s="1"/>
      <c r="AQ463" s="1"/>
      <c r="AR463" s="1"/>
      <c r="AS463" s="1"/>
    </row>
    <row r="464" ht="13.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1"/>
      <c r="AO464" s="1"/>
      <c r="AP464" s="1"/>
      <c r="AQ464" s="1"/>
      <c r="AR464" s="1"/>
      <c r="AS464" s="1"/>
    </row>
    <row r="465" ht="13.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1"/>
      <c r="AO465" s="1"/>
      <c r="AP465" s="1"/>
      <c r="AQ465" s="1"/>
      <c r="AR465" s="1"/>
      <c r="AS465" s="1"/>
    </row>
    <row r="466" ht="13.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1"/>
      <c r="AO466" s="1"/>
      <c r="AP466" s="1"/>
      <c r="AQ466" s="1"/>
      <c r="AR466" s="1"/>
      <c r="AS466" s="1"/>
    </row>
    <row r="467" ht="13.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1"/>
      <c r="AO467" s="1"/>
      <c r="AP467" s="1"/>
      <c r="AQ467" s="1"/>
      <c r="AR467" s="1"/>
      <c r="AS467" s="1"/>
    </row>
    <row r="468" ht="13.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1"/>
      <c r="AO468" s="1"/>
      <c r="AP468" s="1"/>
      <c r="AQ468" s="1"/>
      <c r="AR468" s="1"/>
      <c r="AS468" s="1"/>
    </row>
    <row r="469" ht="13.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1"/>
      <c r="AO469" s="1"/>
      <c r="AP469" s="1"/>
      <c r="AQ469" s="1"/>
      <c r="AR469" s="1"/>
      <c r="AS469" s="1"/>
    </row>
    <row r="470" ht="13.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1"/>
      <c r="AO470" s="1"/>
      <c r="AP470" s="1"/>
      <c r="AQ470" s="1"/>
      <c r="AR470" s="1"/>
      <c r="AS470" s="1"/>
    </row>
    <row r="471" ht="13.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1"/>
      <c r="AO471" s="1"/>
      <c r="AP471" s="1"/>
      <c r="AQ471" s="1"/>
      <c r="AR471" s="1"/>
      <c r="AS471" s="1"/>
    </row>
    <row r="472" ht="13.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1"/>
      <c r="AO472" s="1"/>
      <c r="AP472" s="1"/>
      <c r="AQ472" s="1"/>
      <c r="AR472" s="1"/>
      <c r="AS472" s="1"/>
    </row>
    <row r="473" ht="13.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1"/>
      <c r="AO473" s="1"/>
      <c r="AP473" s="1"/>
      <c r="AQ473" s="1"/>
      <c r="AR473" s="1"/>
      <c r="AS473" s="1"/>
    </row>
    <row r="474" ht="13.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1"/>
      <c r="AO474" s="1"/>
      <c r="AP474" s="1"/>
      <c r="AQ474" s="1"/>
      <c r="AR474" s="1"/>
      <c r="AS474" s="1"/>
    </row>
    <row r="475" ht="13.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1"/>
      <c r="AO475" s="1"/>
      <c r="AP475" s="1"/>
      <c r="AQ475" s="1"/>
      <c r="AR475" s="1"/>
      <c r="AS475" s="1"/>
    </row>
    <row r="476" ht="13.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1"/>
      <c r="AO476" s="1"/>
      <c r="AP476" s="1"/>
      <c r="AQ476" s="1"/>
      <c r="AR476" s="1"/>
      <c r="AS476" s="1"/>
    </row>
    <row r="477" ht="13.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1"/>
      <c r="AO477" s="1"/>
      <c r="AP477" s="1"/>
      <c r="AQ477" s="1"/>
      <c r="AR477" s="1"/>
      <c r="AS477" s="1"/>
    </row>
    <row r="478" ht="13.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1"/>
      <c r="AO478" s="1"/>
      <c r="AP478" s="1"/>
      <c r="AQ478" s="1"/>
      <c r="AR478" s="1"/>
      <c r="AS478" s="1"/>
    </row>
    <row r="479" ht="13.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1"/>
      <c r="AO479" s="1"/>
      <c r="AP479" s="1"/>
      <c r="AQ479" s="1"/>
      <c r="AR479" s="1"/>
      <c r="AS479" s="1"/>
    </row>
    <row r="480" ht="13.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1"/>
      <c r="AO480" s="1"/>
      <c r="AP480" s="1"/>
      <c r="AQ480" s="1"/>
      <c r="AR480" s="1"/>
      <c r="AS480" s="1"/>
    </row>
    <row r="481" ht="13.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1"/>
      <c r="AO481" s="1"/>
      <c r="AP481" s="1"/>
      <c r="AQ481" s="1"/>
      <c r="AR481" s="1"/>
      <c r="AS481" s="1"/>
    </row>
    <row r="482" ht="13.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1"/>
      <c r="AO482" s="1"/>
      <c r="AP482" s="1"/>
      <c r="AQ482" s="1"/>
      <c r="AR482" s="1"/>
      <c r="AS482" s="1"/>
    </row>
    <row r="483" ht="13.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1"/>
      <c r="AO483" s="1"/>
      <c r="AP483" s="1"/>
      <c r="AQ483" s="1"/>
      <c r="AR483" s="1"/>
      <c r="AS483" s="1"/>
    </row>
    <row r="484" ht="13.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1"/>
      <c r="AO484" s="1"/>
      <c r="AP484" s="1"/>
      <c r="AQ484" s="1"/>
      <c r="AR484" s="1"/>
      <c r="AS484" s="1"/>
    </row>
    <row r="485" ht="13.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1"/>
      <c r="AO485" s="1"/>
      <c r="AP485" s="1"/>
      <c r="AQ485" s="1"/>
      <c r="AR485" s="1"/>
      <c r="AS485" s="1"/>
    </row>
    <row r="486" ht="13.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1"/>
      <c r="AO486" s="1"/>
      <c r="AP486" s="1"/>
      <c r="AQ486" s="1"/>
      <c r="AR486" s="1"/>
      <c r="AS486" s="1"/>
    </row>
    <row r="487" ht="13.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1"/>
      <c r="AO487" s="1"/>
      <c r="AP487" s="1"/>
      <c r="AQ487" s="1"/>
      <c r="AR487" s="1"/>
      <c r="AS487" s="1"/>
    </row>
    <row r="488" ht="13.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1"/>
      <c r="AO488" s="1"/>
      <c r="AP488" s="1"/>
      <c r="AQ488" s="1"/>
      <c r="AR488" s="1"/>
      <c r="AS488" s="1"/>
    </row>
    <row r="489" ht="13.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1"/>
      <c r="AO489" s="1"/>
      <c r="AP489" s="1"/>
      <c r="AQ489" s="1"/>
      <c r="AR489" s="1"/>
      <c r="AS489" s="1"/>
    </row>
    <row r="490" ht="13.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1"/>
      <c r="AO490" s="1"/>
      <c r="AP490" s="1"/>
      <c r="AQ490" s="1"/>
      <c r="AR490" s="1"/>
      <c r="AS490" s="1"/>
    </row>
    <row r="491" ht="13.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1"/>
      <c r="AO491" s="1"/>
      <c r="AP491" s="1"/>
      <c r="AQ491" s="1"/>
      <c r="AR491" s="1"/>
      <c r="AS491" s="1"/>
    </row>
    <row r="492" ht="13.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1"/>
      <c r="AO492" s="1"/>
      <c r="AP492" s="1"/>
      <c r="AQ492" s="1"/>
      <c r="AR492" s="1"/>
      <c r="AS492" s="1"/>
    </row>
    <row r="493" ht="13.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1"/>
      <c r="AO493" s="1"/>
      <c r="AP493" s="1"/>
      <c r="AQ493" s="1"/>
      <c r="AR493" s="1"/>
      <c r="AS493" s="1"/>
    </row>
    <row r="494" ht="13.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1"/>
      <c r="AO494" s="1"/>
      <c r="AP494" s="1"/>
      <c r="AQ494" s="1"/>
      <c r="AR494" s="1"/>
      <c r="AS494" s="1"/>
    </row>
    <row r="495" ht="13.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1"/>
      <c r="AO495" s="1"/>
      <c r="AP495" s="1"/>
      <c r="AQ495" s="1"/>
      <c r="AR495" s="1"/>
      <c r="AS495" s="1"/>
    </row>
    <row r="496" ht="13.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1"/>
      <c r="AO496" s="1"/>
      <c r="AP496" s="1"/>
      <c r="AQ496" s="1"/>
      <c r="AR496" s="1"/>
      <c r="AS496" s="1"/>
    </row>
    <row r="497" ht="13.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1"/>
      <c r="AO497" s="1"/>
      <c r="AP497" s="1"/>
      <c r="AQ497" s="1"/>
      <c r="AR497" s="1"/>
      <c r="AS497" s="1"/>
    </row>
    <row r="498" ht="13.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1"/>
      <c r="AO498" s="1"/>
      <c r="AP498" s="1"/>
      <c r="AQ498" s="1"/>
      <c r="AR498" s="1"/>
      <c r="AS498" s="1"/>
    </row>
    <row r="499" ht="13.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1"/>
      <c r="AO499" s="1"/>
      <c r="AP499" s="1"/>
      <c r="AQ499" s="1"/>
      <c r="AR499" s="1"/>
      <c r="AS499" s="1"/>
    </row>
    <row r="500" ht="13.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1"/>
      <c r="AO500" s="1"/>
      <c r="AP500" s="1"/>
      <c r="AQ500" s="1"/>
      <c r="AR500" s="1"/>
      <c r="AS500" s="1"/>
    </row>
    <row r="501" ht="13.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1"/>
      <c r="AO501" s="1"/>
      <c r="AP501" s="1"/>
      <c r="AQ501" s="1"/>
      <c r="AR501" s="1"/>
      <c r="AS501" s="1"/>
    </row>
    <row r="502" ht="13.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1"/>
      <c r="AO502" s="1"/>
      <c r="AP502" s="1"/>
      <c r="AQ502" s="1"/>
      <c r="AR502" s="1"/>
      <c r="AS502" s="1"/>
    </row>
    <row r="503" ht="13.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1"/>
      <c r="AO503" s="1"/>
      <c r="AP503" s="1"/>
      <c r="AQ503" s="1"/>
      <c r="AR503" s="1"/>
      <c r="AS503" s="1"/>
    </row>
    <row r="504" ht="13.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1"/>
      <c r="AO504" s="1"/>
      <c r="AP504" s="1"/>
      <c r="AQ504" s="1"/>
      <c r="AR504" s="1"/>
      <c r="AS504" s="1"/>
    </row>
    <row r="505" ht="13.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1"/>
      <c r="AO505" s="1"/>
      <c r="AP505" s="1"/>
      <c r="AQ505" s="1"/>
      <c r="AR505" s="1"/>
      <c r="AS505" s="1"/>
    </row>
    <row r="506" ht="13.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1"/>
      <c r="AO506" s="1"/>
      <c r="AP506" s="1"/>
      <c r="AQ506" s="1"/>
      <c r="AR506" s="1"/>
      <c r="AS506" s="1"/>
    </row>
    <row r="507" ht="13.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1"/>
      <c r="AO507" s="1"/>
      <c r="AP507" s="1"/>
      <c r="AQ507" s="1"/>
      <c r="AR507" s="1"/>
      <c r="AS507" s="1"/>
    </row>
    <row r="508" ht="13.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1"/>
      <c r="AO508" s="1"/>
      <c r="AP508" s="1"/>
      <c r="AQ508" s="1"/>
      <c r="AR508" s="1"/>
      <c r="AS508" s="1"/>
    </row>
    <row r="509" ht="13.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1"/>
      <c r="AO509" s="1"/>
      <c r="AP509" s="1"/>
      <c r="AQ509" s="1"/>
      <c r="AR509" s="1"/>
      <c r="AS509" s="1"/>
    </row>
    <row r="510" ht="13.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1"/>
      <c r="AO510" s="1"/>
      <c r="AP510" s="1"/>
      <c r="AQ510" s="1"/>
      <c r="AR510" s="1"/>
      <c r="AS510" s="1"/>
    </row>
    <row r="511" ht="13.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1"/>
      <c r="AO511" s="1"/>
      <c r="AP511" s="1"/>
      <c r="AQ511" s="1"/>
      <c r="AR511" s="1"/>
      <c r="AS511" s="1"/>
    </row>
    <row r="512" ht="13.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1"/>
      <c r="AO512" s="1"/>
      <c r="AP512" s="1"/>
      <c r="AQ512" s="1"/>
      <c r="AR512" s="1"/>
      <c r="AS512" s="1"/>
    </row>
    <row r="513" ht="13.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1"/>
      <c r="AO513" s="1"/>
      <c r="AP513" s="1"/>
      <c r="AQ513" s="1"/>
      <c r="AR513" s="1"/>
      <c r="AS513" s="1"/>
    </row>
    <row r="514" ht="13.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1"/>
      <c r="AO514" s="1"/>
      <c r="AP514" s="1"/>
      <c r="AQ514" s="1"/>
      <c r="AR514" s="1"/>
      <c r="AS514" s="1"/>
    </row>
    <row r="515" ht="13.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1"/>
      <c r="AO515" s="1"/>
      <c r="AP515" s="1"/>
      <c r="AQ515" s="1"/>
      <c r="AR515" s="1"/>
      <c r="AS515" s="1"/>
    </row>
    <row r="516" ht="13.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1"/>
      <c r="AO516" s="1"/>
      <c r="AP516" s="1"/>
      <c r="AQ516" s="1"/>
      <c r="AR516" s="1"/>
      <c r="AS516" s="1"/>
    </row>
    <row r="517" ht="13.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1"/>
      <c r="AO517" s="1"/>
      <c r="AP517" s="1"/>
      <c r="AQ517" s="1"/>
      <c r="AR517" s="1"/>
      <c r="AS517" s="1"/>
    </row>
    <row r="518" ht="13.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1"/>
      <c r="AO518" s="1"/>
      <c r="AP518" s="1"/>
      <c r="AQ518" s="1"/>
      <c r="AR518" s="1"/>
      <c r="AS518" s="1"/>
    </row>
    <row r="519" ht="13.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1"/>
      <c r="AO519" s="1"/>
      <c r="AP519" s="1"/>
      <c r="AQ519" s="1"/>
      <c r="AR519" s="1"/>
      <c r="AS519" s="1"/>
    </row>
    <row r="520" ht="13.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1"/>
      <c r="AO520" s="1"/>
      <c r="AP520" s="1"/>
      <c r="AQ520" s="1"/>
      <c r="AR520" s="1"/>
      <c r="AS520" s="1"/>
    </row>
    <row r="521" ht="13.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1"/>
      <c r="AO521" s="1"/>
      <c r="AP521" s="1"/>
      <c r="AQ521" s="1"/>
      <c r="AR521" s="1"/>
      <c r="AS521" s="1"/>
    </row>
    <row r="522" ht="13.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1"/>
      <c r="AO522" s="1"/>
      <c r="AP522" s="1"/>
      <c r="AQ522" s="1"/>
      <c r="AR522" s="1"/>
      <c r="AS522" s="1"/>
    </row>
    <row r="523" ht="13.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1"/>
      <c r="AO523" s="1"/>
      <c r="AP523" s="1"/>
      <c r="AQ523" s="1"/>
      <c r="AR523" s="1"/>
      <c r="AS523" s="1"/>
    </row>
    <row r="524" ht="13.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1"/>
      <c r="AO524" s="1"/>
      <c r="AP524" s="1"/>
      <c r="AQ524" s="1"/>
      <c r="AR524" s="1"/>
      <c r="AS524" s="1"/>
    </row>
    <row r="525" ht="13.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1"/>
      <c r="AO525" s="1"/>
      <c r="AP525" s="1"/>
      <c r="AQ525" s="1"/>
      <c r="AR525" s="1"/>
      <c r="AS525" s="1"/>
    </row>
    <row r="526" ht="13.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1"/>
      <c r="AO526" s="1"/>
      <c r="AP526" s="1"/>
      <c r="AQ526" s="1"/>
      <c r="AR526" s="1"/>
      <c r="AS526" s="1"/>
    </row>
    <row r="527" ht="13.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1"/>
      <c r="AO527" s="1"/>
      <c r="AP527" s="1"/>
      <c r="AQ527" s="1"/>
      <c r="AR527" s="1"/>
      <c r="AS527" s="1"/>
    </row>
    <row r="528" ht="13.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1"/>
      <c r="AO528" s="1"/>
      <c r="AP528" s="1"/>
      <c r="AQ528" s="1"/>
      <c r="AR528" s="1"/>
      <c r="AS528" s="1"/>
    </row>
    <row r="529" ht="13.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1"/>
      <c r="AO529" s="1"/>
      <c r="AP529" s="1"/>
      <c r="AQ529" s="1"/>
      <c r="AR529" s="1"/>
      <c r="AS529" s="1"/>
    </row>
    <row r="530" ht="13.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1"/>
      <c r="AO530" s="1"/>
      <c r="AP530" s="1"/>
      <c r="AQ530" s="1"/>
      <c r="AR530" s="1"/>
      <c r="AS530" s="1"/>
    </row>
    <row r="531" ht="13.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1"/>
      <c r="AO531" s="1"/>
      <c r="AP531" s="1"/>
      <c r="AQ531" s="1"/>
      <c r="AR531" s="1"/>
      <c r="AS531" s="1"/>
    </row>
    <row r="532" ht="13.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1"/>
      <c r="AO532" s="1"/>
      <c r="AP532" s="1"/>
      <c r="AQ532" s="1"/>
      <c r="AR532" s="1"/>
      <c r="AS532" s="1"/>
    </row>
    <row r="533" ht="13.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1"/>
      <c r="AO533" s="1"/>
      <c r="AP533" s="1"/>
      <c r="AQ533" s="1"/>
      <c r="AR533" s="1"/>
      <c r="AS533" s="1"/>
    </row>
    <row r="534" ht="13.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1"/>
      <c r="AO534" s="1"/>
      <c r="AP534" s="1"/>
      <c r="AQ534" s="1"/>
      <c r="AR534" s="1"/>
      <c r="AS534" s="1"/>
    </row>
    <row r="535" ht="13.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1"/>
      <c r="AO535" s="1"/>
      <c r="AP535" s="1"/>
      <c r="AQ535" s="1"/>
      <c r="AR535" s="1"/>
      <c r="AS535" s="1"/>
    </row>
    <row r="536" ht="13.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1"/>
      <c r="AO536" s="1"/>
      <c r="AP536" s="1"/>
      <c r="AQ536" s="1"/>
      <c r="AR536" s="1"/>
      <c r="AS536" s="1"/>
    </row>
    <row r="537" ht="13.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1"/>
      <c r="AO537" s="1"/>
      <c r="AP537" s="1"/>
      <c r="AQ537" s="1"/>
      <c r="AR537" s="1"/>
      <c r="AS537" s="1"/>
    </row>
    <row r="538" ht="13.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1"/>
      <c r="AO538" s="1"/>
      <c r="AP538" s="1"/>
      <c r="AQ538" s="1"/>
      <c r="AR538" s="1"/>
      <c r="AS538" s="1"/>
    </row>
    <row r="539" ht="13.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1"/>
      <c r="AO539" s="1"/>
      <c r="AP539" s="1"/>
      <c r="AQ539" s="1"/>
      <c r="AR539" s="1"/>
      <c r="AS539" s="1"/>
    </row>
    <row r="540" ht="13.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1"/>
      <c r="AO540" s="1"/>
      <c r="AP540" s="1"/>
      <c r="AQ540" s="1"/>
      <c r="AR540" s="1"/>
      <c r="AS540" s="1"/>
    </row>
    <row r="541" ht="13.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1"/>
      <c r="AO541" s="1"/>
      <c r="AP541" s="1"/>
      <c r="AQ541" s="1"/>
      <c r="AR541" s="1"/>
      <c r="AS541" s="1"/>
    </row>
    <row r="542" ht="13.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1"/>
      <c r="AO542" s="1"/>
      <c r="AP542" s="1"/>
      <c r="AQ542" s="1"/>
      <c r="AR542" s="1"/>
      <c r="AS542" s="1"/>
    </row>
    <row r="543" ht="13.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1"/>
      <c r="AO543" s="1"/>
      <c r="AP543" s="1"/>
      <c r="AQ543" s="1"/>
      <c r="AR543" s="1"/>
      <c r="AS543" s="1"/>
    </row>
    <row r="544" ht="13.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1"/>
      <c r="AO544" s="1"/>
      <c r="AP544" s="1"/>
      <c r="AQ544" s="1"/>
      <c r="AR544" s="1"/>
      <c r="AS544" s="1"/>
    </row>
    <row r="545" ht="13.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1"/>
      <c r="AO545" s="1"/>
      <c r="AP545" s="1"/>
      <c r="AQ545" s="1"/>
      <c r="AR545" s="1"/>
      <c r="AS545" s="1"/>
    </row>
    <row r="546" ht="13.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1"/>
      <c r="AO546" s="1"/>
      <c r="AP546" s="1"/>
      <c r="AQ546" s="1"/>
      <c r="AR546" s="1"/>
      <c r="AS546" s="1"/>
    </row>
    <row r="547" ht="13.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1"/>
      <c r="AO547" s="1"/>
      <c r="AP547" s="1"/>
      <c r="AQ547" s="1"/>
      <c r="AR547" s="1"/>
      <c r="AS547" s="1"/>
    </row>
    <row r="548" ht="13.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1"/>
      <c r="AO548" s="1"/>
      <c r="AP548" s="1"/>
      <c r="AQ548" s="1"/>
      <c r="AR548" s="1"/>
      <c r="AS548" s="1"/>
    </row>
    <row r="549" ht="13.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1"/>
      <c r="AO549" s="1"/>
      <c r="AP549" s="1"/>
      <c r="AQ549" s="1"/>
      <c r="AR549" s="1"/>
      <c r="AS549" s="1"/>
    </row>
    <row r="550" ht="13.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1"/>
      <c r="AO550" s="1"/>
      <c r="AP550" s="1"/>
      <c r="AQ550" s="1"/>
      <c r="AR550" s="1"/>
      <c r="AS550" s="1"/>
    </row>
    <row r="551" ht="13.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1"/>
      <c r="AO551" s="1"/>
      <c r="AP551" s="1"/>
      <c r="AQ551" s="1"/>
      <c r="AR551" s="1"/>
      <c r="AS551" s="1"/>
    </row>
    <row r="552" ht="13.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1"/>
      <c r="AO552" s="1"/>
      <c r="AP552" s="1"/>
      <c r="AQ552" s="1"/>
      <c r="AR552" s="1"/>
      <c r="AS552" s="1"/>
    </row>
    <row r="553" ht="13.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1"/>
      <c r="AO553" s="1"/>
      <c r="AP553" s="1"/>
      <c r="AQ553" s="1"/>
      <c r="AR553" s="1"/>
      <c r="AS553" s="1"/>
    </row>
    <row r="554" ht="13.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1"/>
      <c r="AO554" s="1"/>
      <c r="AP554" s="1"/>
      <c r="AQ554" s="1"/>
      <c r="AR554" s="1"/>
      <c r="AS554" s="1"/>
    </row>
    <row r="555" ht="13.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1"/>
      <c r="AO555" s="1"/>
      <c r="AP555" s="1"/>
      <c r="AQ555" s="1"/>
      <c r="AR555" s="1"/>
      <c r="AS555" s="1"/>
    </row>
    <row r="556" ht="13.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1"/>
      <c r="AO556" s="1"/>
      <c r="AP556" s="1"/>
      <c r="AQ556" s="1"/>
      <c r="AR556" s="1"/>
      <c r="AS556" s="1"/>
    </row>
    <row r="557" ht="13.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1"/>
      <c r="AO557" s="1"/>
      <c r="AP557" s="1"/>
      <c r="AQ557" s="1"/>
      <c r="AR557" s="1"/>
      <c r="AS557" s="1"/>
    </row>
    <row r="558" ht="13.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1"/>
      <c r="AO558" s="1"/>
      <c r="AP558" s="1"/>
      <c r="AQ558" s="1"/>
      <c r="AR558" s="1"/>
      <c r="AS558" s="1"/>
    </row>
    <row r="559" ht="13.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1"/>
      <c r="AO559" s="1"/>
      <c r="AP559" s="1"/>
      <c r="AQ559" s="1"/>
      <c r="AR559" s="1"/>
      <c r="AS559" s="1"/>
    </row>
    <row r="560" ht="13.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1"/>
      <c r="AO560" s="1"/>
      <c r="AP560" s="1"/>
      <c r="AQ560" s="1"/>
      <c r="AR560" s="1"/>
      <c r="AS560" s="1"/>
    </row>
    <row r="561" ht="13.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1"/>
      <c r="AO561" s="1"/>
      <c r="AP561" s="1"/>
      <c r="AQ561" s="1"/>
      <c r="AR561" s="1"/>
      <c r="AS561" s="1"/>
    </row>
    <row r="562" ht="13.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1"/>
      <c r="AO562" s="1"/>
      <c r="AP562" s="1"/>
      <c r="AQ562" s="1"/>
      <c r="AR562" s="1"/>
      <c r="AS562" s="1"/>
    </row>
    <row r="563" ht="13.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1"/>
      <c r="AO563" s="1"/>
      <c r="AP563" s="1"/>
      <c r="AQ563" s="1"/>
      <c r="AR563" s="1"/>
      <c r="AS563" s="1"/>
    </row>
    <row r="564" ht="13.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1"/>
      <c r="AO564" s="1"/>
      <c r="AP564" s="1"/>
      <c r="AQ564" s="1"/>
      <c r="AR564" s="1"/>
      <c r="AS564" s="1"/>
    </row>
    <row r="565" ht="13.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1"/>
      <c r="AO565" s="1"/>
      <c r="AP565" s="1"/>
      <c r="AQ565" s="1"/>
      <c r="AR565" s="1"/>
      <c r="AS565" s="1"/>
    </row>
    <row r="566" ht="13.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1"/>
      <c r="AO566" s="1"/>
      <c r="AP566" s="1"/>
      <c r="AQ566" s="1"/>
      <c r="AR566" s="1"/>
      <c r="AS566" s="1"/>
    </row>
    <row r="567" ht="13.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1"/>
      <c r="AO567" s="1"/>
      <c r="AP567" s="1"/>
      <c r="AQ567" s="1"/>
      <c r="AR567" s="1"/>
      <c r="AS567" s="1"/>
    </row>
    <row r="568" ht="13.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1"/>
      <c r="AO568" s="1"/>
      <c r="AP568" s="1"/>
      <c r="AQ568" s="1"/>
      <c r="AR568" s="1"/>
      <c r="AS568" s="1"/>
    </row>
    <row r="569" ht="13.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1"/>
      <c r="AO569" s="1"/>
      <c r="AP569" s="1"/>
      <c r="AQ569" s="1"/>
      <c r="AR569" s="1"/>
      <c r="AS569" s="1"/>
    </row>
    <row r="570" ht="13.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1"/>
      <c r="AO570" s="1"/>
      <c r="AP570" s="1"/>
      <c r="AQ570" s="1"/>
      <c r="AR570" s="1"/>
      <c r="AS570" s="1"/>
    </row>
    <row r="571" ht="13.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1"/>
      <c r="AO571" s="1"/>
      <c r="AP571" s="1"/>
      <c r="AQ571" s="1"/>
      <c r="AR571" s="1"/>
      <c r="AS571" s="1"/>
    </row>
    <row r="572" ht="13.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1"/>
      <c r="AO572" s="1"/>
      <c r="AP572" s="1"/>
      <c r="AQ572" s="1"/>
      <c r="AR572" s="1"/>
      <c r="AS572" s="1"/>
    </row>
    <row r="573" ht="13.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1"/>
      <c r="AO573" s="1"/>
      <c r="AP573" s="1"/>
      <c r="AQ573" s="1"/>
      <c r="AR573" s="1"/>
      <c r="AS573" s="1"/>
    </row>
    <row r="574" ht="13.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1"/>
      <c r="AO574" s="1"/>
      <c r="AP574" s="1"/>
      <c r="AQ574" s="1"/>
      <c r="AR574" s="1"/>
      <c r="AS574" s="1"/>
    </row>
    <row r="575" ht="13.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1"/>
      <c r="AO575" s="1"/>
      <c r="AP575" s="1"/>
      <c r="AQ575" s="1"/>
      <c r="AR575" s="1"/>
      <c r="AS575" s="1"/>
    </row>
    <row r="576" ht="13.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1"/>
      <c r="AO576" s="1"/>
      <c r="AP576" s="1"/>
      <c r="AQ576" s="1"/>
      <c r="AR576" s="1"/>
      <c r="AS576" s="1"/>
    </row>
    <row r="577" ht="13.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1"/>
      <c r="AO577" s="1"/>
      <c r="AP577" s="1"/>
      <c r="AQ577" s="1"/>
      <c r="AR577" s="1"/>
      <c r="AS577" s="1"/>
    </row>
    <row r="578" ht="13.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1"/>
      <c r="AO578" s="1"/>
      <c r="AP578" s="1"/>
      <c r="AQ578" s="1"/>
      <c r="AR578" s="1"/>
      <c r="AS578" s="1"/>
    </row>
    <row r="579" ht="13.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1"/>
      <c r="AO579" s="1"/>
      <c r="AP579" s="1"/>
      <c r="AQ579" s="1"/>
      <c r="AR579" s="1"/>
      <c r="AS579" s="1"/>
    </row>
    <row r="580" ht="13.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1"/>
      <c r="AO580" s="1"/>
      <c r="AP580" s="1"/>
      <c r="AQ580" s="1"/>
      <c r="AR580" s="1"/>
      <c r="AS580" s="1"/>
    </row>
    <row r="581" ht="13.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1"/>
      <c r="AO581" s="1"/>
      <c r="AP581" s="1"/>
      <c r="AQ581" s="1"/>
      <c r="AR581" s="1"/>
      <c r="AS581" s="1"/>
    </row>
    <row r="582" ht="13.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1"/>
      <c r="AO582" s="1"/>
      <c r="AP582" s="1"/>
      <c r="AQ582" s="1"/>
      <c r="AR582" s="1"/>
      <c r="AS582" s="1"/>
    </row>
    <row r="583" ht="13.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1"/>
      <c r="AO583" s="1"/>
      <c r="AP583" s="1"/>
      <c r="AQ583" s="1"/>
      <c r="AR583" s="1"/>
      <c r="AS583" s="1"/>
    </row>
    <row r="584" ht="13.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1"/>
      <c r="AO584" s="1"/>
      <c r="AP584" s="1"/>
      <c r="AQ584" s="1"/>
      <c r="AR584" s="1"/>
      <c r="AS584" s="1"/>
    </row>
    <row r="585" ht="13.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1"/>
      <c r="AO585" s="1"/>
      <c r="AP585" s="1"/>
      <c r="AQ585" s="1"/>
      <c r="AR585" s="1"/>
      <c r="AS585" s="1"/>
    </row>
    <row r="586" ht="13.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1"/>
      <c r="AO586" s="1"/>
      <c r="AP586" s="1"/>
      <c r="AQ586" s="1"/>
      <c r="AR586" s="1"/>
      <c r="AS586" s="1"/>
    </row>
    <row r="587" ht="13.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1"/>
      <c r="AO587" s="1"/>
      <c r="AP587" s="1"/>
      <c r="AQ587" s="1"/>
      <c r="AR587" s="1"/>
      <c r="AS587" s="1"/>
    </row>
    <row r="588" ht="13.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1"/>
      <c r="AO588" s="1"/>
      <c r="AP588" s="1"/>
      <c r="AQ588" s="1"/>
      <c r="AR588" s="1"/>
      <c r="AS588" s="1"/>
    </row>
    <row r="589" ht="13.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1"/>
      <c r="AO589" s="1"/>
      <c r="AP589" s="1"/>
      <c r="AQ589" s="1"/>
      <c r="AR589" s="1"/>
      <c r="AS589" s="1"/>
    </row>
    <row r="590" ht="13.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1"/>
      <c r="AO590" s="1"/>
      <c r="AP590" s="1"/>
      <c r="AQ590" s="1"/>
      <c r="AR590" s="1"/>
      <c r="AS590" s="1"/>
    </row>
    <row r="591" ht="13.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1"/>
      <c r="AO591" s="1"/>
      <c r="AP591" s="1"/>
      <c r="AQ591" s="1"/>
      <c r="AR591" s="1"/>
      <c r="AS591" s="1"/>
    </row>
    <row r="592" ht="13.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1"/>
      <c r="AO592" s="1"/>
      <c r="AP592" s="1"/>
      <c r="AQ592" s="1"/>
      <c r="AR592" s="1"/>
      <c r="AS592" s="1"/>
    </row>
    <row r="593" ht="13.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1"/>
      <c r="AO593" s="1"/>
      <c r="AP593" s="1"/>
      <c r="AQ593" s="1"/>
      <c r="AR593" s="1"/>
      <c r="AS593" s="1"/>
    </row>
    <row r="594" ht="13.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1"/>
      <c r="AO594" s="1"/>
      <c r="AP594" s="1"/>
      <c r="AQ594" s="1"/>
      <c r="AR594" s="1"/>
      <c r="AS594" s="1"/>
    </row>
    <row r="595" ht="13.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1"/>
      <c r="AO595" s="1"/>
      <c r="AP595" s="1"/>
      <c r="AQ595" s="1"/>
      <c r="AR595" s="1"/>
      <c r="AS595" s="1"/>
    </row>
    <row r="596" ht="13.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1"/>
      <c r="AO596" s="1"/>
      <c r="AP596" s="1"/>
      <c r="AQ596" s="1"/>
      <c r="AR596" s="1"/>
      <c r="AS596" s="1"/>
    </row>
    <row r="597" ht="13.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1"/>
      <c r="AO597" s="1"/>
      <c r="AP597" s="1"/>
      <c r="AQ597" s="1"/>
      <c r="AR597" s="1"/>
      <c r="AS597" s="1"/>
    </row>
    <row r="598" ht="13.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1"/>
      <c r="AO598" s="1"/>
      <c r="AP598" s="1"/>
      <c r="AQ598" s="1"/>
      <c r="AR598" s="1"/>
      <c r="AS598" s="1"/>
    </row>
    <row r="599" ht="13.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1"/>
      <c r="AO599" s="1"/>
      <c r="AP599" s="1"/>
      <c r="AQ599" s="1"/>
      <c r="AR599" s="1"/>
      <c r="AS599" s="1"/>
    </row>
    <row r="600" ht="13.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1"/>
      <c r="AO600" s="1"/>
      <c r="AP600" s="1"/>
      <c r="AQ600" s="1"/>
      <c r="AR600" s="1"/>
      <c r="AS600" s="1"/>
    </row>
    <row r="601" ht="13.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1"/>
      <c r="AO601" s="1"/>
      <c r="AP601" s="1"/>
      <c r="AQ601" s="1"/>
      <c r="AR601" s="1"/>
      <c r="AS601" s="1"/>
    </row>
    <row r="602" ht="13.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1"/>
      <c r="AO602" s="1"/>
      <c r="AP602" s="1"/>
      <c r="AQ602" s="1"/>
      <c r="AR602" s="1"/>
      <c r="AS602" s="1"/>
    </row>
    <row r="603" ht="13.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1"/>
      <c r="AO603" s="1"/>
      <c r="AP603" s="1"/>
      <c r="AQ603" s="1"/>
      <c r="AR603" s="1"/>
      <c r="AS603" s="1"/>
    </row>
    <row r="604" ht="13.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1"/>
      <c r="AO604" s="1"/>
      <c r="AP604" s="1"/>
      <c r="AQ604" s="1"/>
      <c r="AR604" s="1"/>
      <c r="AS604" s="1"/>
    </row>
    <row r="605" ht="13.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1"/>
      <c r="AO605" s="1"/>
      <c r="AP605" s="1"/>
      <c r="AQ605" s="1"/>
      <c r="AR605" s="1"/>
      <c r="AS605" s="1"/>
    </row>
    <row r="606" ht="13.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1"/>
      <c r="AO606" s="1"/>
      <c r="AP606" s="1"/>
      <c r="AQ606" s="1"/>
      <c r="AR606" s="1"/>
      <c r="AS606" s="1"/>
    </row>
    <row r="607" ht="13.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1"/>
      <c r="AO607" s="1"/>
      <c r="AP607" s="1"/>
      <c r="AQ607" s="1"/>
      <c r="AR607" s="1"/>
      <c r="AS607" s="1"/>
    </row>
    <row r="608" ht="13.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1"/>
      <c r="AO608" s="1"/>
      <c r="AP608" s="1"/>
      <c r="AQ608" s="1"/>
      <c r="AR608" s="1"/>
      <c r="AS608" s="1"/>
    </row>
    <row r="609" ht="13.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1"/>
      <c r="AO609" s="1"/>
      <c r="AP609" s="1"/>
      <c r="AQ609" s="1"/>
      <c r="AR609" s="1"/>
      <c r="AS609" s="1"/>
    </row>
    <row r="610" ht="13.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1"/>
      <c r="AO610" s="1"/>
      <c r="AP610" s="1"/>
      <c r="AQ610" s="1"/>
      <c r="AR610" s="1"/>
      <c r="AS610" s="1"/>
    </row>
    <row r="611" ht="13.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1"/>
      <c r="AO611" s="1"/>
      <c r="AP611" s="1"/>
      <c r="AQ611" s="1"/>
      <c r="AR611" s="1"/>
      <c r="AS611" s="1"/>
    </row>
    <row r="612" ht="13.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1"/>
      <c r="AO612" s="1"/>
      <c r="AP612" s="1"/>
      <c r="AQ612" s="1"/>
      <c r="AR612" s="1"/>
      <c r="AS612" s="1"/>
    </row>
    <row r="613" ht="13.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1"/>
      <c r="AO613" s="1"/>
      <c r="AP613" s="1"/>
      <c r="AQ613" s="1"/>
      <c r="AR613" s="1"/>
      <c r="AS613" s="1"/>
    </row>
    <row r="614" ht="13.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1"/>
      <c r="AO614" s="1"/>
      <c r="AP614" s="1"/>
      <c r="AQ614" s="1"/>
      <c r="AR614" s="1"/>
      <c r="AS614" s="1"/>
    </row>
    <row r="615" ht="13.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1"/>
      <c r="AO615" s="1"/>
      <c r="AP615" s="1"/>
      <c r="AQ615" s="1"/>
      <c r="AR615" s="1"/>
      <c r="AS615" s="1"/>
    </row>
    <row r="616" ht="13.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1"/>
      <c r="AO616" s="1"/>
      <c r="AP616" s="1"/>
      <c r="AQ616" s="1"/>
      <c r="AR616" s="1"/>
      <c r="AS616" s="1"/>
    </row>
    <row r="617" ht="13.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1"/>
      <c r="AO617" s="1"/>
      <c r="AP617" s="1"/>
      <c r="AQ617" s="1"/>
      <c r="AR617" s="1"/>
      <c r="AS617" s="1"/>
    </row>
    <row r="618" ht="13.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1"/>
      <c r="AO618" s="1"/>
      <c r="AP618" s="1"/>
      <c r="AQ618" s="1"/>
      <c r="AR618" s="1"/>
      <c r="AS618" s="1"/>
    </row>
    <row r="619" ht="13.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1"/>
      <c r="AO619" s="1"/>
      <c r="AP619" s="1"/>
      <c r="AQ619" s="1"/>
      <c r="AR619" s="1"/>
      <c r="AS619" s="1"/>
    </row>
    <row r="620" ht="13.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1"/>
      <c r="AO620" s="1"/>
      <c r="AP620" s="1"/>
      <c r="AQ620" s="1"/>
      <c r="AR620" s="1"/>
      <c r="AS620" s="1"/>
    </row>
    <row r="621" ht="13.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1"/>
      <c r="AO621" s="1"/>
      <c r="AP621" s="1"/>
      <c r="AQ621" s="1"/>
      <c r="AR621" s="1"/>
      <c r="AS621" s="1"/>
    </row>
    <row r="622" ht="13.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1"/>
      <c r="AO622" s="1"/>
      <c r="AP622" s="1"/>
      <c r="AQ622" s="1"/>
      <c r="AR622" s="1"/>
      <c r="AS622" s="1"/>
    </row>
    <row r="623" ht="13.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1"/>
      <c r="AO623" s="1"/>
      <c r="AP623" s="1"/>
      <c r="AQ623" s="1"/>
      <c r="AR623" s="1"/>
      <c r="AS623" s="1"/>
    </row>
    <row r="624" ht="13.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1"/>
      <c r="AO624" s="1"/>
      <c r="AP624" s="1"/>
      <c r="AQ624" s="1"/>
      <c r="AR624" s="1"/>
      <c r="AS624" s="1"/>
    </row>
    <row r="625" ht="13.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1"/>
      <c r="AO625" s="1"/>
      <c r="AP625" s="1"/>
      <c r="AQ625" s="1"/>
      <c r="AR625" s="1"/>
      <c r="AS625" s="1"/>
    </row>
    <row r="626" ht="13.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1"/>
      <c r="AO626" s="1"/>
      <c r="AP626" s="1"/>
      <c r="AQ626" s="1"/>
      <c r="AR626" s="1"/>
      <c r="AS626" s="1"/>
    </row>
    <row r="627" ht="13.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1"/>
      <c r="AO627" s="1"/>
      <c r="AP627" s="1"/>
      <c r="AQ627" s="1"/>
      <c r="AR627" s="1"/>
      <c r="AS627" s="1"/>
    </row>
    <row r="628" ht="13.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1"/>
      <c r="AO628" s="1"/>
      <c r="AP628" s="1"/>
      <c r="AQ628" s="1"/>
      <c r="AR628" s="1"/>
      <c r="AS628" s="1"/>
    </row>
    <row r="629" ht="13.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1"/>
      <c r="AO629" s="1"/>
      <c r="AP629" s="1"/>
      <c r="AQ629" s="1"/>
      <c r="AR629" s="1"/>
      <c r="AS629" s="1"/>
    </row>
    <row r="630" ht="13.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1"/>
      <c r="AO630" s="1"/>
      <c r="AP630" s="1"/>
      <c r="AQ630" s="1"/>
      <c r="AR630" s="1"/>
      <c r="AS630" s="1"/>
    </row>
    <row r="631" ht="13.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1"/>
      <c r="AO631" s="1"/>
      <c r="AP631" s="1"/>
      <c r="AQ631" s="1"/>
      <c r="AR631" s="1"/>
      <c r="AS631" s="1"/>
    </row>
    <row r="632" ht="13.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1"/>
      <c r="AO632" s="1"/>
      <c r="AP632" s="1"/>
      <c r="AQ632" s="1"/>
      <c r="AR632" s="1"/>
      <c r="AS632" s="1"/>
    </row>
    <row r="633" ht="13.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1"/>
      <c r="AO633" s="1"/>
      <c r="AP633" s="1"/>
      <c r="AQ633" s="1"/>
      <c r="AR633" s="1"/>
      <c r="AS633" s="1"/>
    </row>
    <row r="634" ht="13.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1"/>
      <c r="AO634" s="1"/>
      <c r="AP634" s="1"/>
      <c r="AQ634" s="1"/>
      <c r="AR634" s="1"/>
      <c r="AS634" s="1"/>
    </row>
    <row r="635" ht="13.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1"/>
      <c r="AO635" s="1"/>
      <c r="AP635" s="1"/>
      <c r="AQ635" s="1"/>
      <c r="AR635" s="1"/>
      <c r="AS635" s="1"/>
    </row>
    <row r="636" ht="13.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1"/>
      <c r="AO636" s="1"/>
      <c r="AP636" s="1"/>
      <c r="AQ636" s="1"/>
      <c r="AR636" s="1"/>
      <c r="AS636" s="1"/>
    </row>
    <row r="637" ht="13.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1"/>
      <c r="AO637" s="1"/>
      <c r="AP637" s="1"/>
      <c r="AQ637" s="1"/>
      <c r="AR637" s="1"/>
      <c r="AS637" s="1"/>
    </row>
    <row r="638" ht="13.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1"/>
      <c r="AO638" s="1"/>
      <c r="AP638" s="1"/>
      <c r="AQ638" s="1"/>
      <c r="AR638" s="1"/>
      <c r="AS638" s="1"/>
    </row>
    <row r="639" ht="13.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1"/>
      <c r="AO639" s="1"/>
      <c r="AP639" s="1"/>
      <c r="AQ639" s="1"/>
      <c r="AR639" s="1"/>
      <c r="AS639" s="1"/>
    </row>
    <row r="640" ht="13.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1"/>
      <c r="AO640" s="1"/>
      <c r="AP640" s="1"/>
      <c r="AQ640" s="1"/>
      <c r="AR640" s="1"/>
      <c r="AS640" s="1"/>
    </row>
    <row r="641" ht="13.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1"/>
      <c r="AO641" s="1"/>
      <c r="AP641" s="1"/>
      <c r="AQ641" s="1"/>
      <c r="AR641" s="1"/>
      <c r="AS641" s="1"/>
    </row>
    <row r="642" ht="13.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1"/>
      <c r="AO642" s="1"/>
      <c r="AP642" s="1"/>
      <c r="AQ642" s="1"/>
      <c r="AR642" s="1"/>
      <c r="AS642" s="1"/>
    </row>
    <row r="643" ht="13.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1"/>
      <c r="AO643" s="1"/>
      <c r="AP643" s="1"/>
      <c r="AQ643" s="1"/>
      <c r="AR643" s="1"/>
      <c r="AS643" s="1"/>
    </row>
    <row r="644" ht="13.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1"/>
      <c r="AO644" s="1"/>
      <c r="AP644" s="1"/>
      <c r="AQ644" s="1"/>
      <c r="AR644" s="1"/>
      <c r="AS644" s="1"/>
    </row>
    <row r="645" ht="13.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1"/>
      <c r="AO645" s="1"/>
      <c r="AP645" s="1"/>
      <c r="AQ645" s="1"/>
      <c r="AR645" s="1"/>
      <c r="AS645" s="1"/>
    </row>
    <row r="646" ht="13.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1"/>
      <c r="AO646" s="1"/>
      <c r="AP646" s="1"/>
      <c r="AQ646" s="1"/>
      <c r="AR646" s="1"/>
      <c r="AS646" s="1"/>
    </row>
    <row r="647" ht="13.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1"/>
      <c r="AO647" s="1"/>
      <c r="AP647" s="1"/>
      <c r="AQ647" s="1"/>
      <c r="AR647" s="1"/>
      <c r="AS647" s="1"/>
    </row>
    <row r="648" ht="13.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1"/>
      <c r="AO648" s="1"/>
      <c r="AP648" s="1"/>
      <c r="AQ648" s="1"/>
      <c r="AR648" s="1"/>
      <c r="AS648" s="1"/>
    </row>
    <row r="649" ht="13.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1"/>
      <c r="AO649" s="1"/>
      <c r="AP649" s="1"/>
      <c r="AQ649" s="1"/>
      <c r="AR649" s="1"/>
      <c r="AS649" s="1"/>
    </row>
    <row r="650" ht="13.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1"/>
      <c r="AO650" s="1"/>
      <c r="AP650" s="1"/>
      <c r="AQ650" s="1"/>
      <c r="AR650" s="1"/>
      <c r="AS650" s="1"/>
    </row>
    <row r="651" ht="13.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1"/>
      <c r="AO651" s="1"/>
      <c r="AP651" s="1"/>
      <c r="AQ651" s="1"/>
      <c r="AR651" s="1"/>
      <c r="AS651" s="1"/>
    </row>
    <row r="652" ht="13.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1"/>
      <c r="AO652" s="1"/>
      <c r="AP652" s="1"/>
      <c r="AQ652" s="1"/>
      <c r="AR652" s="1"/>
      <c r="AS652" s="1"/>
    </row>
    <row r="653" ht="13.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1"/>
      <c r="AO653" s="1"/>
      <c r="AP653" s="1"/>
      <c r="AQ653" s="1"/>
      <c r="AR653" s="1"/>
      <c r="AS653" s="1"/>
    </row>
    <row r="654" ht="13.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1"/>
      <c r="AO654" s="1"/>
      <c r="AP654" s="1"/>
      <c r="AQ654" s="1"/>
      <c r="AR654" s="1"/>
      <c r="AS654" s="1"/>
    </row>
    <row r="655" ht="13.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1"/>
      <c r="AO655" s="1"/>
      <c r="AP655" s="1"/>
      <c r="AQ655" s="1"/>
      <c r="AR655" s="1"/>
      <c r="AS655" s="1"/>
    </row>
    <row r="656" ht="13.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1"/>
      <c r="AO656" s="1"/>
      <c r="AP656" s="1"/>
      <c r="AQ656" s="1"/>
      <c r="AR656" s="1"/>
      <c r="AS656" s="1"/>
    </row>
    <row r="657" ht="13.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1"/>
      <c r="AO657" s="1"/>
      <c r="AP657" s="1"/>
      <c r="AQ657" s="1"/>
      <c r="AR657" s="1"/>
      <c r="AS657" s="1"/>
    </row>
    <row r="658" ht="13.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1"/>
      <c r="AO658" s="1"/>
      <c r="AP658" s="1"/>
      <c r="AQ658" s="1"/>
      <c r="AR658" s="1"/>
      <c r="AS658" s="1"/>
    </row>
    <row r="659" ht="13.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1"/>
      <c r="AO659" s="1"/>
      <c r="AP659" s="1"/>
      <c r="AQ659" s="1"/>
      <c r="AR659" s="1"/>
      <c r="AS659" s="1"/>
    </row>
    <row r="660" ht="13.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1"/>
      <c r="AO660" s="1"/>
      <c r="AP660" s="1"/>
      <c r="AQ660" s="1"/>
      <c r="AR660" s="1"/>
      <c r="AS660" s="1"/>
    </row>
    <row r="661" ht="13.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1"/>
      <c r="AO661" s="1"/>
      <c r="AP661" s="1"/>
      <c r="AQ661" s="1"/>
      <c r="AR661" s="1"/>
      <c r="AS661" s="1"/>
    </row>
    <row r="662" ht="13.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1"/>
      <c r="AO662" s="1"/>
      <c r="AP662" s="1"/>
      <c r="AQ662" s="1"/>
      <c r="AR662" s="1"/>
      <c r="AS662" s="1"/>
    </row>
    <row r="663" ht="13.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1"/>
      <c r="AO663" s="1"/>
      <c r="AP663" s="1"/>
      <c r="AQ663" s="1"/>
      <c r="AR663" s="1"/>
      <c r="AS663" s="1"/>
    </row>
    <row r="664" ht="13.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1"/>
      <c r="AO664" s="1"/>
      <c r="AP664" s="1"/>
      <c r="AQ664" s="1"/>
      <c r="AR664" s="1"/>
      <c r="AS664" s="1"/>
    </row>
    <row r="665" ht="13.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1"/>
      <c r="AO665" s="1"/>
      <c r="AP665" s="1"/>
      <c r="AQ665" s="1"/>
      <c r="AR665" s="1"/>
      <c r="AS665" s="1"/>
    </row>
    <row r="666" ht="13.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1"/>
      <c r="AO666" s="1"/>
      <c r="AP666" s="1"/>
      <c r="AQ666" s="1"/>
      <c r="AR666" s="1"/>
      <c r="AS666" s="1"/>
    </row>
    <row r="667" ht="13.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1"/>
      <c r="AO667" s="1"/>
      <c r="AP667" s="1"/>
      <c r="AQ667" s="1"/>
      <c r="AR667" s="1"/>
      <c r="AS667" s="1"/>
    </row>
    <row r="668" ht="13.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1"/>
      <c r="AO668" s="1"/>
      <c r="AP668" s="1"/>
      <c r="AQ668" s="1"/>
      <c r="AR668" s="1"/>
      <c r="AS668" s="1"/>
    </row>
    <row r="669" ht="13.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1"/>
      <c r="AO669" s="1"/>
      <c r="AP669" s="1"/>
      <c r="AQ669" s="1"/>
      <c r="AR669" s="1"/>
      <c r="AS669" s="1"/>
    </row>
    <row r="670" ht="13.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1"/>
      <c r="AO670" s="1"/>
      <c r="AP670" s="1"/>
      <c r="AQ670" s="1"/>
      <c r="AR670" s="1"/>
      <c r="AS670" s="1"/>
    </row>
    <row r="671" ht="13.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1"/>
      <c r="AO671" s="1"/>
      <c r="AP671" s="1"/>
      <c r="AQ671" s="1"/>
      <c r="AR671" s="1"/>
      <c r="AS671" s="1"/>
    </row>
    <row r="672" ht="13.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1"/>
      <c r="AO672" s="1"/>
      <c r="AP672" s="1"/>
      <c r="AQ672" s="1"/>
      <c r="AR672" s="1"/>
      <c r="AS672" s="1"/>
    </row>
    <row r="673" ht="13.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1"/>
      <c r="AO673" s="1"/>
      <c r="AP673" s="1"/>
      <c r="AQ673" s="1"/>
      <c r="AR673" s="1"/>
      <c r="AS673" s="1"/>
    </row>
    <row r="674" ht="13.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1"/>
      <c r="AO674" s="1"/>
      <c r="AP674" s="1"/>
      <c r="AQ674" s="1"/>
      <c r="AR674" s="1"/>
      <c r="AS674" s="1"/>
    </row>
    <row r="675" ht="13.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1"/>
      <c r="AO675" s="1"/>
      <c r="AP675" s="1"/>
      <c r="AQ675" s="1"/>
      <c r="AR675" s="1"/>
      <c r="AS675" s="1"/>
    </row>
    <row r="676" ht="13.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1"/>
      <c r="AO676" s="1"/>
      <c r="AP676" s="1"/>
      <c r="AQ676" s="1"/>
      <c r="AR676" s="1"/>
      <c r="AS676" s="1"/>
    </row>
    <row r="677" ht="13.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1"/>
      <c r="AO677" s="1"/>
      <c r="AP677" s="1"/>
      <c r="AQ677" s="1"/>
      <c r="AR677" s="1"/>
      <c r="AS677" s="1"/>
    </row>
    <row r="678" ht="13.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1"/>
      <c r="AO678" s="1"/>
      <c r="AP678" s="1"/>
      <c r="AQ678" s="1"/>
      <c r="AR678" s="1"/>
      <c r="AS678" s="1"/>
    </row>
    <row r="679" ht="13.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1"/>
      <c r="AO679" s="1"/>
      <c r="AP679" s="1"/>
      <c r="AQ679" s="1"/>
      <c r="AR679" s="1"/>
      <c r="AS679" s="1"/>
    </row>
    <row r="680" ht="13.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1"/>
      <c r="AO680" s="1"/>
      <c r="AP680" s="1"/>
      <c r="AQ680" s="1"/>
      <c r="AR680" s="1"/>
      <c r="AS680" s="1"/>
    </row>
    <row r="681" ht="13.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1"/>
      <c r="AO681" s="1"/>
      <c r="AP681" s="1"/>
      <c r="AQ681" s="1"/>
      <c r="AR681" s="1"/>
      <c r="AS681" s="1"/>
    </row>
    <row r="682" ht="13.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1"/>
      <c r="AO682" s="1"/>
      <c r="AP682" s="1"/>
      <c r="AQ682" s="1"/>
      <c r="AR682" s="1"/>
      <c r="AS682" s="1"/>
    </row>
    <row r="683" ht="13.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1"/>
      <c r="AO683" s="1"/>
      <c r="AP683" s="1"/>
      <c r="AQ683" s="1"/>
      <c r="AR683" s="1"/>
      <c r="AS683" s="1"/>
    </row>
    <row r="684" ht="13.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1"/>
      <c r="AO684" s="1"/>
      <c r="AP684" s="1"/>
      <c r="AQ684" s="1"/>
      <c r="AR684" s="1"/>
      <c r="AS684" s="1"/>
    </row>
    <row r="685" ht="13.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1"/>
      <c r="AO685" s="1"/>
      <c r="AP685" s="1"/>
      <c r="AQ685" s="1"/>
      <c r="AR685" s="1"/>
      <c r="AS685" s="1"/>
    </row>
    <row r="686" ht="13.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1"/>
      <c r="AO686" s="1"/>
      <c r="AP686" s="1"/>
      <c r="AQ686" s="1"/>
      <c r="AR686" s="1"/>
      <c r="AS686" s="1"/>
    </row>
    <row r="687" ht="13.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1"/>
      <c r="AO687" s="1"/>
      <c r="AP687" s="1"/>
      <c r="AQ687" s="1"/>
      <c r="AR687" s="1"/>
      <c r="AS687" s="1"/>
    </row>
    <row r="688" ht="13.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1"/>
      <c r="AO688" s="1"/>
      <c r="AP688" s="1"/>
      <c r="AQ688" s="1"/>
      <c r="AR688" s="1"/>
      <c r="AS688" s="1"/>
    </row>
    <row r="689" ht="13.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1"/>
      <c r="AO689" s="1"/>
      <c r="AP689" s="1"/>
      <c r="AQ689" s="1"/>
      <c r="AR689" s="1"/>
      <c r="AS689" s="1"/>
    </row>
    <row r="690" ht="13.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1"/>
      <c r="AO690" s="1"/>
      <c r="AP690" s="1"/>
      <c r="AQ690" s="1"/>
      <c r="AR690" s="1"/>
      <c r="AS690" s="1"/>
    </row>
    <row r="691" ht="13.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1"/>
      <c r="AO691" s="1"/>
      <c r="AP691" s="1"/>
      <c r="AQ691" s="1"/>
      <c r="AR691" s="1"/>
      <c r="AS691" s="1"/>
    </row>
    <row r="692" ht="13.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1"/>
      <c r="AO692" s="1"/>
      <c r="AP692" s="1"/>
      <c r="AQ692" s="1"/>
      <c r="AR692" s="1"/>
      <c r="AS692" s="1"/>
    </row>
    <row r="693" ht="13.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1"/>
      <c r="AO693" s="1"/>
      <c r="AP693" s="1"/>
      <c r="AQ693" s="1"/>
      <c r="AR693" s="1"/>
      <c r="AS693" s="1"/>
    </row>
    <row r="694" ht="13.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1"/>
      <c r="AO694" s="1"/>
      <c r="AP694" s="1"/>
      <c r="AQ694" s="1"/>
      <c r="AR694" s="1"/>
      <c r="AS694" s="1"/>
    </row>
    <row r="695" ht="13.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1"/>
      <c r="AO695" s="1"/>
      <c r="AP695" s="1"/>
      <c r="AQ695" s="1"/>
      <c r="AR695" s="1"/>
      <c r="AS695" s="1"/>
    </row>
    <row r="696" ht="13.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1"/>
      <c r="AO696" s="1"/>
      <c r="AP696" s="1"/>
      <c r="AQ696" s="1"/>
      <c r="AR696" s="1"/>
      <c r="AS696" s="1"/>
    </row>
    <row r="697" ht="13.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1"/>
      <c r="AO697" s="1"/>
      <c r="AP697" s="1"/>
      <c r="AQ697" s="1"/>
      <c r="AR697" s="1"/>
      <c r="AS697" s="1"/>
    </row>
    <row r="698" ht="13.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1"/>
      <c r="AO698" s="1"/>
      <c r="AP698" s="1"/>
      <c r="AQ698" s="1"/>
      <c r="AR698" s="1"/>
      <c r="AS698" s="1"/>
    </row>
    <row r="699" ht="13.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1"/>
      <c r="AO699" s="1"/>
      <c r="AP699" s="1"/>
      <c r="AQ699" s="1"/>
      <c r="AR699" s="1"/>
      <c r="AS699" s="1"/>
    </row>
    <row r="700" ht="13.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1"/>
      <c r="AO700" s="1"/>
      <c r="AP700" s="1"/>
      <c r="AQ700" s="1"/>
      <c r="AR700" s="1"/>
      <c r="AS700" s="1"/>
    </row>
    <row r="701" ht="13.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1"/>
      <c r="AO701" s="1"/>
      <c r="AP701" s="1"/>
      <c r="AQ701" s="1"/>
      <c r="AR701" s="1"/>
      <c r="AS701" s="1"/>
    </row>
    <row r="702" ht="13.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1"/>
      <c r="AO702" s="1"/>
      <c r="AP702" s="1"/>
      <c r="AQ702" s="1"/>
      <c r="AR702" s="1"/>
      <c r="AS702" s="1"/>
    </row>
    <row r="703" ht="13.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1"/>
      <c r="AO703" s="1"/>
      <c r="AP703" s="1"/>
      <c r="AQ703" s="1"/>
      <c r="AR703" s="1"/>
      <c r="AS703" s="1"/>
    </row>
    <row r="704" ht="13.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1"/>
      <c r="AO704" s="1"/>
      <c r="AP704" s="1"/>
      <c r="AQ704" s="1"/>
      <c r="AR704" s="1"/>
      <c r="AS704" s="1"/>
    </row>
    <row r="705" ht="13.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1"/>
      <c r="AO705" s="1"/>
      <c r="AP705" s="1"/>
      <c r="AQ705" s="1"/>
      <c r="AR705" s="1"/>
      <c r="AS705" s="1"/>
    </row>
    <row r="706" ht="13.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1"/>
      <c r="AO706" s="1"/>
      <c r="AP706" s="1"/>
      <c r="AQ706" s="1"/>
      <c r="AR706" s="1"/>
      <c r="AS706" s="1"/>
    </row>
    <row r="707" ht="13.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1"/>
      <c r="AO707" s="1"/>
      <c r="AP707" s="1"/>
      <c r="AQ707" s="1"/>
      <c r="AR707" s="1"/>
      <c r="AS707" s="1"/>
    </row>
    <row r="708" ht="13.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1"/>
      <c r="AO708" s="1"/>
      <c r="AP708" s="1"/>
      <c r="AQ708" s="1"/>
      <c r="AR708" s="1"/>
      <c r="AS708" s="1"/>
    </row>
    <row r="709" ht="13.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1"/>
      <c r="AO709" s="1"/>
      <c r="AP709" s="1"/>
      <c r="AQ709" s="1"/>
      <c r="AR709" s="1"/>
      <c r="AS709" s="1"/>
    </row>
    <row r="710" ht="13.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1"/>
      <c r="AO710" s="1"/>
      <c r="AP710" s="1"/>
      <c r="AQ710" s="1"/>
      <c r="AR710" s="1"/>
      <c r="AS710" s="1"/>
    </row>
    <row r="711" ht="13.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1"/>
      <c r="AO711" s="1"/>
      <c r="AP711" s="1"/>
      <c r="AQ711" s="1"/>
      <c r="AR711" s="1"/>
      <c r="AS711" s="1"/>
    </row>
    <row r="712" ht="13.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1"/>
      <c r="AO712" s="1"/>
      <c r="AP712" s="1"/>
      <c r="AQ712" s="1"/>
      <c r="AR712" s="1"/>
      <c r="AS712" s="1"/>
    </row>
    <row r="713" ht="13.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1"/>
      <c r="AO713" s="1"/>
      <c r="AP713" s="1"/>
      <c r="AQ713" s="1"/>
      <c r="AR713" s="1"/>
      <c r="AS713" s="1"/>
    </row>
    <row r="714" ht="13.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1"/>
      <c r="AO714" s="1"/>
      <c r="AP714" s="1"/>
      <c r="AQ714" s="1"/>
      <c r="AR714" s="1"/>
      <c r="AS714" s="1"/>
    </row>
    <row r="715" ht="13.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1"/>
      <c r="AO715" s="1"/>
      <c r="AP715" s="1"/>
      <c r="AQ715" s="1"/>
      <c r="AR715" s="1"/>
      <c r="AS715" s="1"/>
    </row>
    <row r="716" ht="13.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1"/>
      <c r="AO716" s="1"/>
      <c r="AP716" s="1"/>
      <c r="AQ716" s="1"/>
      <c r="AR716" s="1"/>
      <c r="AS716" s="1"/>
    </row>
    <row r="717" ht="13.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1"/>
      <c r="AO717" s="1"/>
      <c r="AP717" s="1"/>
      <c r="AQ717" s="1"/>
      <c r="AR717" s="1"/>
      <c r="AS717" s="1"/>
    </row>
    <row r="718" ht="13.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1"/>
      <c r="AO718" s="1"/>
      <c r="AP718" s="1"/>
      <c r="AQ718" s="1"/>
      <c r="AR718" s="1"/>
      <c r="AS718" s="1"/>
    </row>
    <row r="719" ht="13.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1"/>
      <c r="AO719" s="1"/>
      <c r="AP719" s="1"/>
      <c r="AQ719" s="1"/>
      <c r="AR719" s="1"/>
      <c r="AS719" s="1"/>
    </row>
    <row r="720" ht="13.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1"/>
      <c r="AO720" s="1"/>
      <c r="AP720" s="1"/>
      <c r="AQ720" s="1"/>
      <c r="AR720" s="1"/>
      <c r="AS720" s="1"/>
    </row>
    <row r="721" ht="13.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1"/>
      <c r="AO721" s="1"/>
      <c r="AP721" s="1"/>
      <c r="AQ721" s="1"/>
      <c r="AR721" s="1"/>
      <c r="AS721" s="1"/>
    </row>
    <row r="722" ht="13.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1"/>
      <c r="AO722" s="1"/>
      <c r="AP722" s="1"/>
      <c r="AQ722" s="1"/>
      <c r="AR722" s="1"/>
      <c r="AS722" s="1"/>
    </row>
    <row r="723" ht="13.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1"/>
      <c r="AO723" s="1"/>
      <c r="AP723" s="1"/>
      <c r="AQ723" s="1"/>
      <c r="AR723" s="1"/>
      <c r="AS723" s="1"/>
    </row>
    <row r="724" ht="13.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1"/>
      <c r="AO724" s="1"/>
      <c r="AP724" s="1"/>
      <c r="AQ724" s="1"/>
      <c r="AR724" s="1"/>
      <c r="AS724" s="1"/>
    </row>
    <row r="725" ht="13.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1"/>
      <c r="AO725" s="1"/>
      <c r="AP725" s="1"/>
      <c r="AQ725" s="1"/>
      <c r="AR725" s="1"/>
      <c r="AS725" s="1"/>
    </row>
    <row r="726" ht="13.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1"/>
      <c r="AO726" s="1"/>
      <c r="AP726" s="1"/>
      <c r="AQ726" s="1"/>
      <c r="AR726" s="1"/>
      <c r="AS726" s="1"/>
    </row>
    <row r="727" ht="13.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1"/>
      <c r="AO727" s="1"/>
      <c r="AP727" s="1"/>
      <c r="AQ727" s="1"/>
      <c r="AR727" s="1"/>
      <c r="AS727" s="1"/>
    </row>
    <row r="728" ht="13.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1"/>
      <c r="AO728" s="1"/>
      <c r="AP728" s="1"/>
      <c r="AQ728" s="1"/>
      <c r="AR728" s="1"/>
      <c r="AS728" s="1"/>
    </row>
    <row r="729" ht="13.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1"/>
      <c r="AO729" s="1"/>
      <c r="AP729" s="1"/>
      <c r="AQ729" s="1"/>
      <c r="AR729" s="1"/>
      <c r="AS729" s="1"/>
    </row>
    <row r="730" ht="13.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1"/>
      <c r="AO730" s="1"/>
      <c r="AP730" s="1"/>
      <c r="AQ730" s="1"/>
      <c r="AR730" s="1"/>
      <c r="AS730" s="1"/>
    </row>
    <row r="731" ht="13.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1"/>
      <c r="AO731" s="1"/>
      <c r="AP731" s="1"/>
      <c r="AQ731" s="1"/>
      <c r="AR731" s="1"/>
      <c r="AS731" s="1"/>
    </row>
    <row r="732" ht="13.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1"/>
      <c r="AO732" s="1"/>
      <c r="AP732" s="1"/>
      <c r="AQ732" s="1"/>
      <c r="AR732" s="1"/>
      <c r="AS732" s="1"/>
    </row>
    <row r="733" ht="13.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1"/>
      <c r="AO733" s="1"/>
      <c r="AP733" s="1"/>
      <c r="AQ733" s="1"/>
      <c r="AR733" s="1"/>
      <c r="AS733" s="1"/>
    </row>
    <row r="734" ht="13.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1"/>
      <c r="AO734" s="1"/>
      <c r="AP734" s="1"/>
      <c r="AQ734" s="1"/>
      <c r="AR734" s="1"/>
      <c r="AS734" s="1"/>
    </row>
    <row r="735" ht="13.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1"/>
      <c r="AO735" s="1"/>
      <c r="AP735" s="1"/>
      <c r="AQ735" s="1"/>
      <c r="AR735" s="1"/>
      <c r="AS735" s="1"/>
    </row>
    <row r="736" ht="13.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1"/>
      <c r="AO736" s="1"/>
      <c r="AP736" s="1"/>
      <c r="AQ736" s="1"/>
      <c r="AR736" s="1"/>
      <c r="AS736" s="1"/>
    </row>
    <row r="737" ht="13.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1"/>
      <c r="AO737" s="1"/>
      <c r="AP737" s="1"/>
      <c r="AQ737" s="1"/>
      <c r="AR737" s="1"/>
      <c r="AS737" s="1"/>
    </row>
    <row r="738" ht="13.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1"/>
      <c r="AO738" s="1"/>
      <c r="AP738" s="1"/>
      <c r="AQ738" s="1"/>
      <c r="AR738" s="1"/>
      <c r="AS738" s="1"/>
    </row>
    <row r="739" ht="13.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1"/>
      <c r="AO739" s="1"/>
      <c r="AP739" s="1"/>
      <c r="AQ739" s="1"/>
      <c r="AR739" s="1"/>
      <c r="AS739" s="1"/>
    </row>
    <row r="740" ht="13.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1"/>
      <c r="AO740" s="1"/>
      <c r="AP740" s="1"/>
      <c r="AQ740" s="1"/>
      <c r="AR740" s="1"/>
      <c r="AS740" s="1"/>
    </row>
    <row r="741" ht="13.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1"/>
      <c r="AO741" s="1"/>
      <c r="AP741" s="1"/>
      <c r="AQ741" s="1"/>
      <c r="AR741" s="1"/>
      <c r="AS741" s="1"/>
    </row>
    <row r="742" ht="13.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1"/>
      <c r="AO742" s="1"/>
      <c r="AP742" s="1"/>
      <c r="AQ742" s="1"/>
      <c r="AR742" s="1"/>
      <c r="AS742" s="1"/>
    </row>
    <row r="743" ht="13.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1"/>
      <c r="AO743" s="1"/>
      <c r="AP743" s="1"/>
      <c r="AQ743" s="1"/>
      <c r="AR743" s="1"/>
      <c r="AS743" s="1"/>
    </row>
    <row r="744" ht="13.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1"/>
      <c r="AO744" s="1"/>
      <c r="AP744" s="1"/>
      <c r="AQ744" s="1"/>
      <c r="AR744" s="1"/>
      <c r="AS744" s="1"/>
    </row>
    <row r="745" ht="13.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1"/>
      <c r="AO745" s="1"/>
      <c r="AP745" s="1"/>
      <c r="AQ745" s="1"/>
      <c r="AR745" s="1"/>
      <c r="AS745" s="1"/>
    </row>
    <row r="746" ht="13.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1"/>
      <c r="AO746" s="1"/>
      <c r="AP746" s="1"/>
      <c r="AQ746" s="1"/>
      <c r="AR746" s="1"/>
      <c r="AS746" s="1"/>
    </row>
    <row r="747" ht="13.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1"/>
      <c r="AO747" s="1"/>
      <c r="AP747" s="1"/>
      <c r="AQ747" s="1"/>
      <c r="AR747" s="1"/>
      <c r="AS747" s="1"/>
    </row>
    <row r="748" ht="13.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1"/>
      <c r="AO748" s="1"/>
      <c r="AP748" s="1"/>
      <c r="AQ748" s="1"/>
      <c r="AR748" s="1"/>
      <c r="AS748" s="1"/>
    </row>
    <row r="749" ht="13.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1"/>
      <c r="AO749" s="1"/>
      <c r="AP749" s="1"/>
      <c r="AQ749" s="1"/>
      <c r="AR749" s="1"/>
      <c r="AS749" s="1"/>
    </row>
    <row r="750" ht="13.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1"/>
      <c r="AO750" s="1"/>
      <c r="AP750" s="1"/>
      <c r="AQ750" s="1"/>
      <c r="AR750" s="1"/>
      <c r="AS750" s="1"/>
    </row>
    <row r="751" ht="13.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1"/>
      <c r="AO751" s="1"/>
      <c r="AP751" s="1"/>
      <c r="AQ751" s="1"/>
      <c r="AR751" s="1"/>
      <c r="AS751" s="1"/>
    </row>
    <row r="752" ht="13.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1"/>
      <c r="AO752" s="1"/>
      <c r="AP752" s="1"/>
      <c r="AQ752" s="1"/>
      <c r="AR752" s="1"/>
      <c r="AS752" s="1"/>
    </row>
    <row r="753" ht="13.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1"/>
      <c r="AO753" s="1"/>
      <c r="AP753" s="1"/>
      <c r="AQ753" s="1"/>
      <c r="AR753" s="1"/>
      <c r="AS753" s="1"/>
    </row>
    <row r="754" ht="13.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1"/>
      <c r="AO754" s="1"/>
      <c r="AP754" s="1"/>
      <c r="AQ754" s="1"/>
      <c r="AR754" s="1"/>
      <c r="AS754" s="1"/>
    </row>
    <row r="755" ht="13.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1"/>
      <c r="AO755" s="1"/>
      <c r="AP755" s="1"/>
      <c r="AQ755" s="1"/>
      <c r="AR755" s="1"/>
      <c r="AS755" s="1"/>
    </row>
    <row r="756" ht="13.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1"/>
      <c r="AO756" s="1"/>
      <c r="AP756" s="1"/>
      <c r="AQ756" s="1"/>
      <c r="AR756" s="1"/>
      <c r="AS756" s="1"/>
    </row>
    <row r="757" ht="13.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1"/>
      <c r="AO757" s="1"/>
      <c r="AP757" s="1"/>
      <c r="AQ757" s="1"/>
      <c r="AR757" s="1"/>
      <c r="AS757" s="1"/>
    </row>
    <row r="758" ht="13.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1"/>
      <c r="AO758" s="1"/>
      <c r="AP758" s="1"/>
      <c r="AQ758" s="1"/>
      <c r="AR758" s="1"/>
      <c r="AS758" s="1"/>
    </row>
    <row r="759" ht="13.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1"/>
      <c r="AO759" s="1"/>
      <c r="AP759" s="1"/>
      <c r="AQ759" s="1"/>
      <c r="AR759" s="1"/>
      <c r="AS759" s="1"/>
    </row>
    <row r="760" ht="13.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1"/>
      <c r="AO760" s="1"/>
      <c r="AP760" s="1"/>
      <c r="AQ760" s="1"/>
      <c r="AR760" s="1"/>
      <c r="AS760" s="1"/>
    </row>
    <row r="761" ht="13.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1"/>
      <c r="AO761" s="1"/>
      <c r="AP761" s="1"/>
      <c r="AQ761" s="1"/>
      <c r="AR761" s="1"/>
      <c r="AS761" s="1"/>
    </row>
    <row r="762" ht="13.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1"/>
      <c r="AO762" s="1"/>
      <c r="AP762" s="1"/>
      <c r="AQ762" s="1"/>
      <c r="AR762" s="1"/>
      <c r="AS762" s="1"/>
    </row>
    <row r="763" ht="13.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1"/>
      <c r="AO763" s="1"/>
      <c r="AP763" s="1"/>
      <c r="AQ763" s="1"/>
      <c r="AR763" s="1"/>
      <c r="AS763" s="1"/>
    </row>
    <row r="764" ht="13.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1"/>
      <c r="AO764" s="1"/>
      <c r="AP764" s="1"/>
      <c r="AQ764" s="1"/>
      <c r="AR764" s="1"/>
      <c r="AS764" s="1"/>
    </row>
    <row r="765" ht="13.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1"/>
      <c r="AO765" s="1"/>
      <c r="AP765" s="1"/>
      <c r="AQ765" s="1"/>
      <c r="AR765" s="1"/>
      <c r="AS765" s="1"/>
    </row>
    <row r="766" ht="13.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1"/>
      <c r="AO766" s="1"/>
      <c r="AP766" s="1"/>
      <c r="AQ766" s="1"/>
      <c r="AR766" s="1"/>
      <c r="AS766" s="1"/>
    </row>
    <row r="767" ht="13.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1"/>
      <c r="AO767" s="1"/>
      <c r="AP767" s="1"/>
      <c r="AQ767" s="1"/>
      <c r="AR767" s="1"/>
      <c r="AS767" s="1"/>
    </row>
    <row r="768" ht="13.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1"/>
      <c r="AO768" s="1"/>
      <c r="AP768" s="1"/>
      <c r="AQ768" s="1"/>
      <c r="AR768" s="1"/>
      <c r="AS768" s="1"/>
    </row>
    <row r="769" ht="13.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1"/>
      <c r="AO769" s="1"/>
      <c r="AP769" s="1"/>
      <c r="AQ769" s="1"/>
      <c r="AR769" s="1"/>
      <c r="AS769" s="1"/>
    </row>
    <row r="770" ht="13.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1"/>
      <c r="AO770" s="1"/>
      <c r="AP770" s="1"/>
      <c r="AQ770" s="1"/>
      <c r="AR770" s="1"/>
      <c r="AS770" s="1"/>
    </row>
    <row r="771" ht="13.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1"/>
      <c r="AO771" s="1"/>
      <c r="AP771" s="1"/>
      <c r="AQ771" s="1"/>
      <c r="AR771" s="1"/>
      <c r="AS771" s="1"/>
    </row>
    <row r="772" ht="13.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1"/>
      <c r="AO772" s="1"/>
      <c r="AP772" s="1"/>
      <c r="AQ772" s="1"/>
      <c r="AR772" s="1"/>
      <c r="AS772" s="1"/>
    </row>
    <row r="773" ht="13.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1"/>
      <c r="AO773" s="1"/>
      <c r="AP773" s="1"/>
      <c r="AQ773" s="1"/>
      <c r="AR773" s="1"/>
      <c r="AS773" s="1"/>
    </row>
    <row r="774" ht="13.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1"/>
      <c r="AO774" s="1"/>
      <c r="AP774" s="1"/>
      <c r="AQ774" s="1"/>
      <c r="AR774" s="1"/>
      <c r="AS774" s="1"/>
    </row>
    <row r="775" ht="13.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1"/>
      <c r="AO775" s="1"/>
      <c r="AP775" s="1"/>
      <c r="AQ775" s="1"/>
      <c r="AR775" s="1"/>
      <c r="AS775" s="1"/>
    </row>
    <row r="776" ht="13.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1"/>
      <c r="AO776" s="1"/>
      <c r="AP776" s="1"/>
      <c r="AQ776" s="1"/>
      <c r="AR776" s="1"/>
      <c r="AS776" s="1"/>
    </row>
    <row r="777" ht="13.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1"/>
      <c r="AO777" s="1"/>
      <c r="AP777" s="1"/>
      <c r="AQ777" s="1"/>
      <c r="AR777" s="1"/>
      <c r="AS777" s="1"/>
    </row>
    <row r="778" ht="13.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1"/>
      <c r="AO778" s="1"/>
      <c r="AP778" s="1"/>
      <c r="AQ778" s="1"/>
      <c r="AR778" s="1"/>
      <c r="AS778" s="1"/>
    </row>
    <row r="779" ht="13.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1"/>
      <c r="AO779" s="1"/>
      <c r="AP779" s="1"/>
      <c r="AQ779" s="1"/>
      <c r="AR779" s="1"/>
      <c r="AS779" s="1"/>
    </row>
    <row r="780" ht="13.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1"/>
      <c r="AO780" s="1"/>
      <c r="AP780" s="1"/>
      <c r="AQ780" s="1"/>
      <c r="AR780" s="1"/>
      <c r="AS780" s="1"/>
    </row>
    <row r="781" ht="13.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1"/>
      <c r="AO781" s="1"/>
      <c r="AP781" s="1"/>
      <c r="AQ781" s="1"/>
      <c r="AR781" s="1"/>
      <c r="AS781" s="1"/>
    </row>
    <row r="782" ht="13.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1"/>
      <c r="AO782" s="1"/>
      <c r="AP782" s="1"/>
      <c r="AQ782" s="1"/>
      <c r="AR782" s="1"/>
      <c r="AS782" s="1"/>
    </row>
    <row r="783" ht="13.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1"/>
      <c r="AO783" s="1"/>
      <c r="AP783" s="1"/>
      <c r="AQ783" s="1"/>
      <c r="AR783" s="1"/>
      <c r="AS783" s="1"/>
    </row>
    <row r="784" ht="13.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1"/>
      <c r="AO784" s="1"/>
      <c r="AP784" s="1"/>
      <c r="AQ784" s="1"/>
      <c r="AR784" s="1"/>
      <c r="AS784" s="1"/>
    </row>
    <row r="785" ht="13.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1"/>
      <c r="AO785" s="1"/>
      <c r="AP785" s="1"/>
      <c r="AQ785" s="1"/>
      <c r="AR785" s="1"/>
      <c r="AS785" s="1"/>
    </row>
    <row r="786" ht="13.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1"/>
      <c r="AO786" s="1"/>
      <c r="AP786" s="1"/>
      <c r="AQ786" s="1"/>
      <c r="AR786" s="1"/>
      <c r="AS786" s="1"/>
    </row>
    <row r="787" ht="13.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1"/>
      <c r="AO787" s="1"/>
      <c r="AP787" s="1"/>
      <c r="AQ787" s="1"/>
      <c r="AR787" s="1"/>
      <c r="AS787" s="1"/>
    </row>
    <row r="788" ht="13.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1"/>
      <c r="AO788" s="1"/>
      <c r="AP788" s="1"/>
      <c r="AQ788" s="1"/>
      <c r="AR788" s="1"/>
      <c r="AS788" s="1"/>
    </row>
    <row r="789" ht="13.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1"/>
      <c r="AO789" s="1"/>
      <c r="AP789" s="1"/>
      <c r="AQ789" s="1"/>
      <c r="AR789" s="1"/>
      <c r="AS789" s="1"/>
    </row>
    <row r="790" ht="13.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1"/>
      <c r="AO790" s="1"/>
      <c r="AP790" s="1"/>
      <c r="AQ790" s="1"/>
      <c r="AR790" s="1"/>
      <c r="AS790" s="1"/>
    </row>
    <row r="791" ht="13.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1"/>
      <c r="AO791" s="1"/>
      <c r="AP791" s="1"/>
      <c r="AQ791" s="1"/>
      <c r="AR791" s="1"/>
      <c r="AS791" s="1"/>
    </row>
    <row r="792" ht="13.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1"/>
      <c r="AO792" s="1"/>
      <c r="AP792" s="1"/>
      <c r="AQ792" s="1"/>
      <c r="AR792" s="1"/>
      <c r="AS792" s="1"/>
    </row>
    <row r="793" ht="13.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1"/>
      <c r="AO793" s="1"/>
      <c r="AP793" s="1"/>
      <c r="AQ793" s="1"/>
      <c r="AR793" s="1"/>
      <c r="AS793" s="1"/>
    </row>
    <row r="794" ht="13.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1"/>
      <c r="AO794" s="1"/>
      <c r="AP794" s="1"/>
      <c r="AQ794" s="1"/>
      <c r="AR794" s="1"/>
      <c r="AS794" s="1"/>
    </row>
    <row r="795" ht="13.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1"/>
      <c r="AO795" s="1"/>
      <c r="AP795" s="1"/>
      <c r="AQ795" s="1"/>
      <c r="AR795" s="1"/>
      <c r="AS795" s="1"/>
    </row>
    <row r="796" ht="13.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1"/>
      <c r="AO796" s="1"/>
      <c r="AP796" s="1"/>
      <c r="AQ796" s="1"/>
      <c r="AR796" s="1"/>
      <c r="AS796" s="1"/>
    </row>
    <row r="797" ht="13.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1"/>
      <c r="AO797" s="1"/>
      <c r="AP797" s="1"/>
      <c r="AQ797" s="1"/>
      <c r="AR797" s="1"/>
      <c r="AS797" s="1"/>
    </row>
    <row r="798" ht="13.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1"/>
      <c r="AO798" s="1"/>
      <c r="AP798" s="1"/>
      <c r="AQ798" s="1"/>
      <c r="AR798" s="1"/>
      <c r="AS798" s="1"/>
    </row>
    <row r="799" ht="13.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1"/>
      <c r="AO799" s="1"/>
      <c r="AP799" s="1"/>
      <c r="AQ799" s="1"/>
      <c r="AR799" s="1"/>
      <c r="AS799" s="1"/>
    </row>
    <row r="800" ht="13.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1"/>
      <c r="AO800" s="1"/>
      <c r="AP800" s="1"/>
      <c r="AQ800" s="1"/>
      <c r="AR800" s="1"/>
      <c r="AS800" s="1"/>
    </row>
    <row r="801" ht="13.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1"/>
      <c r="AO801" s="1"/>
      <c r="AP801" s="1"/>
      <c r="AQ801" s="1"/>
      <c r="AR801" s="1"/>
      <c r="AS801" s="1"/>
    </row>
    <row r="802" ht="13.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1"/>
      <c r="AO802" s="1"/>
      <c r="AP802" s="1"/>
      <c r="AQ802" s="1"/>
      <c r="AR802" s="1"/>
      <c r="AS802" s="1"/>
    </row>
    <row r="803" ht="13.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1"/>
      <c r="AO803" s="1"/>
      <c r="AP803" s="1"/>
      <c r="AQ803" s="1"/>
      <c r="AR803" s="1"/>
      <c r="AS803" s="1"/>
    </row>
    <row r="804" ht="13.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1"/>
      <c r="AO804" s="1"/>
      <c r="AP804" s="1"/>
      <c r="AQ804" s="1"/>
      <c r="AR804" s="1"/>
      <c r="AS804" s="1"/>
    </row>
    <row r="805" ht="13.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1"/>
      <c r="AO805" s="1"/>
      <c r="AP805" s="1"/>
      <c r="AQ805" s="1"/>
      <c r="AR805" s="1"/>
      <c r="AS805" s="1"/>
    </row>
    <row r="806" ht="13.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1"/>
      <c r="AO806" s="1"/>
      <c r="AP806" s="1"/>
      <c r="AQ806" s="1"/>
      <c r="AR806" s="1"/>
      <c r="AS806" s="1"/>
    </row>
    <row r="807" ht="13.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1"/>
      <c r="AO807" s="1"/>
      <c r="AP807" s="1"/>
      <c r="AQ807" s="1"/>
      <c r="AR807" s="1"/>
      <c r="AS807" s="1"/>
    </row>
    <row r="808" ht="13.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1"/>
      <c r="AO808" s="1"/>
      <c r="AP808" s="1"/>
      <c r="AQ808" s="1"/>
      <c r="AR808" s="1"/>
      <c r="AS808" s="1"/>
    </row>
    <row r="809" ht="13.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1"/>
      <c r="AO809" s="1"/>
      <c r="AP809" s="1"/>
      <c r="AQ809" s="1"/>
      <c r="AR809" s="1"/>
      <c r="AS809" s="1"/>
    </row>
    <row r="810" ht="13.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1"/>
      <c r="AO810" s="1"/>
      <c r="AP810" s="1"/>
      <c r="AQ810" s="1"/>
      <c r="AR810" s="1"/>
      <c r="AS810" s="1"/>
    </row>
    <row r="811" ht="13.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1"/>
      <c r="AO811" s="1"/>
      <c r="AP811" s="1"/>
      <c r="AQ811" s="1"/>
      <c r="AR811" s="1"/>
      <c r="AS811" s="1"/>
    </row>
    <row r="812" ht="13.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1"/>
      <c r="AO812" s="1"/>
      <c r="AP812" s="1"/>
      <c r="AQ812" s="1"/>
      <c r="AR812" s="1"/>
      <c r="AS812" s="1"/>
    </row>
    <row r="813" ht="13.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1"/>
      <c r="AO813" s="1"/>
      <c r="AP813" s="1"/>
      <c r="AQ813" s="1"/>
      <c r="AR813" s="1"/>
      <c r="AS813" s="1"/>
    </row>
    <row r="814" ht="13.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1"/>
      <c r="AO814" s="1"/>
      <c r="AP814" s="1"/>
      <c r="AQ814" s="1"/>
      <c r="AR814" s="1"/>
      <c r="AS814" s="1"/>
    </row>
    <row r="815" ht="13.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1"/>
      <c r="AO815" s="1"/>
      <c r="AP815" s="1"/>
      <c r="AQ815" s="1"/>
      <c r="AR815" s="1"/>
      <c r="AS815" s="1"/>
    </row>
    <row r="816" ht="13.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1"/>
      <c r="AO816" s="1"/>
      <c r="AP816" s="1"/>
      <c r="AQ816" s="1"/>
      <c r="AR816" s="1"/>
      <c r="AS816" s="1"/>
    </row>
    <row r="817" ht="13.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1"/>
      <c r="AO817" s="1"/>
      <c r="AP817" s="1"/>
      <c r="AQ817" s="1"/>
      <c r="AR817" s="1"/>
      <c r="AS817" s="1"/>
    </row>
    <row r="818" ht="13.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1"/>
      <c r="AO818" s="1"/>
      <c r="AP818" s="1"/>
      <c r="AQ818" s="1"/>
      <c r="AR818" s="1"/>
      <c r="AS818" s="1"/>
    </row>
    <row r="819" ht="13.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1"/>
      <c r="AO819" s="1"/>
      <c r="AP819" s="1"/>
      <c r="AQ819" s="1"/>
      <c r="AR819" s="1"/>
      <c r="AS819" s="1"/>
    </row>
    <row r="820" ht="13.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1"/>
      <c r="AO820" s="1"/>
      <c r="AP820" s="1"/>
      <c r="AQ820" s="1"/>
      <c r="AR820" s="1"/>
      <c r="AS820" s="1"/>
    </row>
    <row r="821" ht="13.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1"/>
      <c r="AO821" s="1"/>
      <c r="AP821" s="1"/>
      <c r="AQ821" s="1"/>
      <c r="AR821" s="1"/>
      <c r="AS821" s="1"/>
    </row>
    <row r="822" ht="13.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1"/>
      <c r="AO822" s="1"/>
      <c r="AP822" s="1"/>
      <c r="AQ822" s="1"/>
      <c r="AR822" s="1"/>
      <c r="AS822" s="1"/>
    </row>
    <row r="823" ht="13.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1"/>
      <c r="AO823" s="1"/>
      <c r="AP823" s="1"/>
      <c r="AQ823" s="1"/>
      <c r="AR823" s="1"/>
      <c r="AS823" s="1"/>
    </row>
    <row r="824" ht="13.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1"/>
      <c r="AO824" s="1"/>
      <c r="AP824" s="1"/>
      <c r="AQ824" s="1"/>
      <c r="AR824" s="1"/>
      <c r="AS824" s="1"/>
    </row>
    <row r="825" ht="13.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1"/>
      <c r="AO825" s="1"/>
      <c r="AP825" s="1"/>
      <c r="AQ825" s="1"/>
      <c r="AR825" s="1"/>
      <c r="AS825" s="1"/>
    </row>
    <row r="826" ht="13.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1"/>
      <c r="AO826" s="1"/>
      <c r="AP826" s="1"/>
      <c r="AQ826" s="1"/>
      <c r="AR826" s="1"/>
      <c r="AS826" s="1"/>
    </row>
    <row r="827" ht="13.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1"/>
      <c r="AO827" s="1"/>
      <c r="AP827" s="1"/>
      <c r="AQ827" s="1"/>
      <c r="AR827" s="1"/>
      <c r="AS827" s="1"/>
    </row>
    <row r="828" ht="13.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1"/>
      <c r="AO828" s="1"/>
      <c r="AP828" s="1"/>
      <c r="AQ828" s="1"/>
      <c r="AR828" s="1"/>
      <c r="AS828" s="1"/>
    </row>
    <row r="829" ht="13.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1"/>
      <c r="AO829" s="1"/>
      <c r="AP829" s="1"/>
      <c r="AQ829" s="1"/>
      <c r="AR829" s="1"/>
      <c r="AS829" s="1"/>
    </row>
    <row r="830" ht="13.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1"/>
      <c r="AO830" s="1"/>
      <c r="AP830" s="1"/>
      <c r="AQ830" s="1"/>
      <c r="AR830" s="1"/>
      <c r="AS830" s="1"/>
    </row>
    <row r="831" ht="13.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1"/>
      <c r="AO831" s="1"/>
      <c r="AP831" s="1"/>
      <c r="AQ831" s="1"/>
      <c r="AR831" s="1"/>
      <c r="AS831" s="1"/>
    </row>
    <row r="832" ht="13.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1"/>
      <c r="AO832" s="1"/>
      <c r="AP832" s="1"/>
      <c r="AQ832" s="1"/>
      <c r="AR832" s="1"/>
      <c r="AS832" s="1"/>
    </row>
    <row r="833" ht="13.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1"/>
      <c r="AO833" s="1"/>
      <c r="AP833" s="1"/>
      <c r="AQ833" s="1"/>
      <c r="AR833" s="1"/>
      <c r="AS833" s="1"/>
    </row>
    <row r="834" ht="13.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1"/>
      <c r="AO834" s="1"/>
      <c r="AP834" s="1"/>
      <c r="AQ834" s="1"/>
      <c r="AR834" s="1"/>
      <c r="AS834" s="1"/>
    </row>
    <row r="835" ht="13.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1"/>
      <c r="AO835" s="1"/>
      <c r="AP835" s="1"/>
      <c r="AQ835" s="1"/>
      <c r="AR835" s="1"/>
      <c r="AS835" s="1"/>
    </row>
    <row r="836" ht="13.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1"/>
      <c r="AO836" s="1"/>
      <c r="AP836" s="1"/>
      <c r="AQ836" s="1"/>
      <c r="AR836" s="1"/>
      <c r="AS836" s="1"/>
    </row>
    <row r="837" ht="13.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1"/>
      <c r="AO837" s="1"/>
      <c r="AP837" s="1"/>
      <c r="AQ837" s="1"/>
      <c r="AR837" s="1"/>
      <c r="AS837" s="1"/>
    </row>
    <row r="838" ht="13.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1"/>
      <c r="AO838" s="1"/>
      <c r="AP838" s="1"/>
      <c r="AQ838" s="1"/>
      <c r="AR838" s="1"/>
      <c r="AS838" s="1"/>
    </row>
    <row r="839" ht="13.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1"/>
      <c r="AO839" s="1"/>
      <c r="AP839" s="1"/>
      <c r="AQ839" s="1"/>
      <c r="AR839" s="1"/>
      <c r="AS839" s="1"/>
    </row>
    <row r="840" ht="13.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1"/>
      <c r="AO840" s="1"/>
      <c r="AP840" s="1"/>
      <c r="AQ840" s="1"/>
      <c r="AR840" s="1"/>
      <c r="AS840" s="1"/>
    </row>
    <row r="841" ht="13.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1"/>
      <c r="AO841" s="1"/>
      <c r="AP841" s="1"/>
      <c r="AQ841" s="1"/>
      <c r="AR841" s="1"/>
      <c r="AS841" s="1"/>
    </row>
    <row r="842" ht="13.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1"/>
      <c r="AO842" s="1"/>
      <c r="AP842" s="1"/>
      <c r="AQ842" s="1"/>
      <c r="AR842" s="1"/>
      <c r="AS842" s="1"/>
    </row>
    <row r="843" ht="13.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1"/>
      <c r="AO843" s="1"/>
      <c r="AP843" s="1"/>
      <c r="AQ843" s="1"/>
      <c r="AR843" s="1"/>
      <c r="AS843" s="1"/>
    </row>
    <row r="844" ht="13.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1"/>
      <c r="AO844" s="1"/>
      <c r="AP844" s="1"/>
      <c r="AQ844" s="1"/>
      <c r="AR844" s="1"/>
      <c r="AS844" s="1"/>
    </row>
    <row r="845" ht="13.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1"/>
      <c r="AO845" s="1"/>
      <c r="AP845" s="1"/>
      <c r="AQ845" s="1"/>
      <c r="AR845" s="1"/>
      <c r="AS845" s="1"/>
    </row>
    <row r="846" ht="13.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1"/>
      <c r="AO846" s="1"/>
      <c r="AP846" s="1"/>
      <c r="AQ846" s="1"/>
      <c r="AR846" s="1"/>
      <c r="AS846" s="1"/>
    </row>
    <row r="847" ht="13.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1"/>
      <c r="AO847" s="1"/>
      <c r="AP847" s="1"/>
      <c r="AQ847" s="1"/>
      <c r="AR847" s="1"/>
      <c r="AS847" s="1"/>
    </row>
    <row r="848" ht="13.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1"/>
      <c r="AO848" s="1"/>
      <c r="AP848" s="1"/>
      <c r="AQ848" s="1"/>
      <c r="AR848" s="1"/>
      <c r="AS848" s="1"/>
    </row>
    <row r="849" ht="13.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1"/>
      <c r="AO849" s="1"/>
      <c r="AP849" s="1"/>
      <c r="AQ849" s="1"/>
      <c r="AR849" s="1"/>
      <c r="AS849" s="1"/>
    </row>
    <row r="850" ht="13.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1"/>
      <c r="AO850" s="1"/>
      <c r="AP850" s="1"/>
      <c r="AQ850" s="1"/>
      <c r="AR850" s="1"/>
      <c r="AS850" s="1"/>
    </row>
    <row r="851" ht="13.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1"/>
      <c r="AO851" s="1"/>
      <c r="AP851" s="1"/>
      <c r="AQ851" s="1"/>
      <c r="AR851" s="1"/>
      <c r="AS851" s="1"/>
    </row>
    <row r="852" ht="13.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1"/>
      <c r="AO852" s="1"/>
      <c r="AP852" s="1"/>
      <c r="AQ852" s="1"/>
      <c r="AR852" s="1"/>
      <c r="AS852" s="1"/>
    </row>
    <row r="853" ht="13.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1"/>
      <c r="AO853" s="1"/>
      <c r="AP853" s="1"/>
      <c r="AQ853" s="1"/>
      <c r="AR853" s="1"/>
      <c r="AS853" s="1"/>
    </row>
    <row r="854" ht="13.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1"/>
      <c r="AO854" s="1"/>
      <c r="AP854" s="1"/>
      <c r="AQ854" s="1"/>
      <c r="AR854" s="1"/>
      <c r="AS854" s="1"/>
    </row>
    <row r="855" ht="13.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1"/>
      <c r="AO855" s="1"/>
      <c r="AP855" s="1"/>
      <c r="AQ855" s="1"/>
      <c r="AR855" s="1"/>
      <c r="AS855" s="1"/>
    </row>
    <row r="856" ht="13.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1"/>
      <c r="AO856" s="1"/>
      <c r="AP856" s="1"/>
      <c r="AQ856" s="1"/>
      <c r="AR856" s="1"/>
      <c r="AS856" s="1"/>
    </row>
    <row r="857" ht="13.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1"/>
      <c r="AO857" s="1"/>
      <c r="AP857" s="1"/>
      <c r="AQ857" s="1"/>
      <c r="AR857" s="1"/>
      <c r="AS857" s="1"/>
    </row>
    <row r="858" ht="13.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1"/>
      <c r="AO858" s="1"/>
      <c r="AP858" s="1"/>
      <c r="AQ858" s="1"/>
      <c r="AR858" s="1"/>
      <c r="AS858" s="1"/>
    </row>
    <row r="859" ht="13.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1"/>
      <c r="AO859" s="1"/>
      <c r="AP859" s="1"/>
      <c r="AQ859" s="1"/>
      <c r="AR859" s="1"/>
      <c r="AS859" s="1"/>
    </row>
    <row r="860" ht="13.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1"/>
      <c r="AO860" s="1"/>
      <c r="AP860" s="1"/>
      <c r="AQ860" s="1"/>
      <c r="AR860" s="1"/>
      <c r="AS860" s="1"/>
    </row>
    <row r="861" ht="13.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1"/>
      <c r="AO861" s="1"/>
      <c r="AP861" s="1"/>
      <c r="AQ861" s="1"/>
      <c r="AR861" s="1"/>
      <c r="AS861" s="1"/>
    </row>
    <row r="862" ht="13.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1"/>
      <c r="AO862" s="1"/>
      <c r="AP862" s="1"/>
      <c r="AQ862" s="1"/>
      <c r="AR862" s="1"/>
      <c r="AS862" s="1"/>
    </row>
    <row r="863" ht="13.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1"/>
      <c r="AO863" s="1"/>
      <c r="AP863" s="1"/>
      <c r="AQ863" s="1"/>
      <c r="AR863" s="1"/>
      <c r="AS863" s="1"/>
    </row>
    <row r="864" ht="13.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1"/>
      <c r="AO864" s="1"/>
      <c r="AP864" s="1"/>
      <c r="AQ864" s="1"/>
      <c r="AR864" s="1"/>
      <c r="AS864" s="1"/>
    </row>
    <row r="865" ht="13.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1"/>
      <c r="AO865" s="1"/>
      <c r="AP865" s="1"/>
      <c r="AQ865" s="1"/>
      <c r="AR865" s="1"/>
      <c r="AS865" s="1"/>
    </row>
    <row r="866" ht="13.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1"/>
      <c r="AO866" s="1"/>
      <c r="AP866" s="1"/>
      <c r="AQ866" s="1"/>
      <c r="AR866" s="1"/>
      <c r="AS866" s="1"/>
    </row>
    <row r="867" ht="13.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1"/>
      <c r="AO867" s="1"/>
      <c r="AP867" s="1"/>
      <c r="AQ867" s="1"/>
      <c r="AR867" s="1"/>
      <c r="AS867" s="1"/>
    </row>
    <row r="868" ht="13.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1"/>
      <c r="AO868" s="1"/>
      <c r="AP868" s="1"/>
      <c r="AQ868" s="1"/>
      <c r="AR868" s="1"/>
      <c r="AS868" s="1"/>
    </row>
    <row r="869" ht="13.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1"/>
      <c r="AO869" s="1"/>
      <c r="AP869" s="1"/>
      <c r="AQ869" s="1"/>
      <c r="AR869" s="1"/>
      <c r="AS869" s="1"/>
    </row>
    <row r="870" ht="13.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1"/>
      <c r="AO870" s="1"/>
      <c r="AP870" s="1"/>
      <c r="AQ870" s="1"/>
      <c r="AR870" s="1"/>
      <c r="AS870" s="1"/>
    </row>
    <row r="871" ht="13.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1"/>
      <c r="AO871" s="1"/>
      <c r="AP871" s="1"/>
      <c r="AQ871" s="1"/>
      <c r="AR871" s="1"/>
      <c r="AS871" s="1"/>
    </row>
    <row r="872" ht="13.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1"/>
      <c r="AO872" s="1"/>
      <c r="AP872" s="1"/>
      <c r="AQ872" s="1"/>
      <c r="AR872" s="1"/>
      <c r="AS872" s="1"/>
    </row>
    <row r="873" ht="13.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1"/>
      <c r="AO873" s="1"/>
      <c r="AP873" s="1"/>
      <c r="AQ873" s="1"/>
      <c r="AR873" s="1"/>
      <c r="AS873" s="1"/>
    </row>
    <row r="874" ht="13.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1"/>
      <c r="AO874" s="1"/>
      <c r="AP874" s="1"/>
      <c r="AQ874" s="1"/>
      <c r="AR874" s="1"/>
      <c r="AS874" s="1"/>
    </row>
    <row r="875" ht="13.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1"/>
      <c r="AO875" s="1"/>
      <c r="AP875" s="1"/>
      <c r="AQ875" s="1"/>
      <c r="AR875" s="1"/>
      <c r="AS875" s="1"/>
    </row>
    <row r="876" ht="13.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1"/>
      <c r="AO876" s="1"/>
      <c r="AP876" s="1"/>
      <c r="AQ876" s="1"/>
      <c r="AR876" s="1"/>
      <c r="AS876" s="1"/>
    </row>
    <row r="877" ht="13.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1"/>
      <c r="AO877" s="1"/>
      <c r="AP877" s="1"/>
      <c r="AQ877" s="1"/>
      <c r="AR877" s="1"/>
      <c r="AS877" s="1"/>
    </row>
    <row r="878" ht="13.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1"/>
      <c r="AO878" s="1"/>
      <c r="AP878" s="1"/>
      <c r="AQ878" s="1"/>
      <c r="AR878" s="1"/>
      <c r="AS878" s="1"/>
    </row>
    <row r="879" ht="13.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1"/>
      <c r="AO879" s="1"/>
      <c r="AP879" s="1"/>
      <c r="AQ879" s="1"/>
      <c r="AR879" s="1"/>
      <c r="AS879" s="1"/>
    </row>
    <row r="880" ht="13.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1"/>
      <c r="AO880" s="1"/>
      <c r="AP880" s="1"/>
      <c r="AQ880" s="1"/>
      <c r="AR880" s="1"/>
      <c r="AS880" s="1"/>
    </row>
    <row r="881" ht="13.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1"/>
      <c r="AO881" s="1"/>
      <c r="AP881" s="1"/>
      <c r="AQ881" s="1"/>
      <c r="AR881" s="1"/>
      <c r="AS881" s="1"/>
    </row>
    <row r="882" ht="13.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1"/>
      <c r="AO882" s="1"/>
      <c r="AP882" s="1"/>
      <c r="AQ882" s="1"/>
      <c r="AR882" s="1"/>
      <c r="AS882" s="1"/>
    </row>
    <row r="883" ht="13.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1"/>
      <c r="AO883" s="1"/>
      <c r="AP883" s="1"/>
      <c r="AQ883" s="1"/>
      <c r="AR883" s="1"/>
      <c r="AS883" s="1"/>
    </row>
    <row r="884" ht="13.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1"/>
      <c r="AO884" s="1"/>
      <c r="AP884" s="1"/>
      <c r="AQ884" s="1"/>
      <c r="AR884" s="1"/>
      <c r="AS884" s="1"/>
    </row>
    <row r="885" ht="13.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1"/>
      <c r="AO885" s="1"/>
      <c r="AP885" s="1"/>
      <c r="AQ885" s="1"/>
      <c r="AR885" s="1"/>
      <c r="AS885" s="1"/>
    </row>
    <row r="886" ht="13.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1"/>
      <c r="AO886" s="1"/>
      <c r="AP886" s="1"/>
      <c r="AQ886" s="1"/>
      <c r="AR886" s="1"/>
      <c r="AS886" s="1"/>
    </row>
    <row r="887" ht="13.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1"/>
      <c r="AO887" s="1"/>
      <c r="AP887" s="1"/>
      <c r="AQ887" s="1"/>
      <c r="AR887" s="1"/>
      <c r="AS887" s="1"/>
    </row>
    <row r="888" ht="13.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1"/>
      <c r="AO888" s="1"/>
      <c r="AP888" s="1"/>
      <c r="AQ888" s="1"/>
      <c r="AR888" s="1"/>
      <c r="AS888" s="1"/>
    </row>
    <row r="889" ht="13.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1"/>
      <c r="AO889" s="1"/>
      <c r="AP889" s="1"/>
      <c r="AQ889" s="1"/>
      <c r="AR889" s="1"/>
      <c r="AS889" s="1"/>
    </row>
    <row r="890" ht="13.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1"/>
      <c r="AO890" s="1"/>
      <c r="AP890" s="1"/>
      <c r="AQ890" s="1"/>
      <c r="AR890" s="1"/>
      <c r="AS890" s="1"/>
    </row>
    <row r="891" ht="13.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1"/>
      <c r="AO891" s="1"/>
      <c r="AP891" s="1"/>
      <c r="AQ891" s="1"/>
      <c r="AR891" s="1"/>
      <c r="AS891" s="1"/>
    </row>
    <row r="892" ht="13.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1"/>
      <c r="AO892" s="1"/>
      <c r="AP892" s="1"/>
      <c r="AQ892" s="1"/>
      <c r="AR892" s="1"/>
      <c r="AS892" s="1"/>
    </row>
    <row r="893" ht="13.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1"/>
      <c r="AO893" s="1"/>
      <c r="AP893" s="1"/>
      <c r="AQ893" s="1"/>
      <c r="AR893" s="1"/>
      <c r="AS893" s="1"/>
    </row>
    <row r="894" ht="13.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1"/>
      <c r="AO894" s="1"/>
      <c r="AP894" s="1"/>
      <c r="AQ894" s="1"/>
      <c r="AR894" s="1"/>
      <c r="AS894" s="1"/>
    </row>
    <row r="895" ht="13.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1"/>
      <c r="AO895" s="1"/>
      <c r="AP895" s="1"/>
      <c r="AQ895" s="1"/>
      <c r="AR895" s="1"/>
      <c r="AS895" s="1"/>
    </row>
    <row r="896" ht="13.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1"/>
      <c r="AO896" s="1"/>
      <c r="AP896" s="1"/>
      <c r="AQ896" s="1"/>
      <c r="AR896" s="1"/>
      <c r="AS896" s="1"/>
    </row>
    <row r="897" ht="13.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1"/>
      <c r="AO897" s="1"/>
      <c r="AP897" s="1"/>
      <c r="AQ897" s="1"/>
      <c r="AR897" s="1"/>
      <c r="AS897" s="1"/>
    </row>
    <row r="898" ht="13.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1"/>
      <c r="AO898" s="1"/>
      <c r="AP898" s="1"/>
      <c r="AQ898" s="1"/>
      <c r="AR898" s="1"/>
      <c r="AS898" s="1"/>
    </row>
    <row r="899" ht="13.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1"/>
      <c r="AO899" s="1"/>
      <c r="AP899" s="1"/>
      <c r="AQ899" s="1"/>
      <c r="AR899" s="1"/>
      <c r="AS899" s="1"/>
    </row>
    <row r="900" ht="13.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1"/>
      <c r="AO900" s="1"/>
      <c r="AP900" s="1"/>
      <c r="AQ900" s="1"/>
      <c r="AR900" s="1"/>
      <c r="AS900" s="1"/>
    </row>
    <row r="901" ht="13.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1"/>
      <c r="AO901" s="1"/>
      <c r="AP901" s="1"/>
      <c r="AQ901" s="1"/>
      <c r="AR901" s="1"/>
      <c r="AS901" s="1"/>
    </row>
    <row r="902" ht="13.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1"/>
      <c r="AO902" s="1"/>
      <c r="AP902" s="1"/>
      <c r="AQ902" s="1"/>
      <c r="AR902" s="1"/>
      <c r="AS902" s="1"/>
    </row>
    <row r="903" ht="13.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1"/>
      <c r="AO903" s="1"/>
      <c r="AP903" s="1"/>
      <c r="AQ903" s="1"/>
      <c r="AR903" s="1"/>
      <c r="AS903" s="1"/>
    </row>
    <row r="904" ht="13.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1"/>
      <c r="AO904" s="1"/>
      <c r="AP904" s="1"/>
      <c r="AQ904" s="1"/>
      <c r="AR904" s="1"/>
      <c r="AS904" s="1"/>
    </row>
    <row r="905" ht="13.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1"/>
      <c r="AO905" s="1"/>
      <c r="AP905" s="1"/>
      <c r="AQ905" s="1"/>
      <c r="AR905" s="1"/>
      <c r="AS905" s="1"/>
    </row>
    <row r="906" ht="13.5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1"/>
      <c r="AO906" s="1"/>
      <c r="AP906" s="1"/>
      <c r="AQ906" s="1"/>
      <c r="AR906" s="1"/>
      <c r="AS906" s="1"/>
    </row>
    <row r="907" ht="13.5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1"/>
      <c r="AO907" s="1"/>
      <c r="AP907" s="1"/>
      <c r="AQ907" s="1"/>
      <c r="AR907" s="1"/>
      <c r="AS907" s="1"/>
    </row>
    <row r="908" ht="13.5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1"/>
      <c r="AO908" s="1"/>
      <c r="AP908" s="1"/>
      <c r="AQ908" s="1"/>
      <c r="AR908" s="1"/>
      <c r="AS908" s="1"/>
    </row>
    <row r="909" ht="13.5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1"/>
      <c r="AO909" s="1"/>
      <c r="AP909" s="1"/>
      <c r="AQ909" s="1"/>
      <c r="AR909" s="1"/>
      <c r="AS909" s="1"/>
    </row>
    <row r="910" ht="13.5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1"/>
      <c r="AO910" s="1"/>
      <c r="AP910" s="1"/>
      <c r="AQ910" s="1"/>
      <c r="AR910" s="1"/>
      <c r="AS910" s="1"/>
    </row>
    <row r="911" ht="13.5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1"/>
      <c r="AO911" s="1"/>
      <c r="AP911" s="1"/>
      <c r="AQ911" s="1"/>
      <c r="AR911" s="1"/>
      <c r="AS911" s="1"/>
    </row>
    <row r="912" ht="13.5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1"/>
      <c r="AO912" s="1"/>
      <c r="AP912" s="1"/>
      <c r="AQ912" s="1"/>
      <c r="AR912" s="1"/>
      <c r="AS912" s="1"/>
    </row>
    <row r="913" ht="13.5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1"/>
      <c r="AO913" s="1"/>
      <c r="AP913" s="1"/>
      <c r="AQ913" s="1"/>
      <c r="AR913" s="1"/>
      <c r="AS913" s="1"/>
    </row>
    <row r="914" ht="13.5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1"/>
      <c r="AO914" s="1"/>
      <c r="AP914" s="1"/>
      <c r="AQ914" s="1"/>
      <c r="AR914" s="1"/>
      <c r="AS914" s="1"/>
    </row>
    <row r="915" ht="13.5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1"/>
      <c r="AO915" s="1"/>
      <c r="AP915" s="1"/>
      <c r="AQ915" s="1"/>
      <c r="AR915" s="1"/>
      <c r="AS915" s="1"/>
    </row>
    <row r="916" ht="13.5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1"/>
      <c r="AO916" s="1"/>
      <c r="AP916" s="1"/>
      <c r="AQ916" s="1"/>
      <c r="AR916" s="1"/>
      <c r="AS916" s="1"/>
    </row>
    <row r="917" ht="13.5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1"/>
      <c r="AO917" s="1"/>
      <c r="AP917" s="1"/>
      <c r="AQ917" s="1"/>
      <c r="AR917" s="1"/>
      <c r="AS917" s="1"/>
    </row>
    <row r="918" ht="13.5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1"/>
      <c r="AO918" s="1"/>
      <c r="AP918" s="1"/>
      <c r="AQ918" s="1"/>
      <c r="AR918" s="1"/>
      <c r="AS918" s="1"/>
    </row>
    <row r="919" ht="13.5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1"/>
      <c r="AO919" s="1"/>
      <c r="AP919" s="1"/>
      <c r="AQ919" s="1"/>
      <c r="AR919" s="1"/>
      <c r="AS919" s="1"/>
    </row>
    <row r="920" ht="13.5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1"/>
      <c r="AO920" s="1"/>
      <c r="AP920" s="1"/>
      <c r="AQ920" s="1"/>
      <c r="AR920" s="1"/>
      <c r="AS920" s="1"/>
    </row>
    <row r="921" ht="13.5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1"/>
      <c r="AO921" s="1"/>
      <c r="AP921" s="1"/>
      <c r="AQ921" s="1"/>
      <c r="AR921" s="1"/>
      <c r="AS921" s="1"/>
    </row>
    <row r="922" ht="13.5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1"/>
      <c r="AO922" s="1"/>
      <c r="AP922" s="1"/>
      <c r="AQ922" s="1"/>
      <c r="AR922" s="1"/>
      <c r="AS922" s="1"/>
    </row>
    <row r="923" ht="13.5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1"/>
      <c r="AO923" s="1"/>
      <c r="AP923" s="1"/>
      <c r="AQ923" s="1"/>
      <c r="AR923" s="1"/>
      <c r="AS923" s="1"/>
    </row>
    <row r="924" ht="13.5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1"/>
      <c r="AO924" s="1"/>
      <c r="AP924" s="1"/>
      <c r="AQ924" s="1"/>
      <c r="AR924" s="1"/>
      <c r="AS924" s="1"/>
    </row>
    <row r="925" ht="13.5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1"/>
      <c r="AO925" s="1"/>
      <c r="AP925" s="1"/>
      <c r="AQ925" s="1"/>
      <c r="AR925" s="1"/>
      <c r="AS925" s="1"/>
    </row>
    <row r="926" ht="13.5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1"/>
      <c r="AO926" s="1"/>
      <c r="AP926" s="1"/>
      <c r="AQ926" s="1"/>
      <c r="AR926" s="1"/>
      <c r="AS926" s="1"/>
    </row>
    <row r="927" ht="13.5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1"/>
      <c r="AO927" s="1"/>
      <c r="AP927" s="1"/>
      <c r="AQ927" s="1"/>
      <c r="AR927" s="1"/>
      <c r="AS927" s="1"/>
    </row>
    <row r="928" ht="13.5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1"/>
      <c r="AO928" s="1"/>
      <c r="AP928" s="1"/>
      <c r="AQ928" s="1"/>
      <c r="AR928" s="1"/>
      <c r="AS928" s="1"/>
    </row>
    <row r="929" ht="13.5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1"/>
      <c r="AO929" s="1"/>
      <c r="AP929" s="1"/>
      <c r="AQ929" s="1"/>
      <c r="AR929" s="1"/>
      <c r="AS929" s="1"/>
    </row>
    <row r="930" ht="13.5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1"/>
      <c r="AO930" s="1"/>
      <c r="AP930" s="1"/>
      <c r="AQ930" s="1"/>
      <c r="AR930" s="1"/>
      <c r="AS930" s="1"/>
    </row>
    <row r="931" ht="13.5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1"/>
      <c r="AO931" s="1"/>
      <c r="AP931" s="1"/>
      <c r="AQ931" s="1"/>
      <c r="AR931" s="1"/>
      <c r="AS931" s="1"/>
    </row>
    <row r="932" ht="13.5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1"/>
      <c r="AO932" s="1"/>
      <c r="AP932" s="1"/>
      <c r="AQ932" s="1"/>
      <c r="AR932" s="1"/>
      <c r="AS932" s="1"/>
    </row>
    <row r="933" ht="13.5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1"/>
      <c r="AO933" s="1"/>
      <c r="AP933" s="1"/>
      <c r="AQ933" s="1"/>
      <c r="AR933" s="1"/>
      <c r="AS933" s="1"/>
    </row>
    <row r="934" ht="13.5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1"/>
      <c r="AO934" s="1"/>
      <c r="AP934" s="1"/>
      <c r="AQ934" s="1"/>
      <c r="AR934" s="1"/>
      <c r="AS934" s="1"/>
    </row>
    <row r="935" ht="13.5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1"/>
      <c r="AO935" s="1"/>
      <c r="AP935" s="1"/>
      <c r="AQ935" s="1"/>
      <c r="AR935" s="1"/>
      <c r="AS935" s="1"/>
    </row>
    <row r="936" ht="13.5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1"/>
      <c r="AO936" s="1"/>
      <c r="AP936" s="1"/>
      <c r="AQ936" s="1"/>
      <c r="AR936" s="1"/>
      <c r="AS936" s="1"/>
    </row>
    <row r="937" ht="13.5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1"/>
      <c r="AO937" s="1"/>
      <c r="AP937" s="1"/>
      <c r="AQ937" s="1"/>
      <c r="AR937" s="1"/>
      <c r="AS937" s="1"/>
    </row>
    <row r="938" ht="13.5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1"/>
      <c r="AO938" s="1"/>
      <c r="AP938" s="1"/>
      <c r="AQ938" s="1"/>
      <c r="AR938" s="1"/>
      <c r="AS938" s="1"/>
    </row>
    <row r="939" ht="13.5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1"/>
      <c r="AO939" s="1"/>
      <c r="AP939" s="1"/>
      <c r="AQ939" s="1"/>
      <c r="AR939" s="1"/>
      <c r="AS939" s="1"/>
    </row>
    <row r="940" ht="13.5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1"/>
      <c r="AO940" s="1"/>
      <c r="AP940" s="1"/>
      <c r="AQ940" s="1"/>
      <c r="AR940" s="1"/>
      <c r="AS940" s="1"/>
    </row>
    <row r="941" ht="13.5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1"/>
      <c r="AO941" s="1"/>
      <c r="AP941" s="1"/>
      <c r="AQ941" s="1"/>
      <c r="AR941" s="1"/>
      <c r="AS941" s="1"/>
    </row>
    <row r="942" ht="13.5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1"/>
      <c r="AO942" s="1"/>
      <c r="AP942" s="1"/>
      <c r="AQ942" s="1"/>
      <c r="AR942" s="1"/>
      <c r="AS942" s="1"/>
    </row>
    <row r="943" ht="13.5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1"/>
      <c r="AO943" s="1"/>
      <c r="AP943" s="1"/>
      <c r="AQ943" s="1"/>
      <c r="AR943" s="1"/>
      <c r="AS943" s="1"/>
    </row>
    <row r="944" ht="13.5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1"/>
      <c r="AO944" s="1"/>
      <c r="AP944" s="1"/>
      <c r="AQ944" s="1"/>
      <c r="AR944" s="1"/>
      <c r="AS944" s="1"/>
    </row>
    <row r="945" ht="13.5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1"/>
      <c r="AO945" s="1"/>
      <c r="AP945" s="1"/>
      <c r="AQ945" s="1"/>
      <c r="AR945" s="1"/>
      <c r="AS945" s="1"/>
    </row>
    <row r="946" ht="13.5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1"/>
      <c r="AO946" s="1"/>
      <c r="AP946" s="1"/>
      <c r="AQ946" s="1"/>
      <c r="AR946" s="1"/>
      <c r="AS946" s="1"/>
    </row>
    <row r="947" ht="13.5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1"/>
      <c r="AO947" s="1"/>
      <c r="AP947" s="1"/>
      <c r="AQ947" s="1"/>
      <c r="AR947" s="1"/>
      <c r="AS947" s="1"/>
    </row>
    <row r="948" ht="13.5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1"/>
      <c r="AO948" s="1"/>
      <c r="AP948" s="1"/>
      <c r="AQ948" s="1"/>
      <c r="AR948" s="1"/>
      <c r="AS948" s="1"/>
    </row>
    <row r="949" ht="13.5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1"/>
      <c r="AO949" s="1"/>
      <c r="AP949" s="1"/>
      <c r="AQ949" s="1"/>
      <c r="AR949" s="1"/>
      <c r="AS949" s="1"/>
    </row>
    <row r="950" ht="13.5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1"/>
      <c r="AO950" s="1"/>
      <c r="AP950" s="1"/>
      <c r="AQ950" s="1"/>
      <c r="AR950" s="1"/>
      <c r="AS950" s="1"/>
    </row>
    <row r="951" ht="13.5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1"/>
      <c r="AO951" s="1"/>
      <c r="AP951" s="1"/>
      <c r="AQ951" s="1"/>
      <c r="AR951" s="1"/>
      <c r="AS951" s="1"/>
    </row>
    <row r="952" ht="13.5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1"/>
      <c r="AO952" s="1"/>
      <c r="AP952" s="1"/>
      <c r="AQ952" s="1"/>
      <c r="AR952" s="1"/>
      <c r="AS952" s="1"/>
    </row>
    <row r="953" ht="13.5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1"/>
      <c r="AO953" s="1"/>
      <c r="AP953" s="1"/>
      <c r="AQ953" s="1"/>
      <c r="AR953" s="1"/>
      <c r="AS953" s="1"/>
    </row>
    <row r="954" ht="13.5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1"/>
      <c r="AO954" s="1"/>
      <c r="AP954" s="1"/>
      <c r="AQ954" s="1"/>
      <c r="AR954" s="1"/>
      <c r="AS954" s="1"/>
    </row>
    <row r="955" ht="13.5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1"/>
      <c r="AO955" s="1"/>
      <c r="AP955" s="1"/>
      <c r="AQ955" s="1"/>
      <c r="AR955" s="1"/>
      <c r="AS955" s="1"/>
    </row>
    <row r="956" ht="13.5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1"/>
      <c r="AO956" s="1"/>
      <c r="AP956" s="1"/>
      <c r="AQ956" s="1"/>
      <c r="AR956" s="1"/>
      <c r="AS956" s="1"/>
    </row>
    <row r="957" ht="13.5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1"/>
      <c r="AO957" s="1"/>
      <c r="AP957" s="1"/>
      <c r="AQ957" s="1"/>
      <c r="AR957" s="1"/>
      <c r="AS957" s="1"/>
    </row>
    <row r="958" ht="13.5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1"/>
      <c r="AO958" s="1"/>
      <c r="AP958" s="1"/>
      <c r="AQ958" s="1"/>
      <c r="AR958" s="1"/>
      <c r="AS958" s="1"/>
    </row>
    <row r="959" ht="13.5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1"/>
      <c r="AO959" s="1"/>
      <c r="AP959" s="1"/>
      <c r="AQ959" s="1"/>
      <c r="AR959" s="1"/>
      <c r="AS959" s="1"/>
    </row>
    <row r="960" ht="13.5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1"/>
      <c r="AO960" s="1"/>
      <c r="AP960" s="1"/>
      <c r="AQ960" s="1"/>
      <c r="AR960" s="1"/>
      <c r="AS960" s="1"/>
    </row>
    <row r="961" ht="13.5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1"/>
      <c r="AO961" s="1"/>
      <c r="AP961" s="1"/>
      <c r="AQ961" s="1"/>
      <c r="AR961" s="1"/>
      <c r="AS961" s="1"/>
    </row>
    <row r="962" ht="13.5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1"/>
      <c r="AO962" s="1"/>
      <c r="AP962" s="1"/>
      <c r="AQ962" s="1"/>
      <c r="AR962" s="1"/>
      <c r="AS962" s="1"/>
    </row>
    <row r="963" ht="13.5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1"/>
      <c r="AO963" s="1"/>
      <c r="AP963" s="1"/>
      <c r="AQ963" s="1"/>
      <c r="AR963" s="1"/>
      <c r="AS963" s="1"/>
    </row>
    <row r="964" ht="13.5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1"/>
      <c r="AO964" s="1"/>
      <c r="AP964" s="1"/>
      <c r="AQ964" s="1"/>
      <c r="AR964" s="1"/>
      <c r="AS964" s="1"/>
    </row>
    <row r="965" ht="13.5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1"/>
      <c r="AO965" s="1"/>
      <c r="AP965" s="1"/>
      <c r="AQ965" s="1"/>
      <c r="AR965" s="1"/>
      <c r="AS965" s="1"/>
    </row>
    <row r="966" ht="13.5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1"/>
      <c r="AO966" s="1"/>
      <c r="AP966" s="1"/>
      <c r="AQ966" s="1"/>
      <c r="AR966" s="1"/>
      <c r="AS966" s="1"/>
    </row>
    <row r="967" ht="13.5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1"/>
      <c r="AO967" s="1"/>
      <c r="AP967" s="1"/>
      <c r="AQ967" s="1"/>
      <c r="AR967" s="1"/>
      <c r="AS967" s="1"/>
    </row>
    <row r="968" ht="13.5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1"/>
      <c r="AO968" s="1"/>
      <c r="AP968" s="1"/>
      <c r="AQ968" s="1"/>
      <c r="AR968" s="1"/>
      <c r="AS968" s="1"/>
    </row>
    <row r="969" ht="13.5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1"/>
      <c r="AO969" s="1"/>
      <c r="AP969" s="1"/>
      <c r="AQ969" s="1"/>
      <c r="AR969" s="1"/>
      <c r="AS969" s="1"/>
    </row>
    <row r="970" ht="13.5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1"/>
      <c r="AO970" s="1"/>
      <c r="AP970" s="1"/>
      <c r="AQ970" s="1"/>
      <c r="AR970" s="1"/>
      <c r="AS970" s="1"/>
    </row>
    <row r="971" ht="13.5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1"/>
      <c r="AO971" s="1"/>
      <c r="AP971" s="1"/>
      <c r="AQ971" s="1"/>
      <c r="AR971" s="1"/>
      <c r="AS971" s="1"/>
    </row>
    <row r="972" ht="13.5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1"/>
      <c r="AO972" s="1"/>
      <c r="AP972" s="1"/>
      <c r="AQ972" s="1"/>
      <c r="AR972" s="1"/>
      <c r="AS972" s="1"/>
    </row>
    <row r="973" ht="13.5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1"/>
      <c r="AO973" s="1"/>
      <c r="AP973" s="1"/>
      <c r="AQ973" s="1"/>
      <c r="AR973" s="1"/>
      <c r="AS973" s="1"/>
    </row>
    <row r="974" ht="13.5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1"/>
      <c r="AO974" s="1"/>
      <c r="AP974" s="1"/>
      <c r="AQ974" s="1"/>
      <c r="AR974" s="1"/>
      <c r="AS974" s="1"/>
    </row>
    <row r="975" ht="13.5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1"/>
      <c r="AO975" s="1"/>
      <c r="AP975" s="1"/>
      <c r="AQ975" s="1"/>
      <c r="AR975" s="1"/>
      <c r="AS975" s="1"/>
    </row>
    <row r="976" ht="13.5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1"/>
      <c r="AO976" s="1"/>
      <c r="AP976" s="1"/>
      <c r="AQ976" s="1"/>
      <c r="AR976" s="1"/>
      <c r="AS976" s="1"/>
    </row>
    <row r="977" ht="13.5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1"/>
      <c r="AO977" s="1"/>
      <c r="AP977" s="1"/>
      <c r="AQ977" s="1"/>
      <c r="AR977" s="1"/>
      <c r="AS977" s="1"/>
    </row>
    <row r="978" ht="13.5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1"/>
      <c r="AO978" s="1"/>
      <c r="AP978" s="1"/>
      <c r="AQ978" s="1"/>
      <c r="AR978" s="1"/>
      <c r="AS978" s="1"/>
    </row>
    <row r="979" ht="13.5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1"/>
      <c r="AO979" s="1"/>
      <c r="AP979" s="1"/>
      <c r="AQ979" s="1"/>
      <c r="AR979" s="1"/>
      <c r="AS979" s="1"/>
    </row>
    <row r="980" ht="13.5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1"/>
      <c r="AO980" s="1"/>
      <c r="AP980" s="1"/>
      <c r="AQ980" s="1"/>
      <c r="AR980" s="1"/>
      <c r="AS980" s="1"/>
    </row>
    <row r="981" ht="13.5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1"/>
      <c r="AO981" s="1"/>
      <c r="AP981" s="1"/>
      <c r="AQ981" s="1"/>
      <c r="AR981" s="1"/>
      <c r="AS981" s="1"/>
    </row>
    <row r="982" ht="13.5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1"/>
      <c r="AO982" s="1"/>
      <c r="AP982" s="1"/>
      <c r="AQ982" s="1"/>
      <c r="AR982" s="1"/>
      <c r="AS982" s="1"/>
    </row>
    <row r="983" ht="13.5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1"/>
      <c r="AO983" s="1"/>
      <c r="AP983" s="1"/>
      <c r="AQ983" s="1"/>
      <c r="AR983" s="1"/>
      <c r="AS983" s="1"/>
    </row>
    <row r="984" ht="13.5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1"/>
      <c r="AO984" s="1"/>
      <c r="AP984" s="1"/>
      <c r="AQ984" s="1"/>
      <c r="AR984" s="1"/>
      <c r="AS984" s="1"/>
    </row>
    <row r="985" ht="13.5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1"/>
      <c r="AO985" s="1"/>
      <c r="AP985" s="1"/>
      <c r="AQ985" s="1"/>
      <c r="AR985" s="1"/>
      <c r="AS985" s="1"/>
    </row>
    <row r="986" ht="13.5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1"/>
      <c r="AO986" s="1"/>
      <c r="AP986" s="1"/>
      <c r="AQ986" s="1"/>
      <c r="AR986" s="1"/>
      <c r="AS986" s="1"/>
    </row>
    <row r="987" ht="13.5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1"/>
      <c r="AO987" s="1"/>
      <c r="AP987" s="1"/>
      <c r="AQ987" s="1"/>
      <c r="AR987" s="1"/>
      <c r="AS987" s="1"/>
    </row>
    <row r="988" ht="13.5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1"/>
      <c r="AO988" s="1"/>
      <c r="AP988" s="1"/>
      <c r="AQ988" s="1"/>
      <c r="AR988" s="1"/>
      <c r="AS988" s="1"/>
    </row>
    <row r="989" ht="13.5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1"/>
      <c r="AO989" s="1"/>
      <c r="AP989" s="1"/>
      <c r="AQ989" s="1"/>
      <c r="AR989" s="1"/>
      <c r="AS989" s="1"/>
    </row>
    <row r="990" ht="13.5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1"/>
      <c r="AO990" s="1"/>
      <c r="AP990" s="1"/>
      <c r="AQ990" s="1"/>
      <c r="AR990" s="1"/>
      <c r="AS990" s="1"/>
    </row>
    <row r="991" ht="13.5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1"/>
      <c r="AO991" s="1"/>
      <c r="AP991" s="1"/>
      <c r="AQ991" s="1"/>
      <c r="AR991" s="1"/>
      <c r="AS991" s="1"/>
    </row>
    <row r="992" ht="13.5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1"/>
      <c r="AO992" s="1"/>
      <c r="AP992" s="1"/>
      <c r="AQ992" s="1"/>
      <c r="AR992" s="1"/>
      <c r="AS992" s="1"/>
    </row>
    <row r="993" ht="13.5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1"/>
      <c r="AO993" s="1"/>
      <c r="AP993" s="1"/>
      <c r="AQ993" s="1"/>
      <c r="AR993" s="1"/>
      <c r="AS993" s="1"/>
    </row>
    <row r="994" ht="13.5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1"/>
      <c r="AO994" s="1"/>
      <c r="AP994" s="1"/>
      <c r="AQ994" s="1"/>
      <c r="AR994" s="1"/>
      <c r="AS994" s="1"/>
    </row>
    <row r="995" ht="13.5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1"/>
      <c r="AO995" s="1"/>
      <c r="AP995" s="1"/>
      <c r="AQ995" s="1"/>
      <c r="AR995" s="1"/>
      <c r="AS995" s="1"/>
    </row>
    <row r="996" ht="13.5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1"/>
      <c r="AO996" s="1"/>
      <c r="AP996" s="1"/>
      <c r="AQ996" s="1"/>
      <c r="AR996" s="1"/>
      <c r="AS996" s="1"/>
    </row>
    <row r="997" ht="13.5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1"/>
      <c r="AO997" s="1"/>
      <c r="AP997" s="1"/>
      <c r="AQ997" s="1"/>
      <c r="AR997" s="1"/>
      <c r="AS997" s="1"/>
    </row>
    <row r="998" ht="13.5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1"/>
      <c r="AO998" s="1"/>
      <c r="AP998" s="1"/>
      <c r="AQ998" s="1"/>
      <c r="AR998" s="1"/>
      <c r="AS998" s="1"/>
    </row>
    <row r="999" ht="13.5" customHeight="1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1"/>
      <c r="AO999" s="1"/>
      <c r="AP999" s="1"/>
      <c r="AQ999" s="1"/>
      <c r="AR999" s="1"/>
      <c r="AS999" s="1"/>
    </row>
    <row r="1000" ht="13.5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1"/>
      <c r="AO1000" s="1"/>
      <c r="AP1000" s="1"/>
      <c r="AQ1000" s="1"/>
      <c r="AR1000" s="1"/>
      <c r="AS1000" s="1"/>
    </row>
  </sheetData>
  <mergeCells count="3">
    <mergeCell ref="O2:V2"/>
    <mergeCell ref="W2:AD2"/>
    <mergeCell ref="AE2:AL2"/>
  </mergeCells>
  <hyperlinks>
    <hyperlink r:id="rId1" ref="B4"/>
    <hyperlink r:id="rId2" ref="B5"/>
    <hyperlink r:id="rId3" ref="B6"/>
    <hyperlink r:id="rId4" ref="B9"/>
    <hyperlink r:id="rId5" ref="B13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0.88"/>
    <col customWidth="1" min="2" max="2" width="14.5"/>
    <col customWidth="1" min="3" max="3" width="10.75"/>
    <col customWidth="1" min="4" max="4" width="15.75"/>
    <col customWidth="1" min="5" max="5" width="8.0"/>
    <col customWidth="1" min="6" max="6" width="11.0"/>
    <col customWidth="1" min="7" max="7" width="14.0"/>
    <col customWidth="1" min="8" max="8" width="11.25"/>
    <col customWidth="1" min="9" max="9" width="11.13"/>
    <col customWidth="1" min="10" max="10" width="8.88"/>
    <col customWidth="1" min="11" max="11" width="8.38"/>
    <col customWidth="1" min="12" max="12" width="17.63"/>
    <col customWidth="1" min="13" max="13" width="7.63"/>
    <col customWidth="1" min="14" max="14" width="14.25"/>
    <col customWidth="1" min="15" max="15" width="10.0"/>
    <col customWidth="1" min="16" max="16" width="16.63"/>
    <col customWidth="1" min="17" max="17" width="12.13"/>
    <col customWidth="1" min="18" max="18" width="15.13"/>
    <col customWidth="1" min="19" max="19" width="16.75"/>
    <col customWidth="1" min="20" max="20" width="10.0"/>
    <col customWidth="1" min="21" max="21" width="7.0"/>
    <col customWidth="1" min="22" max="22" width="13.5"/>
    <col customWidth="1" min="23" max="23" width="10.88"/>
    <col customWidth="1" min="24" max="26" width="10.63"/>
  </cols>
  <sheetData>
    <row r="1" ht="15.75" customHeight="1">
      <c r="A1" s="27"/>
      <c r="B1" s="27"/>
      <c r="C1" s="27"/>
      <c r="D1" s="27"/>
      <c r="E1" s="27"/>
      <c r="F1" s="27"/>
      <c r="G1" s="27"/>
      <c r="H1" s="28"/>
      <c r="I1" s="28"/>
      <c r="J1" s="29"/>
      <c r="K1" s="27"/>
      <c r="L1" s="27"/>
      <c r="M1" s="27"/>
      <c r="N1" s="27"/>
      <c r="O1" s="27"/>
      <c r="P1" s="27"/>
      <c r="Q1" s="27"/>
      <c r="R1" s="28">
        <f>TODAY()</f>
        <v>46206</v>
      </c>
      <c r="S1" s="27">
        <v>100.0</v>
      </c>
      <c r="T1" s="27"/>
      <c r="U1" s="27"/>
      <c r="V1" s="27"/>
      <c r="W1" s="27"/>
      <c r="X1" s="27"/>
      <c r="Y1" s="27"/>
      <c r="Z1" s="27"/>
    </row>
    <row r="2" ht="15.75" customHeight="1">
      <c r="A2" s="27"/>
      <c r="B2" s="27"/>
      <c r="C2" s="27"/>
      <c r="D2" s="27"/>
      <c r="E2" s="27"/>
      <c r="F2" s="27"/>
      <c r="G2" s="27"/>
      <c r="H2" s="28"/>
      <c r="I2" s="28"/>
      <c r="J2" s="29"/>
      <c r="K2" s="27"/>
      <c r="L2" s="27"/>
      <c r="M2" s="27"/>
      <c r="N2" s="27"/>
      <c r="O2" s="27"/>
      <c r="P2" s="27"/>
      <c r="Q2" s="30" t="s">
        <v>55</v>
      </c>
      <c r="R2" s="4"/>
      <c r="S2" s="4"/>
      <c r="T2" s="4"/>
      <c r="U2" s="5"/>
      <c r="V2" s="27"/>
      <c r="W2" s="27"/>
      <c r="X2" s="27"/>
      <c r="Y2" s="27"/>
      <c r="Z2" s="27"/>
    </row>
    <row r="3" ht="15.75" customHeight="1">
      <c r="A3" s="27"/>
      <c r="B3" s="31" t="s">
        <v>56</v>
      </c>
      <c r="C3" s="31" t="s">
        <v>57</v>
      </c>
      <c r="D3" s="31" t="s">
        <v>58</v>
      </c>
      <c r="E3" s="31" t="s">
        <v>59</v>
      </c>
      <c r="F3" s="31" t="s">
        <v>60</v>
      </c>
      <c r="G3" s="31" t="s">
        <v>61</v>
      </c>
      <c r="H3" s="32" t="s">
        <v>62</v>
      </c>
      <c r="I3" s="32" t="s">
        <v>63</v>
      </c>
      <c r="J3" s="33" t="s">
        <v>64</v>
      </c>
      <c r="K3" s="31" t="s">
        <v>5</v>
      </c>
      <c r="L3" s="31" t="s">
        <v>65</v>
      </c>
      <c r="M3" s="31" t="s">
        <v>66</v>
      </c>
      <c r="N3" s="31" t="s">
        <v>67</v>
      </c>
      <c r="O3" s="31" t="s">
        <v>68</v>
      </c>
      <c r="P3" s="31" t="s">
        <v>69</v>
      </c>
      <c r="Q3" s="31" t="s">
        <v>70</v>
      </c>
      <c r="R3" s="31" t="s">
        <v>71</v>
      </c>
      <c r="S3" s="31" t="s">
        <v>72</v>
      </c>
      <c r="T3" s="31" t="s">
        <v>73</v>
      </c>
      <c r="U3" s="31" t="s">
        <v>74</v>
      </c>
      <c r="V3" s="34" t="s">
        <v>75</v>
      </c>
      <c r="W3" s="34"/>
      <c r="X3" s="27"/>
      <c r="Y3" s="27"/>
      <c r="Z3" s="27"/>
    </row>
    <row r="4" ht="15.75" hidden="1" customHeight="1">
      <c r="A4" s="27"/>
      <c r="B4" s="27" t="s">
        <v>76</v>
      </c>
      <c r="C4" s="34" t="s">
        <v>77</v>
      </c>
      <c r="D4" s="34">
        <v>8.12404408E8</v>
      </c>
      <c r="E4" s="34" t="s">
        <v>78</v>
      </c>
      <c r="F4" s="35">
        <v>0.07</v>
      </c>
      <c r="G4" s="36"/>
      <c r="H4" s="37">
        <v>52062.0</v>
      </c>
      <c r="I4" s="37"/>
      <c r="J4" s="29">
        <f t="shared" ref="J4:J34" si="1">(H4-$R$1)/365</f>
        <v>16.04383562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27"/>
      <c r="Y4" s="27"/>
      <c r="Z4" s="27"/>
    </row>
    <row r="5" ht="15.75" hidden="1" customHeight="1">
      <c r="A5" s="27"/>
      <c r="B5" s="27" t="s">
        <v>40</v>
      </c>
      <c r="C5" s="34"/>
      <c r="D5" s="34" t="s">
        <v>79</v>
      </c>
      <c r="E5" s="34"/>
      <c r="F5" s="35">
        <v>0.0565</v>
      </c>
      <c r="G5" s="37">
        <v>40322.0</v>
      </c>
      <c r="H5" s="37">
        <v>43983.0</v>
      </c>
      <c r="I5" s="37"/>
      <c r="J5" s="29">
        <f t="shared" si="1"/>
        <v>-6.090410959</v>
      </c>
      <c r="K5" s="38">
        <v>0.173</v>
      </c>
      <c r="L5" s="38"/>
      <c r="M5" s="34"/>
      <c r="N5" s="34"/>
      <c r="O5" s="34" t="s">
        <v>80</v>
      </c>
      <c r="P5" s="34"/>
      <c r="Q5" s="29"/>
      <c r="R5" s="29"/>
      <c r="S5" s="39"/>
      <c r="T5" s="36"/>
      <c r="U5" s="40"/>
      <c r="V5" s="34"/>
      <c r="W5" s="34"/>
      <c r="X5" s="27"/>
      <c r="Y5" s="27"/>
      <c r="Z5" s="27"/>
    </row>
    <row r="6" ht="15.75" hidden="1" customHeight="1">
      <c r="A6" s="27"/>
      <c r="B6" s="27" t="s">
        <v>40</v>
      </c>
      <c r="C6" s="34"/>
      <c r="D6" s="34" t="s">
        <v>81</v>
      </c>
      <c r="E6" s="34"/>
      <c r="F6" s="35">
        <v>0.05875</v>
      </c>
      <c r="G6" s="37">
        <v>42544.0</v>
      </c>
      <c r="H6" s="37">
        <v>45108.0</v>
      </c>
      <c r="I6" s="37"/>
      <c r="J6" s="29">
        <f t="shared" si="1"/>
        <v>-3.008219178</v>
      </c>
      <c r="K6" s="38">
        <v>0.173</v>
      </c>
      <c r="L6" s="38"/>
      <c r="M6" s="34"/>
      <c r="N6" s="34"/>
      <c r="O6" s="34" t="s">
        <v>80</v>
      </c>
      <c r="P6" s="34"/>
      <c r="Q6" s="29"/>
      <c r="R6" s="29"/>
      <c r="S6" s="39"/>
      <c r="T6" s="36"/>
      <c r="U6" s="40"/>
      <c r="V6" s="34"/>
      <c r="W6" s="34"/>
      <c r="X6" s="27"/>
      <c r="Y6" s="27"/>
      <c r="Z6" s="27"/>
    </row>
    <row r="7" ht="15.75" hidden="1" customHeight="1">
      <c r="A7" s="27"/>
      <c r="B7" s="27" t="s">
        <v>40</v>
      </c>
      <c r="C7" s="34"/>
      <c r="D7" s="34" t="s">
        <v>82</v>
      </c>
      <c r="E7" s="34"/>
      <c r="F7" s="35">
        <v>0.05875</v>
      </c>
      <c r="G7" s="37">
        <v>42544.0</v>
      </c>
      <c r="H7" s="37">
        <v>45108.0</v>
      </c>
      <c r="I7" s="37"/>
      <c r="J7" s="29">
        <f t="shared" si="1"/>
        <v>-3.008219178</v>
      </c>
      <c r="K7" s="38">
        <v>8.0</v>
      </c>
      <c r="L7" s="38"/>
      <c r="M7" s="34"/>
      <c r="N7" s="34"/>
      <c r="O7" s="34"/>
      <c r="P7" s="34"/>
      <c r="Q7" s="29"/>
      <c r="R7" s="29"/>
      <c r="S7" s="39"/>
      <c r="T7" s="36"/>
      <c r="U7" s="40"/>
      <c r="V7" s="34"/>
      <c r="W7" s="34"/>
      <c r="X7" s="27"/>
      <c r="Y7" s="27"/>
      <c r="Z7" s="27"/>
    </row>
    <row r="8" ht="15.75" hidden="1" customHeight="1">
      <c r="A8" s="27"/>
      <c r="B8" s="27" t="s">
        <v>40</v>
      </c>
      <c r="C8" s="34"/>
      <c r="D8" s="34" t="s">
        <v>83</v>
      </c>
      <c r="E8" s="34"/>
      <c r="F8" s="35">
        <v>0.0</v>
      </c>
      <c r="G8" s="37">
        <v>42544.0</v>
      </c>
      <c r="H8" s="37">
        <v>45108.0</v>
      </c>
      <c r="I8" s="37"/>
      <c r="J8" s="29">
        <f t="shared" si="1"/>
        <v>-3.008219178</v>
      </c>
      <c r="K8" s="38">
        <v>3.0</v>
      </c>
      <c r="L8" s="38"/>
      <c r="M8" s="34"/>
      <c r="N8" s="34"/>
      <c r="O8" s="34" t="s">
        <v>84</v>
      </c>
      <c r="P8" s="34"/>
      <c r="Q8" s="29"/>
      <c r="R8" s="29"/>
      <c r="S8" s="39"/>
      <c r="T8" s="36"/>
      <c r="U8" s="40"/>
      <c r="V8" s="34"/>
      <c r="W8" s="34"/>
      <c r="X8" s="27"/>
      <c r="Y8" s="27"/>
      <c r="Z8" s="27"/>
    </row>
    <row r="9" ht="15.75" hidden="1" customHeight="1">
      <c r="A9" s="27"/>
      <c r="B9" s="27" t="s">
        <v>40</v>
      </c>
      <c r="C9" s="34"/>
      <c r="D9" s="34" t="s">
        <v>85</v>
      </c>
      <c r="E9" s="34"/>
      <c r="F9" s="35">
        <v>0.07125</v>
      </c>
      <c r="G9" s="37">
        <v>34296.0</v>
      </c>
      <c r="H9" s="37">
        <v>45245.0</v>
      </c>
      <c r="I9" s="37"/>
      <c r="J9" s="29">
        <f t="shared" si="1"/>
        <v>-2.632876712</v>
      </c>
      <c r="K9" s="38">
        <v>3.0</v>
      </c>
      <c r="L9" s="38"/>
      <c r="M9" s="34"/>
      <c r="N9" s="34"/>
      <c r="O9" s="34"/>
      <c r="P9" s="34"/>
      <c r="Q9" s="29"/>
      <c r="R9" s="29"/>
      <c r="S9" s="39"/>
      <c r="T9" s="36"/>
      <c r="U9" s="40"/>
      <c r="V9" s="34"/>
      <c r="W9" s="34"/>
      <c r="X9" s="27"/>
      <c r="Y9" s="27"/>
      <c r="Z9" s="27"/>
    </row>
    <row r="10" ht="15.75" hidden="1" customHeight="1">
      <c r="A10" s="27"/>
      <c r="B10" s="27" t="s">
        <v>40</v>
      </c>
      <c r="C10" s="34"/>
      <c r="D10" s="34" t="s">
        <v>86</v>
      </c>
      <c r="E10" s="34"/>
      <c r="F10" s="35">
        <v>0.08625</v>
      </c>
      <c r="G10" s="37">
        <v>43171.0</v>
      </c>
      <c r="H10" s="37">
        <v>45731.0</v>
      </c>
      <c r="I10" s="37"/>
      <c r="J10" s="29">
        <f t="shared" si="1"/>
        <v>-1.301369863</v>
      </c>
      <c r="K10" s="38">
        <v>0.395</v>
      </c>
      <c r="L10" s="38"/>
      <c r="M10" s="34"/>
      <c r="N10" s="34"/>
      <c r="O10" s="34" t="s">
        <v>80</v>
      </c>
      <c r="P10" s="34"/>
      <c r="Q10" s="29"/>
      <c r="R10" s="29"/>
      <c r="S10" s="39"/>
      <c r="T10" s="36"/>
      <c r="U10" s="40"/>
      <c r="V10" s="34"/>
      <c r="W10" s="34"/>
      <c r="X10" s="27"/>
      <c r="Y10" s="27"/>
      <c r="Z10" s="27"/>
    </row>
    <row r="11" ht="15.75" hidden="1" customHeight="1">
      <c r="A11" s="27"/>
      <c r="B11" s="27" t="s">
        <v>40</v>
      </c>
      <c r="C11" s="34"/>
      <c r="D11" s="34" t="s">
        <v>87</v>
      </c>
      <c r="E11" s="34"/>
      <c r="F11" s="35">
        <v>0.08625</v>
      </c>
      <c r="G11" s="37">
        <v>43171.0</v>
      </c>
      <c r="H11" s="37">
        <v>45731.0</v>
      </c>
      <c r="I11" s="37"/>
      <c r="J11" s="29">
        <f t="shared" si="1"/>
        <v>-1.301369863</v>
      </c>
      <c r="K11" s="38">
        <v>0.395</v>
      </c>
      <c r="L11" s="38"/>
      <c r="M11" s="34"/>
      <c r="N11" s="34"/>
      <c r="O11" s="34" t="s">
        <v>84</v>
      </c>
      <c r="P11" s="34"/>
      <c r="Q11" s="29"/>
      <c r="R11" s="29"/>
      <c r="S11" s="39"/>
      <c r="T11" s="36"/>
      <c r="U11" s="40"/>
      <c r="V11" s="34"/>
      <c r="W11" s="34"/>
      <c r="X11" s="27"/>
      <c r="Y11" s="27"/>
      <c r="Z11" s="27"/>
    </row>
    <row r="12" ht="15.75" hidden="1" customHeight="1">
      <c r="A12" s="27"/>
      <c r="B12" s="27" t="s">
        <v>40</v>
      </c>
      <c r="C12" s="34"/>
      <c r="D12" s="34" t="s">
        <v>88</v>
      </c>
      <c r="E12" s="34"/>
      <c r="F12" s="35">
        <v>0.069</v>
      </c>
      <c r="G12" s="37">
        <v>35296.0</v>
      </c>
      <c r="H12" s="37">
        <v>46249.0</v>
      </c>
      <c r="I12" s="37"/>
      <c r="J12" s="29">
        <f t="shared" si="1"/>
        <v>0.1178082192</v>
      </c>
      <c r="K12" s="38">
        <v>1.0</v>
      </c>
      <c r="L12" s="38"/>
      <c r="M12" s="34"/>
      <c r="N12" s="34"/>
      <c r="O12" s="34" t="s">
        <v>84</v>
      </c>
      <c r="P12" s="34"/>
      <c r="Q12" s="29"/>
      <c r="R12" s="29"/>
      <c r="S12" s="39"/>
      <c r="T12" s="36"/>
      <c r="U12" s="40"/>
      <c r="V12" s="34"/>
      <c r="W12" s="34"/>
      <c r="X12" s="27"/>
      <c r="Y12" s="27"/>
      <c r="Z12" s="27"/>
    </row>
    <row r="13" ht="15.75" hidden="1" customHeight="1">
      <c r="A13" s="27"/>
      <c r="B13" s="27" t="s">
        <v>40</v>
      </c>
      <c r="C13" s="34"/>
      <c r="D13" s="34" t="s">
        <v>89</v>
      </c>
      <c r="E13" s="34"/>
      <c r="F13" s="35">
        <v>0.0</v>
      </c>
      <c r="G13" s="37">
        <v>35534.0</v>
      </c>
      <c r="H13" s="37">
        <v>46478.0</v>
      </c>
      <c r="I13" s="37"/>
      <c r="J13" s="29">
        <f t="shared" si="1"/>
        <v>0.7452054795</v>
      </c>
      <c r="K13" s="38">
        <v>1.0</v>
      </c>
      <c r="L13" s="38"/>
      <c r="M13" s="34"/>
      <c r="N13" s="34"/>
      <c r="O13" s="34" t="s">
        <v>84</v>
      </c>
      <c r="P13" s="34"/>
      <c r="Q13" s="29"/>
      <c r="R13" s="29"/>
      <c r="S13" s="39"/>
      <c r="T13" s="36"/>
      <c r="U13" s="40"/>
      <c r="V13" s="34"/>
      <c r="W13" s="34"/>
      <c r="X13" s="27"/>
      <c r="Y13" s="27"/>
      <c r="Z13" s="27"/>
    </row>
    <row r="14" ht="15.75" hidden="1" customHeight="1">
      <c r="A14" s="27"/>
      <c r="B14" s="27" t="s">
        <v>40</v>
      </c>
      <c r="C14" s="34"/>
      <c r="D14" s="34" t="s">
        <v>90</v>
      </c>
      <c r="E14" s="34"/>
      <c r="F14" s="35">
        <v>0.06375</v>
      </c>
      <c r="G14" s="37">
        <v>43948.0</v>
      </c>
      <c r="H14" s="37">
        <v>45214.0</v>
      </c>
      <c r="I14" s="37"/>
      <c r="J14" s="29">
        <f t="shared" si="1"/>
        <v>-2.717808219</v>
      </c>
      <c r="K14" s="38">
        <v>0.7</v>
      </c>
      <c r="L14" s="38"/>
      <c r="M14" s="34"/>
      <c r="N14" s="34"/>
      <c r="O14" s="34" t="s">
        <v>84</v>
      </c>
      <c r="P14" s="34"/>
      <c r="Q14" s="29"/>
      <c r="R14" s="29"/>
      <c r="S14" s="39"/>
      <c r="T14" s="36"/>
      <c r="U14" s="40"/>
      <c r="V14" s="34"/>
      <c r="W14" s="34"/>
      <c r="X14" s="27"/>
      <c r="Y14" s="27"/>
      <c r="Z14" s="27"/>
    </row>
    <row r="15" ht="15.75" hidden="1" customHeight="1">
      <c r="A15" s="27"/>
      <c r="B15" s="27" t="s">
        <v>40</v>
      </c>
      <c r="C15" s="34"/>
      <c r="D15" s="34" t="s">
        <v>91</v>
      </c>
      <c r="E15" s="34"/>
      <c r="F15" s="34">
        <v>7.4</v>
      </c>
      <c r="G15" s="37">
        <v>35534.0</v>
      </c>
      <c r="H15" s="37">
        <v>50131.0</v>
      </c>
      <c r="I15" s="37"/>
      <c r="J15" s="29">
        <f t="shared" si="1"/>
        <v>10.75342466</v>
      </c>
      <c r="K15" s="38">
        <v>0.7</v>
      </c>
      <c r="L15" s="38"/>
      <c r="M15" s="34"/>
      <c r="N15" s="34"/>
      <c r="O15" s="34" t="s">
        <v>84</v>
      </c>
      <c r="P15" s="34"/>
      <c r="Q15" s="29"/>
      <c r="R15" s="29"/>
      <c r="S15" s="39"/>
      <c r="T15" s="36"/>
      <c r="U15" s="40"/>
      <c r="V15" s="34"/>
      <c r="W15" s="34"/>
      <c r="X15" s="27"/>
      <c r="Y15" s="27"/>
      <c r="Z15" s="27"/>
    </row>
    <row r="16" ht="15.75" hidden="1" customHeight="1">
      <c r="A16" s="27"/>
      <c r="B16" s="27" t="s">
        <v>40</v>
      </c>
      <c r="C16" s="34"/>
      <c r="D16" s="34" t="s">
        <v>92</v>
      </c>
      <c r="E16" s="34"/>
      <c r="F16" s="34">
        <v>7.625</v>
      </c>
      <c r="G16" s="37">
        <v>35486.0</v>
      </c>
      <c r="H16" s="37">
        <v>72015.0</v>
      </c>
      <c r="I16" s="37"/>
      <c r="J16" s="29">
        <f t="shared" si="1"/>
        <v>70.70958904</v>
      </c>
      <c r="K16" s="38">
        <v>6.95</v>
      </c>
      <c r="L16" s="38"/>
      <c r="M16" s="34"/>
      <c r="N16" s="34"/>
      <c r="O16" s="34" t="s">
        <v>84</v>
      </c>
      <c r="P16" s="34"/>
      <c r="Q16" s="29"/>
      <c r="R16" s="29"/>
      <c r="S16" s="39"/>
      <c r="T16" s="36"/>
      <c r="U16" s="40"/>
      <c r="V16" s="34"/>
      <c r="W16" s="34"/>
      <c r="X16" s="27"/>
      <c r="Y16" s="27"/>
      <c r="Z16" s="27"/>
    </row>
    <row r="17" ht="15.75" hidden="1" customHeight="1">
      <c r="A17" s="27"/>
      <c r="B17" s="27" t="s">
        <v>30</v>
      </c>
      <c r="C17" s="41" t="s">
        <v>93</v>
      </c>
      <c r="D17" s="34" t="s">
        <v>94</v>
      </c>
      <c r="E17" s="34" t="s">
        <v>95</v>
      </c>
      <c r="F17" s="35">
        <v>0.06875</v>
      </c>
      <c r="G17" s="35"/>
      <c r="H17" s="37">
        <v>50389.0</v>
      </c>
      <c r="I17" s="37" t="s">
        <v>96</v>
      </c>
      <c r="J17" s="29">
        <f t="shared" si="1"/>
        <v>11.46027397</v>
      </c>
      <c r="K17" s="34">
        <v>68.83</v>
      </c>
      <c r="L17" s="34"/>
      <c r="M17" s="34" t="s">
        <v>97</v>
      </c>
      <c r="N17" s="37">
        <v>45645.0</v>
      </c>
      <c r="O17" s="34" t="s">
        <v>98</v>
      </c>
      <c r="P17" s="37">
        <v>45790.0</v>
      </c>
      <c r="Q17" s="29">
        <f t="shared" ref="Q17:Q34" si="2">+(F17*$S$1) * J17</f>
        <v>78.78938356</v>
      </c>
      <c r="R17" s="29">
        <f t="shared" ref="R17:R34" si="3">($S$1-K17)</f>
        <v>31.17</v>
      </c>
      <c r="S17" s="39">
        <f t="shared" ref="S17:S34" si="4">SUM(Q17:R17)</f>
        <v>109.9593836</v>
      </c>
      <c r="T17" s="36">
        <f t="shared" ref="T17:T34" si="5">+S17/$K17</f>
        <v>1.597550248</v>
      </c>
      <c r="U17" s="42">
        <f t="shared" ref="U17:U34" si="6">IFERROR(YIELD($R$1,H17,F17,K17,$S$1,2,0), "")</f>
        <v>0.1193658878</v>
      </c>
      <c r="V17" s="35">
        <f t="shared" ref="V17:V34" si="7">+IFERROR((F17*$S$1)/K17, "")</f>
        <v>0.09988377161</v>
      </c>
      <c r="W17" s="27"/>
      <c r="X17" s="27"/>
      <c r="Y17" s="27"/>
      <c r="Z17" s="27"/>
    </row>
    <row r="18" ht="15.75" hidden="1" customHeight="1">
      <c r="A18" s="27"/>
      <c r="B18" s="27" t="s">
        <v>30</v>
      </c>
      <c r="C18" s="41" t="s">
        <v>99</v>
      </c>
      <c r="D18" s="34" t="s">
        <v>100</v>
      </c>
      <c r="E18" s="34" t="s">
        <v>95</v>
      </c>
      <c r="F18" s="35">
        <v>0.06</v>
      </c>
      <c r="G18" s="34"/>
      <c r="H18" s="37">
        <v>48594.0</v>
      </c>
      <c r="I18" s="37" t="s">
        <v>96</v>
      </c>
      <c r="J18" s="29">
        <f t="shared" si="1"/>
        <v>6.542465753</v>
      </c>
      <c r="K18" s="34">
        <v>72.5</v>
      </c>
      <c r="L18" s="34"/>
      <c r="M18" s="34" t="s">
        <v>97</v>
      </c>
      <c r="N18" s="37">
        <v>45645.0</v>
      </c>
      <c r="O18" s="34" t="s">
        <v>98</v>
      </c>
      <c r="P18" s="37">
        <v>45790.0</v>
      </c>
      <c r="Q18" s="29">
        <f t="shared" si="2"/>
        <v>39.25479452</v>
      </c>
      <c r="R18" s="29">
        <f t="shared" si="3"/>
        <v>27.5</v>
      </c>
      <c r="S18" s="39">
        <f t="shared" si="4"/>
        <v>66.75479452</v>
      </c>
      <c r="T18" s="36">
        <f t="shared" si="5"/>
        <v>0.9207557865</v>
      </c>
      <c r="U18" s="42">
        <f t="shared" si="6"/>
        <v>0.1223266576</v>
      </c>
      <c r="V18" s="35">
        <f t="shared" si="7"/>
        <v>0.08275862069</v>
      </c>
      <c r="W18" s="27"/>
      <c r="X18" s="27"/>
      <c r="Y18" s="27"/>
      <c r="Z18" s="27"/>
    </row>
    <row r="19" ht="15.75" hidden="1" customHeight="1">
      <c r="A19" s="27"/>
      <c r="B19" s="27" t="s">
        <v>30</v>
      </c>
      <c r="C19" s="41" t="s">
        <v>101</v>
      </c>
      <c r="D19" s="34" t="s">
        <v>102</v>
      </c>
      <c r="E19" s="34" t="s">
        <v>95</v>
      </c>
      <c r="F19" s="35">
        <v>0.0555</v>
      </c>
      <c r="G19" s="34"/>
      <c r="H19" s="37">
        <v>53160.0</v>
      </c>
      <c r="I19" s="37" t="s">
        <v>103</v>
      </c>
      <c r="J19" s="29">
        <f t="shared" si="1"/>
        <v>19.05205479</v>
      </c>
      <c r="K19" s="34">
        <v>61.125</v>
      </c>
      <c r="L19" s="34"/>
      <c r="M19" s="34" t="s">
        <v>97</v>
      </c>
      <c r="N19" s="37">
        <v>45645.0</v>
      </c>
      <c r="O19" s="34" t="s">
        <v>98</v>
      </c>
      <c r="P19" s="37">
        <v>45790.0</v>
      </c>
      <c r="Q19" s="29">
        <f t="shared" si="2"/>
        <v>105.7389041</v>
      </c>
      <c r="R19" s="29">
        <f t="shared" si="3"/>
        <v>38.875</v>
      </c>
      <c r="S19" s="39">
        <f t="shared" si="4"/>
        <v>144.6139041</v>
      </c>
      <c r="T19" s="36">
        <f t="shared" si="5"/>
        <v>2.365871642</v>
      </c>
      <c r="U19" s="42">
        <f t="shared" si="6"/>
        <v>0.1022444414</v>
      </c>
      <c r="V19" s="35">
        <f t="shared" si="7"/>
        <v>0.09079754601</v>
      </c>
      <c r="W19" s="27"/>
      <c r="X19" s="27"/>
      <c r="Y19" s="27"/>
      <c r="Z19" s="27"/>
    </row>
    <row r="20" ht="15.75" hidden="1" customHeight="1">
      <c r="A20" s="27"/>
      <c r="B20" s="27" t="s">
        <v>30</v>
      </c>
      <c r="C20" s="41" t="s">
        <v>104</v>
      </c>
      <c r="D20" s="34" t="s">
        <v>105</v>
      </c>
      <c r="E20" s="34" t="s">
        <v>95</v>
      </c>
      <c r="F20" s="35">
        <v>0.05125</v>
      </c>
      <c r="G20" s="34"/>
      <c r="H20" s="37">
        <v>47969.0</v>
      </c>
      <c r="I20" s="37" t="s">
        <v>103</v>
      </c>
      <c r="J20" s="29">
        <f t="shared" si="1"/>
        <v>4.830136986</v>
      </c>
      <c r="K20" s="34">
        <v>79.5</v>
      </c>
      <c r="L20" s="34"/>
      <c r="M20" s="34" t="s">
        <v>97</v>
      </c>
      <c r="N20" s="37">
        <v>45645.0</v>
      </c>
      <c r="O20" s="34" t="s">
        <v>98</v>
      </c>
      <c r="P20" s="37">
        <v>45790.0</v>
      </c>
      <c r="Q20" s="29">
        <f t="shared" si="2"/>
        <v>24.75445205</v>
      </c>
      <c r="R20" s="29">
        <f t="shared" si="3"/>
        <v>20.5</v>
      </c>
      <c r="S20" s="39">
        <f t="shared" si="4"/>
        <v>45.25445205</v>
      </c>
      <c r="T20" s="36">
        <f t="shared" si="5"/>
        <v>0.5692383906</v>
      </c>
      <c r="U20" s="42">
        <f t="shared" si="6"/>
        <v>0.1066341209</v>
      </c>
      <c r="V20" s="35">
        <f t="shared" si="7"/>
        <v>0.06446540881</v>
      </c>
      <c r="W20" s="27"/>
      <c r="X20" s="27"/>
      <c r="Y20" s="27"/>
      <c r="Z20" s="27"/>
    </row>
    <row r="21" ht="15.75" hidden="1" customHeight="1">
      <c r="A21" s="27"/>
      <c r="B21" s="27" t="s">
        <v>30</v>
      </c>
      <c r="C21" s="41"/>
      <c r="D21" s="34" t="s">
        <v>106</v>
      </c>
      <c r="E21" s="34" t="s">
        <v>95</v>
      </c>
      <c r="F21" s="35">
        <v>0.1</v>
      </c>
      <c r="G21" s="34"/>
      <c r="H21" s="37">
        <v>47635.0</v>
      </c>
      <c r="I21" s="37"/>
      <c r="J21" s="29">
        <f t="shared" si="1"/>
        <v>3.915068493</v>
      </c>
      <c r="K21" s="34">
        <v>107.1</v>
      </c>
      <c r="L21" s="34"/>
      <c r="M21" s="34"/>
      <c r="N21" s="34"/>
      <c r="O21" s="34" t="s">
        <v>107</v>
      </c>
      <c r="P21" s="37"/>
      <c r="Q21" s="29">
        <f t="shared" si="2"/>
        <v>39.15068493</v>
      </c>
      <c r="R21" s="29">
        <f t="shared" si="3"/>
        <v>-7.1</v>
      </c>
      <c r="S21" s="39">
        <f t="shared" si="4"/>
        <v>32.05068493</v>
      </c>
      <c r="T21" s="36">
        <f t="shared" si="5"/>
        <v>0.2992594298</v>
      </c>
      <c r="U21" s="42">
        <f t="shared" si="6"/>
        <v>0.07852289992</v>
      </c>
      <c r="V21" s="35">
        <f t="shared" si="7"/>
        <v>0.09337068161</v>
      </c>
      <c r="W21" s="27"/>
      <c r="X21" s="27"/>
      <c r="Y21" s="27"/>
      <c r="Z21" s="27"/>
    </row>
    <row r="22" ht="15.75" customHeight="1">
      <c r="A22" s="27"/>
      <c r="B22" s="27" t="s">
        <v>28</v>
      </c>
      <c r="C22" s="41" t="s">
        <v>108</v>
      </c>
      <c r="D22" s="34" t="s">
        <v>109</v>
      </c>
      <c r="E22" s="34" t="s">
        <v>95</v>
      </c>
      <c r="F22" s="35">
        <v>0.07</v>
      </c>
      <c r="G22" s="34"/>
      <c r="H22" s="37">
        <v>46798.0</v>
      </c>
      <c r="I22" s="37" t="s">
        <v>96</v>
      </c>
      <c r="J22" s="29">
        <f t="shared" si="1"/>
        <v>1.621917808</v>
      </c>
      <c r="K22" s="34">
        <v>107.1</v>
      </c>
      <c r="L22" s="34">
        <v>106.89</v>
      </c>
      <c r="M22" s="34" t="s">
        <v>110</v>
      </c>
      <c r="N22" s="37">
        <v>44882.0</v>
      </c>
      <c r="O22" s="34" t="s">
        <v>111</v>
      </c>
      <c r="P22" s="37">
        <v>45740.0</v>
      </c>
      <c r="Q22" s="29">
        <f t="shared" si="2"/>
        <v>11.35342466</v>
      </c>
      <c r="R22" s="29">
        <f t="shared" si="3"/>
        <v>-7.1</v>
      </c>
      <c r="S22" s="39">
        <f t="shared" si="4"/>
        <v>4.253424658</v>
      </c>
      <c r="T22" s="36">
        <f t="shared" si="5"/>
        <v>0.03971451594</v>
      </c>
      <c r="U22" s="42">
        <f t="shared" si="6"/>
        <v>0.02489540673</v>
      </c>
      <c r="V22" s="35">
        <f t="shared" si="7"/>
        <v>0.06535947712</v>
      </c>
      <c r="W22" s="27"/>
      <c r="X22" s="27"/>
      <c r="Y22" s="27"/>
      <c r="Z22" s="27"/>
    </row>
    <row r="23" ht="15.75" customHeight="1">
      <c r="A23" s="27"/>
      <c r="B23" s="27" t="s">
        <v>28</v>
      </c>
      <c r="C23" s="41" t="s">
        <v>112</v>
      </c>
      <c r="D23" s="34" t="s">
        <v>113</v>
      </c>
      <c r="E23" s="34" t="s">
        <v>95</v>
      </c>
      <c r="F23" s="35">
        <v>0.045</v>
      </c>
      <c r="G23" s="34"/>
      <c r="H23" s="37">
        <v>49293.0</v>
      </c>
      <c r="I23" s="37" t="s">
        <v>103</v>
      </c>
      <c r="J23" s="29">
        <f t="shared" si="1"/>
        <v>8.457534247</v>
      </c>
      <c r="K23" s="34">
        <v>82.52</v>
      </c>
      <c r="L23" s="34">
        <v>83.75</v>
      </c>
      <c r="M23" s="34" t="s">
        <v>110</v>
      </c>
      <c r="N23" s="37">
        <v>44882.0</v>
      </c>
      <c r="O23" s="34" t="s">
        <v>111</v>
      </c>
      <c r="P23" s="37">
        <v>45740.0</v>
      </c>
      <c r="Q23" s="29">
        <f t="shared" si="2"/>
        <v>38.05890411</v>
      </c>
      <c r="R23" s="29">
        <f t="shared" si="3"/>
        <v>17.48</v>
      </c>
      <c r="S23" s="39">
        <f t="shared" si="4"/>
        <v>55.53890411</v>
      </c>
      <c r="T23" s="36">
        <f t="shared" si="5"/>
        <v>0.6730356775</v>
      </c>
      <c r="U23" s="42">
        <f t="shared" si="6"/>
        <v>0.07308581552</v>
      </c>
      <c r="V23" s="35">
        <f t="shared" si="7"/>
        <v>0.05453223461</v>
      </c>
      <c r="W23" s="27"/>
      <c r="X23" s="27"/>
      <c r="Y23" s="27"/>
      <c r="Z23" s="27"/>
    </row>
    <row r="24" ht="15.75" customHeight="1">
      <c r="A24" s="27"/>
      <c r="B24" s="27" t="s">
        <v>28</v>
      </c>
      <c r="C24" s="41" t="s">
        <v>114</v>
      </c>
      <c r="D24" s="34" t="s">
        <v>115</v>
      </c>
      <c r="E24" s="34" t="s">
        <v>95</v>
      </c>
      <c r="F24" s="35">
        <v>0.05125</v>
      </c>
      <c r="G24" s="37">
        <v>41287.0</v>
      </c>
      <c r="H24" s="37">
        <v>51881.0</v>
      </c>
      <c r="I24" s="37" t="s">
        <v>103</v>
      </c>
      <c r="J24" s="29">
        <f t="shared" si="1"/>
        <v>15.54794521</v>
      </c>
      <c r="K24" s="34">
        <v>72.992</v>
      </c>
      <c r="L24" s="34">
        <v>74.95</v>
      </c>
      <c r="M24" s="34" t="s">
        <v>110</v>
      </c>
      <c r="N24" s="37">
        <v>44882.0</v>
      </c>
      <c r="O24" s="34" t="s">
        <v>111</v>
      </c>
      <c r="P24" s="37">
        <v>45740.0</v>
      </c>
      <c r="Q24" s="39">
        <f t="shared" si="2"/>
        <v>79.68321918</v>
      </c>
      <c r="R24" s="39">
        <f t="shared" si="3"/>
        <v>27.008</v>
      </c>
      <c r="S24" s="39">
        <f t="shared" si="4"/>
        <v>106.6912192</v>
      </c>
      <c r="T24" s="36">
        <f t="shared" si="5"/>
        <v>1.461683735</v>
      </c>
      <c r="U24" s="43">
        <f t="shared" si="6"/>
        <v>0.08237992507</v>
      </c>
      <c r="V24" s="35">
        <f t="shared" si="7"/>
        <v>0.07021317405</v>
      </c>
      <c r="W24" s="27"/>
      <c r="X24" s="27"/>
      <c r="Y24" s="27"/>
      <c r="Z24" s="27"/>
    </row>
    <row r="25" ht="15.75" customHeight="1">
      <c r="A25" s="27"/>
      <c r="B25" s="27" t="s">
        <v>28</v>
      </c>
      <c r="C25" s="41" t="s">
        <v>116</v>
      </c>
      <c r="D25" s="34" t="s">
        <v>117</v>
      </c>
      <c r="E25" s="34" t="s">
        <v>95</v>
      </c>
      <c r="F25" s="35">
        <v>0.043</v>
      </c>
      <c r="G25" s="37">
        <v>41233.0</v>
      </c>
      <c r="H25" s="37">
        <v>52277.0</v>
      </c>
      <c r="I25" s="37" t="s">
        <v>103</v>
      </c>
      <c r="J25" s="29">
        <f t="shared" si="1"/>
        <v>16.63287671</v>
      </c>
      <c r="K25" s="34">
        <v>67.141</v>
      </c>
      <c r="L25" s="34">
        <v>73.35</v>
      </c>
      <c r="M25" s="34" t="s">
        <v>110</v>
      </c>
      <c r="N25" s="37">
        <v>44882.0</v>
      </c>
      <c r="O25" s="34" t="s">
        <v>111</v>
      </c>
      <c r="P25" s="37">
        <v>45740.0</v>
      </c>
      <c r="Q25" s="39">
        <f t="shared" si="2"/>
        <v>71.52136986</v>
      </c>
      <c r="R25" s="39">
        <f t="shared" si="3"/>
        <v>32.859</v>
      </c>
      <c r="S25" s="39">
        <f t="shared" si="4"/>
        <v>104.3803699</v>
      </c>
      <c r="T25" s="36">
        <f t="shared" si="5"/>
        <v>1.554644254</v>
      </c>
      <c r="U25" s="43">
        <f t="shared" si="6"/>
        <v>0.07879724156</v>
      </c>
      <c r="V25" s="35">
        <f t="shared" si="7"/>
        <v>0.06404432463</v>
      </c>
      <c r="W25" s="27"/>
      <c r="X25" s="27"/>
      <c r="Y25" s="27"/>
      <c r="Z25" s="27"/>
    </row>
    <row r="26" ht="15.75" customHeight="1">
      <c r="A26" s="27"/>
      <c r="B26" s="27" t="s">
        <v>28</v>
      </c>
      <c r="C26" s="27"/>
      <c r="D26" s="44" t="s">
        <v>118</v>
      </c>
      <c r="E26" s="44" t="s">
        <v>95</v>
      </c>
      <c r="F26" s="45">
        <v>0.06375</v>
      </c>
      <c r="G26" s="46">
        <v>39153.0</v>
      </c>
      <c r="H26" s="46">
        <v>50114.0</v>
      </c>
      <c r="I26" s="46"/>
      <c r="J26" s="47">
        <f t="shared" si="1"/>
        <v>10.70684932</v>
      </c>
      <c r="K26" s="44">
        <v>84.616</v>
      </c>
      <c r="L26" s="44">
        <v>86.104</v>
      </c>
      <c r="M26" s="44"/>
      <c r="N26" s="44"/>
      <c r="O26" s="44" t="s">
        <v>111</v>
      </c>
      <c r="P26" s="46">
        <v>45740.0</v>
      </c>
      <c r="Q26" s="48">
        <f t="shared" si="2"/>
        <v>68.25616438</v>
      </c>
      <c r="R26" s="48">
        <f t="shared" si="3"/>
        <v>15.384</v>
      </c>
      <c r="S26" s="48">
        <f t="shared" si="4"/>
        <v>83.64016438</v>
      </c>
      <c r="T26" s="49">
        <f t="shared" si="5"/>
        <v>0.9884674811</v>
      </c>
      <c r="U26" s="50">
        <f t="shared" si="6"/>
        <v>0.08600716632</v>
      </c>
      <c r="V26" s="45">
        <f t="shared" si="7"/>
        <v>0.07534036116</v>
      </c>
      <c r="W26" s="27"/>
      <c r="X26" s="27"/>
      <c r="Y26" s="27"/>
      <c r="Z26" s="27"/>
    </row>
    <row r="27" ht="15.75" customHeight="1">
      <c r="A27" s="27"/>
      <c r="B27" s="27" t="s">
        <v>28</v>
      </c>
      <c r="C27" s="27"/>
      <c r="D27" s="34" t="s">
        <v>119</v>
      </c>
      <c r="E27" s="34" t="s">
        <v>95</v>
      </c>
      <c r="F27" s="35">
        <v>0.045</v>
      </c>
      <c r="G27" s="37">
        <v>41961.0</v>
      </c>
      <c r="H27" s="37">
        <v>49293.0</v>
      </c>
      <c r="I27" s="37"/>
      <c r="J27" s="29">
        <f t="shared" si="1"/>
        <v>8.457534247</v>
      </c>
      <c r="K27" s="34">
        <v>82.552</v>
      </c>
      <c r="L27" s="34"/>
      <c r="M27" s="34"/>
      <c r="N27" s="34"/>
      <c r="O27" s="34"/>
      <c r="P27" s="34"/>
      <c r="Q27" s="39">
        <f t="shared" si="2"/>
        <v>38.05890411</v>
      </c>
      <c r="R27" s="39">
        <f t="shared" si="3"/>
        <v>17.448</v>
      </c>
      <c r="S27" s="39">
        <f t="shared" si="4"/>
        <v>55.50690411</v>
      </c>
      <c r="T27" s="36">
        <f t="shared" si="5"/>
        <v>0.6723871512</v>
      </c>
      <c r="U27" s="43">
        <f t="shared" si="6"/>
        <v>0.07302806522</v>
      </c>
      <c r="V27" s="35">
        <f t="shared" si="7"/>
        <v>0.05451109604</v>
      </c>
      <c r="W27" s="27"/>
      <c r="X27" s="27"/>
      <c r="Y27" s="27"/>
      <c r="Z27" s="27"/>
    </row>
    <row r="28" ht="15.75" customHeight="1">
      <c r="A28" s="27"/>
      <c r="B28" s="27" t="s">
        <v>28</v>
      </c>
      <c r="C28" s="27"/>
      <c r="D28" s="34" t="s">
        <v>120</v>
      </c>
      <c r="E28" s="34" t="s">
        <v>95</v>
      </c>
      <c r="F28" s="35">
        <v>0.067</v>
      </c>
      <c r="G28" s="37">
        <v>44040.0</v>
      </c>
      <c r="H28" s="37">
        <v>49140.0</v>
      </c>
      <c r="I28" s="37"/>
      <c r="J28" s="29">
        <f t="shared" si="1"/>
        <v>8.038356164</v>
      </c>
      <c r="K28" s="34">
        <v>87.813</v>
      </c>
      <c r="L28" s="34">
        <v>89.371</v>
      </c>
      <c r="M28" s="34"/>
      <c r="N28" s="34"/>
      <c r="O28" s="34" t="s">
        <v>111</v>
      </c>
      <c r="P28" s="34"/>
      <c r="Q28" s="39">
        <f t="shared" si="2"/>
        <v>53.8569863</v>
      </c>
      <c r="R28" s="39">
        <f t="shared" si="3"/>
        <v>12.187</v>
      </c>
      <c r="S28" s="39">
        <f t="shared" si="4"/>
        <v>66.0439863</v>
      </c>
      <c r="T28" s="36">
        <f t="shared" si="5"/>
        <v>0.7520980527</v>
      </c>
      <c r="U28" s="43">
        <f t="shared" si="6"/>
        <v>0.08850951671</v>
      </c>
      <c r="V28" s="35">
        <f t="shared" si="7"/>
        <v>0.07629849794</v>
      </c>
      <c r="W28" s="27"/>
      <c r="X28" s="27"/>
      <c r="Y28" s="27"/>
      <c r="Z28" s="27"/>
    </row>
    <row r="29" ht="15.75" customHeight="1">
      <c r="A29" s="27"/>
      <c r="B29" s="27" t="s">
        <v>28</v>
      </c>
      <c r="C29" s="27"/>
      <c r="D29" s="34" t="s">
        <v>121</v>
      </c>
      <c r="E29" s="34" t="s">
        <v>95</v>
      </c>
      <c r="F29" s="35">
        <v>0.06125</v>
      </c>
      <c r="G29" s="37">
        <v>44630.0</v>
      </c>
      <c r="H29" s="37">
        <v>48288.0</v>
      </c>
      <c r="I29" s="37"/>
      <c r="J29" s="29">
        <f t="shared" si="1"/>
        <v>5.704109589</v>
      </c>
      <c r="K29" s="34">
        <v>97.7645</v>
      </c>
      <c r="L29" s="34">
        <v>99.642</v>
      </c>
      <c r="M29" s="34"/>
      <c r="N29" s="34"/>
      <c r="O29" s="34" t="s">
        <v>111</v>
      </c>
      <c r="P29" s="34"/>
      <c r="Q29" s="39">
        <f t="shared" si="2"/>
        <v>34.93767123</v>
      </c>
      <c r="R29" s="39">
        <f t="shared" si="3"/>
        <v>2.2355</v>
      </c>
      <c r="S29" s="39">
        <f t="shared" si="4"/>
        <v>37.17317123</v>
      </c>
      <c r="T29" s="36">
        <f t="shared" si="5"/>
        <v>0.3802317941</v>
      </c>
      <c r="U29" s="43">
        <f t="shared" si="6"/>
        <v>0.06599384721</v>
      </c>
      <c r="V29" s="35">
        <f t="shared" si="7"/>
        <v>0.06265055311</v>
      </c>
      <c r="W29" s="27"/>
      <c r="X29" s="27"/>
      <c r="Y29" s="27"/>
      <c r="Z29" s="27"/>
    </row>
    <row r="30" ht="15.75" customHeight="1">
      <c r="A30" s="27"/>
      <c r="B30" s="27" t="s">
        <v>28</v>
      </c>
      <c r="C30" s="27"/>
      <c r="D30" s="34" t="s">
        <v>122</v>
      </c>
      <c r="E30" s="34" t="s">
        <v>95</v>
      </c>
      <c r="F30" s="35">
        <v>0.05875</v>
      </c>
      <c r="G30" s="37">
        <v>44630.0</v>
      </c>
      <c r="H30" s="37">
        <v>47557.0</v>
      </c>
      <c r="I30" s="37"/>
      <c r="J30" s="29">
        <f t="shared" si="1"/>
        <v>3.701369863</v>
      </c>
      <c r="K30" s="34">
        <v>99.243</v>
      </c>
      <c r="L30" s="34">
        <v>99.0</v>
      </c>
      <c r="M30" s="34"/>
      <c r="N30" s="34"/>
      <c r="O30" s="34" t="s">
        <v>111</v>
      </c>
      <c r="P30" s="34"/>
      <c r="Q30" s="39">
        <f t="shared" si="2"/>
        <v>21.74554795</v>
      </c>
      <c r="R30" s="39">
        <f t="shared" si="3"/>
        <v>0.757</v>
      </c>
      <c r="S30" s="39">
        <f t="shared" si="4"/>
        <v>22.50254795</v>
      </c>
      <c r="T30" s="36">
        <f t="shared" si="5"/>
        <v>0.2267419158</v>
      </c>
      <c r="U30" s="43">
        <f t="shared" si="6"/>
        <v>0.06103412047</v>
      </c>
      <c r="V30" s="35">
        <f t="shared" si="7"/>
        <v>0.05919812984</v>
      </c>
      <c r="W30" s="27"/>
      <c r="X30" s="27"/>
      <c r="Y30" s="27"/>
      <c r="Z30" s="27"/>
    </row>
    <row r="31" ht="15.75" customHeight="1">
      <c r="A31" s="27"/>
      <c r="B31" s="27" t="s">
        <v>28</v>
      </c>
      <c r="C31" s="27"/>
      <c r="D31" s="34" t="s">
        <v>123</v>
      </c>
      <c r="E31" s="34" t="s">
        <v>95</v>
      </c>
      <c r="F31" s="35">
        <v>0.069</v>
      </c>
      <c r="G31" s="37">
        <v>36325.0</v>
      </c>
      <c r="H31" s="37">
        <v>47209.0</v>
      </c>
      <c r="I31" s="37"/>
      <c r="J31" s="29">
        <f t="shared" si="1"/>
        <v>2.747945205</v>
      </c>
      <c r="K31" s="34">
        <v>109.0</v>
      </c>
      <c r="L31" s="34"/>
      <c r="M31" s="34"/>
      <c r="N31" s="34"/>
      <c r="O31" s="34" t="s">
        <v>111</v>
      </c>
      <c r="P31" s="34"/>
      <c r="Q31" s="39">
        <f t="shared" si="2"/>
        <v>18.96082192</v>
      </c>
      <c r="R31" s="39">
        <f t="shared" si="3"/>
        <v>-9</v>
      </c>
      <c r="S31" s="39">
        <f t="shared" si="4"/>
        <v>9.960821918</v>
      </c>
      <c r="T31" s="36">
        <f t="shared" si="5"/>
        <v>0.09138368732</v>
      </c>
      <c r="U31" s="43">
        <f t="shared" si="6"/>
        <v>0.03432875603</v>
      </c>
      <c r="V31" s="35">
        <f t="shared" si="7"/>
        <v>0.06330275229</v>
      </c>
      <c r="W31" s="27"/>
      <c r="X31" s="27"/>
      <c r="Y31" s="27"/>
      <c r="Z31" s="27"/>
    </row>
    <row r="32" ht="15.75" hidden="1" customHeight="1">
      <c r="A32" s="27"/>
      <c r="B32" s="27" t="s">
        <v>24</v>
      </c>
      <c r="C32" s="27"/>
      <c r="D32" s="34" t="s">
        <v>124</v>
      </c>
      <c r="E32" s="34" t="s">
        <v>95</v>
      </c>
      <c r="F32" s="35">
        <v>0.0775</v>
      </c>
      <c r="G32" s="37">
        <v>39153.0</v>
      </c>
      <c r="H32" s="37">
        <v>46218.0</v>
      </c>
      <c r="I32" s="37"/>
      <c r="J32" s="29">
        <f t="shared" si="1"/>
        <v>0.03287671233</v>
      </c>
      <c r="K32" s="34">
        <v>101.817</v>
      </c>
      <c r="L32" s="34"/>
      <c r="M32" s="34"/>
      <c r="N32" s="34"/>
      <c r="O32" s="34" t="s">
        <v>125</v>
      </c>
      <c r="P32" s="34"/>
      <c r="Q32" s="39">
        <f t="shared" si="2"/>
        <v>0.2547945205</v>
      </c>
      <c r="R32" s="39">
        <f t="shared" si="3"/>
        <v>-1.817</v>
      </c>
      <c r="S32" s="39">
        <f t="shared" si="4"/>
        <v>-1.562205479</v>
      </c>
      <c r="T32" s="36">
        <f t="shared" si="5"/>
        <v>-0.01534326762</v>
      </c>
      <c r="U32" s="43">
        <f t="shared" si="6"/>
        <v>-0.4435016013</v>
      </c>
      <c r="V32" s="35">
        <f t="shared" si="7"/>
        <v>0.07611695493</v>
      </c>
      <c r="W32" s="27"/>
      <c r="X32" s="27"/>
      <c r="Y32" s="27"/>
      <c r="Z32" s="27"/>
    </row>
    <row r="33" ht="15.75" hidden="1" customHeight="1">
      <c r="A33" s="27"/>
      <c r="B33" s="27" t="s">
        <v>24</v>
      </c>
      <c r="C33" s="27"/>
      <c r="D33" s="34" t="s">
        <v>126</v>
      </c>
      <c r="E33" s="34" t="s">
        <v>95</v>
      </c>
      <c r="F33" s="35">
        <v>0.0775</v>
      </c>
      <c r="G33" s="37">
        <v>35565.0</v>
      </c>
      <c r="H33" s="37">
        <v>46522.0</v>
      </c>
      <c r="I33" s="37"/>
      <c r="J33" s="29">
        <f t="shared" si="1"/>
        <v>0.8657534247</v>
      </c>
      <c r="K33" s="34">
        <v>104.262</v>
      </c>
      <c r="L33" s="34"/>
      <c r="M33" s="34"/>
      <c r="N33" s="34"/>
      <c r="O33" s="34" t="s">
        <v>125</v>
      </c>
      <c r="P33" s="34"/>
      <c r="Q33" s="39">
        <f t="shared" si="2"/>
        <v>6.709589041</v>
      </c>
      <c r="R33" s="39">
        <f t="shared" si="3"/>
        <v>-4.262</v>
      </c>
      <c r="S33" s="39">
        <f t="shared" si="4"/>
        <v>2.447589041</v>
      </c>
      <c r="T33" s="36">
        <f t="shared" si="5"/>
        <v>0.02347537014</v>
      </c>
      <c r="U33" s="43">
        <f t="shared" si="6"/>
        <v>0.02734232501</v>
      </c>
      <c r="V33" s="35">
        <f t="shared" si="7"/>
        <v>0.07433197138</v>
      </c>
      <c r="W33" s="27"/>
      <c r="X33" s="27"/>
      <c r="Y33" s="27"/>
      <c r="Z33" s="27"/>
    </row>
    <row r="34" ht="15.75" hidden="1" customHeight="1">
      <c r="A34" s="27"/>
      <c r="B34" s="27" t="s">
        <v>24</v>
      </c>
      <c r="C34" s="27"/>
      <c r="D34" s="34" t="s">
        <v>127</v>
      </c>
      <c r="E34" s="34" t="s">
        <v>95</v>
      </c>
      <c r="F34" s="35">
        <v>0.07</v>
      </c>
      <c r="G34" s="37">
        <v>36136.0</v>
      </c>
      <c r="H34" s="37">
        <v>47088.0</v>
      </c>
      <c r="I34" s="37"/>
      <c r="J34" s="29">
        <f t="shared" si="1"/>
        <v>2.416438356</v>
      </c>
      <c r="K34" s="34">
        <v>105.897</v>
      </c>
      <c r="L34" s="34"/>
      <c r="M34" s="34"/>
      <c r="N34" s="34"/>
      <c r="O34" s="34" t="s">
        <v>125</v>
      </c>
      <c r="P34" s="34"/>
      <c r="Q34" s="39">
        <f t="shared" si="2"/>
        <v>16.91506849</v>
      </c>
      <c r="R34" s="39">
        <f t="shared" si="3"/>
        <v>-5.897</v>
      </c>
      <c r="S34" s="39">
        <f t="shared" si="4"/>
        <v>11.01806849</v>
      </c>
      <c r="T34" s="36">
        <f t="shared" si="5"/>
        <v>0.1040451429</v>
      </c>
      <c r="U34" s="43">
        <f t="shared" si="6"/>
        <v>0.04393229947</v>
      </c>
      <c r="V34" s="35">
        <f t="shared" si="7"/>
        <v>0.06610196701</v>
      </c>
      <c r="W34" s="27"/>
      <c r="X34" s="27"/>
      <c r="Y34" s="27"/>
      <c r="Z34" s="27"/>
    </row>
    <row r="35" ht="15.75" customHeight="1">
      <c r="A35" s="27"/>
      <c r="B35" s="27"/>
      <c r="C35" s="27"/>
      <c r="D35" s="27"/>
      <c r="E35" s="27"/>
      <c r="F35" s="27"/>
      <c r="G35" s="27"/>
      <c r="H35" s="28"/>
      <c r="I35" s="28"/>
      <c r="J35" s="29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8"/>
      <c r="I36" s="28"/>
      <c r="J36" s="29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7"/>
      <c r="B37" s="27"/>
      <c r="C37" s="27"/>
      <c r="D37" s="27"/>
      <c r="E37" s="27"/>
      <c r="F37" s="27"/>
      <c r="G37" s="27"/>
      <c r="H37" s="28"/>
      <c r="I37" s="28"/>
      <c r="J37" s="29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7"/>
      <c r="B38" s="27"/>
      <c r="C38" s="27"/>
      <c r="D38" s="27"/>
      <c r="E38" s="27"/>
      <c r="F38" s="27"/>
      <c r="G38" s="27"/>
      <c r="H38" s="28"/>
      <c r="I38" s="28"/>
      <c r="J38" s="29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27"/>
      <c r="B39" s="27"/>
      <c r="C39" s="27"/>
      <c r="D39" s="27"/>
      <c r="E39" s="27"/>
      <c r="F39" s="27"/>
      <c r="G39" s="27"/>
      <c r="H39" s="28"/>
      <c r="I39" s="28"/>
      <c r="J39" s="29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8"/>
      <c r="I40" s="28"/>
      <c r="J40" s="29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8"/>
      <c r="I41" s="28"/>
      <c r="J41" s="29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8"/>
      <c r="I42" s="28"/>
      <c r="J42" s="29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8"/>
      <c r="I43" s="28"/>
      <c r="J43" s="29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8"/>
      <c r="I44" s="28"/>
      <c r="J44" s="29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8"/>
      <c r="I45" s="28"/>
      <c r="J45" s="29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8"/>
      <c r="I46" s="28"/>
      <c r="J46" s="29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8"/>
      <c r="I47" s="28"/>
      <c r="J47" s="29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8"/>
      <c r="I48" s="28"/>
      <c r="J48" s="29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8"/>
      <c r="I49" s="28"/>
      <c r="J49" s="29"/>
      <c r="K49" s="27"/>
      <c r="L49" s="27"/>
      <c r="M49" s="27"/>
      <c r="N49" s="27">
        <f>100*16</f>
        <v>1600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8"/>
      <c r="I50" s="28"/>
      <c r="J50" s="29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8"/>
      <c r="I51" s="28"/>
      <c r="J51" s="29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8"/>
      <c r="I52" s="28"/>
      <c r="J52" s="29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8"/>
      <c r="I53" s="28"/>
      <c r="J53" s="29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8"/>
      <c r="I54" s="28"/>
      <c r="J54" s="29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8"/>
      <c r="I55" s="28"/>
      <c r="J55" s="29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8"/>
      <c r="I56" s="28"/>
      <c r="J56" s="29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8"/>
      <c r="I57" s="28"/>
      <c r="J57" s="29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8"/>
      <c r="I58" s="28"/>
      <c r="J58" s="29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8"/>
      <c r="I59" s="28"/>
      <c r="J59" s="29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8"/>
      <c r="I60" s="28"/>
      <c r="J60" s="29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8"/>
      <c r="I61" s="28"/>
      <c r="J61" s="29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8"/>
      <c r="I62" s="28"/>
      <c r="J62" s="29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8"/>
      <c r="I63" s="28"/>
      <c r="J63" s="29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8"/>
      <c r="I64" s="28"/>
      <c r="J64" s="29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8"/>
      <c r="I65" s="28"/>
      <c r="J65" s="29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8"/>
      <c r="I66" s="28"/>
      <c r="J66" s="29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8"/>
      <c r="I67" s="28"/>
      <c r="J67" s="29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8"/>
      <c r="I68" s="28"/>
      <c r="J68" s="29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8"/>
      <c r="I69" s="28"/>
      <c r="J69" s="29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8"/>
      <c r="I70" s="28"/>
      <c r="J70" s="29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8"/>
      <c r="I71" s="28"/>
      <c r="J71" s="29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8"/>
      <c r="I72" s="28"/>
      <c r="J72" s="29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8"/>
      <c r="I73" s="28"/>
      <c r="J73" s="29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8"/>
      <c r="I74" s="28"/>
      <c r="J74" s="29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8"/>
      <c r="I75" s="28"/>
      <c r="J75" s="29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8"/>
      <c r="I76" s="28"/>
      <c r="J76" s="29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8"/>
      <c r="I77" s="28"/>
      <c r="J77" s="29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8"/>
      <c r="I78" s="28"/>
      <c r="J78" s="29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8"/>
      <c r="I79" s="28"/>
      <c r="J79" s="29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8"/>
      <c r="I80" s="28"/>
      <c r="J80" s="29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8"/>
      <c r="I81" s="28"/>
      <c r="J81" s="29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8"/>
      <c r="I82" s="28"/>
      <c r="J82" s="29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8"/>
      <c r="I83" s="28"/>
      <c r="J83" s="29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8"/>
      <c r="I84" s="28"/>
      <c r="J84" s="29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8"/>
      <c r="I85" s="28"/>
      <c r="J85" s="29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8"/>
      <c r="I86" s="28"/>
      <c r="J86" s="29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8"/>
      <c r="I87" s="28"/>
      <c r="J87" s="29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8"/>
      <c r="I88" s="28"/>
      <c r="J88" s="29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8"/>
      <c r="I89" s="28"/>
      <c r="J89" s="29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8"/>
      <c r="I90" s="28"/>
      <c r="J90" s="29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8"/>
      <c r="I91" s="28"/>
      <c r="J91" s="29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8"/>
      <c r="I92" s="28"/>
      <c r="J92" s="29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8"/>
      <c r="I93" s="28"/>
      <c r="J93" s="29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8"/>
      <c r="I94" s="28"/>
      <c r="J94" s="29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8"/>
      <c r="I95" s="28"/>
      <c r="J95" s="29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8"/>
      <c r="I96" s="28"/>
      <c r="J96" s="29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8"/>
      <c r="I97" s="28"/>
      <c r="J97" s="29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8"/>
      <c r="I98" s="28"/>
      <c r="J98" s="29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8"/>
      <c r="I99" s="28"/>
      <c r="J99" s="29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8"/>
      <c r="I100" s="28"/>
      <c r="J100" s="29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8"/>
      <c r="I101" s="28"/>
      <c r="J101" s="29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8"/>
      <c r="I102" s="28"/>
      <c r="J102" s="29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8"/>
      <c r="I103" s="28"/>
      <c r="J103" s="29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8"/>
      <c r="I104" s="28"/>
      <c r="J104" s="29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8"/>
      <c r="I105" s="28"/>
      <c r="J105" s="29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8"/>
      <c r="I106" s="28"/>
      <c r="J106" s="29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8"/>
      <c r="I107" s="28"/>
      <c r="J107" s="29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8"/>
      <c r="I108" s="28"/>
      <c r="J108" s="29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8"/>
      <c r="I109" s="28"/>
      <c r="J109" s="29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8"/>
      <c r="I110" s="28"/>
      <c r="J110" s="29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8"/>
      <c r="I111" s="28"/>
      <c r="J111" s="29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8"/>
      <c r="I112" s="28"/>
      <c r="J112" s="29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8"/>
      <c r="I113" s="28"/>
      <c r="J113" s="29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8"/>
      <c r="I114" s="28"/>
      <c r="J114" s="29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8"/>
      <c r="I115" s="28"/>
      <c r="J115" s="29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8"/>
      <c r="I116" s="28"/>
      <c r="J116" s="29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8"/>
      <c r="I117" s="28"/>
      <c r="J117" s="29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8"/>
      <c r="I118" s="28"/>
      <c r="J118" s="29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8"/>
      <c r="I119" s="28"/>
      <c r="J119" s="29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8"/>
      <c r="I120" s="28"/>
      <c r="J120" s="29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8"/>
      <c r="I121" s="28"/>
      <c r="J121" s="29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8"/>
      <c r="I122" s="28"/>
      <c r="J122" s="29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8"/>
      <c r="I123" s="28"/>
      <c r="J123" s="29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8"/>
      <c r="I124" s="28"/>
      <c r="J124" s="29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8"/>
      <c r="I125" s="28"/>
      <c r="J125" s="29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8"/>
      <c r="I126" s="28"/>
      <c r="J126" s="29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8"/>
      <c r="I127" s="28"/>
      <c r="J127" s="29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8"/>
      <c r="I128" s="28"/>
      <c r="J128" s="29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8"/>
      <c r="I129" s="28"/>
      <c r="J129" s="29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8"/>
      <c r="I130" s="28"/>
      <c r="J130" s="29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8"/>
      <c r="I131" s="28"/>
      <c r="J131" s="29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8"/>
      <c r="I132" s="28"/>
      <c r="J132" s="29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8"/>
      <c r="I133" s="28"/>
      <c r="J133" s="29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8"/>
      <c r="I134" s="28"/>
      <c r="J134" s="29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8"/>
      <c r="I135" s="28"/>
      <c r="J135" s="29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8"/>
      <c r="I136" s="28"/>
      <c r="J136" s="29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8"/>
      <c r="I137" s="28"/>
      <c r="J137" s="29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8"/>
      <c r="I138" s="28"/>
      <c r="J138" s="29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8"/>
      <c r="I139" s="28"/>
      <c r="J139" s="29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8"/>
      <c r="I140" s="28"/>
      <c r="J140" s="29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8"/>
      <c r="I141" s="28"/>
      <c r="J141" s="29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8"/>
      <c r="I142" s="28"/>
      <c r="J142" s="29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8"/>
      <c r="I143" s="28"/>
      <c r="J143" s="29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8"/>
      <c r="I144" s="28"/>
      <c r="J144" s="29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8"/>
      <c r="I145" s="28"/>
      <c r="J145" s="29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8"/>
      <c r="I146" s="28"/>
      <c r="J146" s="29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8"/>
      <c r="I147" s="28"/>
      <c r="J147" s="29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8"/>
      <c r="I148" s="28"/>
      <c r="J148" s="29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8"/>
      <c r="I149" s="28"/>
      <c r="J149" s="29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8"/>
      <c r="I150" s="28"/>
      <c r="J150" s="29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8"/>
      <c r="I151" s="28"/>
      <c r="J151" s="29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8"/>
      <c r="I152" s="28"/>
      <c r="J152" s="29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8"/>
      <c r="I153" s="28"/>
      <c r="J153" s="29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8"/>
      <c r="I154" s="28"/>
      <c r="J154" s="29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8"/>
      <c r="I155" s="28"/>
      <c r="J155" s="29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8"/>
      <c r="I156" s="28"/>
      <c r="J156" s="29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8"/>
      <c r="I157" s="28"/>
      <c r="J157" s="29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8"/>
      <c r="I158" s="28"/>
      <c r="J158" s="29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8"/>
      <c r="I159" s="28"/>
      <c r="J159" s="29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8"/>
      <c r="I160" s="28"/>
      <c r="J160" s="29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8"/>
      <c r="I161" s="28"/>
      <c r="J161" s="29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8"/>
      <c r="I162" s="28"/>
      <c r="J162" s="29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8"/>
      <c r="I163" s="28"/>
      <c r="J163" s="29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8"/>
      <c r="I164" s="28"/>
      <c r="J164" s="29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8"/>
      <c r="I165" s="28"/>
      <c r="J165" s="29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8"/>
      <c r="I166" s="28"/>
      <c r="J166" s="29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8"/>
      <c r="I167" s="28"/>
      <c r="J167" s="29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8"/>
      <c r="I168" s="28"/>
      <c r="J168" s="29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8"/>
      <c r="I169" s="28"/>
      <c r="J169" s="29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8"/>
      <c r="I170" s="28"/>
      <c r="J170" s="29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8"/>
      <c r="I171" s="28"/>
      <c r="J171" s="29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8"/>
      <c r="I172" s="28"/>
      <c r="J172" s="29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8"/>
      <c r="I173" s="28"/>
      <c r="J173" s="29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8"/>
      <c r="I174" s="28"/>
      <c r="J174" s="29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8"/>
      <c r="I175" s="28"/>
      <c r="J175" s="29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8"/>
      <c r="I176" s="28"/>
      <c r="J176" s="29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8"/>
      <c r="I177" s="28"/>
      <c r="J177" s="29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8"/>
      <c r="I178" s="28"/>
      <c r="J178" s="29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8"/>
      <c r="I179" s="28"/>
      <c r="J179" s="29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8"/>
      <c r="I180" s="28"/>
      <c r="J180" s="29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8"/>
      <c r="I181" s="28"/>
      <c r="J181" s="29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8"/>
      <c r="I182" s="28"/>
      <c r="J182" s="29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8"/>
      <c r="I183" s="28"/>
      <c r="J183" s="29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8"/>
      <c r="I184" s="28"/>
      <c r="J184" s="29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8"/>
      <c r="I185" s="28"/>
      <c r="J185" s="29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8"/>
      <c r="I186" s="28"/>
      <c r="J186" s="29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8"/>
      <c r="I187" s="28"/>
      <c r="J187" s="29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8"/>
      <c r="I188" s="28"/>
      <c r="J188" s="29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8"/>
      <c r="I189" s="28"/>
      <c r="J189" s="29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8"/>
      <c r="I190" s="28"/>
      <c r="J190" s="29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8"/>
      <c r="I191" s="28"/>
      <c r="J191" s="29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8"/>
      <c r="I192" s="28"/>
      <c r="J192" s="29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8"/>
      <c r="I193" s="28"/>
      <c r="J193" s="29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8"/>
      <c r="I194" s="28"/>
      <c r="J194" s="29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8"/>
      <c r="I195" s="28"/>
      <c r="J195" s="29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8"/>
      <c r="I196" s="28"/>
      <c r="J196" s="29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8"/>
      <c r="I197" s="28"/>
      <c r="J197" s="29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8"/>
      <c r="I198" s="28"/>
      <c r="J198" s="29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8"/>
      <c r="I199" s="28"/>
      <c r="J199" s="29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8"/>
      <c r="I200" s="28"/>
      <c r="J200" s="29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8"/>
      <c r="I201" s="28"/>
      <c r="J201" s="29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8"/>
      <c r="I202" s="28"/>
      <c r="J202" s="29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8"/>
      <c r="I203" s="28"/>
      <c r="J203" s="29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8"/>
      <c r="I204" s="28"/>
      <c r="J204" s="29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8"/>
      <c r="I205" s="28"/>
      <c r="J205" s="29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8"/>
      <c r="I206" s="28"/>
      <c r="J206" s="29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8"/>
      <c r="I207" s="28"/>
      <c r="J207" s="29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8"/>
      <c r="I208" s="28"/>
      <c r="J208" s="29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8"/>
      <c r="I209" s="28"/>
      <c r="J209" s="29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8"/>
      <c r="I210" s="28"/>
      <c r="J210" s="29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8"/>
      <c r="I211" s="28"/>
      <c r="J211" s="29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8"/>
      <c r="I212" s="28"/>
      <c r="J212" s="29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8"/>
      <c r="I213" s="28"/>
      <c r="J213" s="29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8"/>
      <c r="I214" s="28"/>
      <c r="J214" s="29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8"/>
      <c r="I215" s="28"/>
      <c r="J215" s="29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8"/>
      <c r="I216" s="28"/>
      <c r="J216" s="29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8"/>
      <c r="I217" s="28"/>
      <c r="J217" s="29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8"/>
      <c r="I218" s="28"/>
      <c r="J218" s="29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8"/>
      <c r="I219" s="28"/>
      <c r="J219" s="29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8"/>
      <c r="I220" s="28"/>
      <c r="J220" s="29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8"/>
      <c r="I221" s="28"/>
      <c r="J221" s="29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8"/>
      <c r="I222" s="28"/>
      <c r="J222" s="29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8"/>
      <c r="I223" s="28"/>
      <c r="J223" s="29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8"/>
      <c r="I224" s="28"/>
      <c r="J224" s="29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8"/>
      <c r="I225" s="28"/>
      <c r="J225" s="29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8"/>
      <c r="I226" s="28"/>
      <c r="J226" s="29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8"/>
      <c r="I227" s="28"/>
      <c r="J227" s="29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8"/>
      <c r="I228" s="28"/>
      <c r="J228" s="29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8"/>
      <c r="I229" s="28"/>
      <c r="J229" s="29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8"/>
      <c r="I230" s="28"/>
      <c r="J230" s="29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8"/>
      <c r="I231" s="28"/>
      <c r="J231" s="2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8"/>
      <c r="I232" s="28"/>
      <c r="J232" s="2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8"/>
      <c r="I233" s="28"/>
      <c r="J233" s="2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8"/>
      <c r="I234" s="28"/>
      <c r="J234" s="2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8"/>
      <c r="I235" s="28"/>
      <c r="J235" s="29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8"/>
      <c r="I236" s="28"/>
      <c r="J236" s="29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8"/>
      <c r="I237" s="28"/>
      <c r="J237" s="29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8"/>
      <c r="I238" s="28"/>
      <c r="J238" s="29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8"/>
      <c r="I239" s="28"/>
      <c r="J239" s="29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8"/>
      <c r="I240" s="28"/>
      <c r="J240" s="29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8"/>
      <c r="I241" s="28"/>
      <c r="J241" s="29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8"/>
      <c r="I242" s="28"/>
      <c r="J242" s="29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8"/>
      <c r="I243" s="28"/>
      <c r="J243" s="29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8"/>
      <c r="I244" s="28"/>
      <c r="J244" s="29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8"/>
      <c r="I245" s="28"/>
      <c r="J245" s="29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8"/>
      <c r="I246" s="28"/>
      <c r="J246" s="29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8"/>
      <c r="I247" s="28"/>
      <c r="J247" s="29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8"/>
      <c r="I248" s="28"/>
      <c r="J248" s="29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8"/>
      <c r="I249" s="28"/>
      <c r="J249" s="29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8"/>
      <c r="I250" s="28"/>
      <c r="J250" s="29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8"/>
      <c r="I251" s="28"/>
      <c r="J251" s="29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8"/>
      <c r="I252" s="28"/>
      <c r="J252" s="29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8"/>
      <c r="I253" s="28"/>
      <c r="J253" s="29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8"/>
      <c r="I254" s="28"/>
      <c r="J254" s="29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8"/>
      <c r="I255" s="28"/>
      <c r="J255" s="29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8"/>
      <c r="I256" s="28"/>
      <c r="J256" s="29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8"/>
      <c r="I257" s="28"/>
      <c r="J257" s="29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8"/>
      <c r="I258" s="28"/>
      <c r="J258" s="29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8"/>
      <c r="I259" s="28"/>
      <c r="J259" s="29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8"/>
      <c r="I260" s="28"/>
      <c r="J260" s="29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8"/>
      <c r="I261" s="28"/>
      <c r="J261" s="29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8"/>
      <c r="I262" s="28"/>
      <c r="J262" s="29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8"/>
      <c r="I263" s="28"/>
      <c r="J263" s="29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8"/>
      <c r="I264" s="28"/>
      <c r="J264" s="29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8"/>
      <c r="I265" s="28"/>
      <c r="J265" s="29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8"/>
      <c r="I266" s="28"/>
      <c r="J266" s="29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8"/>
      <c r="I267" s="28"/>
      <c r="J267" s="29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8"/>
      <c r="I268" s="28"/>
      <c r="J268" s="29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8"/>
      <c r="I269" s="28"/>
      <c r="J269" s="29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8"/>
      <c r="I270" s="28"/>
      <c r="J270" s="29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8"/>
      <c r="I271" s="28"/>
      <c r="J271" s="29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8"/>
      <c r="I272" s="28"/>
      <c r="J272" s="29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8"/>
      <c r="I273" s="28"/>
      <c r="J273" s="29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8"/>
      <c r="I274" s="28"/>
      <c r="J274" s="29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8"/>
      <c r="I275" s="28"/>
      <c r="J275" s="29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8"/>
      <c r="I276" s="28"/>
      <c r="J276" s="29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8"/>
      <c r="I277" s="28"/>
      <c r="J277" s="29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8"/>
      <c r="I278" s="28"/>
      <c r="J278" s="29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8"/>
      <c r="I279" s="28"/>
      <c r="J279" s="29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8"/>
      <c r="I280" s="28"/>
      <c r="J280" s="29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8"/>
      <c r="I281" s="28"/>
      <c r="J281" s="29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8"/>
      <c r="I282" s="28"/>
      <c r="J282" s="29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8"/>
      <c r="I283" s="28"/>
      <c r="J283" s="29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8"/>
      <c r="I284" s="28"/>
      <c r="J284" s="29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8"/>
      <c r="I285" s="28"/>
      <c r="J285" s="29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8"/>
      <c r="I286" s="28"/>
      <c r="J286" s="29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8"/>
      <c r="I287" s="28"/>
      <c r="J287" s="29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8"/>
      <c r="I288" s="28"/>
      <c r="J288" s="29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8"/>
      <c r="I289" s="28"/>
      <c r="J289" s="29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8"/>
      <c r="I290" s="28"/>
      <c r="J290" s="29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8"/>
      <c r="I291" s="28"/>
      <c r="J291" s="29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8"/>
      <c r="I292" s="28"/>
      <c r="J292" s="29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8"/>
      <c r="I293" s="28"/>
      <c r="J293" s="29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8"/>
      <c r="I294" s="28"/>
      <c r="J294" s="29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8"/>
      <c r="I295" s="28"/>
      <c r="J295" s="29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8"/>
      <c r="I296" s="28"/>
      <c r="J296" s="29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8"/>
      <c r="I297" s="28"/>
      <c r="J297" s="29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8"/>
      <c r="I298" s="28"/>
      <c r="J298" s="29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8"/>
      <c r="I299" s="28"/>
      <c r="J299" s="29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8"/>
      <c r="I300" s="28"/>
      <c r="J300" s="29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8"/>
      <c r="I301" s="28"/>
      <c r="J301" s="29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8"/>
      <c r="I302" s="28"/>
      <c r="J302" s="29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8"/>
      <c r="I303" s="28"/>
      <c r="J303" s="29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8"/>
      <c r="I304" s="28"/>
      <c r="J304" s="29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8"/>
      <c r="I305" s="28"/>
      <c r="J305" s="29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8"/>
      <c r="I306" s="28"/>
      <c r="J306" s="29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8"/>
      <c r="I307" s="28"/>
      <c r="J307" s="29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8"/>
      <c r="I308" s="28"/>
      <c r="J308" s="29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8"/>
      <c r="I309" s="28"/>
      <c r="J309" s="29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8"/>
      <c r="I310" s="28"/>
      <c r="J310" s="29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8"/>
      <c r="I311" s="28"/>
      <c r="J311" s="29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8"/>
      <c r="I312" s="28"/>
      <c r="J312" s="29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8"/>
      <c r="I313" s="28"/>
      <c r="J313" s="29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8"/>
      <c r="I314" s="28"/>
      <c r="J314" s="29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8"/>
      <c r="I315" s="28"/>
      <c r="J315" s="29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8"/>
      <c r="I316" s="28"/>
      <c r="J316" s="29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8"/>
      <c r="I317" s="28"/>
      <c r="J317" s="29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8"/>
      <c r="I318" s="28"/>
      <c r="J318" s="29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8"/>
      <c r="I319" s="28"/>
      <c r="J319" s="29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8"/>
      <c r="I320" s="28"/>
      <c r="J320" s="29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8"/>
      <c r="I321" s="28"/>
      <c r="J321" s="29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8"/>
      <c r="I322" s="28"/>
      <c r="J322" s="29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8"/>
      <c r="I323" s="28"/>
      <c r="J323" s="29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8"/>
      <c r="I324" s="28"/>
      <c r="J324" s="29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8"/>
      <c r="I325" s="28"/>
      <c r="J325" s="29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8"/>
      <c r="I326" s="28"/>
      <c r="J326" s="29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8"/>
      <c r="I327" s="28"/>
      <c r="J327" s="29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8"/>
      <c r="I328" s="28"/>
      <c r="J328" s="29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8"/>
      <c r="I329" s="28"/>
      <c r="J329" s="29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8"/>
      <c r="I330" s="28"/>
      <c r="J330" s="29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8"/>
      <c r="I331" s="28"/>
      <c r="J331" s="29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8"/>
      <c r="I332" s="28"/>
      <c r="J332" s="29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8"/>
      <c r="I333" s="28"/>
      <c r="J333" s="29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8"/>
      <c r="I334" s="28"/>
      <c r="J334" s="29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8"/>
      <c r="I335" s="28"/>
      <c r="J335" s="29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8"/>
      <c r="I336" s="28"/>
      <c r="J336" s="29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8"/>
      <c r="I337" s="28"/>
      <c r="J337" s="29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8"/>
      <c r="I338" s="28"/>
      <c r="J338" s="29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8"/>
      <c r="I339" s="28"/>
      <c r="J339" s="29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8"/>
      <c r="I340" s="28"/>
      <c r="J340" s="29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8"/>
      <c r="I341" s="28"/>
      <c r="J341" s="29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8"/>
      <c r="I342" s="28"/>
      <c r="J342" s="29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8"/>
      <c r="I343" s="28"/>
      <c r="J343" s="29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8"/>
      <c r="I344" s="28"/>
      <c r="J344" s="29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8"/>
      <c r="I345" s="28"/>
      <c r="J345" s="29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8"/>
      <c r="I346" s="28"/>
      <c r="J346" s="29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8"/>
      <c r="I347" s="28"/>
      <c r="J347" s="29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8"/>
      <c r="I348" s="28"/>
      <c r="J348" s="29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8"/>
      <c r="I349" s="28"/>
      <c r="J349" s="29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8"/>
      <c r="I350" s="28"/>
      <c r="J350" s="29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8"/>
      <c r="I351" s="28"/>
      <c r="J351" s="29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8"/>
      <c r="I352" s="28"/>
      <c r="J352" s="29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8"/>
      <c r="I353" s="28"/>
      <c r="J353" s="29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8"/>
      <c r="I354" s="28"/>
      <c r="J354" s="29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8"/>
      <c r="I355" s="28"/>
      <c r="J355" s="29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8"/>
      <c r="I356" s="28"/>
      <c r="J356" s="29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8"/>
      <c r="I357" s="28"/>
      <c r="J357" s="29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8"/>
      <c r="I358" s="28"/>
      <c r="J358" s="29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8"/>
      <c r="I359" s="28"/>
      <c r="J359" s="29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8"/>
      <c r="I360" s="28"/>
      <c r="J360" s="29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8"/>
      <c r="I361" s="28"/>
      <c r="J361" s="29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8"/>
      <c r="I362" s="28"/>
      <c r="J362" s="29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8"/>
      <c r="I363" s="28"/>
      <c r="J363" s="29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8"/>
      <c r="I364" s="28"/>
      <c r="J364" s="29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8"/>
      <c r="I365" s="28"/>
      <c r="J365" s="29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8"/>
      <c r="I366" s="28"/>
      <c r="J366" s="29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8"/>
      <c r="I367" s="28"/>
      <c r="J367" s="29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8"/>
      <c r="I368" s="28"/>
      <c r="J368" s="29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8"/>
      <c r="I369" s="28"/>
      <c r="J369" s="29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8"/>
      <c r="I370" s="28"/>
      <c r="J370" s="29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8"/>
      <c r="I371" s="28"/>
      <c r="J371" s="29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8"/>
      <c r="I372" s="28"/>
      <c r="J372" s="29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8"/>
      <c r="I373" s="28"/>
      <c r="J373" s="29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8"/>
      <c r="I374" s="28"/>
      <c r="J374" s="29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8"/>
      <c r="I375" s="28"/>
      <c r="J375" s="29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8"/>
      <c r="I376" s="28"/>
      <c r="J376" s="29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8"/>
      <c r="I377" s="28"/>
      <c r="J377" s="29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8"/>
      <c r="I378" s="28"/>
      <c r="J378" s="29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8"/>
      <c r="I379" s="28"/>
      <c r="J379" s="29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8"/>
      <c r="I380" s="28"/>
      <c r="J380" s="29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8"/>
      <c r="I381" s="28"/>
      <c r="J381" s="29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8"/>
      <c r="I382" s="28"/>
      <c r="J382" s="29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8"/>
      <c r="I383" s="28"/>
      <c r="J383" s="29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8"/>
      <c r="I384" s="28"/>
      <c r="J384" s="29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8"/>
      <c r="I385" s="28"/>
      <c r="J385" s="29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8"/>
      <c r="I386" s="28"/>
      <c r="J386" s="29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8"/>
      <c r="I387" s="28"/>
      <c r="J387" s="29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8"/>
      <c r="I388" s="28"/>
      <c r="J388" s="29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8"/>
      <c r="I389" s="28"/>
      <c r="J389" s="29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8"/>
      <c r="I390" s="28"/>
      <c r="J390" s="29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8"/>
      <c r="I391" s="28"/>
      <c r="J391" s="29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8"/>
      <c r="I392" s="28"/>
      <c r="J392" s="29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8"/>
      <c r="I393" s="28"/>
      <c r="J393" s="29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8"/>
      <c r="I394" s="28"/>
      <c r="J394" s="29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8"/>
      <c r="I395" s="28"/>
      <c r="J395" s="29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8"/>
      <c r="I396" s="28"/>
      <c r="J396" s="29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8"/>
      <c r="I397" s="28"/>
      <c r="J397" s="29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8"/>
      <c r="I398" s="28"/>
      <c r="J398" s="29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8"/>
      <c r="I399" s="28"/>
      <c r="J399" s="29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8"/>
      <c r="I400" s="28"/>
      <c r="J400" s="29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8"/>
      <c r="I401" s="28"/>
      <c r="J401" s="29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8"/>
      <c r="I402" s="28"/>
      <c r="J402" s="29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8"/>
      <c r="I403" s="28"/>
      <c r="J403" s="29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8"/>
      <c r="I404" s="28"/>
      <c r="J404" s="29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8"/>
      <c r="I405" s="28"/>
      <c r="J405" s="29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8"/>
      <c r="I406" s="28"/>
      <c r="J406" s="29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8"/>
      <c r="I407" s="28"/>
      <c r="J407" s="29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8"/>
      <c r="I408" s="28"/>
      <c r="J408" s="29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8"/>
      <c r="I409" s="28"/>
      <c r="J409" s="29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8"/>
      <c r="I410" s="28"/>
      <c r="J410" s="29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8"/>
      <c r="I411" s="28"/>
      <c r="J411" s="29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8"/>
      <c r="I412" s="28"/>
      <c r="J412" s="29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8"/>
      <c r="I413" s="28"/>
      <c r="J413" s="29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8"/>
      <c r="I414" s="28"/>
      <c r="J414" s="29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8"/>
      <c r="I415" s="28"/>
      <c r="J415" s="29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8"/>
      <c r="I416" s="28"/>
      <c r="J416" s="29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8"/>
      <c r="I417" s="28"/>
      <c r="J417" s="29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8"/>
      <c r="I418" s="28"/>
      <c r="J418" s="29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8"/>
      <c r="I419" s="28"/>
      <c r="J419" s="29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8"/>
      <c r="I420" s="28"/>
      <c r="J420" s="29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8"/>
      <c r="I421" s="28"/>
      <c r="J421" s="29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8"/>
      <c r="I422" s="28"/>
      <c r="J422" s="29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8"/>
      <c r="I423" s="28"/>
      <c r="J423" s="29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8"/>
      <c r="I424" s="28"/>
      <c r="J424" s="29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8"/>
      <c r="I425" s="28"/>
      <c r="J425" s="29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8"/>
      <c r="I426" s="28"/>
      <c r="J426" s="29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8"/>
      <c r="I427" s="28"/>
      <c r="J427" s="29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8"/>
      <c r="I428" s="28"/>
      <c r="J428" s="29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8"/>
      <c r="I429" s="28"/>
      <c r="J429" s="29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8"/>
      <c r="I430" s="28"/>
      <c r="J430" s="29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8"/>
      <c r="I431" s="28"/>
      <c r="J431" s="29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8"/>
      <c r="I432" s="28"/>
      <c r="J432" s="29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8"/>
      <c r="I433" s="28"/>
      <c r="J433" s="29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8"/>
      <c r="I434" s="28"/>
      <c r="J434" s="29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8"/>
      <c r="I435" s="28"/>
      <c r="J435" s="29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8"/>
      <c r="I436" s="28"/>
      <c r="J436" s="29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8"/>
      <c r="I437" s="28"/>
      <c r="J437" s="29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8"/>
      <c r="I438" s="28"/>
      <c r="J438" s="29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8"/>
      <c r="I439" s="28"/>
      <c r="J439" s="29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8"/>
      <c r="I440" s="28"/>
      <c r="J440" s="29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8"/>
      <c r="I441" s="28"/>
      <c r="J441" s="29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8"/>
      <c r="I442" s="28"/>
      <c r="J442" s="29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8"/>
      <c r="I443" s="28"/>
      <c r="J443" s="29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8"/>
      <c r="I444" s="28"/>
      <c r="J444" s="29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8"/>
      <c r="I445" s="28"/>
      <c r="J445" s="29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8"/>
      <c r="I446" s="28"/>
      <c r="J446" s="29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8"/>
      <c r="I447" s="28"/>
      <c r="J447" s="29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8"/>
      <c r="I448" s="28"/>
      <c r="J448" s="29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8"/>
      <c r="I449" s="28"/>
      <c r="J449" s="29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8"/>
      <c r="I450" s="28"/>
      <c r="J450" s="29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8"/>
      <c r="I451" s="28"/>
      <c r="J451" s="29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8"/>
      <c r="I452" s="28"/>
      <c r="J452" s="29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8"/>
      <c r="I453" s="28"/>
      <c r="J453" s="29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8"/>
      <c r="I454" s="28"/>
      <c r="J454" s="29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8"/>
      <c r="I455" s="28"/>
      <c r="J455" s="29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8"/>
      <c r="I456" s="28"/>
      <c r="J456" s="29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8"/>
      <c r="I457" s="28"/>
      <c r="J457" s="29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8"/>
      <c r="I458" s="28"/>
      <c r="J458" s="29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8"/>
      <c r="I459" s="28"/>
      <c r="J459" s="29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8"/>
      <c r="I460" s="28"/>
      <c r="J460" s="29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8"/>
      <c r="I461" s="28"/>
      <c r="J461" s="29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8"/>
      <c r="I462" s="28"/>
      <c r="J462" s="29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8"/>
      <c r="I463" s="28"/>
      <c r="J463" s="29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8"/>
      <c r="I464" s="28"/>
      <c r="J464" s="29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8"/>
      <c r="I465" s="28"/>
      <c r="J465" s="29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8"/>
      <c r="I466" s="28"/>
      <c r="J466" s="29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8"/>
      <c r="I467" s="28"/>
      <c r="J467" s="29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8"/>
      <c r="I468" s="28"/>
      <c r="J468" s="29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8"/>
      <c r="I469" s="28"/>
      <c r="J469" s="29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8"/>
      <c r="I470" s="28"/>
      <c r="J470" s="29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8"/>
      <c r="I471" s="28"/>
      <c r="J471" s="29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8"/>
      <c r="I472" s="28"/>
      <c r="J472" s="29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8"/>
      <c r="I473" s="28"/>
      <c r="J473" s="29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8"/>
      <c r="I474" s="28"/>
      <c r="J474" s="29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8"/>
      <c r="I475" s="28"/>
      <c r="J475" s="29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8"/>
      <c r="I476" s="28"/>
      <c r="J476" s="29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8"/>
      <c r="I477" s="28"/>
      <c r="J477" s="29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8"/>
      <c r="I478" s="28"/>
      <c r="J478" s="29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8"/>
      <c r="I479" s="28"/>
      <c r="J479" s="29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8"/>
      <c r="I480" s="28"/>
      <c r="J480" s="29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8"/>
      <c r="I481" s="28"/>
      <c r="J481" s="29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8"/>
      <c r="I482" s="28"/>
      <c r="J482" s="29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8"/>
      <c r="I483" s="28"/>
      <c r="J483" s="29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8"/>
      <c r="I484" s="28"/>
      <c r="J484" s="29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8"/>
      <c r="I485" s="28"/>
      <c r="J485" s="29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8"/>
      <c r="I486" s="28"/>
      <c r="J486" s="29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8"/>
      <c r="I487" s="28"/>
      <c r="J487" s="29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8"/>
      <c r="I488" s="28"/>
      <c r="J488" s="29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8"/>
      <c r="I489" s="28"/>
      <c r="J489" s="29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8"/>
      <c r="I490" s="28"/>
      <c r="J490" s="29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8"/>
      <c r="I491" s="28"/>
      <c r="J491" s="29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8"/>
      <c r="I492" s="28"/>
      <c r="J492" s="29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8"/>
      <c r="I493" s="28"/>
      <c r="J493" s="29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8"/>
      <c r="I494" s="28"/>
      <c r="J494" s="29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8"/>
      <c r="I495" s="28"/>
      <c r="J495" s="29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8"/>
      <c r="I496" s="28"/>
      <c r="J496" s="29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8"/>
      <c r="I497" s="28"/>
      <c r="J497" s="29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8"/>
      <c r="I498" s="28"/>
      <c r="J498" s="29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8"/>
      <c r="I499" s="28"/>
      <c r="J499" s="29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8"/>
      <c r="I500" s="28"/>
      <c r="J500" s="29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8"/>
      <c r="I501" s="28"/>
      <c r="J501" s="29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8"/>
      <c r="I502" s="28"/>
      <c r="J502" s="29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8"/>
      <c r="I503" s="28"/>
      <c r="J503" s="29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8"/>
      <c r="I504" s="28"/>
      <c r="J504" s="29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8"/>
      <c r="I505" s="28"/>
      <c r="J505" s="29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8"/>
      <c r="I506" s="28"/>
      <c r="J506" s="29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8"/>
      <c r="I507" s="28"/>
      <c r="J507" s="29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8"/>
      <c r="I508" s="28"/>
      <c r="J508" s="29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8"/>
      <c r="I509" s="28"/>
      <c r="J509" s="29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8"/>
      <c r="I510" s="28"/>
      <c r="J510" s="29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8"/>
      <c r="I511" s="28"/>
      <c r="J511" s="29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8"/>
      <c r="I512" s="28"/>
      <c r="J512" s="29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8"/>
      <c r="I513" s="28"/>
      <c r="J513" s="29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8"/>
      <c r="I514" s="28"/>
      <c r="J514" s="29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8"/>
      <c r="I515" s="28"/>
      <c r="J515" s="29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8"/>
      <c r="I516" s="28"/>
      <c r="J516" s="29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8"/>
      <c r="I517" s="28"/>
      <c r="J517" s="29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8"/>
      <c r="I518" s="28"/>
      <c r="J518" s="29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8"/>
      <c r="I519" s="28"/>
      <c r="J519" s="29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8"/>
      <c r="I520" s="28"/>
      <c r="J520" s="29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8"/>
      <c r="I521" s="28"/>
      <c r="J521" s="29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8"/>
      <c r="I522" s="28"/>
      <c r="J522" s="29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8"/>
      <c r="I523" s="28"/>
      <c r="J523" s="29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8"/>
      <c r="I524" s="28"/>
      <c r="J524" s="29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8"/>
      <c r="I525" s="28"/>
      <c r="J525" s="29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8"/>
      <c r="I526" s="28"/>
      <c r="J526" s="29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8"/>
      <c r="I527" s="28"/>
      <c r="J527" s="29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8"/>
      <c r="I528" s="28"/>
      <c r="J528" s="29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8"/>
      <c r="I529" s="28"/>
      <c r="J529" s="29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8"/>
      <c r="I530" s="28"/>
      <c r="J530" s="29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8"/>
      <c r="I531" s="28"/>
      <c r="J531" s="29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8"/>
      <c r="I532" s="28"/>
      <c r="J532" s="29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8"/>
      <c r="I533" s="28"/>
      <c r="J533" s="29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8"/>
      <c r="I534" s="28"/>
      <c r="J534" s="29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8"/>
      <c r="I535" s="28"/>
      <c r="J535" s="29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8"/>
      <c r="I536" s="28"/>
      <c r="J536" s="29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8"/>
      <c r="I537" s="28"/>
      <c r="J537" s="29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8"/>
      <c r="I538" s="28"/>
      <c r="J538" s="29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8"/>
      <c r="I539" s="28"/>
      <c r="J539" s="29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8"/>
      <c r="I540" s="28"/>
      <c r="J540" s="29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8"/>
      <c r="I541" s="28"/>
      <c r="J541" s="29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8"/>
      <c r="I542" s="28"/>
      <c r="J542" s="29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8"/>
      <c r="I543" s="28"/>
      <c r="J543" s="29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8"/>
      <c r="I544" s="28"/>
      <c r="J544" s="29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8"/>
      <c r="I545" s="28"/>
      <c r="J545" s="29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8"/>
      <c r="I546" s="28"/>
      <c r="J546" s="29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8"/>
      <c r="I547" s="28"/>
      <c r="J547" s="29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8"/>
      <c r="I548" s="28"/>
      <c r="J548" s="29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8"/>
      <c r="I549" s="28"/>
      <c r="J549" s="29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8"/>
      <c r="I550" s="28"/>
      <c r="J550" s="29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8"/>
      <c r="I551" s="28"/>
      <c r="J551" s="29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8"/>
      <c r="I552" s="28"/>
      <c r="J552" s="29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8"/>
      <c r="I553" s="28"/>
      <c r="J553" s="29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8"/>
      <c r="I554" s="28"/>
      <c r="J554" s="29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8"/>
      <c r="I555" s="28"/>
      <c r="J555" s="29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8"/>
      <c r="I556" s="28"/>
      <c r="J556" s="29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8"/>
      <c r="I557" s="28"/>
      <c r="J557" s="29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8"/>
      <c r="I558" s="28"/>
      <c r="J558" s="29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8"/>
      <c r="I559" s="28"/>
      <c r="J559" s="29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8"/>
      <c r="I560" s="28"/>
      <c r="J560" s="29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8"/>
      <c r="I561" s="28"/>
      <c r="J561" s="29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8"/>
      <c r="I562" s="28"/>
      <c r="J562" s="29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8"/>
      <c r="I563" s="28"/>
      <c r="J563" s="29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8"/>
      <c r="I564" s="28"/>
      <c r="J564" s="29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8"/>
      <c r="I565" s="28"/>
      <c r="J565" s="29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8"/>
      <c r="I566" s="28"/>
      <c r="J566" s="29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8"/>
      <c r="I567" s="28"/>
      <c r="J567" s="29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8"/>
      <c r="I568" s="28"/>
      <c r="J568" s="29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8"/>
      <c r="I569" s="28"/>
      <c r="J569" s="29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8"/>
      <c r="I570" s="28"/>
      <c r="J570" s="29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8"/>
      <c r="I571" s="28"/>
      <c r="J571" s="29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8"/>
      <c r="I572" s="28"/>
      <c r="J572" s="29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8"/>
      <c r="I573" s="28"/>
      <c r="J573" s="29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8"/>
      <c r="I574" s="28"/>
      <c r="J574" s="29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8"/>
      <c r="I575" s="28"/>
      <c r="J575" s="29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8"/>
      <c r="I576" s="28"/>
      <c r="J576" s="29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8"/>
      <c r="I577" s="28"/>
      <c r="J577" s="29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8"/>
      <c r="I578" s="28"/>
      <c r="J578" s="29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8"/>
      <c r="I579" s="28"/>
      <c r="J579" s="29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8"/>
      <c r="I580" s="28"/>
      <c r="J580" s="29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8"/>
      <c r="I581" s="28"/>
      <c r="J581" s="29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8"/>
      <c r="I582" s="28"/>
      <c r="J582" s="29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8"/>
      <c r="I583" s="28"/>
      <c r="J583" s="29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8"/>
      <c r="I584" s="28"/>
      <c r="J584" s="29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8"/>
      <c r="I585" s="28"/>
      <c r="J585" s="29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8"/>
      <c r="I586" s="28"/>
      <c r="J586" s="29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8"/>
      <c r="I587" s="28"/>
      <c r="J587" s="29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8"/>
      <c r="I588" s="28"/>
      <c r="J588" s="29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8"/>
      <c r="I589" s="28"/>
      <c r="J589" s="29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8"/>
      <c r="I590" s="28"/>
      <c r="J590" s="29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8"/>
      <c r="I591" s="28"/>
      <c r="J591" s="29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8"/>
      <c r="I592" s="28"/>
      <c r="J592" s="29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8"/>
      <c r="I593" s="28"/>
      <c r="J593" s="29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8"/>
      <c r="I594" s="28"/>
      <c r="J594" s="29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8"/>
      <c r="I595" s="28"/>
      <c r="J595" s="29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8"/>
      <c r="I596" s="28"/>
      <c r="J596" s="29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8"/>
      <c r="I597" s="28"/>
      <c r="J597" s="29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8"/>
      <c r="I598" s="28"/>
      <c r="J598" s="29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8"/>
      <c r="I599" s="28"/>
      <c r="J599" s="29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8"/>
      <c r="I600" s="28"/>
      <c r="J600" s="29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8"/>
      <c r="I601" s="28"/>
      <c r="J601" s="29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8"/>
      <c r="I602" s="28"/>
      <c r="J602" s="29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8"/>
      <c r="I603" s="28"/>
      <c r="J603" s="29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8"/>
      <c r="I604" s="28"/>
      <c r="J604" s="29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8"/>
      <c r="I605" s="28"/>
      <c r="J605" s="29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8"/>
      <c r="I606" s="28"/>
      <c r="J606" s="29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8"/>
      <c r="I607" s="28"/>
      <c r="J607" s="29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8"/>
      <c r="I608" s="28"/>
      <c r="J608" s="29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8"/>
      <c r="I609" s="28"/>
      <c r="J609" s="29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8"/>
      <c r="I610" s="28"/>
      <c r="J610" s="29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8"/>
      <c r="I611" s="28"/>
      <c r="J611" s="29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8"/>
      <c r="I612" s="28"/>
      <c r="J612" s="29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8"/>
      <c r="I613" s="28"/>
      <c r="J613" s="29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8"/>
      <c r="I614" s="28"/>
      <c r="J614" s="29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8"/>
      <c r="I615" s="28"/>
      <c r="J615" s="29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8"/>
      <c r="I616" s="28"/>
      <c r="J616" s="29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8"/>
      <c r="I617" s="28"/>
      <c r="J617" s="29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8"/>
      <c r="I618" s="28"/>
      <c r="J618" s="29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8"/>
      <c r="I619" s="28"/>
      <c r="J619" s="29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8"/>
      <c r="I620" s="28"/>
      <c r="J620" s="29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8"/>
      <c r="I621" s="28"/>
      <c r="J621" s="29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8"/>
      <c r="I622" s="28"/>
      <c r="J622" s="29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8"/>
      <c r="I623" s="28"/>
      <c r="J623" s="29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8"/>
      <c r="I624" s="28"/>
      <c r="J624" s="29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8"/>
      <c r="I625" s="28"/>
      <c r="J625" s="29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8"/>
      <c r="I626" s="28"/>
      <c r="J626" s="29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8"/>
      <c r="I627" s="28"/>
      <c r="J627" s="29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8"/>
      <c r="I628" s="28"/>
      <c r="J628" s="29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8"/>
      <c r="I629" s="28"/>
      <c r="J629" s="29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8"/>
      <c r="I630" s="28"/>
      <c r="J630" s="29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8"/>
      <c r="I631" s="28"/>
      <c r="J631" s="29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8"/>
      <c r="I632" s="28"/>
      <c r="J632" s="29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8"/>
      <c r="I633" s="28"/>
      <c r="J633" s="29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8"/>
      <c r="I634" s="28"/>
      <c r="J634" s="29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8"/>
      <c r="I635" s="28"/>
      <c r="J635" s="29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8"/>
      <c r="I636" s="28"/>
      <c r="J636" s="29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8"/>
      <c r="I637" s="28"/>
      <c r="J637" s="29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8"/>
      <c r="I638" s="28"/>
      <c r="J638" s="29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8"/>
      <c r="I639" s="28"/>
      <c r="J639" s="29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8"/>
      <c r="I640" s="28"/>
      <c r="J640" s="29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8"/>
      <c r="I641" s="28"/>
      <c r="J641" s="29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8"/>
      <c r="I642" s="28"/>
      <c r="J642" s="29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8"/>
      <c r="I643" s="28"/>
      <c r="J643" s="29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8"/>
      <c r="I644" s="28"/>
      <c r="J644" s="29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8"/>
      <c r="I645" s="28"/>
      <c r="J645" s="29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8"/>
      <c r="I646" s="28"/>
      <c r="J646" s="29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8"/>
      <c r="I647" s="28"/>
      <c r="J647" s="29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8"/>
      <c r="I648" s="28"/>
      <c r="J648" s="29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8"/>
      <c r="I649" s="28"/>
      <c r="J649" s="29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8"/>
      <c r="I650" s="28"/>
      <c r="J650" s="29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8"/>
      <c r="I651" s="28"/>
      <c r="J651" s="29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8"/>
      <c r="I652" s="28"/>
      <c r="J652" s="29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8"/>
      <c r="I653" s="28"/>
      <c r="J653" s="29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8"/>
      <c r="I654" s="28"/>
      <c r="J654" s="29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8"/>
      <c r="I655" s="28"/>
      <c r="J655" s="29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8"/>
      <c r="I656" s="28"/>
      <c r="J656" s="29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8"/>
      <c r="I657" s="28"/>
      <c r="J657" s="29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8"/>
      <c r="I658" s="28"/>
      <c r="J658" s="29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8"/>
      <c r="I659" s="28"/>
      <c r="J659" s="29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8"/>
      <c r="I660" s="28"/>
      <c r="J660" s="29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8"/>
      <c r="I661" s="28"/>
      <c r="J661" s="29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8"/>
      <c r="I662" s="28"/>
      <c r="J662" s="29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8"/>
      <c r="I663" s="28"/>
      <c r="J663" s="29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8"/>
      <c r="I664" s="28"/>
      <c r="J664" s="29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8"/>
      <c r="I665" s="28"/>
      <c r="J665" s="29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8"/>
      <c r="I666" s="28"/>
      <c r="J666" s="29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8"/>
      <c r="I667" s="28"/>
      <c r="J667" s="29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8"/>
      <c r="I668" s="28"/>
      <c r="J668" s="29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8"/>
      <c r="I669" s="28"/>
      <c r="J669" s="29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8"/>
      <c r="I670" s="28"/>
      <c r="J670" s="29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8"/>
      <c r="I671" s="28"/>
      <c r="J671" s="29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8"/>
      <c r="I672" s="28"/>
      <c r="J672" s="29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8"/>
      <c r="I673" s="28"/>
      <c r="J673" s="29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8"/>
      <c r="I674" s="28"/>
      <c r="J674" s="29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8"/>
      <c r="I675" s="28"/>
      <c r="J675" s="29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8"/>
      <c r="I676" s="28"/>
      <c r="J676" s="29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8"/>
      <c r="I677" s="28"/>
      <c r="J677" s="29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8"/>
      <c r="I678" s="28"/>
      <c r="J678" s="29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8"/>
      <c r="I679" s="28"/>
      <c r="J679" s="29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8"/>
      <c r="I680" s="28"/>
      <c r="J680" s="29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8"/>
      <c r="I681" s="28"/>
      <c r="J681" s="29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8"/>
      <c r="I682" s="28"/>
      <c r="J682" s="29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8"/>
      <c r="I683" s="28"/>
      <c r="J683" s="29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8"/>
      <c r="I684" s="28"/>
      <c r="J684" s="29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8"/>
      <c r="I685" s="28"/>
      <c r="J685" s="29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8"/>
      <c r="I686" s="28"/>
      <c r="J686" s="29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8"/>
      <c r="I687" s="28"/>
      <c r="J687" s="29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8"/>
      <c r="I688" s="28"/>
      <c r="J688" s="29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8"/>
      <c r="I689" s="28"/>
      <c r="J689" s="29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8"/>
      <c r="I690" s="28"/>
      <c r="J690" s="29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8"/>
      <c r="I691" s="28"/>
      <c r="J691" s="29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8"/>
      <c r="I692" s="28"/>
      <c r="J692" s="29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8"/>
      <c r="I693" s="28"/>
      <c r="J693" s="29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8"/>
      <c r="I694" s="28"/>
      <c r="J694" s="29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8"/>
      <c r="I695" s="28"/>
      <c r="J695" s="29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8"/>
      <c r="I696" s="28"/>
      <c r="J696" s="29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8"/>
      <c r="I697" s="28"/>
      <c r="J697" s="29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8"/>
      <c r="I698" s="28"/>
      <c r="J698" s="29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8"/>
      <c r="I699" s="28"/>
      <c r="J699" s="29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8"/>
      <c r="I700" s="28"/>
      <c r="J700" s="29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8"/>
      <c r="I701" s="28"/>
      <c r="J701" s="29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8"/>
      <c r="I702" s="28"/>
      <c r="J702" s="29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8"/>
      <c r="I703" s="28"/>
      <c r="J703" s="29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8"/>
      <c r="I704" s="28"/>
      <c r="J704" s="29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8"/>
      <c r="I705" s="28"/>
      <c r="J705" s="29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8"/>
      <c r="I706" s="28"/>
      <c r="J706" s="29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8"/>
      <c r="I707" s="28"/>
      <c r="J707" s="29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8"/>
      <c r="I708" s="28"/>
      <c r="J708" s="29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8"/>
      <c r="I709" s="28"/>
      <c r="J709" s="29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8"/>
      <c r="I710" s="28"/>
      <c r="J710" s="29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8"/>
      <c r="I711" s="28"/>
      <c r="J711" s="29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8"/>
      <c r="I712" s="28"/>
      <c r="J712" s="29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8"/>
      <c r="I713" s="28"/>
      <c r="J713" s="29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8"/>
      <c r="I714" s="28"/>
      <c r="J714" s="29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8"/>
      <c r="I715" s="28"/>
      <c r="J715" s="29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8"/>
      <c r="I716" s="28"/>
      <c r="J716" s="29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8"/>
      <c r="I717" s="28"/>
      <c r="J717" s="29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8"/>
      <c r="I718" s="28"/>
      <c r="J718" s="29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8"/>
      <c r="I719" s="28"/>
      <c r="J719" s="29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8"/>
      <c r="I720" s="28"/>
      <c r="J720" s="29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8"/>
      <c r="I721" s="28"/>
      <c r="J721" s="29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8"/>
      <c r="I722" s="28"/>
      <c r="J722" s="29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8"/>
      <c r="I723" s="28"/>
      <c r="J723" s="29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8"/>
      <c r="I724" s="28"/>
      <c r="J724" s="29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8"/>
      <c r="I725" s="28"/>
      <c r="J725" s="29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8"/>
      <c r="I726" s="28"/>
      <c r="J726" s="29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8"/>
      <c r="I727" s="28"/>
      <c r="J727" s="29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8"/>
      <c r="I728" s="28"/>
      <c r="J728" s="29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8"/>
      <c r="I729" s="28"/>
      <c r="J729" s="29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8"/>
      <c r="I730" s="28"/>
      <c r="J730" s="29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8"/>
      <c r="I731" s="28"/>
      <c r="J731" s="29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8"/>
      <c r="I732" s="28"/>
      <c r="J732" s="29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8"/>
      <c r="I733" s="28"/>
      <c r="J733" s="29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8"/>
      <c r="I734" s="28"/>
      <c r="J734" s="29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8"/>
      <c r="I735" s="28"/>
      <c r="J735" s="29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8"/>
      <c r="I736" s="28"/>
      <c r="J736" s="29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8"/>
      <c r="I737" s="28"/>
      <c r="J737" s="29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8"/>
      <c r="I738" s="28"/>
      <c r="J738" s="29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8"/>
      <c r="I739" s="28"/>
      <c r="J739" s="29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8"/>
      <c r="I740" s="28"/>
      <c r="J740" s="29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8"/>
      <c r="I741" s="28"/>
      <c r="J741" s="29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8"/>
      <c r="I742" s="28"/>
      <c r="J742" s="29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8"/>
      <c r="I743" s="28"/>
      <c r="J743" s="29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8"/>
      <c r="I744" s="28"/>
      <c r="J744" s="29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8"/>
      <c r="I745" s="28"/>
      <c r="J745" s="29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8"/>
      <c r="I746" s="28"/>
      <c r="J746" s="29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8"/>
      <c r="I747" s="28"/>
      <c r="J747" s="29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8"/>
      <c r="I748" s="28"/>
      <c r="J748" s="29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8"/>
      <c r="I749" s="28"/>
      <c r="J749" s="29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8"/>
      <c r="I750" s="28"/>
      <c r="J750" s="29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8"/>
      <c r="I751" s="28"/>
      <c r="J751" s="29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8"/>
      <c r="I752" s="28"/>
      <c r="J752" s="29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8"/>
      <c r="I753" s="28"/>
      <c r="J753" s="29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8"/>
      <c r="I754" s="28"/>
      <c r="J754" s="29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8"/>
      <c r="I755" s="28"/>
      <c r="J755" s="29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8"/>
      <c r="I756" s="28"/>
      <c r="J756" s="29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8"/>
      <c r="I757" s="28"/>
      <c r="J757" s="29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8"/>
      <c r="I758" s="28"/>
      <c r="J758" s="29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8"/>
      <c r="I759" s="28"/>
      <c r="J759" s="29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8"/>
      <c r="I760" s="28"/>
      <c r="J760" s="29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8"/>
      <c r="I761" s="28"/>
      <c r="J761" s="29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8"/>
      <c r="I762" s="28"/>
      <c r="J762" s="29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8"/>
      <c r="I763" s="28"/>
      <c r="J763" s="29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8"/>
      <c r="I764" s="28"/>
      <c r="J764" s="29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8"/>
      <c r="I765" s="28"/>
      <c r="J765" s="29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8"/>
      <c r="I766" s="28"/>
      <c r="J766" s="29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8"/>
      <c r="I767" s="28"/>
      <c r="J767" s="29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8"/>
      <c r="I768" s="28"/>
      <c r="J768" s="29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8"/>
      <c r="I769" s="28"/>
      <c r="J769" s="29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8"/>
      <c r="I770" s="28"/>
      <c r="J770" s="29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8"/>
      <c r="I771" s="28"/>
      <c r="J771" s="29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8"/>
      <c r="I772" s="28"/>
      <c r="J772" s="29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8"/>
      <c r="I773" s="28"/>
      <c r="J773" s="29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8"/>
      <c r="I774" s="28"/>
      <c r="J774" s="29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8"/>
      <c r="I775" s="28"/>
      <c r="J775" s="29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8"/>
      <c r="I776" s="28"/>
      <c r="J776" s="29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8"/>
      <c r="I777" s="28"/>
      <c r="J777" s="29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8"/>
      <c r="I778" s="28"/>
      <c r="J778" s="29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8"/>
      <c r="I779" s="28"/>
      <c r="J779" s="29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8"/>
      <c r="I780" s="28"/>
      <c r="J780" s="29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8"/>
      <c r="I781" s="28"/>
      <c r="J781" s="29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8"/>
      <c r="I782" s="28"/>
      <c r="J782" s="29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8"/>
      <c r="I783" s="28"/>
      <c r="J783" s="29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8"/>
      <c r="I784" s="28"/>
      <c r="J784" s="29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8"/>
      <c r="I785" s="28"/>
      <c r="J785" s="29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8"/>
      <c r="I786" s="28"/>
      <c r="J786" s="29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8"/>
      <c r="I787" s="28"/>
      <c r="J787" s="29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8"/>
      <c r="I788" s="28"/>
      <c r="J788" s="29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8"/>
      <c r="I789" s="28"/>
      <c r="J789" s="29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8"/>
      <c r="I790" s="28"/>
      <c r="J790" s="29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8"/>
      <c r="I791" s="28"/>
      <c r="J791" s="29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8"/>
      <c r="I792" s="28"/>
      <c r="J792" s="29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8"/>
      <c r="I793" s="28"/>
      <c r="J793" s="29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8"/>
      <c r="I794" s="28"/>
      <c r="J794" s="29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8"/>
      <c r="I795" s="28"/>
      <c r="J795" s="29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8"/>
      <c r="I796" s="28"/>
      <c r="J796" s="29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8"/>
      <c r="I797" s="28"/>
      <c r="J797" s="29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8"/>
      <c r="I798" s="28"/>
      <c r="J798" s="29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8"/>
      <c r="I799" s="28"/>
      <c r="J799" s="29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8"/>
      <c r="I800" s="28"/>
      <c r="J800" s="29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8"/>
      <c r="I801" s="28"/>
      <c r="J801" s="29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8"/>
      <c r="I802" s="28"/>
      <c r="J802" s="29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8"/>
      <c r="I803" s="28"/>
      <c r="J803" s="29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8"/>
      <c r="I804" s="28"/>
      <c r="J804" s="29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8"/>
      <c r="I805" s="28"/>
      <c r="J805" s="29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8"/>
      <c r="I806" s="28"/>
      <c r="J806" s="29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8"/>
      <c r="I807" s="28"/>
      <c r="J807" s="29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8"/>
      <c r="I808" s="28"/>
      <c r="J808" s="29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8"/>
      <c r="I809" s="28"/>
      <c r="J809" s="29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8"/>
      <c r="I810" s="28"/>
      <c r="J810" s="29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8"/>
      <c r="I811" s="28"/>
      <c r="J811" s="29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8"/>
      <c r="I812" s="28"/>
      <c r="J812" s="29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8"/>
      <c r="I813" s="28"/>
      <c r="J813" s="29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8"/>
      <c r="I814" s="28"/>
      <c r="J814" s="29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8"/>
      <c r="I815" s="28"/>
      <c r="J815" s="29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8"/>
      <c r="I816" s="28"/>
      <c r="J816" s="29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8"/>
      <c r="I817" s="28"/>
      <c r="J817" s="29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8"/>
      <c r="I818" s="28"/>
      <c r="J818" s="29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8"/>
      <c r="I819" s="28"/>
      <c r="J819" s="29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8"/>
      <c r="I820" s="28"/>
      <c r="J820" s="29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8"/>
      <c r="I821" s="28"/>
      <c r="J821" s="29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8"/>
      <c r="I822" s="28"/>
      <c r="J822" s="29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8"/>
      <c r="I823" s="28"/>
      <c r="J823" s="29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8"/>
      <c r="I824" s="28"/>
      <c r="J824" s="29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8"/>
      <c r="I825" s="28"/>
      <c r="J825" s="29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8"/>
      <c r="I826" s="28"/>
      <c r="J826" s="29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8"/>
      <c r="I827" s="28"/>
      <c r="J827" s="29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8"/>
      <c r="I828" s="28"/>
      <c r="J828" s="29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8"/>
      <c r="I829" s="28"/>
      <c r="J829" s="29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8"/>
      <c r="I830" s="28"/>
      <c r="J830" s="29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8"/>
      <c r="I831" s="28"/>
      <c r="J831" s="29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8"/>
      <c r="I832" s="28"/>
      <c r="J832" s="29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8"/>
      <c r="I833" s="28"/>
      <c r="J833" s="29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8"/>
      <c r="I834" s="28"/>
      <c r="J834" s="29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8"/>
      <c r="I835" s="28"/>
      <c r="J835" s="29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8"/>
      <c r="I836" s="28"/>
      <c r="J836" s="29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8"/>
      <c r="I837" s="28"/>
      <c r="J837" s="29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8"/>
      <c r="I838" s="28"/>
      <c r="J838" s="29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8"/>
      <c r="I839" s="28"/>
      <c r="J839" s="29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8"/>
      <c r="I840" s="28"/>
      <c r="J840" s="29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8"/>
      <c r="I841" s="28"/>
      <c r="J841" s="29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8"/>
      <c r="I842" s="28"/>
      <c r="J842" s="29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8"/>
      <c r="I843" s="28"/>
      <c r="J843" s="29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8"/>
      <c r="I844" s="28"/>
      <c r="J844" s="29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8"/>
      <c r="I845" s="28"/>
      <c r="J845" s="29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8"/>
      <c r="I846" s="28"/>
      <c r="J846" s="29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8"/>
      <c r="I847" s="28"/>
      <c r="J847" s="29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8"/>
      <c r="I848" s="28"/>
      <c r="J848" s="29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8"/>
      <c r="I849" s="28"/>
      <c r="J849" s="29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8"/>
      <c r="I850" s="28"/>
      <c r="J850" s="29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8"/>
      <c r="I851" s="28"/>
      <c r="J851" s="29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8"/>
      <c r="I852" s="28"/>
      <c r="J852" s="29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8"/>
      <c r="I853" s="28"/>
      <c r="J853" s="29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8"/>
      <c r="I854" s="28"/>
      <c r="J854" s="29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8"/>
      <c r="I855" s="28"/>
      <c r="J855" s="29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8"/>
      <c r="I856" s="28"/>
      <c r="J856" s="29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8"/>
      <c r="I857" s="28"/>
      <c r="J857" s="29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8"/>
      <c r="I858" s="28"/>
      <c r="J858" s="29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8"/>
      <c r="I859" s="28"/>
      <c r="J859" s="29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8"/>
      <c r="I860" s="28"/>
      <c r="J860" s="29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8"/>
      <c r="I861" s="28"/>
      <c r="J861" s="29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8"/>
      <c r="I862" s="28"/>
      <c r="J862" s="29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8"/>
      <c r="I863" s="28"/>
      <c r="J863" s="29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8"/>
      <c r="I864" s="28"/>
      <c r="J864" s="29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8"/>
      <c r="I865" s="28"/>
      <c r="J865" s="29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8"/>
      <c r="I866" s="28"/>
      <c r="J866" s="29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8"/>
      <c r="I867" s="28"/>
      <c r="J867" s="29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8"/>
      <c r="I868" s="28"/>
      <c r="J868" s="29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8"/>
      <c r="I869" s="28"/>
      <c r="J869" s="29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8"/>
      <c r="I870" s="28"/>
      <c r="J870" s="29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8"/>
      <c r="I871" s="28"/>
      <c r="J871" s="29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8"/>
      <c r="I872" s="28"/>
      <c r="J872" s="29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8"/>
      <c r="I873" s="28"/>
      <c r="J873" s="29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8"/>
      <c r="I874" s="28"/>
      <c r="J874" s="29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8"/>
      <c r="I875" s="28"/>
      <c r="J875" s="29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8"/>
      <c r="I876" s="28"/>
      <c r="J876" s="29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8"/>
      <c r="I877" s="28"/>
      <c r="J877" s="29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8"/>
      <c r="I878" s="28"/>
      <c r="J878" s="29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8"/>
      <c r="I879" s="28"/>
      <c r="J879" s="29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8"/>
      <c r="I880" s="28"/>
      <c r="J880" s="29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8"/>
      <c r="I881" s="28"/>
      <c r="J881" s="29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8"/>
      <c r="I882" s="28"/>
      <c r="J882" s="29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8"/>
      <c r="I883" s="28"/>
      <c r="J883" s="29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8"/>
      <c r="I884" s="28"/>
      <c r="J884" s="29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8"/>
      <c r="I885" s="28"/>
      <c r="J885" s="29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8"/>
      <c r="I886" s="28"/>
      <c r="J886" s="29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8"/>
      <c r="I887" s="28"/>
      <c r="J887" s="29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8"/>
      <c r="I888" s="28"/>
      <c r="J888" s="29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8"/>
      <c r="I889" s="28"/>
      <c r="J889" s="29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8"/>
      <c r="I890" s="28"/>
      <c r="J890" s="29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8"/>
      <c r="I891" s="28"/>
      <c r="J891" s="29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8"/>
      <c r="I892" s="28"/>
      <c r="J892" s="29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8"/>
      <c r="I893" s="28"/>
      <c r="J893" s="29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8"/>
      <c r="I894" s="28"/>
      <c r="J894" s="29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8"/>
      <c r="I895" s="28"/>
      <c r="J895" s="29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8"/>
      <c r="I896" s="28"/>
      <c r="J896" s="29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8"/>
      <c r="I897" s="28"/>
      <c r="J897" s="29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8"/>
      <c r="I898" s="28"/>
      <c r="J898" s="29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8"/>
      <c r="I899" s="28"/>
      <c r="J899" s="29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8"/>
      <c r="I900" s="28"/>
      <c r="J900" s="29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8"/>
      <c r="I901" s="28"/>
      <c r="J901" s="29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8"/>
      <c r="I902" s="28"/>
      <c r="J902" s="29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8"/>
      <c r="I903" s="28"/>
      <c r="J903" s="29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8"/>
      <c r="I904" s="28"/>
      <c r="J904" s="29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8"/>
      <c r="I905" s="28"/>
      <c r="J905" s="29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8"/>
      <c r="I906" s="28"/>
      <c r="J906" s="29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8"/>
      <c r="I907" s="28"/>
      <c r="J907" s="29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8"/>
      <c r="I908" s="28"/>
      <c r="J908" s="29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8"/>
      <c r="I909" s="28"/>
      <c r="J909" s="29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8"/>
      <c r="I910" s="28"/>
      <c r="J910" s="29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8"/>
      <c r="I911" s="28"/>
      <c r="J911" s="29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8"/>
      <c r="I912" s="28"/>
      <c r="J912" s="29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8"/>
      <c r="I913" s="28"/>
      <c r="J913" s="29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8"/>
      <c r="I914" s="28"/>
      <c r="J914" s="29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8"/>
      <c r="I915" s="28"/>
      <c r="J915" s="29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8"/>
      <c r="I916" s="28"/>
      <c r="J916" s="29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8"/>
      <c r="I917" s="28"/>
      <c r="J917" s="29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8"/>
      <c r="I918" s="28"/>
      <c r="J918" s="29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8"/>
      <c r="I919" s="28"/>
      <c r="J919" s="29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8"/>
      <c r="I920" s="28"/>
      <c r="J920" s="29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8"/>
      <c r="I921" s="28"/>
      <c r="J921" s="29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8"/>
      <c r="I922" s="28"/>
      <c r="J922" s="29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8"/>
      <c r="I923" s="28"/>
      <c r="J923" s="29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8"/>
      <c r="I924" s="28"/>
      <c r="J924" s="29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8"/>
      <c r="I925" s="28"/>
      <c r="J925" s="29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8"/>
      <c r="I926" s="28"/>
      <c r="J926" s="29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8"/>
      <c r="I927" s="28"/>
      <c r="J927" s="29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8"/>
      <c r="I928" s="28"/>
      <c r="J928" s="29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8"/>
      <c r="I929" s="28"/>
      <c r="J929" s="29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8"/>
      <c r="I930" s="28"/>
      <c r="J930" s="29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8"/>
      <c r="I931" s="28"/>
      <c r="J931" s="29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8"/>
      <c r="I932" s="28"/>
      <c r="J932" s="29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8"/>
      <c r="I933" s="28"/>
      <c r="J933" s="29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8"/>
      <c r="I934" s="28"/>
      <c r="J934" s="29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8"/>
      <c r="I935" s="28"/>
      <c r="J935" s="29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8"/>
      <c r="I936" s="28"/>
      <c r="J936" s="29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8"/>
      <c r="I937" s="28"/>
      <c r="J937" s="29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8"/>
      <c r="I938" s="28"/>
      <c r="J938" s="29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8"/>
      <c r="I939" s="28"/>
      <c r="J939" s="29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8"/>
      <c r="I940" s="28"/>
      <c r="J940" s="29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8"/>
      <c r="I941" s="28"/>
      <c r="J941" s="29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8"/>
      <c r="I942" s="28"/>
      <c r="J942" s="29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8"/>
      <c r="I943" s="28"/>
      <c r="J943" s="29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8"/>
      <c r="I944" s="28"/>
      <c r="J944" s="29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8"/>
      <c r="I945" s="28"/>
      <c r="J945" s="29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8"/>
      <c r="I946" s="28"/>
      <c r="J946" s="29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8"/>
      <c r="I947" s="28"/>
      <c r="J947" s="29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8"/>
      <c r="I948" s="28"/>
      <c r="J948" s="29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8"/>
      <c r="I949" s="28"/>
      <c r="J949" s="29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8"/>
      <c r="I950" s="28"/>
      <c r="J950" s="29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8"/>
      <c r="I951" s="28"/>
      <c r="J951" s="29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8"/>
      <c r="I952" s="28"/>
      <c r="J952" s="29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8"/>
      <c r="I953" s="28"/>
      <c r="J953" s="29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8"/>
      <c r="I954" s="28"/>
      <c r="J954" s="29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8"/>
      <c r="I955" s="28"/>
      <c r="J955" s="29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8"/>
      <c r="I956" s="28"/>
      <c r="J956" s="29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8"/>
      <c r="I957" s="28"/>
      <c r="J957" s="29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8"/>
      <c r="I958" s="28"/>
      <c r="J958" s="29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8"/>
      <c r="I959" s="28"/>
      <c r="J959" s="29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8"/>
      <c r="I960" s="28"/>
      <c r="J960" s="29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8"/>
      <c r="I961" s="28"/>
      <c r="J961" s="29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8"/>
      <c r="I962" s="28"/>
      <c r="J962" s="29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8"/>
      <c r="I963" s="28"/>
      <c r="J963" s="29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8"/>
      <c r="I964" s="28"/>
      <c r="J964" s="29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8"/>
      <c r="I965" s="28"/>
      <c r="J965" s="29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8"/>
      <c r="I966" s="28"/>
      <c r="J966" s="29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8"/>
      <c r="I967" s="28"/>
      <c r="J967" s="29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8"/>
      <c r="I968" s="28"/>
      <c r="J968" s="29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8"/>
      <c r="I969" s="28"/>
      <c r="J969" s="29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8"/>
      <c r="I970" s="28"/>
      <c r="J970" s="29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8"/>
      <c r="I971" s="28"/>
      <c r="J971" s="29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8"/>
      <c r="I972" s="28"/>
      <c r="J972" s="29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8"/>
      <c r="I973" s="28"/>
      <c r="J973" s="29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8"/>
      <c r="I974" s="28"/>
      <c r="J974" s="29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8"/>
      <c r="I975" s="28"/>
      <c r="J975" s="29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8"/>
      <c r="I976" s="28"/>
      <c r="J976" s="29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8"/>
      <c r="I977" s="28"/>
      <c r="J977" s="29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8"/>
      <c r="I978" s="28"/>
      <c r="J978" s="29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8"/>
      <c r="I979" s="28"/>
      <c r="J979" s="29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8"/>
      <c r="I980" s="28"/>
      <c r="J980" s="29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8"/>
      <c r="I981" s="28"/>
      <c r="J981" s="29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8"/>
      <c r="I982" s="28"/>
      <c r="J982" s="29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8"/>
      <c r="I983" s="28"/>
      <c r="J983" s="29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8"/>
      <c r="I984" s="28"/>
      <c r="J984" s="29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8"/>
      <c r="I985" s="28"/>
      <c r="J985" s="29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8"/>
      <c r="I986" s="28"/>
      <c r="J986" s="29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8"/>
      <c r="I987" s="28"/>
      <c r="J987" s="29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8"/>
      <c r="I988" s="28"/>
      <c r="J988" s="29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8"/>
      <c r="I989" s="28"/>
      <c r="J989" s="29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8"/>
      <c r="I990" s="28"/>
      <c r="J990" s="29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8"/>
      <c r="I991" s="28"/>
      <c r="J991" s="29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8"/>
      <c r="I992" s="28"/>
      <c r="J992" s="29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8"/>
      <c r="I993" s="28"/>
      <c r="J993" s="29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8"/>
      <c r="I994" s="28"/>
      <c r="J994" s="29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8"/>
      <c r="I995" s="28"/>
      <c r="J995" s="29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8"/>
      <c r="I996" s="28"/>
      <c r="J996" s="29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8"/>
      <c r="I997" s="28"/>
      <c r="J997" s="29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8"/>
      <c r="I998" s="28"/>
      <c r="J998" s="29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8"/>
      <c r="I999" s="28"/>
      <c r="J999" s="29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8"/>
      <c r="I1000" s="28"/>
      <c r="J1000" s="29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B$3:$V$34">
    <filterColumn colId="0">
      <filters>
        <filter val="M"/>
      </filters>
    </filterColumn>
  </autoFilter>
  <mergeCells count="1">
    <mergeCell ref="Q2:U2"/>
  </mergeCells>
  <hyperlinks>
    <hyperlink r:id="rId1" ref="C17"/>
    <hyperlink r:id="rId2" ref="C18"/>
    <hyperlink r:id="rId3" ref="C19"/>
    <hyperlink r:id="rId4" ref="C20"/>
    <hyperlink r:id="rId5" ref="C22"/>
    <hyperlink r:id="rId6" ref="C23"/>
    <hyperlink r:id="rId7" ref="C24"/>
    <hyperlink r:id="rId8" ref="C25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10.63"/>
    <col customWidth="1" min="5" max="5" width="14.0"/>
    <col customWidth="1" min="6" max="6" width="8.13"/>
    <col customWidth="1" min="7" max="7" width="7.38"/>
    <col customWidth="1" min="8" max="8" width="4.0"/>
    <col customWidth="1" min="9" max="26" width="10.63"/>
  </cols>
  <sheetData>
    <row r="1" ht="12.75" customHeight="1">
      <c r="F1" s="51"/>
      <c r="G1" s="52"/>
      <c r="H1" s="52"/>
    </row>
    <row r="2" ht="12.75" customHeight="1">
      <c r="F2" s="51"/>
      <c r="G2" s="52"/>
      <c r="H2" s="52"/>
    </row>
    <row r="3" ht="12.75" customHeight="1">
      <c r="F3" s="51"/>
      <c r="G3" s="52"/>
      <c r="H3" s="52"/>
    </row>
    <row r="4" ht="12.75" customHeight="1">
      <c r="F4" s="51"/>
      <c r="G4" s="52"/>
      <c r="H4" s="52"/>
    </row>
    <row r="5" ht="12.75" customHeight="1">
      <c r="F5" s="51"/>
      <c r="G5" s="52"/>
      <c r="H5" s="52"/>
    </row>
    <row r="6" ht="12.75" customHeight="1">
      <c r="F6" s="51"/>
      <c r="G6" s="52"/>
      <c r="H6" s="52"/>
    </row>
    <row r="7" ht="12.75" customHeight="1">
      <c r="F7" s="51"/>
      <c r="G7" s="52"/>
      <c r="H7" s="52"/>
    </row>
    <row r="8" ht="12.75" customHeight="1">
      <c r="D8" s="53" t="str">
        <f>+Bonds!B3</f>
        <v>Underlying </v>
      </c>
      <c r="E8" s="53" t="str">
        <f>+Bonds!D3</f>
        <v>CUSIP</v>
      </c>
      <c r="F8" s="51" t="str">
        <f>+Bonds!H3</f>
        <v>Maturity</v>
      </c>
      <c r="G8" s="52" t="str">
        <f>+Bonds!F3</f>
        <v>Coupon</v>
      </c>
      <c r="H8" s="52" t="str">
        <f>+Bonds!U3</f>
        <v>IRR</v>
      </c>
      <c r="I8" s="53" t="s">
        <v>5</v>
      </c>
    </row>
    <row r="9" ht="12.75" customHeight="1">
      <c r="D9" s="53" t="s">
        <v>28</v>
      </c>
      <c r="E9" s="53" t="s">
        <v>109</v>
      </c>
      <c r="F9" s="51">
        <v>46798.0</v>
      </c>
      <c r="G9" s="52">
        <v>0.07</v>
      </c>
      <c r="H9" s="52">
        <v>0.039466984869582764</v>
      </c>
      <c r="I9" s="54">
        <f t="array" ref="I9">XLOOKUP(E9,Bonds!D:D,Bonds!K:K)</f>
        <v>107.1</v>
      </c>
    </row>
    <row r="10" ht="12.75" customHeight="1">
      <c r="D10" s="53" t="s">
        <v>28</v>
      </c>
      <c r="E10" s="53" t="s">
        <v>113</v>
      </c>
      <c r="F10" s="51">
        <v>49293.0</v>
      </c>
      <c r="G10" s="52">
        <v>0.045</v>
      </c>
      <c r="H10" s="52">
        <v>0.0709894823807692</v>
      </c>
      <c r="I10" s="54">
        <f t="array" ref="I10">XLOOKUP(E10,Bonds!D:D,Bonds!K:K)</f>
        <v>82.52</v>
      </c>
    </row>
    <row r="11" ht="12.75" customHeight="1">
      <c r="D11" s="53" t="s">
        <v>28</v>
      </c>
      <c r="E11" s="53" t="s">
        <v>115</v>
      </c>
      <c r="F11" s="51">
        <v>51881.0</v>
      </c>
      <c r="G11" s="52">
        <v>0.05125</v>
      </c>
      <c r="H11" s="52">
        <v>0.08137760743312654</v>
      </c>
      <c r="I11" s="54">
        <f t="array" ref="I11">XLOOKUP(E11,Bonds!D:D,Bonds!K:K)</f>
        <v>72.992</v>
      </c>
    </row>
    <row r="12" ht="12.75" customHeight="1">
      <c r="D12" s="53" t="s">
        <v>28</v>
      </c>
      <c r="E12" s="53" t="s">
        <v>117</v>
      </c>
      <c r="F12" s="51">
        <v>52277.0</v>
      </c>
      <c r="G12" s="52">
        <v>0.043</v>
      </c>
      <c r="H12" s="52">
        <v>0.07769149896470663</v>
      </c>
      <c r="I12" s="54">
        <f t="array" ref="I12">XLOOKUP(E12,Bonds!D:D,Bonds!K:K)</f>
        <v>67.141</v>
      </c>
    </row>
    <row r="13" ht="12.75" customHeight="1">
      <c r="D13" s="53" t="s">
        <v>28</v>
      </c>
      <c r="E13" s="53" t="s">
        <v>118</v>
      </c>
      <c r="F13" s="51">
        <v>50114.0</v>
      </c>
      <c r="G13" s="52">
        <v>0.06375</v>
      </c>
      <c r="H13" s="52">
        <v>0.08490610401918561</v>
      </c>
      <c r="I13" s="54">
        <f t="array" ref="I13">XLOOKUP(E13,Bonds!D:D,Bonds!K:K)</f>
        <v>84.616</v>
      </c>
    </row>
    <row r="14" ht="12.75" customHeight="1">
      <c r="D14" s="53" t="s">
        <v>28</v>
      </c>
      <c r="E14" s="53" t="s">
        <v>119</v>
      </c>
      <c r="F14" s="51">
        <v>49293.0</v>
      </c>
      <c r="G14" s="52">
        <v>0.045</v>
      </c>
      <c r="H14" s="52">
        <v>0.0709359915869625</v>
      </c>
      <c r="I14" s="54">
        <f t="array" ref="I14">XLOOKUP(E14,Bonds!D:D,Bonds!K:K)</f>
        <v>82.552</v>
      </c>
    </row>
    <row r="15" ht="12.75" customHeight="1">
      <c r="D15" s="53" t="s">
        <v>28</v>
      </c>
      <c r="E15" s="53" t="s">
        <v>120</v>
      </c>
      <c r="F15" s="51">
        <v>49140.0</v>
      </c>
      <c r="G15" s="52">
        <v>0.067</v>
      </c>
      <c r="H15" s="52">
        <v>0.08695841127601209</v>
      </c>
      <c r="I15" s="54">
        <f t="array" ref="I15">XLOOKUP(E15,Bonds!D:D,Bonds!K:K)</f>
        <v>87.813</v>
      </c>
    </row>
    <row r="16" ht="12.75" customHeight="1">
      <c r="D16" s="53" t="s">
        <v>28</v>
      </c>
      <c r="E16" s="53" t="s">
        <v>121</v>
      </c>
      <c r="F16" s="51">
        <v>48288.0</v>
      </c>
      <c r="G16" s="52">
        <v>0.06125</v>
      </c>
      <c r="H16" s="52">
        <v>0.06549537256792085</v>
      </c>
      <c r="I16" s="54">
        <f t="array" ref="I16">XLOOKUP(E16,Bonds!D:D,Bonds!K:K)</f>
        <v>97.7645</v>
      </c>
    </row>
    <row r="17" ht="12.75" customHeight="1">
      <c r="D17" s="53" t="s">
        <v>28</v>
      </c>
      <c r="E17" s="53" t="s">
        <v>122</v>
      </c>
      <c r="F17" s="51">
        <v>47557.0</v>
      </c>
      <c r="G17" s="52">
        <v>0.05875</v>
      </c>
      <c r="H17" s="52">
        <v>0.06067029437842236</v>
      </c>
      <c r="I17" s="54">
        <f t="array" ref="I17">XLOOKUP(E17,Bonds!D:D,Bonds!K:K)</f>
        <v>99.243</v>
      </c>
    </row>
    <row r="18" ht="12.75" customHeight="1">
      <c r="D18" s="53" t="s">
        <v>28</v>
      </c>
      <c r="E18" s="53" t="s">
        <v>123</v>
      </c>
      <c r="F18" s="51">
        <v>47209.0</v>
      </c>
      <c r="G18" s="52">
        <v>0.069</v>
      </c>
      <c r="H18" s="52">
        <v>0.041740475182577105</v>
      </c>
      <c r="I18" s="54">
        <f t="array" ref="I18">XLOOKUP(E18,Bonds!D:D,Bonds!K:K)</f>
        <v>109</v>
      </c>
    </row>
    <row r="19" ht="12.75" customHeight="1">
      <c r="F19" s="51"/>
      <c r="G19" s="52"/>
      <c r="H19" s="52"/>
    </row>
    <row r="20" ht="12.75" customHeight="1">
      <c r="F20" s="51"/>
      <c r="G20" s="52"/>
      <c r="H20" s="52"/>
    </row>
    <row r="21" ht="12.75" customHeight="1">
      <c r="F21" s="51"/>
      <c r="G21" s="52"/>
      <c r="H21" s="52"/>
    </row>
    <row r="22" ht="12.75" customHeight="1">
      <c r="F22" s="51"/>
      <c r="G22" s="52"/>
      <c r="H22" s="52"/>
    </row>
    <row r="23" ht="12.75" customHeight="1">
      <c r="F23" s="51"/>
      <c r="G23" s="52"/>
      <c r="H23" s="52"/>
    </row>
    <row r="24" ht="12.75" customHeight="1">
      <c r="F24" s="51"/>
      <c r="G24" s="52"/>
      <c r="H24" s="52"/>
    </row>
    <row r="25" ht="12.75" customHeight="1">
      <c r="F25" s="51"/>
      <c r="G25" s="52"/>
      <c r="H25" s="52"/>
    </row>
    <row r="26" ht="12.75" customHeight="1">
      <c r="F26" s="51"/>
      <c r="G26" s="52"/>
      <c r="H26" s="52"/>
    </row>
    <row r="27" ht="12.75" customHeight="1">
      <c r="F27" s="51"/>
      <c r="G27" s="52"/>
      <c r="H27" s="52"/>
    </row>
    <row r="28" ht="12.75" customHeight="1">
      <c r="F28" s="51"/>
      <c r="G28" s="52"/>
      <c r="H28" s="52"/>
    </row>
    <row r="29" ht="12.75" customHeight="1">
      <c r="F29" s="51"/>
      <c r="G29" s="52"/>
      <c r="H29" s="52"/>
    </row>
    <row r="30" ht="12.75" customHeight="1">
      <c r="F30" s="51"/>
      <c r="G30" s="52"/>
      <c r="H30" s="52"/>
    </row>
    <row r="31" ht="12.75" customHeight="1">
      <c r="F31" s="51"/>
      <c r="G31" s="52"/>
      <c r="H31" s="52"/>
    </row>
    <row r="32" ht="12.75" customHeight="1">
      <c r="F32" s="51"/>
      <c r="G32" s="52"/>
      <c r="H32" s="52"/>
    </row>
    <row r="33" ht="12.75" customHeight="1">
      <c r="F33" s="51"/>
      <c r="G33" s="52"/>
      <c r="H33" s="52"/>
    </row>
    <row r="34" ht="12.75" customHeight="1">
      <c r="F34" s="51"/>
      <c r="G34" s="52"/>
      <c r="H34" s="52"/>
    </row>
    <row r="35" ht="12.75" customHeight="1">
      <c r="F35" s="51"/>
      <c r="G35" s="52"/>
      <c r="H35" s="52"/>
    </row>
    <row r="36" ht="12.75" customHeight="1">
      <c r="F36" s="51"/>
      <c r="G36" s="52"/>
      <c r="H36" s="52"/>
    </row>
    <row r="37" ht="12.75" customHeight="1">
      <c r="F37" s="51"/>
      <c r="G37" s="52"/>
      <c r="H37" s="52"/>
    </row>
    <row r="38" ht="12.75" customHeight="1">
      <c r="F38" s="51"/>
      <c r="G38" s="52"/>
      <c r="H38" s="52"/>
    </row>
    <row r="39" ht="12.75" customHeight="1">
      <c r="F39" s="51"/>
      <c r="G39" s="52"/>
      <c r="H39" s="52"/>
    </row>
    <row r="40" ht="12.75" customHeight="1">
      <c r="F40" s="51"/>
      <c r="G40" s="52"/>
      <c r="H40" s="52"/>
    </row>
    <row r="41" ht="12.75" customHeight="1">
      <c r="F41" s="51"/>
      <c r="G41" s="52"/>
      <c r="H41" s="52"/>
    </row>
    <row r="42" ht="12.75" customHeight="1">
      <c r="F42" s="51"/>
      <c r="G42" s="52"/>
      <c r="H42" s="52"/>
    </row>
    <row r="43" ht="12.75" customHeight="1">
      <c r="F43" s="51"/>
      <c r="G43" s="52"/>
      <c r="H43" s="52"/>
    </row>
    <row r="44" ht="12.75" customHeight="1">
      <c r="F44" s="51"/>
      <c r="G44" s="52"/>
      <c r="H44" s="52"/>
    </row>
    <row r="45" ht="12.75" customHeight="1">
      <c r="F45" s="51"/>
      <c r="G45" s="52"/>
      <c r="H45" s="52"/>
    </row>
    <row r="46" ht="12.75" customHeight="1">
      <c r="F46" s="51"/>
      <c r="G46" s="52"/>
      <c r="H46" s="52"/>
    </row>
    <row r="47" ht="12.75" customHeight="1">
      <c r="F47" s="51"/>
      <c r="G47" s="52"/>
      <c r="H47" s="52"/>
    </row>
    <row r="48" ht="12.75" customHeight="1">
      <c r="F48" s="51"/>
      <c r="G48" s="52"/>
      <c r="H48" s="52"/>
    </row>
    <row r="49" ht="12.75" customHeight="1">
      <c r="F49" s="51"/>
      <c r="G49" s="52"/>
      <c r="H49" s="52"/>
    </row>
    <row r="50" ht="12.75" customHeight="1">
      <c r="F50" s="51"/>
      <c r="G50" s="52"/>
      <c r="H50" s="52"/>
    </row>
    <row r="51" ht="12.75" customHeight="1">
      <c r="F51" s="51"/>
      <c r="G51" s="52"/>
      <c r="H51" s="52"/>
    </row>
    <row r="52" ht="12.75" customHeight="1">
      <c r="F52" s="51"/>
      <c r="G52" s="52"/>
      <c r="H52" s="52"/>
    </row>
    <row r="53" ht="12.75" customHeight="1">
      <c r="F53" s="51"/>
      <c r="G53" s="52"/>
      <c r="H53" s="52"/>
    </row>
    <row r="54" ht="12.75" customHeight="1">
      <c r="F54" s="51"/>
      <c r="G54" s="52"/>
      <c r="H54" s="52"/>
    </row>
    <row r="55" ht="12.75" customHeight="1">
      <c r="F55" s="51"/>
      <c r="G55" s="52"/>
      <c r="H55" s="52"/>
    </row>
    <row r="56" ht="12.75" customHeight="1">
      <c r="F56" s="51"/>
      <c r="G56" s="52"/>
      <c r="H56" s="52"/>
    </row>
    <row r="57" ht="12.75" customHeight="1">
      <c r="F57" s="51"/>
      <c r="G57" s="52"/>
      <c r="H57" s="52"/>
    </row>
    <row r="58" ht="12.75" customHeight="1">
      <c r="F58" s="51"/>
      <c r="G58" s="52"/>
      <c r="H58" s="52"/>
    </row>
    <row r="59" ht="12.75" customHeight="1">
      <c r="F59" s="51"/>
      <c r="G59" s="52"/>
      <c r="H59" s="52"/>
    </row>
    <row r="60" ht="12.75" customHeight="1">
      <c r="F60" s="51"/>
      <c r="G60" s="52"/>
      <c r="H60" s="52"/>
    </row>
    <row r="61" ht="12.75" customHeight="1">
      <c r="F61" s="51"/>
      <c r="G61" s="52"/>
      <c r="H61" s="52"/>
    </row>
    <row r="62" ht="12.75" customHeight="1">
      <c r="F62" s="51"/>
      <c r="G62" s="52"/>
      <c r="H62" s="52"/>
    </row>
    <row r="63" ht="12.75" customHeight="1">
      <c r="F63" s="51"/>
      <c r="G63" s="52"/>
      <c r="H63" s="52"/>
    </row>
    <row r="64" ht="12.75" customHeight="1">
      <c r="F64" s="51"/>
      <c r="G64" s="52"/>
      <c r="H64" s="52"/>
    </row>
    <row r="65" ht="12.75" customHeight="1">
      <c r="F65" s="51"/>
      <c r="G65" s="52"/>
      <c r="H65" s="52"/>
    </row>
    <row r="66" ht="12.75" customHeight="1">
      <c r="F66" s="51"/>
      <c r="G66" s="52"/>
      <c r="H66" s="52"/>
    </row>
    <row r="67" ht="12.75" customHeight="1">
      <c r="F67" s="51"/>
      <c r="G67" s="52"/>
      <c r="H67" s="52"/>
    </row>
    <row r="68" ht="12.75" customHeight="1">
      <c r="F68" s="51"/>
      <c r="G68" s="52"/>
      <c r="H68" s="52"/>
    </row>
    <row r="69" ht="12.75" customHeight="1">
      <c r="F69" s="51"/>
      <c r="G69" s="52"/>
      <c r="H69" s="52"/>
    </row>
    <row r="70" ht="12.75" customHeight="1">
      <c r="F70" s="51"/>
      <c r="G70" s="52"/>
      <c r="H70" s="52"/>
    </row>
    <row r="71" ht="12.75" customHeight="1">
      <c r="F71" s="51"/>
      <c r="G71" s="52"/>
      <c r="H71" s="52"/>
    </row>
    <row r="72" ht="12.75" customHeight="1">
      <c r="F72" s="51"/>
      <c r="G72" s="52"/>
      <c r="H72" s="52"/>
    </row>
    <row r="73" ht="12.75" customHeight="1">
      <c r="F73" s="51"/>
      <c r="G73" s="52"/>
      <c r="H73" s="52"/>
    </row>
    <row r="74" ht="12.75" customHeight="1">
      <c r="F74" s="51"/>
      <c r="G74" s="52"/>
      <c r="H74" s="52"/>
    </row>
    <row r="75" ht="12.75" customHeight="1">
      <c r="F75" s="51"/>
      <c r="G75" s="52"/>
      <c r="H75" s="52"/>
    </row>
    <row r="76" ht="12.75" customHeight="1">
      <c r="F76" s="51"/>
      <c r="G76" s="52"/>
      <c r="H76" s="52"/>
    </row>
    <row r="77" ht="12.75" customHeight="1">
      <c r="F77" s="51"/>
      <c r="G77" s="52"/>
      <c r="H77" s="52"/>
    </row>
    <row r="78" ht="12.75" customHeight="1">
      <c r="F78" s="51"/>
      <c r="G78" s="52"/>
      <c r="H78" s="52"/>
    </row>
    <row r="79" ht="12.75" customHeight="1">
      <c r="F79" s="51"/>
      <c r="G79" s="52"/>
      <c r="H79" s="52"/>
    </row>
    <row r="80" ht="12.75" customHeight="1">
      <c r="F80" s="51"/>
      <c r="G80" s="52"/>
      <c r="H80" s="52"/>
    </row>
    <row r="81" ht="12.75" customHeight="1">
      <c r="F81" s="51"/>
      <c r="G81" s="52"/>
      <c r="H81" s="52"/>
    </row>
    <row r="82" ht="12.75" customHeight="1">
      <c r="F82" s="51"/>
      <c r="G82" s="52"/>
      <c r="H82" s="52"/>
    </row>
    <row r="83" ht="12.75" customHeight="1">
      <c r="F83" s="51"/>
      <c r="G83" s="52"/>
      <c r="H83" s="52"/>
    </row>
    <row r="84" ht="12.75" customHeight="1">
      <c r="F84" s="51"/>
      <c r="G84" s="52"/>
      <c r="H84" s="52"/>
    </row>
    <row r="85" ht="12.75" customHeight="1">
      <c r="F85" s="51"/>
      <c r="G85" s="52"/>
      <c r="H85" s="52"/>
    </row>
    <row r="86" ht="12.75" customHeight="1">
      <c r="F86" s="51"/>
      <c r="G86" s="52"/>
      <c r="H86" s="52"/>
    </row>
    <row r="87" ht="12.75" customHeight="1">
      <c r="F87" s="51"/>
      <c r="G87" s="52"/>
      <c r="H87" s="52"/>
    </row>
    <row r="88" ht="12.75" customHeight="1">
      <c r="F88" s="51"/>
      <c r="G88" s="52"/>
      <c r="H88" s="52"/>
    </row>
    <row r="89" ht="12.75" customHeight="1">
      <c r="F89" s="51"/>
      <c r="G89" s="52"/>
      <c r="H89" s="52"/>
    </row>
    <row r="90" ht="12.75" customHeight="1">
      <c r="F90" s="51"/>
      <c r="G90" s="52"/>
      <c r="H90" s="52"/>
    </row>
    <row r="91" ht="12.75" customHeight="1">
      <c r="F91" s="51"/>
      <c r="G91" s="52"/>
      <c r="H91" s="52"/>
    </row>
    <row r="92" ht="12.75" customHeight="1">
      <c r="F92" s="51"/>
      <c r="G92" s="52"/>
      <c r="H92" s="52"/>
    </row>
    <row r="93" ht="12.75" customHeight="1">
      <c r="F93" s="51"/>
      <c r="G93" s="52"/>
      <c r="H93" s="52"/>
    </row>
    <row r="94" ht="12.75" customHeight="1">
      <c r="F94" s="51"/>
      <c r="G94" s="52"/>
      <c r="H94" s="52"/>
    </row>
    <row r="95" ht="12.75" customHeight="1">
      <c r="F95" s="51"/>
      <c r="G95" s="52"/>
      <c r="H95" s="52"/>
    </row>
    <row r="96" ht="12.75" customHeight="1">
      <c r="F96" s="51"/>
      <c r="G96" s="52"/>
      <c r="H96" s="52"/>
    </row>
    <row r="97" ht="12.75" customHeight="1">
      <c r="F97" s="51"/>
      <c r="G97" s="52"/>
      <c r="H97" s="52"/>
    </row>
    <row r="98" ht="12.75" customHeight="1">
      <c r="F98" s="51"/>
      <c r="G98" s="52"/>
      <c r="H98" s="52"/>
    </row>
    <row r="99" ht="12.75" customHeight="1">
      <c r="F99" s="51"/>
      <c r="G99" s="52"/>
      <c r="H99" s="52"/>
    </row>
    <row r="100" ht="12.75" customHeight="1">
      <c r="F100" s="51"/>
      <c r="G100" s="52"/>
      <c r="H100" s="52"/>
    </row>
    <row r="101" ht="12.75" customHeight="1">
      <c r="F101" s="51"/>
      <c r="G101" s="52"/>
      <c r="H101" s="52"/>
    </row>
    <row r="102" ht="12.75" customHeight="1">
      <c r="F102" s="51"/>
      <c r="G102" s="52"/>
      <c r="H102" s="52"/>
    </row>
    <row r="103" ht="12.75" customHeight="1">
      <c r="F103" s="51"/>
      <c r="G103" s="52"/>
      <c r="H103" s="52"/>
    </row>
    <row r="104" ht="12.75" customHeight="1">
      <c r="F104" s="51"/>
      <c r="G104" s="52"/>
      <c r="H104" s="52"/>
    </row>
    <row r="105" ht="12.75" customHeight="1">
      <c r="F105" s="51"/>
      <c r="G105" s="52"/>
      <c r="H105" s="52"/>
    </row>
    <row r="106" ht="12.75" customHeight="1">
      <c r="F106" s="51"/>
      <c r="G106" s="52"/>
      <c r="H106" s="52"/>
    </row>
    <row r="107" ht="12.75" customHeight="1">
      <c r="F107" s="51"/>
      <c r="G107" s="52"/>
      <c r="H107" s="52"/>
    </row>
    <row r="108" ht="12.75" customHeight="1">
      <c r="F108" s="51"/>
      <c r="G108" s="52"/>
      <c r="H108" s="52"/>
    </row>
    <row r="109" ht="12.75" customHeight="1">
      <c r="F109" s="51"/>
      <c r="G109" s="52"/>
      <c r="H109" s="52"/>
    </row>
    <row r="110" ht="12.75" customHeight="1">
      <c r="F110" s="51"/>
      <c r="G110" s="52"/>
      <c r="H110" s="52"/>
    </row>
    <row r="111" ht="12.75" customHeight="1">
      <c r="F111" s="51"/>
      <c r="G111" s="52"/>
      <c r="H111" s="52"/>
    </row>
    <row r="112" ht="12.75" customHeight="1">
      <c r="F112" s="51"/>
      <c r="G112" s="52"/>
      <c r="H112" s="52"/>
    </row>
    <row r="113" ht="12.75" customHeight="1">
      <c r="F113" s="51"/>
      <c r="G113" s="52"/>
      <c r="H113" s="52"/>
    </row>
    <row r="114" ht="12.75" customHeight="1">
      <c r="F114" s="51"/>
      <c r="G114" s="52"/>
      <c r="H114" s="52"/>
    </row>
    <row r="115" ht="12.75" customHeight="1">
      <c r="F115" s="51"/>
      <c r="G115" s="52"/>
      <c r="H115" s="52"/>
    </row>
    <row r="116" ht="12.75" customHeight="1">
      <c r="F116" s="51"/>
      <c r="G116" s="52"/>
      <c r="H116" s="52"/>
    </row>
    <row r="117" ht="12.75" customHeight="1">
      <c r="F117" s="51"/>
      <c r="G117" s="52"/>
      <c r="H117" s="52"/>
    </row>
    <row r="118" ht="12.75" customHeight="1">
      <c r="F118" s="51"/>
      <c r="G118" s="52"/>
      <c r="H118" s="52"/>
    </row>
    <row r="119" ht="12.75" customHeight="1">
      <c r="F119" s="51"/>
      <c r="G119" s="52"/>
      <c r="H119" s="52"/>
    </row>
    <row r="120" ht="12.75" customHeight="1">
      <c r="F120" s="51"/>
      <c r="G120" s="52"/>
      <c r="H120" s="52"/>
    </row>
    <row r="121" ht="12.75" customHeight="1">
      <c r="F121" s="51"/>
      <c r="G121" s="52"/>
      <c r="H121" s="52"/>
    </row>
    <row r="122" ht="12.75" customHeight="1">
      <c r="F122" s="51"/>
      <c r="G122" s="52"/>
      <c r="H122" s="52"/>
    </row>
    <row r="123" ht="12.75" customHeight="1">
      <c r="F123" s="51"/>
      <c r="G123" s="52"/>
      <c r="H123" s="52"/>
    </row>
    <row r="124" ht="12.75" customHeight="1">
      <c r="F124" s="51"/>
      <c r="G124" s="52"/>
      <c r="H124" s="52"/>
    </row>
    <row r="125" ht="12.75" customHeight="1">
      <c r="F125" s="51"/>
      <c r="G125" s="52"/>
      <c r="H125" s="52"/>
    </row>
    <row r="126" ht="12.75" customHeight="1">
      <c r="F126" s="51"/>
      <c r="G126" s="52"/>
      <c r="H126" s="52"/>
    </row>
    <row r="127" ht="12.75" customHeight="1">
      <c r="F127" s="51"/>
      <c r="G127" s="52"/>
      <c r="H127" s="52"/>
    </row>
    <row r="128" ht="12.75" customHeight="1">
      <c r="F128" s="51"/>
      <c r="G128" s="52"/>
      <c r="H128" s="52"/>
    </row>
    <row r="129" ht="12.75" customHeight="1">
      <c r="F129" s="51"/>
      <c r="G129" s="52"/>
      <c r="H129" s="52"/>
    </row>
    <row r="130" ht="12.75" customHeight="1">
      <c r="F130" s="51"/>
      <c r="G130" s="52"/>
      <c r="H130" s="52"/>
    </row>
    <row r="131" ht="12.75" customHeight="1">
      <c r="F131" s="51"/>
      <c r="G131" s="52"/>
      <c r="H131" s="52"/>
    </row>
    <row r="132" ht="12.75" customHeight="1">
      <c r="F132" s="51"/>
      <c r="G132" s="52"/>
      <c r="H132" s="52"/>
    </row>
    <row r="133" ht="12.75" customHeight="1">
      <c r="F133" s="51"/>
      <c r="G133" s="52"/>
      <c r="H133" s="52"/>
    </row>
    <row r="134" ht="12.75" customHeight="1">
      <c r="F134" s="51"/>
      <c r="G134" s="52"/>
      <c r="H134" s="52"/>
    </row>
    <row r="135" ht="12.75" customHeight="1">
      <c r="F135" s="51"/>
      <c r="G135" s="52"/>
      <c r="H135" s="52"/>
    </row>
    <row r="136" ht="12.75" customHeight="1">
      <c r="F136" s="51"/>
      <c r="G136" s="52"/>
      <c r="H136" s="52"/>
    </row>
    <row r="137" ht="12.75" customHeight="1">
      <c r="F137" s="51"/>
      <c r="G137" s="52"/>
      <c r="H137" s="52"/>
    </row>
    <row r="138" ht="12.75" customHeight="1">
      <c r="F138" s="51"/>
      <c r="G138" s="52"/>
      <c r="H138" s="52"/>
    </row>
    <row r="139" ht="12.75" customHeight="1">
      <c r="F139" s="51"/>
      <c r="G139" s="52"/>
      <c r="H139" s="52"/>
    </row>
    <row r="140" ht="12.75" customHeight="1">
      <c r="F140" s="51"/>
      <c r="G140" s="52"/>
      <c r="H140" s="52"/>
    </row>
    <row r="141" ht="12.75" customHeight="1">
      <c r="F141" s="51"/>
      <c r="G141" s="52"/>
      <c r="H141" s="52"/>
    </row>
    <row r="142" ht="12.75" customHeight="1">
      <c r="F142" s="51"/>
      <c r="G142" s="52"/>
      <c r="H142" s="52"/>
    </row>
    <row r="143" ht="12.75" customHeight="1">
      <c r="F143" s="51"/>
      <c r="G143" s="52"/>
      <c r="H143" s="52"/>
    </row>
    <row r="144" ht="12.75" customHeight="1">
      <c r="F144" s="51"/>
      <c r="G144" s="52"/>
      <c r="H144" s="52"/>
    </row>
    <row r="145" ht="12.75" customHeight="1">
      <c r="F145" s="51"/>
      <c r="G145" s="52"/>
      <c r="H145" s="52"/>
    </row>
    <row r="146" ht="12.75" customHeight="1">
      <c r="F146" s="51"/>
      <c r="G146" s="52"/>
      <c r="H146" s="52"/>
    </row>
    <row r="147" ht="12.75" customHeight="1">
      <c r="F147" s="51"/>
      <c r="G147" s="52"/>
      <c r="H147" s="52"/>
    </row>
    <row r="148" ht="12.75" customHeight="1">
      <c r="F148" s="51"/>
      <c r="G148" s="52"/>
      <c r="H148" s="52"/>
    </row>
    <row r="149" ht="12.75" customHeight="1">
      <c r="F149" s="51"/>
      <c r="G149" s="52"/>
      <c r="H149" s="52"/>
    </row>
    <row r="150" ht="12.75" customHeight="1">
      <c r="F150" s="51"/>
      <c r="G150" s="52"/>
      <c r="H150" s="52"/>
    </row>
    <row r="151" ht="12.75" customHeight="1">
      <c r="F151" s="51"/>
      <c r="G151" s="52"/>
      <c r="H151" s="52"/>
    </row>
    <row r="152" ht="12.75" customHeight="1">
      <c r="F152" s="51"/>
      <c r="G152" s="52"/>
      <c r="H152" s="52"/>
    </row>
    <row r="153" ht="12.75" customHeight="1">
      <c r="F153" s="51"/>
      <c r="G153" s="52"/>
      <c r="H153" s="52"/>
    </row>
    <row r="154" ht="12.75" customHeight="1">
      <c r="F154" s="51"/>
      <c r="G154" s="52"/>
      <c r="H154" s="52"/>
    </row>
    <row r="155" ht="12.75" customHeight="1">
      <c r="F155" s="51"/>
      <c r="G155" s="52"/>
      <c r="H155" s="52"/>
    </row>
    <row r="156" ht="12.75" customHeight="1">
      <c r="F156" s="51"/>
      <c r="G156" s="52"/>
      <c r="H156" s="52"/>
    </row>
    <row r="157" ht="12.75" customHeight="1">
      <c r="F157" s="51"/>
      <c r="G157" s="52"/>
      <c r="H157" s="52"/>
    </row>
    <row r="158" ht="12.75" customHeight="1">
      <c r="F158" s="51"/>
      <c r="G158" s="52"/>
      <c r="H158" s="52"/>
    </row>
    <row r="159" ht="12.75" customHeight="1">
      <c r="F159" s="51"/>
      <c r="G159" s="52"/>
      <c r="H159" s="52"/>
    </row>
    <row r="160" ht="12.75" customHeight="1">
      <c r="F160" s="51"/>
      <c r="G160" s="52"/>
      <c r="H160" s="52"/>
    </row>
    <row r="161" ht="12.75" customHeight="1">
      <c r="F161" s="51"/>
      <c r="G161" s="52"/>
      <c r="H161" s="52"/>
    </row>
    <row r="162" ht="12.75" customHeight="1">
      <c r="F162" s="51"/>
      <c r="G162" s="52"/>
      <c r="H162" s="52"/>
    </row>
    <row r="163" ht="12.75" customHeight="1">
      <c r="F163" s="51"/>
      <c r="G163" s="52"/>
      <c r="H163" s="52"/>
    </row>
    <row r="164" ht="12.75" customHeight="1">
      <c r="F164" s="51"/>
      <c r="G164" s="52"/>
      <c r="H164" s="52"/>
    </row>
    <row r="165" ht="12.75" customHeight="1">
      <c r="F165" s="51"/>
      <c r="G165" s="52"/>
      <c r="H165" s="52"/>
    </row>
    <row r="166" ht="12.75" customHeight="1">
      <c r="F166" s="51"/>
      <c r="G166" s="52"/>
      <c r="H166" s="52"/>
    </row>
    <row r="167" ht="12.75" customHeight="1">
      <c r="F167" s="51"/>
      <c r="G167" s="52"/>
      <c r="H167" s="52"/>
    </row>
    <row r="168" ht="12.75" customHeight="1">
      <c r="F168" s="51"/>
      <c r="G168" s="52"/>
      <c r="H168" s="52"/>
    </row>
    <row r="169" ht="12.75" customHeight="1">
      <c r="F169" s="51"/>
      <c r="G169" s="52"/>
      <c r="H169" s="52"/>
    </row>
    <row r="170" ht="12.75" customHeight="1">
      <c r="F170" s="51"/>
      <c r="G170" s="52"/>
      <c r="H170" s="52"/>
    </row>
    <row r="171" ht="12.75" customHeight="1">
      <c r="F171" s="51"/>
      <c r="G171" s="52"/>
      <c r="H171" s="52"/>
    </row>
    <row r="172" ht="12.75" customHeight="1">
      <c r="F172" s="51"/>
      <c r="G172" s="52"/>
      <c r="H172" s="52"/>
    </row>
    <row r="173" ht="12.75" customHeight="1">
      <c r="F173" s="51"/>
      <c r="G173" s="52"/>
      <c r="H173" s="52"/>
    </row>
    <row r="174" ht="12.75" customHeight="1">
      <c r="F174" s="51"/>
      <c r="G174" s="52"/>
      <c r="H174" s="52"/>
    </row>
    <row r="175" ht="12.75" customHeight="1">
      <c r="F175" s="51"/>
      <c r="G175" s="52"/>
      <c r="H175" s="52"/>
    </row>
    <row r="176" ht="12.75" customHeight="1">
      <c r="F176" s="51"/>
      <c r="G176" s="52"/>
      <c r="H176" s="52"/>
    </row>
    <row r="177" ht="12.75" customHeight="1">
      <c r="F177" s="51"/>
      <c r="G177" s="52"/>
      <c r="H177" s="52"/>
    </row>
    <row r="178" ht="12.75" customHeight="1">
      <c r="F178" s="51"/>
      <c r="G178" s="52"/>
      <c r="H178" s="52"/>
    </row>
    <row r="179" ht="12.75" customHeight="1">
      <c r="F179" s="51"/>
      <c r="G179" s="52"/>
      <c r="H179" s="52"/>
    </row>
    <row r="180" ht="12.75" customHeight="1">
      <c r="F180" s="51"/>
      <c r="G180" s="52"/>
      <c r="H180" s="52"/>
    </row>
    <row r="181" ht="12.75" customHeight="1">
      <c r="F181" s="51"/>
      <c r="G181" s="52"/>
      <c r="H181" s="52"/>
    </row>
    <row r="182" ht="12.75" customHeight="1">
      <c r="F182" s="51"/>
      <c r="G182" s="52"/>
      <c r="H182" s="52"/>
    </row>
    <row r="183" ht="12.75" customHeight="1">
      <c r="F183" s="51"/>
      <c r="G183" s="52"/>
      <c r="H183" s="52"/>
    </row>
    <row r="184" ht="12.75" customHeight="1">
      <c r="F184" s="51"/>
      <c r="G184" s="52"/>
      <c r="H184" s="52"/>
    </row>
    <row r="185" ht="12.75" customHeight="1">
      <c r="F185" s="51"/>
      <c r="G185" s="52"/>
      <c r="H185" s="52"/>
    </row>
    <row r="186" ht="12.75" customHeight="1">
      <c r="F186" s="51"/>
      <c r="G186" s="52"/>
      <c r="H186" s="52"/>
    </row>
    <row r="187" ht="12.75" customHeight="1">
      <c r="F187" s="51"/>
      <c r="G187" s="52"/>
      <c r="H187" s="52"/>
    </row>
    <row r="188" ht="12.75" customHeight="1">
      <c r="F188" s="51"/>
      <c r="G188" s="52"/>
      <c r="H188" s="52"/>
    </row>
    <row r="189" ht="12.75" customHeight="1">
      <c r="F189" s="51"/>
      <c r="G189" s="52"/>
      <c r="H189" s="52"/>
    </row>
    <row r="190" ht="12.75" customHeight="1">
      <c r="F190" s="51"/>
      <c r="G190" s="52"/>
      <c r="H190" s="52"/>
    </row>
    <row r="191" ht="12.75" customHeight="1">
      <c r="F191" s="51"/>
      <c r="G191" s="52"/>
      <c r="H191" s="52"/>
    </row>
    <row r="192" ht="12.75" customHeight="1">
      <c r="F192" s="51"/>
      <c r="G192" s="52"/>
      <c r="H192" s="52"/>
    </row>
    <row r="193" ht="12.75" customHeight="1">
      <c r="F193" s="51"/>
      <c r="G193" s="52"/>
      <c r="H193" s="52"/>
    </row>
    <row r="194" ht="12.75" customHeight="1">
      <c r="F194" s="51"/>
      <c r="G194" s="52"/>
      <c r="H194" s="52"/>
    </row>
    <row r="195" ht="12.75" customHeight="1">
      <c r="F195" s="51"/>
      <c r="G195" s="52"/>
      <c r="H195" s="52"/>
    </row>
    <row r="196" ht="12.75" customHeight="1">
      <c r="F196" s="51"/>
      <c r="G196" s="52"/>
      <c r="H196" s="52"/>
    </row>
    <row r="197" ht="12.75" customHeight="1">
      <c r="F197" s="51"/>
      <c r="G197" s="52"/>
      <c r="H197" s="52"/>
    </row>
    <row r="198" ht="12.75" customHeight="1">
      <c r="F198" s="51"/>
      <c r="G198" s="52"/>
      <c r="H198" s="52"/>
    </row>
    <row r="199" ht="12.75" customHeight="1">
      <c r="F199" s="51"/>
      <c r="G199" s="52"/>
      <c r="H199" s="52"/>
    </row>
    <row r="200" ht="12.75" customHeight="1">
      <c r="F200" s="51"/>
      <c r="G200" s="52"/>
      <c r="H200" s="52"/>
    </row>
    <row r="201" ht="12.75" customHeight="1">
      <c r="F201" s="51"/>
      <c r="G201" s="52"/>
      <c r="H201" s="52"/>
    </row>
    <row r="202" ht="12.75" customHeight="1">
      <c r="F202" s="51"/>
      <c r="G202" s="52"/>
      <c r="H202" s="52"/>
    </row>
    <row r="203" ht="12.75" customHeight="1">
      <c r="F203" s="51"/>
      <c r="G203" s="52"/>
      <c r="H203" s="52"/>
    </row>
    <row r="204" ht="12.75" customHeight="1">
      <c r="F204" s="51"/>
      <c r="G204" s="52"/>
      <c r="H204" s="52"/>
    </row>
    <row r="205" ht="12.75" customHeight="1">
      <c r="F205" s="51"/>
      <c r="G205" s="52"/>
      <c r="H205" s="52"/>
    </row>
    <row r="206" ht="12.75" customHeight="1">
      <c r="F206" s="51"/>
      <c r="G206" s="52"/>
      <c r="H206" s="52"/>
    </row>
    <row r="207" ht="12.75" customHeight="1">
      <c r="F207" s="51"/>
      <c r="G207" s="52"/>
      <c r="H207" s="52"/>
    </row>
    <row r="208" ht="12.75" customHeight="1">
      <c r="F208" s="51"/>
      <c r="G208" s="52"/>
      <c r="H208" s="52"/>
    </row>
    <row r="209" ht="12.75" customHeight="1">
      <c r="F209" s="51"/>
      <c r="G209" s="52"/>
      <c r="H209" s="52"/>
    </row>
    <row r="210" ht="12.75" customHeight="1">
      <c r="F210" s="51"/>
      <c r="G210" s="52"/>
      <c r="H210" s="52"/>
    </row>
    <row r="211" ht="12.75" customHeight="1">
      <c r="F211" s="51"/>
      <c r="G211" s="52"/>
      <c r="H211" s="52"/>
    </row>
    <row r="212" ht="12.75" customHeight="1">
      <c r="F212" s="51"/>
      <c r="G212" s="52"/>
      <c r="H212" s="52"/>
    </row>
    <row r="213" ht="12.75" customHeight="1">
      <c r="F213" s="51"/>
      <c r="G213" s="52"/>
      <c r="H213" s="52"/>
    </row>
    <row r="214" ht="12.75" customHeight="1">
      <c r="F214" s="51"/>
      <c r="G214" s="52"/>
      <c r="H214" s="52"/>
    </row>
    <row r="215" ht="12.75" customHeight="1">
      <c r="F215" s="51"/>
      <c r="G215" s="52"/>
      <c r="H215" s="52"/>
    </row>
    <row r="216" ht="12.75" customHeight="1">
      <c r="F216" s="51"/>
      <c r="G216" s="52"/>
      <c r="H216" s="52"/>
    </row>
    <row r="217" ht="12.75" customHeight="1">
      <c r="F217" s="51"/>
      <c r="G217" s="52"/>
      <c r="H217" s="52"/>
    </row>
    <row r="218" ht="12.75" customHeight="1">
      <c r="F218" s="51"/>
      <c r="G218" s="52"/>
      <c r="H218" s="52"/>
    </row>
    <row r="219" ht="12.75" customHeight="1">
      <c r="F219" s="51"/>
      <c r="G219" s="52"/>
      <c r="H219" s="52"/>
    </row>
    <row r="220" ht="12.75" customHeight="1">
      <c r="F220" s="51"/>
      <c r="G220" s="52"/>
      <c r="H220" s="52"/>
    </row>
    <row r="221" ht="12.75" customHeight="1">
      <c r="F221" s="51"/>
      <c r="G221" s="52"/>
      <c r="H221" s="52"/>
    </row>
    <row r="222" ht="12.75" customHeight="1">
      <c r="F222" s="51"/>
      <c r="G222" s="52"/>
      <c r="H222" s="52"/>
    </row>
    <row r="223" ht="12.75" customHeight="1">
      <c r="F223" s="51"/>
      <c r="G223" s="52"/>
      <c r="H223" s="52"/>
    </row>
    <row r="224" ht="12.75" customHeight="1">
      <c r="F224" s="51"/>
      <c r="G224" s="52"/>
      <c r="H224" s="52"/>
    </row>
    <row r="225" ht="12.75" customHeight="1">
      <c r="F225" s="51"/>
      <c r="G225" s="52"/>
      <c r="H225" s="52"/>
    </row>
    <row r="226" ht="12.75" customHeight="1">
      <c r="F226" s="51"/>
      <c r="G226" s="52"/>
      <c r="H226" s="52"/>
    </row>
    <row r="227" ht="12.75" customHeight="1">
      <c r="F227" s="51"/>
      <c r="G227" s="52"/>
      <c r="H227" s="52"/>
    </row>
    <row r="228" ht="12.75" customHeight="1">
      <c r="F228" s="51"/>
      <c r="G228" s="52"/>
      <c r="H228" s="52"/>
    </row>
    <row r="229" ht="12.75" customHeight="1">
      <c r="F229" s="51"/>
      <c r="G229" s="52"/>
      <c r="H229" s="52"/>
    </row>
    <row r="230" ht="12.75" customHeight="1">
      <c r="F230" s="51"/>
      <c r="G230" s="52"/>
      <c r="H230" s="52"/>
    </row>
    <row r="231" ht="12.75" customHeight="1">
      <c r="F231" s="51"/>
      <c r="G231" s="52"/>
      <c r="H231" s="52"/>
    </row>
    <row r="232" ht="12.75" customHeight="1">
      <c r="F232" s="51"/>
      <c r="G232" s="52"/>
      <c r="H232" s="52"/>
    </row>
    <row r="233" ht="12.75" customHeight="1">
      <c r="F233" s="51"/>
      <c r="G233" s="52"/>
      <c r="H233" s="52"/>
    </row>
    <row r="234" ht="12.75" customHeight="1">
      <c r="F234" s="51"/>
      <c r="G234" s="52"/>
      <c r="H234" s="52"/>
    </row>
    <row r="235" ht="12.75" customHeight="1">
      <c r="F235" s="51"/>
      <c r="G235" s="52"/>
      <c r="H235" s="52"/>
    </row>
    <row r="236" ht="12.75" customHeight="1">
      <c r="F236" s="51"/>
      <c r="G236" s="52"/>
      <c r="H236" s="52"/>
    </row>
    <row r="237" ht="12.75" customHeight="1">
      <c r="F237" s="51"/>
      <c r="G237" s="52"/>
      <c r="H237" s="52"/>
    </row>
    <row r="238" ht="12.75" customHeight="1">
      <c r="F238" s="51"/>
      <c r="G238" s="52"/>
      <c r="H238" s="52"/>
    </row>
    <row r="239" ht="12.75" customHeight="1">
      <c r="F239" s="51"/>
      <c r="G239" s="52"/>
      <c r="H239" s="52"/>
    </row>
    <row r="240" ht="12.75" customHeight="1">
      <c r="F240" s="51"/>
      <c r="G240" s="52"/>
      <c r="H240" s="52"/>
    </row>
    <row r="241" ht="12.75" customHeight="1">
      <c r="F241" s="51"/>
      <c r="G241" s="52"/>
      <c r="H241" s="52"/>
    </row>
    <row r="242" ht="12.75" customHeight="1">
      <c r="F242" s="51"/>
      <c r="G242" s="52"/>
      <c r="H242" s="52"/>
    </row>
    <row r="243" ht="12.75" customHeight="1">
      <c r="F243" s="51"/>
      <c r="G243" s="52"/>
      <c r="H243" s="52"/>
    </row>
    <row r="244" ht="12.75" customHeight="1">
      <c r="F244" s="51"/>
      <c r="G244" s="52"/>
      <c r="H244" s="52"/>
    </row>
    <row r="245" ht="12.75" customHeight="1">
      <c r="F245" s="51"/>
      <c r="G245" s="52"/>
      <c r="H245" s="52"/>
    </row>
    <row r="246" ht="12.75" customHeight="1">
      <c r="F246" s="51"/>
      <c r="G246" s="52"/>
      <c r="H246" s="52"/>
    </row>
    <row r="247" ht="12.75" customHeight="1">
      <c r="F247" s="51"/>
      <c r="G247" s="52"/>
      <c r="H247" s="52"/>
    </row>
    <row r="248" ht="12.75" customHeight="1">
      <c r="F248" s="51"/>
      <c r="G248" s="52"/>
      <c r="H248" s="52"/>
    </row>
    <row r="249" ht="12.75" customHeight="1">
      <c r="F249" s="51"/>
      <c r="G249" s="52"/>
      <c r="H249" s="52"/>
    </row>
    <row r="250" ht="12.75" customHeight="1">
      <c r="F250" s="51"/>
      <c r="G250" s="52"/>
      <c r="H250" s="52"/>
    </row>
    <row r="251" ht="12.75" customHeight="1">
      <c r="F251" s="51"/>
      <c r="G251" s="52"/>
      <c r="H251" s="52"/>
    </row>
    <row r="252" ht="12.75" customHeight="1">
      <c r="F252" s="51"/>
      <c r="G252" s="52"/>
      <c r="H252" s="52"/>
    </row>
    <row r="253" ht="12.75" customHeight="1">
      <c r="F253" s="51"/>
      <c r="G253" s="52"/>
      <c r="H253" s="52"/>
    </row>
    <row r="254" ht="12.75" customHeight="1">
      <c r="F254" s="51"/>
      <c r="G254" s="52"/>
      <c r="H254" s="52"/>
    </row>
    <row r="255" ht="12.75" customHeight="1">
      <c r="F255" s="51"/>
      <c r="G255" s="52"/>
      <c r="H255" s="52"/>
    </row>
    <row r="256" ht="12.75" customHeight="1">
      <c r="F256" s="51"/>
      <c r="G256" s="52"/>
      <c r="H256" s="52"/>
    </row>
    <row r="257" ht="12.75" customHeight="1">
      <c r="F257" s="51"/>
      <c r="G257" s="52"/>
      <c r="H257" s="52"/>
    </row>
    <row r="258" ht="12.75" customHeight="1">
      <c r="F258" s="51"/>
      <c r="G258" s="52"/>
      <c r="H258" s="52"/>
    </row>
    <row r="259" ht="12.75" customHeight="1">
      <c r="F259" s="51"/>
      <c r="G259" s="52"/>
      <c r="H259" s="52"/>
    </row>
    <row r="260" ht="12.75" customHeight="1">
      <c r="F260" s="51"/>
      <c r="G260" s="52"/>
      <c r="H260" s="52"/>
    </row>
    <row r="261" ht="12.75" customHeight="1">
      <c r="F261" s="51"/>
      <c r="G261" s="52"/>
      <c r="H261" s="52"/>
    </row>
    <row r="262" ht="12.75" customHeight="1">
      <c r="F262" s="51"/>
      <c r="G262" s="52"/>
      <c r="H262" s="52"/>
    </row>
    <row r="263" ht="12.75" customHeight="1">
      <c r="F263" s="51"/>
      <c r="G263" s="52"/>
      <c r="H263" s="52"/>
    </row>
    <row r="264" ht="12.75" customHeight="1">
      <c r="F264" s="51"/>
      <c r="G264" s="52"/>
      <c r="H264" s="52"/>
    </row>
    <row r="265" ht="12.75" customHeight="1">
      <c r="F265" s="51"/>
      <c r="G265" s="52"/>
      <c r="H265" s="52"/>
    </row>
    <row r="266" ht="12.75" customHeight="1">
      <c r="F266" s="51"/>
      <c r="G266" s="52"/>
      <c r="H266" s="52"/>
    </row>
    <row r="267" ht="12.75" customHeight="1">
      <c r="F267" s="51"/>
      <c r="G267" s="52"/>
      <c r="H267" s="52"/>
    </row>
    <row r="268" ht="12.75" customHeight="1">
      <c r="F268" s="51"/>
      <c r="G268" s="52"/>
      <c r="H268" s="52"/>
    </row>
    <row r="269" ht="12.75" customHeight="1">
      <c r="F269" s="51"/>
      <c r="G269" s="52"/>
      <c r="H269" s="52"/>
    </row>
    <row r="270" ht="12.75" customHeight="1">
      <c r="F270" s="51"/>
      <c r="G270" s="52"/>
      <c r="H270" s="52"/>
    </row>
    <row r="271" ht="12.75" customHeight="1">
      <c r="F271" s="51"/>
      <c r="G271" s="52"/>
      <c r="H271" s="52"/>
    </row>
    <row r="272" ht="12.75" customHeight="1">
      <c r="F272" s="51"/>
      <c r="G272" s="52"/>
      <c r="H272" s="52"/>
    </row>
    <row r="273" ht="12.75" customHeight="1">
      <c r="F273" s="51"/>
      <c r="G273" s="52"/>
      <c r="H273" s="52"/>
    </row>
    <row r="274" ht="12.75" customHeight="1">
      <c r="F274" s="51"/>
      <c r="G274" s="52"/>
      <c r="H274" s="52"/>
    </row>
    <row r="275" ht="12.75" customHeight="1">
      <c r="F275" s="51"/>
      <c r="G275" s="52"/>
      <c r="H275" s="52"/>
    </row>
    <row r="276" ht="12.75" customHeight="1">
      <c r="F276" s="51"/>
      <c r="G276" s="52"/>
      <c r="H276" s="52"/>
    </row>
    <row r="277" ht="12.75" customHeight="1">
      <c r="F277" s="51"/>
      <c r="G277" s="52"/>
      <c r="H277" s="52"/>
    </row>
    <row r="278" ht="12.75" customHeight="1">
      <c r="F278" s="51"/>
      <c r="G278" s="52"/>
      <c r="H278" s="52"/>
    </row>
    <row r="279" ht="12.75" customHeight="1">
      <c r="F279" s="51"/>
      <c r="G279" s="52"/>
      <c r="H279" s="52"/>
    </row>
    <row r="280" ht="12.75" customHeight="1">
      <c r="F280" s="51"/>
      <c r="G280" s="52"/>
      <c r="H280" s="52"/>
    </row>
    <row r="281" ht="12.75" customHeight="1">
      <c r="F281" s="51"/>
      <c r="G281" s="52"/>
      <c r="H281" s="52"/>
    </row>
    <row r="282" ht="12.75" customHeight="1">
      <c r="F282" s="51"/>
      <c r="G282" s="52"/>
      <c r="H282" s="52"/>
    </row>
    <row r="283" ht="12.75" customHeight="1">
      <c r="F283" s="51"/>
      <c r="G283" s="52"/>
      <c r="H283" s="52"/>
    </row>
    <row r="284" ht="12.75" customHeight="1">
      <c r="F284" s="51"/>
      <c r="G284" s="52"/>
      <c r="H284" s="52"/>
    </row>
    <row r="285" ht="12.75" customHeight="1">
      <c r="F285" s="51"/>
      <c r="G285" s="52"/>
      <c r="H285" s="52"/>
    </row>
    <row r="286" ht="12.75" customHeight="1">
      <c r="F286" s="51"/>
      <c r="G286" s="52"/>
      <c r="H286" s="52"/>
    </row>
    <row r="287" ht="12.75" customHeight="1">
      <c r="F287" s="51"/>
      <c r="G287" s="52"/>
      <c r="H287" s="52"/>
    </row>
    <row r="288" ht="12.75" customHeight="1">
      <c r="F288" s="51"/>
      <c r="G288" s="52"/>
      <c r="H288" s="52"/>
    </row>
    <row r="289" ht="12.75" customHeight="1">
      <c r="F289" s="51"/>
      <c r="G289" s="52"/>
      <c r="H289" s="52"/>
    </row>
    <row r="290" ht="12.75" customHeight="1">
      <c r="F290" s="51"/>
      <c r="G290" s="52"/>
      <c r="H290" s="52"/>
    </row>
    <row r="291" ht="12.75" customHeight="1">
      <c r="F291" s="51"/>
      <c r="G291" s="52"/>
      <c r="H291" s="52"/>
    </row>
    <row r="292" ht="12.75" customHeight="1">
      <c r="F292" s="51"/>
      <c r="G292" s="52"/>
      <c r="H292" s="52"/>
    </row>
    <row r="293" ht="12.75" customHeight="1">
      <c r="F293" s="51"/>
      <c r="G293" s="52"/>
      <c r="H293" s="52"/>
    </row>
    <row r="294" ht="12.75" customHeight="1">
      <c r="F294" s="51"/>
      <c r="G294" s="52"/>
      <c r="H294" s="52"/>
    </row>
    <row r="295" ht="12.75" customHeight="1">
      <c r="F295" s="51"/>
      <c r="G295" s="52"/>
      <c r="H295" s="52"/>
    </row>
    <row r="296" ht="12.75" customHeight="1">
      <c r="F296" s="51"/>
      <c r="G296" s="52"/>
      <c r="H296" s="52"/>
    </row>
    <row r="297" ht="12.75" customHeight="1">
      <c r="F297" s="51"/>
      <c r="G297" s="52"/>
      <c r="H297" s="52"/>
    </row>
    <row r="298" ht="12.75" customHeight="1">
      <c r="F298" s="51"/>
      <c r="G298" s="52"/>
      <c r="H298" s="52"/>
    </row>
    <row r="299" ht="12.75" customHeight="1">
      <c r="F299" s="51"/>
      <c r="G299" s="52"/>
      <c r="H299" s="52"/>
    </row>
    <row r="300" ht="12.75" customHeight="1">
      <c r="F300" s="51"/>
      <c r="G300" s="52"/>
      <c r="H300" s="52"/>
    </row>
    <row r="301" ht="12.75" customHeight="1">
      <c r="F301" s="51"/>
      <c r="G301" s="52"/>
      <c r="H301" s="52"/>
    </row>
    <row r="302" ht="12.75" customHeight="1">
      <c r="F302" s="51"/>
      <c r="G302" s="52"/>
      <c r="H302" s="52"/>
    </row>
    <row r="303" ht="12.75" customHeight="1">
      <c r="F303" s="51"/>
      <c r="G303" s="52"/>
      <c r="H303" s="52"/>
    </row>
    <row r="304" ht="12.75" customHeight="1">
      <c r="F304" s="51"/>
      <c r="G304" s="52"/>
      <c r="H304" s="52"/>
    </row>
    <row r="305" ht="12.75" customHeight="1">
      <c r="F305" s="51"/>
      <c r="G305" s="52"/>
      <c r="H305" s="52"/>
    </row>
    <row r="306" ht="12.75" customHeight="1">
      <c r="F306" s="51"/>
      <c r="G306" s="52"/>
      <c r="H306" s="52"/>
    </row>
    <row r="307" ht="12.75" customHeight="1">
      <c r="F307" s="51"/>
      <c r="G307" s="52"/>
      <c r="H307" s="52"/>
    </row>
    <row r="308" ht="12.75" customHeight="1">
      <c r="F308" s="51"/>
      <c r="G308" s="52"/>
      <c r="H308" s="52"/>
    </row>
    <row r="309" ht="12.75" customHeight="1">
      <c r="F309" s="51"/>
      <c r="G309" s="52"/>
      <c r="H309" s="52"/>
    </row>
    <row r="310" ht="12.75" customHeight="1">
      <c r="F310" s="51"/>
      <c r="G310" s="52"/>
      <c r="H310" s="52"/>
    </row>
    <row r="311" ht="12.75" customHeight="1">
      <c r="F311" s="51"/>
      <c r="G311" s="52"/>
      <c r="H311" s="52"/>
    </row>
    <row r="312" ht="12.75" customHeight="1">
      <c r="F312" s="51"/>
      <c r="G312" s="52"/>
      <c r="H312" s="52"/>
    </row>
    <row r="313" ht="12.75" customHeight="1">
      <c r="F313" s="51"/>
      <c r="G313" s="52"/>
      <c r="H313" s="52"/>
    </row>
    <row r="314" ht="12.75" customHeight="1">
      <c r="F314" s="51"/>
      <c r="G314" s="52"/>
      <c r="H314" s="52"/>
    </row>
    <row r="315" ht="12.75" customHeight="1">
      <c r="F315" s="51"/>
      <c r="G315" s="52"/>
      <c r="H315" s="52"/>
    </row>
    <row r="316" ht="12.75" customHeight="1">
      <c r="F316" s="51"/>
      <c r="G316" s="52"/>
      <c r="H316" s="52"/>
    </row>
    <row r="317" ht="12.75" customHeight="1">
      <c r="F317" s="51"/>
      <c r="G317" s="52"/>
      <c r="H317" s="52"/>
    </row>
    <row r="318" ht="12.75" customHeight="1">
      <c r="F318" s="51"/>
      <c r="G318" s="52"/>
      <c r="H318" s="52"/>
    </row>
    <row r="319" ht="12.75" customHeight="1">
      <c r="F319" s="51"/>
      <c r="G319" s="52"/>
      <c r="H319" s="52"/>
    </row>
    <row r="320" ht="12.75" customHeight="1">
      <c r="F320" s="51"/>
      <c r="G320" s="52"/>
      <c r="H320" s="52"/>
    </row>
    <row r="321" ht="12.75" customHeight="1">
      <c r="F321" s="51"/>
      <c r="G321" s="52"/>
      <c r="H321" s="52"/>
    </row>
    <row r="322" ht="12.75" customHeight="1">
      <c r="F322" s="51"/>
      <c r="G322" s="52"/>
      <c r="H322" s="52"/>
    </row>
    <row r="323" ht="12.75" customHeight="1">
      <c r="F323" s="51"/>
      <c r="G323" s="52"/>
      <c r="H323" s="52"/>
    </row>
    <row r="324" ht="12.75" customHeight="1">
      <c r="F324" s="51"/>
      <c r="G324" s="52"/>
      <c r="H324" s="52"/>
    </row>
    <row r="325" ht="12.75" customHeight="1">
      <c r="F325" s="51"/>
      <c r="G325" s="52"/>
      <c r="H325" s="52"/>
    </row>
    <row r="326" ht="12.75" customHeight="1">
      <c r="F326" s="51"/>
      <c r="G326" s="52"/>
      <c r="H326" s="52"/>
    </row>
    <row r="327" ht="12.75" customHeight="1">
      <c r="F327" s="51"/>
      <c r="G327" s="52"/>
      <c r="H327" s="52"/>
    </row>
    <row r="328" ht="12.75" customHeight="1">
      <c r="F328" s="51"/>
      <c r="G328" s="52"/>
      <c r="H328" s="52"/>
    </row>
    <row r="329" ht="12.75" customHeight="1">
      <c r="F329" s="51"/>
      <c r="G329" s="52"/>
      <c r="H329" s="52"/>
    </row>
    <row r="330" ht="12.75" customHeight="1">
      <c r="F330" s="51"/>
      <c r="G330" s="52"/>
      <c r="H330" s="52"/>
    </row>
    <row r="331" ht="12.75" customHeight="1">
      <c r="F331" s="51"/>
      <c r="G331" s="52"/>
      <c r="H331" s="52"/>
    </row>
    <row r="332" ht="12.75" customHeight="1">
      <c r="F332" s="51"/>
      <c r="G332" s="52"/>
      <c r="H332" s="52"/>
    </row>
    <row r="333" ht="12.75" customHeight="1">
      <c r="F333" s="51"/>
      <c r="G333" s="52"/>
      <c r="H333" s="52"/>
    </row>
    <row r="334" ht="12.75" customHeight="1">
      <c r="F334" s="51"/>
      <c r="G334" s="52"/>
      <c r="H334" s="52"/>
    </row>
    <row r="335" ht="12.75" customHeight="1">
      <c r="F335" s="51"/>
      <c r="G335" s="52"/>
      <c r="H335" s="52"/>
    </row>
    <row r="336" ht="12.75" customHeight="1">
      <c r="F336" s="51"/>
      <c r="G336" s="52"/>
      <c r="H336" s="52"/>
    </row>
    <row r="337" ht="12.75" customHeight="1">
      <c r="F337" s="51"/>
      <c r="G337" s="52"/>
      <c r="H337" s="52"/>
    </row>
    <row r="338" ht="12.75" customHeight="1">
      <c r="F338" s="51"/>
      <c r="G338" s="52"/>
      <c r="H338" s="52"/>
    </row>
    <row r="339" ht="12.75" customHeight="1">
      <c r="F339" s="51"/>
      <c r="G339" s="52"/>
      <c r="H339" s="52"/>
    </row>
    <row r="340" ht="12.75" customHeight="1">
      <c r="F340" s="51"/>
      <c r="G340" s="52"/>
      <c r="H340" s="52"/>
    </row>
    <row r="341" ht="12.75" customHeight="1">
      <c r="F341" s="51"/>
      <c r="G341" s="52"/>
      <c r="H341" s="52"/>
    </row>
    <row r="342" ht="12.75" customHeight="1">
      <c r="F342" s="51"/>
      <c r="G342" s="52"/>
      <c r="H342" s="52"/>
    </row>
    <row r="343" ht="12.75" customHeight="1">
      <c r="F343" s="51"/>
      <c r="G343" s="52"/>
      <c r="H343" s="52"/>
    </row>
    <row r="344" ht="12.75" customHeight="1">
      <c r="F344" s="51"/>
      <c r="G344" s="52"/>
      <c r="H344" s="52"/>
    </row>
    <row r="345" ht="12.75" customHeight="1">
      <c r="F345" s="51"/>
      <c r="G345" s="52"/>
      <c r="H345" s="52"/>
    </row>
    <row r="346" ht="12.75" customHeight="1">
      <c r="F346" s="51"/>
      <c r="G346" s="52"/>
      <c r="H346" s="52"/>
    </row>
    <row r="347" ht="12.75" customHeight="1">
      <c r="F347" s="51"/>
      <c r="G347" s="52"/>
      <c r="H347" s="52"/>
    </row>
    <row r="348" ht="12.75" customHeight="1">
      <c r="F348" s="51"/>
      <c r="G348" s="52"/>
      <c r="H348" s="52"/>
    </row>
    <row r="349" ht="12.75" customHeight="1">
      <c r="F349" s="51"/>
      <c r="G349" s="52"/>
      <c r="H349" s="52"/>
    </row>
    <row r="350" ht="12.75" customHeight="1">
      <c r="F350" s="51"/>
      <c r="G350" s="52"/>
      <c r="H350" s="52"/>
    </row>
    <row r="351" ht="12.75" customHeight="1">
      <c r="F351" s="51"/>
      <c r="G351" s="52"/>
      <c r="H351" s="52"/>
    </row>
    <row r="352" ht="12.75" customHeight="1">
      <c r="F352" s="51"/>
      <c r="G352" s="52"/>
      <c r="H352" s="52"/>
    </row>
    <row r="353" ht="12.75" customHeight="1">
      <c r="F353" s="51"/>
      <c r="G353" s="52"/>
      <c r="H353" s="52"/>
    </row>
    <row r="354" ht="12.75" customHeight="1">
      <c r="F354" s="51"/>
      <c r="G354" s="52"/>
      <c r="H354" s="52"/>
    </row>
    <row r="355" ht="12.75" customHeight="1">
      <c r="F355" s="51"/>
      <c r="G355" s="52"/>
      <c r="H355" s="52"/>
    </row>
    <row r="356" ht="12.75" customHeight="1">
      <c r="F356" s="51"/>
      <c r="G356" s="52"/>
      <c r="H356" s="52"/>
    </row>
    <row r="357" ht="12.75" customHeight="1">
      <c r="F357" s="51"/>
      <c r="G357" s="52"/>
      <c r="H357" s="52"/>
    </row>
    <row r="358" ht="12.75" customHeight="1">
      <c r="F358" s="51"/>
      <c r="G358" s="52"/>
      <c r="H358" s="52"/>
    </row>
    <row r="359" ht="12.75" customHeight="1">
      <c r="F359" s="51"/>
      <c r="G359" s="52"/>
      <c r="H359" s="52"/>
    </row>
    <row r="360" ht="12.75" customHeight="1">
      <c r="F360" s="51"/>
      <c r="G360" s="52"/>
      <c r="H360" s="52"/>
    </row>
    <row r="361" ht="12.75" customHeight="1">
      <c r="F361" s="51"/>
      <c r="G361" s="52"/>
      <c r="H361" s="52"/>
    </row>
    <row r="362" ht="12.75" customHeight="1">
      <c r="F362" s="51"/>
      <c r="G362" s="52"/>
      <c r="H362" s="52"/>
    </row>
    <row r="363" ht="12.75" customHeight="1">
      <c r="F363" s="51"/>
      <c r="G363" s="52"/>
      <c r="H363" s="52"/>
    </row>
    <row r="364" ht="12.75" customHeight="1">
      <c r="F364" s="51"/>
      <c r="G364" s="52"/>
      <c r="H364" s="52"/>
    </row>
    <row r="365" ht="12.75" customHeight="1">
      <c r="F365" s="51"/>
      <c r="G365" s="52"/>
      <c r="H365" s="52"/>
    </row>
    <row r="366" ht="12.75" customHeight="1">
      <c r="F366" s="51"/>
      <c r="G366" s="52"/>
      <c r="H366" s="52"/>
    </row>
    <row r="367" ht="12.75" customHeight="1">
      <c r="F367" s="51"/>
      <c r="G367" s="52"/>
      <c r="H367" s="52"/>
    </row>
    <row r="368" ht="12.75" customHeight="1">
      <c r="F368" s="51"/>
      <c r="G368" s="52"/>
      <c r="H368" s="52"/>
    </row>
    <row r="369" ht="12.75" customHeight="1">
      <c r="F369" s="51"/>
      <c r="G369" s="52"/>
      <c r="H369" s="52"/>
    </row>
    <row r="370" ht="12.75" customHeight="1">
      <c r="F370" s="51"/>
      <c r="G370" s="52"/>
      <c r="H370" s="52"/>
    </row>
    <row r="371" ht="12.75" customHeight="1">
      <c r="F371" s="51"/>
      <c r="G371" s="52"/>
      <c r="H371" s="52"/>
    </row>
    <row r="372" ht="12.75" customHeight="1">
      <c r="F372" s="51"/>
      <c r="G372" s="52"/>
      <c r="H372" s="52"/>
    </row>
    <row r="373" ht="12.75" customHeight="1">
      <c r="F373" s="51"/>
      <c r="G373" s="52"/>
      <c r="H373" s="52"/>
    </row>
    <row r="374" ht="12.75" customHeight="1">
      <c r="F374" s="51"/>
      <c r="G374" s="52"/>
      <c r="H374" s="52"/>
    </row>
    <row r="375" ht="12.75" customHeight="1">
      <c r="F375" s="51"/>
      <c r="G375" s="52"/>
      <c r="H375" s="52"/>
    </row>
    <row r="376" ht="12.75" customHeight="1">
      <c r="F376" s="51"/>
      <c r="G376" s="52"/>
      <c r="H376" s="52"/>
    </row>
    <row r="377" ht="12.75" customHeight="1">
      <c r="F377" s="51"/>
      <c r="G377" s="52"/>
      <c r="H377" s="52"/>
    </row>
    <row r="378" ht="12.75" customHeight="1">
      <c r="F378" s="51"/>
      <c r="G378" s="52"/>
      <c r="H378" s="52"/>
    </row>
    <row r="379" ht="12.75" customHeight="1">
      <c r="F379" s="51"/>
      <c r="G379" s="52"/>
      <c r="H379" s="52"/>
    </row>
    <row r="380" ht="12.75" customHeight="1">
      <c r="F380" s="51"/>
      <c r="G380" s="52"/>
      <c r="H380" s="52"/>
    </row>
    <row r="381" ht="12.75" customHeight="1">
      <c r="F381" s="51"/>
      <c r="G381" s="52"/>
      <c r="H381" s="52"/>
    </row>
    <row r="382" ht="12.75" customHeight="1">
      <c r="F382" s="51"/>
      <c r="G382" s="52"/>
      <c r="H382" s="52"/>
    </row>
    <row r="383" ht="12.75" customHeight="1">
      <c r="F383" s="51"/>
      <c r="G383" s="52"/>
      <c r="H383" s="52"/>
    </row>
    <row r="384" ht="12.75" customHeight="1">
      <c r="F384" s="51"/>
      <c r="G384" s="52"/>
      <c r="H384" s="52"/>
    </row>
    <row r="385" ht="12.75" customHeight="1">
      <c r="F385" s="51"/>
      <c r="G385" s="52"/>
      <c r="H385" s="52"/>
    </row>
    <row r="386" ht="12.75" customHeight="1">
      <c r="F386" s="51"/>
      <c r="G386" s="52"/>
      <c r="H386" s="52"/>
    </row>
    <row r="387" ht="12.75" customHeight="1">
      <c r="F387" s="51"/>
      <c r="G387" s="52"/>
      <c r="H387" s="52"/>
    </row>
    <row r="388" ht="12.75" customHeight="1">
      <c r="F388" s="51"/>
      <c r="G388" s="52"/>
      <c r="H388" s="52"/>
    </row>
    <row r="389" ht="12.75" customHeight="1">
      <c r="F389" s="51"/>
      <c r="G389" s="52"/>
      <c r="H389" s="52"/>
    </row>
    <row r="390" ht="12.75" customHeight="1">
      <c r="F390" s="51"/>
      <c r="G390" s="52"/>
      <c r="H390" s="52"/>
    </row>
    <row r="391" ht="12.75" customHeight="1">
      <c r="F391" s="51"/>
      <c r="G391" s="52"/>
      <c r="H391" s="52"/>
    </row>
    <row r="392" ht="12.75" customHeight="1">
      <c r="F392" s="51"/>
      <c r="G392" s="52"/>
      <c r="H392" s="52"/>
    </row>
    <row r="393" ht="12.75" customHeight="1">
      <c r="F393" s="51"/>
      <c r="G393" s="52"/>
      <c r="H393" s="52"/>
    </row>
    <row r="394" ht="12.75" customHeight="1">
      <c r="F394" s="51"/>
      <c r="G394" s="52"/>
      <c r="H394" s="52"/>
    </row>
    <row r="395" ht="12.75" customHeight="1">
      <c r="F395" s="51"/>
      <c r="G395" s="52"/>
      <c r="H395" s="52"/>
    </row>
    <row r="396" ht="12.75" customHeight="1">
      <c r="F396" s="51"/>
      <c r="G396" s="52"/>
      <c r="H396" s="52"/>
    </row>
    <row r="397" ht="12.75" customHeight="1">
      <c r="F397" s="51"/>
      <c r="G397" s="52"/>
      <c r="H397" s="52"/>
    </row>
    <row r="398" ht="12.75" customHeight="1">
      <c r="F398" s="51"/>
      <c r="G398" s="52"/>
      <c r="H398" s="52"/>
    </row>
    <row r="399" ht="12.75" customHeight="1">
      <c r="F399" s="51"/>
      <c r="G399" s="52"/>
      <c r="H399" s="52"/>
    </row>
    <row r="400" ht="12.75" customHeight="1">
      <c r="F400" s="51"/>
      <c r="G400" s="52"/>
      <c r="H400" s="52"/>
    </row>
    <row r="401" ht="12.75" customHeight="1">
      <c r="F401" s="51"/>
      <c r="G401" s="52"/>
      <c r="H401" s="52"/>
    </row>
    <row r="402" ht="12.75" customHeight="1">
      <c r="F402" s="51"/>
      <c r="G402" s="52"/>
      <c r="H402" s="52"/>
    </row>
    <row r="403" ht="12.75" customHeight="1">
      <c r="F403" s="51"/>
      <c r="G403" s="52"/>
      <c r="H403" s="52"/>
    </row>
    <row r="404" ht="12.75" customHeight="1">
      <c r="F404" s="51"/>
      <c r="G404" s="52"/>
      <c r="H404" s="52"/>
    </row>
    <row r="405" ht="12.75" customHeight="1">
      <c r="F405" s="51"/>
      <c r="G405" s="52"/>
      <c r="H405" s="52"/>
    </row>
    <row r="406" ht="12.75" customHeight="1">
      <c r="F406" s="51"/>
      <c r="G406" s="52"/>
      <c r="H406" s="52"/>
    </row>
    <row r="407" ht="12.75" customHeight="1">
      <c r="F407" s="51"/>
      <c r="G407" s="52"/>
      <c r="H407" s="52"/>
    </row>
    <row r="408" ht="12.75" customHeight="1">
      <c r="F408" s="51"/>
      <c r="G408" s="52"/>
      <c r="H408" s="52"/>
    </row>
    <row r="409" ht="12.75" customHeight="1">
      <c r="F409" s="51"/>
      <c r="G409" s="52"/>
      <c r="H409" s="52"/>
    </row>
    <row r="410" ht="12.75" customHeight="1">
      <c r="F410" s="51"/>
      <c r="G410" s="52"/>
      <c r="H410" s="52"/>
    </row>
    <row r="411" ht="12.75" customHeight="1">
      <c r="F411" s="51"/>
      <c r="G411" s="52"/>
      <c r="H411" s="52"/>
    </row>
    <row r="412" ht="12.75" customHeight="1">
      <c r="F412" s="51"/>
      <c r="G412" s="52"/>
      <c r="H412" s="52"/>
    </row>
    <row r="413" ht="12.75" customHeight="1">
      <c r="F413" s="51"/>
      <c r="G413" s="52"/>
      <c r="H413" s="52"/>
    </row>
    <row r="414" ht="12.75" customHeight="1">
      <c r="F414" s="51"/>
      <c r="G414" s="52"/>
      <c r="H414" s="52"/>
    </row>
    <row r="415" ht="12.75" customHeight="1">
      <c r="F415" s="51"/>
      <c r="G415" s="52"/>
      <c r="H415" s="52"/>
    </row>
    <row r="416" ht="12.75" customHeight="1">
      <c r="F416" s="51"/>
      <c r="G416" s="52"/>
      <c r="H416" s="52"/>
    </row>
    <row r="417" ht="12.75" customHeight="1">
      <c r="F417" s="51"/>
      <c r="G417" s="52"/>
      <c r="H417" s="52"/>
    </row>
    <row r="418" ht="12.75" customHeight="1">
      <c r="F418" s="51"/>
      <c r="G418" s="52"/>
      <c r="H418" s="52"/>
    </row>
    <row r="419" ht="12.75" customHeight="1">
      <c r="F419" s="51"/>
      <c r="G419" s="52"/>
      <c r="H419" s="52"/>
    </row>
    <row r="420" ht="12.75" customHeight="1">
      <c r="F420" s="51"/>
      <c r="G420" s="52"/>
      <c r="H420" s="52"/>
    </row>
    <row r="421" ht="12.75" customHeight="1">
      <c r="F421" s="51"/>
      <c r="G421" s="52"/>
      <c r="H421" s="52"/>
    </row>
    <row r="422" ht="12.75" customHeight="1">
      <c r="F422" s="51"/>
      <c r="G422" s="52"/>
      <c r="H422" s="52"/>
    </row>
    <row r="423" ht="12.75" customHeight="1">
      <c r="F423" s="51"/>
      <c r="G423" s="52"/>
      <c r="H423" s="52"/>
    </row>
    <row r="424" ht="12.75" customHeight="1">
      <c r="F424" s="51"/>
      <c r="G424" s="52"/>
      <c r="H424" s="52"/>
    </row>
    <row r="425" ht="12.75" customHeight="1">
      <c r="F425" s="51"/>
      <c r="G425" s="52"/>
      <c r="H425" s="52"/>
    </row>
    <row r="426" ht="12.75" customHeight="1">
      <c r="F426" s="51"/>
      <c r="G426" s="52"/>
      <c r="H426" s="52"/>
    </row>
    <row r="427" ht="12.75" customHeight="1">
      <c r="F427" s="51"/>
      <c r="G427" s="52"/>
      <c r="H427" s="52"/>
    </row>
    <row r="428" ht="12.75" customHeight="1">
      <c r="F428" s="51"/>
      <c r="G428" s="52"/>
      <c r="H428" s="52"/>
    </row>
    <row r="429" ht="12.75" customHeight="1">
      <c r="F429" s="51"/>
      <c r="G429" s="52"/>
      <c r="H429" s="52"/>
    </row>
    <row r="430" ht="12.75" customHeight="1">
      <c r="F430" s="51"/>
      <c r="G430" s="52"/>
      <c r="H430" s="52"/>
    </row>
    <row r="431" ht="12.75" customHeight="1">
      <c r="F431" s="51"/>
      <c r="G431" s="52"/>
      <c r="H431" s="52"/>
    </row>
    <row r="432" ht="12.75" customHeight="1">
      <c r="F432" s="51"/>
      <c r="G432" s="52"/>
      <c r="H432" s="52"/>
    </row>
    <row r="433" ht="12.75" customHeight="1">
      <c r="F433" s="51"/>
      <c r="G433" s="52"/>
      <c r="H433" s="52"/>
    </row>
    <row r="434" ht="12.75" customHeight="1">
      <c r="F434" s="51"/>
      <c r="G434" s="52"/>
      <c r="H434" s="52"/>
    </row>
    <row r="435" ht="12.75" customHeight="1">
      <c r="F435" s="51"/>
      <c r="G435" s="52"/>
      <c r="H435" s="52"/>
    </row>
    <row r="436" ht="12.75" customHeight="1">
      <c r="F436" s="51"/>
      <c r="G436" s="52"/>
      <c r="H436" s="52"/>
    </row>
    <row r="437" ht="12.75" customHeight="1">
      <c r="F437" s="51"/>
      <c r="G437" s="52"/>
      <c r="H437" s="52"/>
    </row>
    <row r="438" ht="12.75" customHeight="1">
      <c r="F438" s="51"/>
      <c r="G438" s="52"/>
      <c r="H438" s="52"/>
    </row>
    <row r="439" ht="12.75" customHeight="1">
      <c r="F439" s="51"/>
      <c r="G439" s="52"/>
      <c r="H439" s="52"/>
    </row>
    <row r="440" ht="12.75" customHeight="1">
      <c r="F440" s="51"/>
      <c r="G440" s="52"/>
      <c r="H440" s="52"/>
    </row>
    <row r="441" ht="12.75" customHeight="1">
      <c r="F441" s="51"/>
      <c r="G441" s="52"/>
      <c r="H441" s="52"/>
    </row>
    <row r="442" ht="12.75" customHeight="1">
      <c r="F442" s="51"/>
      <c r="G442" s="52"/>
      <c r="H442" s="52"/>
    </row>
    <row r="443" ht="12.75" customHeight="1">
      <c r="F443" s="51"/>
      <c r="G443" s="52"/>
      <c r="H443" s="52"/>
    </row>
    <row r="444" ht="12.75" customHeight="1">
      <c r="F444" s="51"/>
      <c r="G444" s="52"/>
      <c r="H444" s="52"/>
    </row>
    <row r="445" ht="12.75" customHeight="1">
      <c r="F445" s="51"/>
      <c r="G445" s="52"/>
      <c r="H445" s="52"/>
    </row>
    <row r="446" ht="12.75" customHeight="1">
      <c r="F446" s="51"/>
      <c r="G446" s="52"/>
      <c r="H446" s="52"/>
    </row>
    <row r="447" ht="12.75" customHeight="1">
      <c r="F447" s="51"/>
      <c r="G447" s="52"/>
      <c r="H447" s="52"/>
    </row>
    <row r="448" ht="12.75" customHeight="1">
      <c r="F448" s="51"/>
      <c r="G448" s="52"/>
      <c r="H448" s="52"/>
    </row>
    <row r="449" ht="12.75" customHeight="1">
      <c r="F449" s="51"/>
      <c r="G449" s="52"/>
      <c r="H449" s="52"/>
    </row>
    <row r="450" ht="12.75" customHeight="1">
      <c r="F450" s="51"/>
      <c r="G450" s="52"/>
      <c r="H450" s="52"/>
    </row>
    <row r="451" ht="12.75" customHeight="1">
      <c r="F451" s="51"/>
      <c r="G451" s="52"/>
      <c r="H451" s="52"/>
    </row>
    <row r="452" ht="12.75" customHeight="1">
      <c r="F452" s="51"/>
      <c r="G452" s="52"/>
      <c r="H452" s="52"/>
    </row>
    <row r="453" ht="12.75" customHeight="1">
      <c r="F453" s="51"/>
      <c r="G453" s="52"/>
      <c r="H453" s="52"/>
    </row>
    <row r="454" ht="12.75" customHeight="1">
      <c r="F454" s="51"/>
      <c r="G454" s="52"/>
      <c r="H454" s="52"/>
    </row>
    <row r="455" ht="12.75" customHeight="1">
      <c r="F455" s="51"/>
      <c r="G455" s="52"/>
      <c r="H455" s="52"/>
    </row>
    <row r="456" ht="12.75" customHeight="1">
      <c r="F456" s="51"/>
      <c r="G456" s="52"/>
      <c r="H456" s="52"/>
    </row>
    <row r="457" ht="12.75" customHeight="1">
      <c r="F457" s="51"/>
      <c r="G457" s="52"/>
      <c r="H457" s="52"/>
    </row>
    <row r="458" ht="12.75" customHeight="1">
      <c r="F458" s="51"/>
      <c r="G458" s="52"/>
      <c r="H458" s="52"/>
    </row>
    <row r="459" ht="12.75" customHeight="1">
      <c r="F459" s="51"/>
      <c r="G459" s="52"/>
      <c r="H459" s="52"/>
    </row>
    <row r="460" ht="12.75" customHeight="1">
      <c r="F460" s="51"/>
      <c r="G460" s="52"/>
      <c r="H460" s="52"/>
    </row>
    <row r="461" ht="12.75" customHeight="1">
      <c r="F461" s="51"/>
      <c r="G461" s="52"/>
      <c r="H461" s="52"/>
    </row>
    <row r="462" ht="12.75" customHeight="1">
      <c r="F462" s="51"/>
      <c r="G462" s="52"/>
      <c r="H462" s="52"/>
    </row>
    <row r="463" ht="12.75" customHeight="1">
      <c r="F463" s="51"/>
      <c r="G463" s="52"/>
      <c r="H463" s="52"/>
    </row>
    <row r="464" ht="12.75" customHeight="1">
      <c r="F464" s="51"/>
      <c r="G464" s="52"/>
      <c r="H464" s="52"/>
    </row>
    <row r="465" ht="12.75" customHeight="1">
      <c r="F465" s="51"/>
      <c r="G465" s="52"/>
      <c r="H465" s="52"/>
    </row>
    <row r="466" ht="12.75" customHeight="1">
      <c r="F466" s="51"/>
      <c r="G466" s="52"/>
      <c r="H466" s="52"/>
    </row>
    <row r="467" ht="12.75" customHeight="1">
      <c r="F467" s="51"/>
      <c r="G467" s="52"/>
      <c r="H467" s="52"/>
    </row>
    <row r="468" ht="12.75" customHeight="1">
      <c r="F468" s="51"/>
      <c r="G468" s="52"/>
      <c r="H468" s="52"/>
    </row>
    <row r="469" ht="12.75" customHeight="1">
      <c r="F469" s="51"/>
      <c r="G469" s="52"/>
      <c r="H469" s="52"/>
    </row>
    <row r="470" ht="12.75" customHeight="1">
      <c r="F470" s="51"/>
      <c r="G470" s="52"/>
      <c r="H470" s="52"/>
    </row>
    <row r="471" ht="12.75" customHeight="1">
      <c r="F471" s="51"/>
      <c r="G471" s="52"/>
      <c r="H471" s="52"/>
    </row>
    <row r="472" ht="12.75" customHeight="1">
      <c r="F472" s="51"/>
      <c r="G472" s="52"/>
      <c r="H472" s="52"/>
    </row>
    <row r="473" ht="12.75" customHeight="1">
      <c r="F473" s="51"/>
      <c r="G473" s="52"/>
      <c r="H473" s="52"/>
    </row>
    <row r="474" ht="12.75" customHeight="1">
      <c r="F474" s="51"/>
      <c r="G474" s="52"/>
      <c r="H474" s="52"/>
    </row>
    <row r="475" ht="12.75" customHeight="1">
      <c r="F475" s="51"/>
      <c r="G475" s="52"/>
      <c r="H475" s="52"/>
    </row>
    <row r="476" ht="12.75" customHeight="1">
      <c r="F476" s="51"/>
      <c r="G476" s="52"/>
      <c r="H476" s="52"/>
    </row>
    <row r="477" ht="12.75" customHeight="1">
      <c r="F477" s="51"/>
      <c r="G477" s="52"/>
      <c r="H477" s="52"/>
    </row>
    <row r="478" ht="12.75" customHeight="1">
      <c r="F478" s="51"/>
      <c r="G478" s="52"/>
      <c r="H478" s="52"/>
    </row>
    <row r="479" ht="12.75" customHeight="1">
      <c r="F479" s="51"/>
      <c r="G479" s="52"/>
      <c r="H479" s="52"/>
    </row>
    <row r="480" ht="12.75" customHeight="1">
      <c r="F480" s="51"/>
      <c r="G480" s="52"/>
      <c r="H480" s="52"/>
    </row>
    <row r="481" ht="12.75" customHeight="1">
      <c r="F481" s="51"/>
      <c r="G481" s="52"/>
      <c r="H481" s="52"/>
    </row>
    <row r="482" ht="12.75" customHeight="1">
      <c r="F482" s="51"/>
      <c r="G482" s="52"/>
      <c r="H482" s="52"/>
    </row>
    <row r="483" ht="12.75" customHeight="1">
      <c r="F483" s="51"/>
      <c r="G483" s="52"/>
      <c r="H483" s="52"/>
    </row>
    <row r="484" ht="12.75" customHeight="1">
      <c r="F484" s="51"/>
      <c r="G484" s="52"/>
      <c r="H484" s="52"/>
    </row>
    <row r="485" ht="12.75" customHeight="1">
      <c r="F485" s="51"/>
      <c r="G485" s="52"/>
      <c r="H485" s="52"/>
    </row>
    <row r="486" ht="12.75" customHeight="1">
      <c r="F486" s="51"/>
      <c r="G486" s="52"/>
      <c r="H486" s="52"/>
    </row>
    <row r="487" ht="12.75" customHeight="1">
      <c r="F487" s="51"/>
      <c r="G487" s="52"/>
      <c r="H487" s="52"/>
    </row>
    <row r="488" ht="12.75" customHeight="1">
      <c r="F488" s="51"/>
      <c r="G488" s="52"/>
      <c r="H488" s="52"/>
    </row>
    <row r="489" ht="12.75" customHeight="1">
      <c r="F489" s="51"/>
      <c r="G489" s="52"/>
      <c r="H489" s="52"/>
    </row>
    <row r="490" ht="12.75" customHeight="1">
      <c r="F490" s="51"/>
      <c r="G490" s="52"/>
      <c r="H490" s="52"/>
    </row>
    <row r="491" ht="12.75" customHeight="1">
      <c r="F491" s="51"/>
      <c r="G491" s="52"/>
      <c r="H491" s="52"/>
    </row>
    <row r="492" ht="12.75" customHeight="1">
      <c r="F492" s="51"/>
      <c r="G492" s="52"/>
      <c r="H492" s="52"/>
    </row>
    <row r="493" ht="12.75" customHeight="1">
      <c r="F493" s="51"/>
      <c r="G493" s="52"/>
      <c r="H493" s="52"/>
    </row>
    <row r="494" ht="12.75" customHeight="1">
      <c r="F494" s="51"/>
      <c r="G494" s="52"/>
      <c r="H494" s="52"/>
    </row>
    <row r="495" ht="12.75" customHeight="1">
      <c r="F495" s="51"/>
      <c r="G495" s="52"/>
      <c r="H495" s="52"/>
    </row>
    <row r="496" ht="12.75" customHeight="1">
      <c r="F496" s="51"/>
      <c r="G496" s="52"/>
      <c r="H496" s="52"/>
    </row>
    <row r="497" ht="12.75" customHeight="1">
      <c r="F497" s="51"/>
      <c r="G497" s="52"/>
      <c r="H497" s="52"/>
    </row>
    <row r="498" ht="12.75" customHeight="1">
      <c r="F498" s="51"/>
      <c r="G498" s="52"/>
      <c r="H498" s="52"/>
    </row>
    <row r="499" ht="12.75" customHeight="1">
      <c r="F499" s="51"/>
      <c r="G499" s="52"/>
      <c r="H499" s="52"/>
    </row>
    <row r="500" ht="12.75" customHeight="1">
      <c r="F500" s="51"/>
      <c r="G500" s="52"/>
      <c r="H500" s="52"/>
    </row>
    <row r="501" ht="12.75" customHeight="1">
      <c r="F501" s="51"/>
      <c r="G501" s="52"/>
      <c r="H501" s="52"/>
    </row>
    <row r="502" ht="12.75" customHeight="1">
      <c r="F502" s="51"/>
      <c r="G502" s="52"/>
      <c r="H502" s="52"/>
    </row>
    <row r="503" ht="12.75" customHeight="1">
      <c r="F503" s="51"/>
      <c r="G503" s="52"/>
      <c r="H503" s="52"/>
    </row>
    <row r="504" ht="12.75" customHeight="1">
      <c r="F504" s="51"/>
      <c r="G504" s="52"/>
      <c r="H504" s="52"/>
    </row>
    <row r="505" ht="12.75" customHeight="1">
      <c r="F505" s="51"/>
      <c r="G505" s="52"/>
      <c r="H505" s="52"/>
    </row>
    <row r="506" ht="12.75" customHeight="1">
      <c r="F506" s="51"/>
      <c r="G506" s="52"/>
      <c r="H506" s="52"/>
    </row>
    <row r="507" ht="12.75" customHeight="1">
      <c r="F507" s="51"/>
      <c r="G507" s="52"/>
      <c r="H507" s="52"/>
    </row>
    <row r="508" ht="12.75" customHeight="1">
      <c r="F508" s="51"/>
      <c r="G508" s="52"/>
      <c r="H508" s="52"/>
    </row>
    <row r="509" ht="12.75" customHeight="1">
      <c r="F509" s="51"/>
      <c r="G509" s="52"/>
      <c r="H509" s="52"/>
    </row>
    <row r="510" ht="12.75" customHeight="1">
      <c r="F510" s="51"/>
      <c r="G510" s="52"/>
      <c r="H510" s="52"/>
    </row>
    <row r="511" ht="12.75" customHeight="1">
      <c r="F511" s="51"/>
      <c r="G511" s="52"/>
      <c r="H511" s="52"/>
    </row>
    <row r="512" ht="12.75" customHeight="1">
      <c r="F512" s="51"/>
      <c r="G512" s="52"/>
      <c r="H512" s="52"/>
    </row>
    <row r="513" ht="12.75" customHeight="1">
      <c r="F513" s="51"/>
      <c r="G513" s="52"/>
      <c r="H513" s="52"/>
    </row>
    <row r="514" ht="12.75" customHeight="1">
      <c r="F514" s="51"/>
      <c r="G514" s="52"/>
      <c r="H514" s="52"/>
    </row>
    <row r="515" ht="12.75" customHeight="1">
      <c r="F515" s="51"/>
      <c r="G515" s="52"/>
      <c r="H515" s="52"/>
    </row>
    <row r="516" ht="12.75" customHeight="1">
      <c r="F516" s="51"/>
      <c r="G516" s="52"/>
      <c r="H516" s="52"/>
    </row>
    <row r="517" ht="12.75" customHeight="1">
      <c r="F517" s="51"/>
      <c r="G517" s="52"/>
      <c r="H517" s="52"/>
    </row>
    <row r="518" ht="12.75" customHeight="1">
      <c r="F518" s="51"/>
      <c r="G518" s="52"/>
      <c r="H518" s="52"/>
    </row>
    <row r="519" ht="12.75" customHeight="1">
      <c r="F519" s="51"/>
      <c r="G519" s="52"/>
      <c r="H519" s="52"/>
    </row>
    <row r="520" ht="12.75" customHeight="1">
      <c r="F520" s="51"/>
      <c r="G520" s="52"/>
      <c r="H520" s="52"/>
    </row>
    <row r="521" ht="12.75" customHeight="1">
      <c r="F521" s="51"/>
      <c r="G521" s="52"/>
      <c r="H521" s="52"/>
    </row>
    <row r="522" ht="12.75" customHeight="1">
      <c r="F522" s="51"/>
      <c r="G522" s="52"/>
      <c r="H522" s="52"/>
    </row>
    <row r="523" ht="12.75" customHeight="1">
      <c r="F523" s="51"/>
      <c r="G523" s="52"/>
      <c r="H523" s="52"/>
    </row>
    <row r="524" ht="12.75" customHeight="1">
      <c r="F524" s="51"/>
      <c r="G524" s="52"/>
      <c r="H524" s="52"/>
    </row>
    <row r="525" ht="12.75" customHeight="1">
      <c r="F525" s="51"/>
      <c r="G525" s="52"/>
      <c r="H525" s="52"/>
    </row>
    <row r="526" ht="12.75" customHeight="1">
      <c r="F526" s="51"/>
      <c r="G526" s="52"/>
      <c r="H526" s="52"/>
    </row>
    <row r="527" ht="12.75" customHeight="1">
      <c r="F527" s="51"/>
      <c r="G527" s="52"/>
      <c r="H527" s="52"/>
    </row>
    <row r="528" ht="12.75" customHeight="1">
      <c r="F528" s="51"/>
      <c r="G528" s="52"/>
      <c r="H528" s="52"/>
    </row>
    <row r="529" ht="12.75" customHeight="1">
      <c r="F529" s="51"/>
      <c r="G529" s="52"/>
      <c r="H529" s="52"/>
    </row>
    <row r="530" ht="12.75" customHeight="1">
      <c r="F530" s="51"/>
      <c r="G530" s="52"/>
      <c r="H530" s="52"/>
    </row>
    <row r="531" ht="12.75" customHeight="1">
      <c r="F531" s="51"/>
      <c r="G531" s="52"/>
      <c r="H531" s="52"/>
    </row>
    <row r="532" ht="12.75" customHeight="1">
      <c r="F532" s="51"/>
      <c r="G532" s="52"/>
      <c r="H532" s="52"/>
    </row>
    <row r="533" ht="12.75" customHeight="1">
      <c r="F533" s="51"/>
      <c r="G533" s="52"/>
      <c r="H533" s="52"/>
    </row>
    <row r="534" ht="12.75" customHeight="1">
      <c r="F534" s="51"/>
      <c r="G534" s="52"/>
      <c r="H534" s="52"/>
    </row>
    <row r="535" ht="12.75" customHeight="1">
      <c r="F535" s="51"/>
      <c r="G535" s="52"/>
      <c r="H535" s="52"/>
    </row>
    <row r="536" ht="12.75" customHeight="1">
      <c r="F536" s="51"/>
      <c r="G536" s="52"/>
      <c r="H536" s="52"/>
    </row>
    <row r="537" ht="12.75" customHeight="1">
      <c r="F537" s="51"/>
      <c r="G537" s="52"/>
      <c r="H537" s="52"/>
    </row>
    <row r="538" ht="12.75" customHeight="1">
      <c r="F538" s="51"/>
      <c r="G538" s="52"/>
      <c r="H538" s="52"/>
    </row>
    <row r="539" ht="12.75" customHeight="1">
      <c r="F539" s="51"/>
      <c r="G539" s="52"/>
      <c r="H539" s="52"/>
    </row>
    <row r="540" ht="12.75" customHeight="1">
      <c r="F540" s="51"/>
      <c r="G540" s="52"/>
      <c r="H540" s="52"/>
    </row>
    <row r="541" ht="12.75" customHeight="1">
      <c r="F541" s="51"/>
      <c r="G541" s="52"/>
      <c r="H541" s="52"/>
    </row>
    <row r="542" ht="12.75" customHeight="1">
      <c r="F542" s="51"/>
      <c r="G542" s="52"/>
      <c r="H542" s="52"/>
    </row>
    <row r="543" ht="12.75" customHeight="1">
      <c r="F543" s="51"/>
      <c r="G543" s="52"/>
      <c r="H543" s="52"/>
    </row>
    <row r="544" ht="12.75" customHeight="1">
      <c r="F544" s="51"/>
      <c r="G544" s="52"/>
      <c r="H544" s="52"/>
    </row>
    <row r="545" ht="12.75" customHeight="1">
      <c r="F545" s="51"/>
      <c r="G545" s="52"/>
      <c r="H545" s="52"/>
    </row>
    <row r="546" ht="12.75" customHeight="1">
      <c r="F546" s="51"/>
      <c r="G546" s="52"/>
      <c r="H546" s="52"/>
    </row>
    <row r="547" ht="12.75" customHeight="1">
      <c r="F547" s="51"/>
      <c r="G547" s="52"/>
      <c r="H547" s="52"/>
    </row>
    <row r="548" ht="12.75" customHeight="1">
      <c r="F548" s="51"/>
      <c r="G548" s="52"/>
      <c r="H548" s="52"/>
    </row>
    <row r="549" ht="12.75" customHeight="1">
      <c r="F549" s="51"/>
      <c r="G549" s="52"/>
      <c r="H549" s="52"/>
    </row>
    <row r="550" ht="12.75" customHeight="1">
      <c r="F550" s="51"/>
      <c r="G550" s="52"/>
      <c r="H550" s="52"/>
    </row>
    <row r="551" ht="12.75" customHeight="1">
      <c r="F551" s="51"/>
      <c r="G551" s="52"/>
      <c r="H551" s="52"/>
    </row>
    <row r="552" ht="12.75" customHeight="1">
      <c r="F552" s="51"/>
      <c r="G552" s="52"/>
      <c r="H552" s="52"/>
    </row>
    <row r="553" ht="12.75" customHeight="1">
      <c r="F553" s="51"/>
      <c r="G553" s="52"/>
      <c r="H553" s="52"/>
    </row>
    <row r="554" ht="12.75" customHeight="1">
      <c r="F554" s="51"/>
      <c r="G554" s="52"/>
      <c r="H554" s="52"/>
    </row>
    <row r="555" ht="12.75" customHeight="1">
      <c r="F555" s="51"/>
      <c r="G555" s="52"/>
      <c r="H555" s="52"/>
    </row>
    <row r="556" ht="12.75" customHeight="1">
      <c r="F556" s="51"/>
      <c r="G556" s="52"/>
      <c r="H556" s="52"/>
    </row>
    <row r="557" ht="12.75" customHeight="1">
      <c r="F557" s="51"/>
      <c r="G557" s="52"/>
      <c r="H557" s="52"/>
    </row>
    <row r="558" ht="12.75" customHeight="1">
      <c r="F558" s="51"/>
      <c r="G558" s="52"/>
      <c r="H558" s="52"/>
    </row>
    <row r="559" ht="12.75" customHeight="1">
      <c r="F559" s="51"/>
      <c r="G559" s="52"/>
      <c r="H559" s="52"/>
    </row>
    <row r="560" ht="12.75" customHeight="1">
      <c r="F560" s="51"/>
      <c r="G560" s="52"/>
      <c r="H560" s="52"/>
    </row>
    <row r="561" ht="12.75" customHeight="1">
      <c r="F561" s="51"/>
      <c r="G561" s="52"/>
      <c r="H561" s="52"/>
    </row>
    <row r="562" ht="12.75" customHeight="1">
      <c r="F562" s="51"/>
      <c r="G562" s="52"/>
      <c r="H562" s="52"/>
    </row>
    <row r="563" ht="12.75" customHeight="1">
      <c r="F563" s="51"/>
      <c r="G563" s="52"/>
      <c r="H563" s="52"/>
    </row>
    <row r="564" ht="12.75" customHeight="1">
      <c r="F564" s="51"/>
      <c r="G564" s="52"/>
      <c r="H564" s="52"/>
    </row>
    <row r="565" ht="12.75" customHeight="1">
      <c r="F565" s="51"/>
      <c r="G565" s="52"/>
      <c r="H565" s="52"/>
    </row>
    <row r="566" ht="12.75" customHeight="1">
      <c r="F566" s="51"/>
      <c r="G566" s="52"/>
      <c r="H566" s="52"/>
    </row>
    <row r="567" ht="12.75" customHeight="1">
      <c r="F567" s="51"/>
      <c r="G567" s="52"/>
      <c r="H567" s="52"/>
    </row>
    <row r="568" ht="12.75" customHeight="1">
      <c r="F568" s="51"/>
      <c r="G568" s="52"/>
      <c r="H568" s="52"/>
    </row>
    <row r="569" ht="12.75" customHeight="1">
      <c r="F569" s="51"/>
      <c r="G569" s="52"/>
      <c r="H569" s="52"/>
    </row>
    <row r="570" ht="12.75" customHeight="1">
      <c r="F570" s="51"/>
      <c r="G570" s="52"/>
      <c r="H570" s="52"/>
    </row>
    <row r="571" ht="12.75" customHeight="1">
      <c r="F571" s="51"/>
      <c r="G571" s="52"/>
      <c r="H571" s="52"/>
    </row>
    <row r="572" ht="12.75" customHeight="1">
      <c r="F572" s="51"/>
      <c r="G572" s="52"/>
      <c r="H572" s="52"/>
    </row>
    <row r="573" ht="12.75" customHeight="1">
      <c r="F573" s="51"/>
      <c r="G573" s="52"/>
      <c r="H573" s="52"/>
    </row>
    <row r="574" ht="12.75" customHeight="1">
      <c r="F574" s="51"/>
      <c r="G574" s="52"/>
      <c r="H574" s="52"/>
    </row>
    <row r="575" ht="12.75" customHeight="1">
      <c r="F575" s="51"/>
      <c r="G575" s="52"/>
      <c r="H575" s="52"/>
    </row>
    <row r="576" ht="12.75" customHeight="1">
      <c r="F576" s="51"/>
      <c r="G576" s="52"/>
      <c r="H576" s="52"/>
    </row>
    <row r="577" ht="12.75" customHeight="1">
      <c r="F577" s="51"/>
      <c r="G577" s="52"/>
      <c r="H577" s="52"/>
    </row>
    <row r="578" ht="12.75" customHeight="1">
      <c r="F578" s="51"/>
      <c r="G578" s="52"/>
      <c r="H578" s="52"/>
    </row>
    <row r="579" ht="12.75" customHeight="1">
      <c r="F579" s="51"/>
      <c r="G579" s="52"/>
      <c r="H579" s="52"/>
    </row>
    <row r="580" ht="12.75" customHeight="1">
      <c r="F580" s="51"/>
      <c r="G580" s="52"/>
      <c r="H580" s="52"/>
    </row>
    <row r="581" ht="12.75" customHeight="1">
      <c r="F581" s="51"/>
      <c r="G581" s="52"/>
      <c r="H581" s="52"/>
    </row>
    <row r="582" ht="12.75" customHeight="1">
      <c r="F582" s="51"/>
      <c r="G582" s="52"/>
      <c r="H582" s="52"/>
    </row>
    <row r="583" ht="12.75" customHeight="1">
      <c r="F583" s="51"/>
      <c r="G583" s="52"/>
      <c r="H583" s="52"/>
    </row>
    <row r="584" ht="12.75" customHeight="1">
      <c r="F584" s="51"/>
      <c r="G584" s="52"/>
      <c r="H584" s="52"/>
    </row>
    <row r="585" ht="12.75" customHeight="1">
      <c r="F585" s="51"/>
      <c r="G585" s="52"/>
      <c r="H585" s="52"/>
    </row>
    <row r="586" ht="12.75" customHeight="1">
      <c r="F586" s="51"/>
      <c r="G586" s="52"/>
      <c r="H586" s="52"/>
    </row>
    <row r="587" ht="12.75" customHeight="1">
      <c r="F587" s="51"/>
      <c r="G587" s="52"/>
      <c r="H587" s="52"/>
    </row>
    <row r="588" ht="12.75" customHeight="1">
      <c r="F588" s="51"/>
      <c r="G588" s="52"/>
      <c r="H588" s="52"/>
    </row>
    <row r="589" ht="12.75" customHeight="1">
      <c r="F589" s="51"/>
      <c r="G589" s="52"/>
      <c r="H589" s="52"/>
    </row>
    <row r="590" ht="12.75" customHeight="1">
      <c r="F590" s="51"/>
      <c r="G590" s="52"/>
      <c r="H590" s="52"/>
    </row>
    <row r="591" ht="12.75" customHeight="1">
      <c r="F591" s="51"/>
      <c r="G591" s="52"/>
      <c r="H591" s="52"/>
    </row>
    <row r="592" ht="12.75" customHeight="1">
      <c r="F592" s="51"/>
      <c r="G592" s="52"/>
      <c r="H592" s="52"/>
    </row>
    <row r="593" ht="12.75" customHeight="1">
      <c r="F593" s="51"/>
      <c r="G593" s="52"/>
      <c r="H593" s="52"/>
    </row>
    <row r="594" ht="12.75" customHeight="1">
      <c r="F594" s="51"/>
      <c r="G594" s="52"/>
      <c r="H594" s="52"/>
    </row>
    <row r="595" ht="12.75" customHeight="1">
      <c r="F595" s="51"/>
      <c r="G595" s="52"/>
      <c r="H595" s="52"/>
    </row>
    <row r="596" ht="12.75" customHeight="1">
      <c r="F596" s="51"/>
      <c r="G596" s="52"/>
      <c r="H596" s="52"/>
    </row>
    <row r="597" ht="12.75" customHeight="1">
      <c r="F597" s="51"/>
      <c r="G597" s="52"/>
      <c r="H597" s="52"/>
    </row>
    <row r="598" ht="12.75" customHeight="1">
      <c r="F598" s="51"/>
      <c r="G598" s="52"/>
      <c r="H598" s="52"/>
    </row>
    <row r="599" ht="12.75" customHeight="1">
      <c r="F599" s="51"/>
      <c r="G599" s="52"/>
      <c r="H599" s="52"/>
    </row>
    <row r="600" ht="12.75" customHeight="1">
      <c r="F600" s="51"/>
      <c r="G600" s="52"/>
      <c r="H600" s="52"/>
    </row>
    <row r="601" ht="12.75" customHeight="1">
      <c r="F601" s="51"/>
      <c r="G601" s="52"/>
      <c r="H601" s="52"/>
    </row>
    <row r="602" ht="12.75" customHeight="1">
      <c r="F602" s="51"/>
      <c r="G602" s="52"/>
      <c r="H602" s="52"/>
    </row>
    <row r="603" ht="12.75" customHeight="1">
      <c r="F603" s="51"/>
      <c r="G603" s="52"/>
      <c r="H603" s="52"/>
    </row>
    <row r="604" ht="12.75" customHeight="1">
      <c r="F604" s="51"/>
      <c r="G604" s="52"/>
      <c r="H604" s="52"/>
    </row>
    <row r="605" ht="12.75" customHeight="1">
      <c r="F605" s="51"/>
      <c r="G605" s="52"/>
      <c r="H605" s="52"/>
    </row>
    <row r="606" ht="12.75" customHeight="1">
      <c r="F606" s="51"/>
      <c r="G606" s="52"/>
      <c r="H606" s="52"/>
    </row>
    <row r="607" ht="12.75" customHeight="1">
      <c r="F607" s="51"/>
      <c r="G607" s="52"/>
      <c r="H607" s="52"/>
    </row>
    <row r="608" ht="12.75" customHeight="1">
      <c r="F608" s="51"/>
      <c r="G608" s="52"/>
      <c r="H608" s="52"/>
    </row>
    <row r="609" ht="12.75" customHeight="1">
      <c r="F609" s="51"/>
      <c r="G609" s="52"/>
      <c r="H609" s="52"/>
    </row>
    <row r="610" ht="12.75" customHeight="1">
      <c r="F610" s="51"/>
      <c r="G610" s="52"/>
      <c r="H610" s="52"/>
    </row>
    <row r="611" ht="12.75" customHeight="1">
      <c r="F611" s="51"/>
      <c r="G611" s="52"/>
      <c r="H611" s="52"/>
    </row>
    <row r="612" ht="12.75" customHeight="1">
      <c r="F612" s="51"/>
      <c r="G612" s="52"/>
      <c r="H612" s="52"/>
    </row>
    <row r="613" ht="12.75" customHeight="1">
      <c r="F613" s="51"/>
      <c r="G613" s="52"/>
      <c r="H613" s="52"/>
    </row>
    <row r="614" ht="12.75" customHeight="1">
      <c r="F614" s="51"/>
      <c r="G614" s="52"/>
      <c r="H614" s="52"/>
    </row>
    <row r="615" ht="12.75" customHeight="1">
      <c r="F615" s="51"/>
      <c r="G615" s="52"/>
      <c r="H615" s="52"/>
    </row>
    <row r="616" ht="12.75" customHeight="1">
      <c r="F616" s="51"/>
      <c r="G616" s="52"/>
      <c r="H616" s="52"/>
    </row>
    <row r="617" ht="12.75" customHeight="1">
      <c r="F617" s="51"/>
      <c r="G617" s="52"/>
      <c r="H617" s="52"/>
    </row>
    <row r="618" ht="12.75" customHeight="1">
      <c r="F618" s="51"/>
      <c r="G618" s="52"/>
      <c r="H618" s="52"/>
    </row>
    <row r="619" ht="12.75" customHeight="1">
      <c r="F619" s="51"/>
      <c r="G619" s="52"/>
      <c r="H619" s="52"/>
    </row>
    <row r="620" ht="12.75" customHeight="1">
      <c r="F620" s="51"/>
      <c r="G620" s="52"/>
      <c r="H620" s="52"/>
    </row>
    <row r="621" ht="12.75" customHeight="1">
      <c r="F621" s="51"/>
      <c r="G621" s="52"/>
      <c r="H621" s="52"/>
    </row>
    <row r="622" ht="12.75" customHeight="1">
      <c r="F622" s="51"/>
      <c r="G622" s="52"/>
      <c r="H622" s="52"/>
    </row>
    <row r="623" ht="12.75" customHeight="1">
      <c r="F623" s="51"/>
      <c r="G623" s="52"/>
      <c r="H623" s="52"/>
    </row>
    <row r="624" ht="12.75" customHeight="1">
      <c r="F624" s="51"/>
      <c r="G624" s="52"/>
      <c r="H624" s="52"/>
    </row>
    <row r="625" ht="12.75" customHeight="1">
      <c r="F625" s="51"/>
      <c r="G625" s="52"/>
      <c r="H625" s="52"/>
    </row>
    <row r="626" ht="12.75" customHeight="1">
      <c r="F626" s="51"/>
      <c r="G626" s="52"/>
      <c r="H626" s="52"/>
    </row>
    <row r="627" ht="12.75" customHeight="1">
      <c r="F627" s="51"/>
      <c r="G627" s="52"/>
      <c r="H627" s="52"/>
    </row>
    <row r="628" ht="12.75" customHeight="1">
      <c r="F628" s="51"/>
      <c r="G628" s="52"/>
      <c r="H628" s="52"/>
    </row>
    <row r="629" ht="12.75" customHeight="1">
      <c r="F629" s="51"/>
      <c r="G629" s="52"/>
      <c r="H629" s="52"/>
    </row>
    <row r="630" ht="12.75" customHeight="1">
      <c r="F630" s="51"/>
      <c r="G630" s="52"/>
      <c r="H630" s="52"/>
    </row>
    <row r="631" ht="12.75" customHeight="1">
      <c r="F631" s="51"/>
      <c r="G631" s="52"/>
      <c r="H631" s="52"/>
    </row>
    <row r="632" ht="12.75" customHeight="1">
      <c r="F632" s="51"/>
      <c r="G632" s="52"/>
      <c r="H632" s="52"/>
    </row>
    <row r="633" ht="12.75" customHeight="1">
      <c r="F633" s="51"/>
      <c r="G633" s="52"/>
      <c r="H633" s="52"/>
    </row>
    <row r="634" ht="12.75" customHeight="1">
      <c r="F634" s="51"/>
      <c r="G634" s="52"/>
      <c r="H634" s="52"/>
    </row>
    <row r="635" ht="12.75" customHeight="1">
      <c r="F635" s="51"/>
      <c r="G635" s="52"/>
      <c r="H635" s="52"/>
    </row>
    <row r="636" ht="12.75" customHeight="1">
      <c r="F636" s="51"/>
      <c r="G636" s="52"/>
      <c r="H636" s="52"/>
    </row>
    <row r="637" ht="12.75" customHeight="1">
      <c r="F637" s="51"/>
      <c r="G637" s="52"/>
      <c r="H637" s="52"/>
    </row>
    <row r="638" ht="12.75" customHeight="1">
      <c r="F638" s="51"/>
      <c r="G638" s="52"/>
      <c r="H638" s="52"/>
    </row>
    <row r="639" ht="12.75" customHeight="1">
      <c r="F639" s="51"/>
      <c r="G639" s="52"/>
      <c r="H639" s="52"/>
    </row>
    <row r="640" ht="12.75" customHeight="1">
      <c r="F640" s="51"/>
      <c r="G640" s="52"/>
      <c r="H640" s="52"/>
    </row>
    <row r="641" ht="12.75" customHeight="1">
      <c r="F641" s="51"/>
      <c r="G641" s="52"/>
      <c r="H641" s="52"/>
    </row>
    <row r="642" ht="12.75" customHeight="1">
      <c r="F642" s="51"/>
      <c r="G642" s="52"/>
      <c r="H642" s="52"/>
    </row>
    <row r="643" ht="12.75" customHeight="1">
      <c r="F643" s="51"/>
      <c r="G643" s="52"/>
      <c r="H643" s="52"/>
    </row>
    <row r="644" ht="12.75" customHeight="1">
      <c r="F644" s="51"/>
      <c r="G644" s="52"/>
      <c r="H644" s="52"/>
    </row>
    <row r="645" ht="12.75" customHeight="1">
      <c r="F645" s="51"/>
      <c r="G645" s="52"/>
      <c r="H645" s="52"/>
    </row>
    <row r="646" ht="12.75" customHeight="1">
      <c r="F646" s="51"/>
      <c r="G646" s="52"/>
      <c r="H646" s="52"/>
    </row>
    <row r="647" ht="12.75" customHeight="1">
      <c r="F647" s="51"/>
      <c r="G647" s="52"/>
      <c r="H647" s="52"/>
    </row>
    <row r="648" ht="12.75" customHeight="1">
      <c r="F648" s="51"/>
      <c r="G648" s="52"/>
      <c r="H648" s="52"/>
    </row>
    <row r="649" ht="12.75" customHeight="1">
      <c r="F649" s="51"/>
      <c r="G649" s="52"/>
      <c r="H649" s="52"/>
    </row>
    <row r="650" ht="12.75" customHeight="1">
      <c r="F650" s="51"/>
      <c r="G650" s="52"/>
      <c r="H650" s="52"/>
    </row>
    <row r="651" ht="12.75" customHeight="1">
      <c r="F651" s="51"/>
      <c r="G651" s="52"/>
      <c r="H651" s="52"/>
    </row>
    <row r="652" ht="12.75" customHeight="1">
      <c r="F652" s="51"/>
      <c r="G652" s="52"/>
      <c r="H652" s="52"/>
    </row>
    <row r="653" ht="12.75" customHeight="1">
      <c r="F653" s="51"/>
      <c r="G653" s="52"/>
      <c r="H653" s="52"/>
    </row>
    <row r="654" ht="12.75" customHeight="1">
      <c r="F654" s="51"/>
      <c r="G654" s="52"/>
      <c r="H654" s="52"/>
    </row>
    <row r="655" ht="12.75" customHeight="1">
      <c r="F655" s="51"/>
      <c r="G655" s="52"/>
      <c r="H655" s="52"/>
    </row>
    <row r="656" ht="12.75" customHeight="1">
      <c r="F656" s="51"/>
      <c r="G656" s="52"/>
      <c r="H656" s="52"/>
    </row>
    <row r="657" ht="12.75" customHeight="1">
      <c r="F657" s="51"/>
      <c r="G657" s="52"/>
      <c r="H657" s="52"/>
    </row>
    <row r="658" ht="12.75" customHeight="1">
      <c r="F658" s="51"/>
      <c r="G658" s="52"/>
      <c r="H658" s="52"/>
    </row>
    <row r="659" ht="12.75" customHeight="1">
      <c r="F659" s="51"/>
      <c r="G659" s="52"/>
      <c r="H659" s="52"/>
    </row>
    <row r="660" ht="12.75" customHeight="1">
      <c r="F660" s="51"/>
      <c r="G660" s="52"/>
      <c r="H660" s="52"/>
    </row>
    <row r="661" ht="12.75" customHeight="1">
      <c r="F661" s="51"/>
      <c r="G661" s="52"/>
      <c r="H661" s="52"/>
    </row>
    <row r="662" ht="12.75" customHeight="1">
      <c r="F662" s="51"/>
      <c r="G662" s="52"/>
      <c r="H662" s="52"/>
    </row>
    <row r="663" ht="12.75" customHeight="1">
      <c r="F663" s="51"/>
      <c r="G663" s="52"/>
      <c r="H663" s="52"/>
    </row>
    <row r="664" ht="12.75" customHeight="1">
      <c r="F664" s="51"/>
      <c r="G664" s="52"/>
      <c r="H664" s="52"/>
    </row>
    <row r="665" ht="12.75" customHeight="1">
      <c r="F665" s="51"/>
      <c r="G665" s="52"/>
      <c r="H665" s="52"/>
    </row>
    <row r="666" ht="12.75" customHeight="1">
      <c r="F666" s="51"/>
      <c r="G666" s="52"/>
      <c r="H666" s="52"/>
    </row>
    <row r="667" ht="12.75" customHeight="1">
      <c r="F667" s="51"/>
      <c r="G667" s="52"/>
      <c r="H667" s="52"/>
    </row>
    <row r="668" ht="12.75" customHeight="1">
      <c r="F668" s="51"/>
      <c r="G668" s="52"/>
      <c r="H668" s="52"/>
    </row>
    <row r="669" ht="12.75" customHeight="1">
      <c r="F669" s="51"/>
      <c r="G669" s="52"/>
      <c r="H669" s="52"/>
    </row>
    <row r="670" ht="12.75" customHeight="1">
      <c r="F670" s="51"/>
      <c r="G670" s="52"/>
      <c r="H670" s="52"/>
    </row>
    <row r="671" ht="12.75" customHeight="1">
      <c r="F671" s="51"/>
      <c r="G671" s="52"/>
      <c r="H671" s="52"/>
    </row>
    <row r="672" ht="12.75" customHeight="1">
      <c r="F672" s="51"/>
      <c r="G672" s="52"/>
      <c r="H672" s="52"/>
    </row>
    <row r="673" ht="12.75" customHeight="1">
      <c r="F673" s="51"/>
      <c r="G673" s="52"/>
      <c r="H673" s="52"/>
    </row>
    <row r="674" ht="12.75" customHeight="1">
      <c r="F674" s="51"/>
      <c r="G674" s="52"/>
      <c r="H674" s="52"/>
    </row>
    <row r="675" ht="12.75" customHeight="1">
      <c r="F675" s="51"/>
      <c r="G675" s="52"/>
      <c r="H675" s="52"/>
    </row>
    <row r="676" ht="12.75" customHeight="1">
      <c r="F676" s="51"/>
      <c r="G676" s="52"/>
      <c r="H676" s="52"/>
    </row>
    <row r="677" ht="12.75" customHeight="1">
      <c r="F677" s="51"/>
      <c r="G677" s="52"/>
      <c r="H677" s="52"/>
    </row>
    <row r="678" ht="12.75" customHeight="1">
      <c r="F678" s="51"/>
      <c r="G678" s="52"/>
      <c r="H678" s="52"/>
    </row>
    <row r="679" ht="12.75" customHeight="1">
      <c r="F679" s="51"/>
      <c r="G679" s="52"/>
      <c r="H679" s="52"/>
    </row>
    <row r="680" ht="12.75" customHeight="1">
      <c r="F680" s="51"/>
      <c r="G680" s="52"/>
      <c r="H680" s="52"/>
    </row>
    <row r="681" ht="12.75" customHeight="1">
      <c r="F681" s="51"/>
      <c r="G681" s="52"/>
      <c r="H681" s="52"/>
    </row>
    <row r="682" ht="12.75" customHeight="1">
      <c r="F682" s="51"/>
      <c r="G682" s="52"/>
      <c r="H682" s="52"/>
    </row>
    <row r="683" ht="12.75" customHeight="1">
      <c r="F683" s="51"/>
      <c r="G683" s="52"/>
      <c r="H683" s="52"/>
    </row>
    <row r="684" ht="12.75" customHeight="1">
      <c r="F684" s="51"/>
      <c r="G684" s="52"/>
      <c r="H684" s="52"/>
    </row>
    <row r="685" ht="12.75" customHeight="1">
      <c r="F685" s="51"/>
      <c r="G685" s="52"/>
      <c r="H685" s="52"/>
    </row>
    <row r="686" ht="12.75" customHeight="1">
      <c r="F686" s="51"/>
      <c r="G686" s="52"/>
      <c r="H686" s="52"/>
    </row>
    <row r="687" ht="12.75" customHeight="1">
      <c r="F687" s="51"/>
      <c r="G687" s="52"/>
      <c r="H687" s="52"/>
    </row>
    <row r="688" ht="12.75" customHeight="1">
      <c r="F688" s="51"/>
      <c r="G688" s="52"/>
      <c r="H688" s="52"/>
    </row>
    <row r="689" ht="12.75" customHeight="1">
      <c r="F689" s="51"/>
      <c r="G689" s="52"/>
      <c r="H689" s="52"/>
    </row>
    <row r="690" ht="12.75" customHeight="1">
      <c r="F690" s="51"/>
      <c r="G690" s="52"/>
      <c r="H690" s="52"/>
    </row>
    <row r="691" ht="12.75" customHeight="1">
      <c r="F691" s="51"/>
      <c r="G691" s="52"/>
      <c r="H691" s="52"/>
    </row>
    <row r="692" ht="12.75" customHeight="1">
      <c r="F692" s="51"/>
      <c r="G692" s="52"/>
      <c r="H692" s="52"/>
    </row>
    <row r="693" ht="12.75" customHeight="1">
      <c r="F693" s="51"/>
      <c r="G693" s="52"/>
      <c r="H693" s="52"/>
    </row>
    <row r="694" ht="12.75" customHeight="1">
      <c r="F694" s="51"/>
      <c r="G694" s="52"/>
      <c r="H694" s="52"/>
    </row>
    <row r="695" ht="12.75" customHeight="1">
      <c r="F695" s="51"/>
      <c r="G695" s="52"/>
      <c r="H695" s="52"/>
    </row>
    <row r="696" ht="12.75" customHeight="1">
      <c r="F696" s="51"/>
      <c r="G696" s="52"/>
      <c r="H696" s="52"/>
    </row>
    <row r="697" ht="12.75" customHeight="1">
      <c r="F697" s="51"/>
      <c r="G697" s="52"/>
      <c r="H697" s="52"/>
    </row>
    <row r="698" ht="12.75" customHeight="1">
      <c r="F698" s="51"/>
      <c r="G698" s="52"/>
      <c r="H698" s="52"/>
    </row>
    <row r="699" ht="12.75" customHeight="1">
      <c r="F699" s="51"/>
      <c r="G699" s="52"/>
      <c r="H699" s="52"/>
    </row>
    <row r="700" ht="12.75" customHeight="1">
      <c r="F700" s="51"/>
      <c r="G700" s="52"/>
      <c r="H700" s="52"/>
    </row>
    <row r="701" ht="12.75" customHeight="1">
      <c r="F701" s="51"/>
      <c r="G701" s="52"/>
      <c r="H701" s="52"/>
    </row>
    <row r="702" ht="12.75" customHeight="1">
      <c r="F702" s="51"/>
      <c r="G702" s="52"/>
      <c r="H702" s="52"/>
    </row>
    <row r="703" ht="12.75" customHeight="1">
      <c r="F703" s="51"/>
      <c r="G703" s="52"/>
      <c r="H703" s="52"/>
    </row>
    <row r="704" ht="12.75" customHeight="1">
      <c r="F704" s="51"/>
      <c r="G704" s="52"/>
      <c r="H704" s="52"/>
    </row>
    <row r="705" ht="12.75" customHeight="1">
      <c r="F705" s="51"/>
      <c r="G705" s="52"/>
      <c r="H705" s="52"/>
    </row>
    <row r="706" ht="12.75" customHeight="1">
      <c r="F706" s="51"/>
      <c r="G706" s="52"/>
      <c r="H706" s="52"/>
    </row>
    <row r="707" ht="12.75" customHeight="1">
      <c r="F707" s="51"/>
      <c r="G707" s="52"/>
      <c r="H707" s="52"/>
    </row>
    <row r="708" ht="12.75" customHeight="1">
      <c r="F708" s="51"/>
      <c r="G708" s="52"/>
      <c r="H708" s="52"/>
    </row>
    <row r="709" ht="12.75" customHeight="1">
      <c r="F709" s="51"/>
      <c r="G709" s="52"/>
      <c r="H709" s="52"/>
    </row>
    <row r="710" ht="12.75" customHeight="1">
      <c r="F710" s="51"/>
      <c r="G710" s="52"/>
      <c r="H710" s="52"/>
    </row>
    <row r="711" ht="12.75" customHeight="1">
      <c r="F711" s="51"/>
      <c r="G711" s="52"/>
      <c r="H711" s="52"/>
    </row>
    <row r="712" ht="12.75" customHeight="1">
      <c r="F712" s="51"/>
      <c r="G712" s="52"/>
      <c r="H712" s="52"/>
    </row>
    <row r="713" ht="12.75" customHeight="1">
      <c r="F713" s="51"/>
      <c r="G713" s="52"/>
      <c r="H713" s="52"/>
    </row>
    <row r="714" ht="12.75" customHeight="1">
      <c r="F714" s="51"/>
      <c r="G714" s="52"/>
      <c r="H714" s="52"/>
    </row>
    <row r="715" ht="12.75" customHeight="1">
      <c r="F715" s="51"/>
      <c r="G715" s="52"/>
      <c r="H715" s="52"/>
    </row>
    <row r="716" ht="12.75" customHeight="1">
      <c r="F716" s="51"/>
      <c r="G716" s="52"/>
      <c r="H716" s="52"/>
    </row>
    <row r="717" ht="12.75" customHeight="1">
      <c r="F717" s="51"/>
      <c r="G717" s="52"/>
      <c r="H717" s="52"/>
    </row>
    <row r="718" ht="12.75" customHeight="1">
      <c r="F718" s="51"/>
      <c r="G718" s="52"/>
      <c r="H718" s="52"/>
    </row>
    <row r="719" ht="12.75" customHeight="1">
      <c r="F719" s="51"/>
      <c r="G719" s="52"/>
      <c r="H719" s="52"/>
    </row>
    <row r="720" ht="12.75" customHeight="1">
      <c r="F720" s="51"/>
      <c r="G720" s="52"/>
      <c r="H720" s="52"/>
    </row>
    <row r="721" ht="12.75" customHeight="1">
      <c r="F721" s="51"/>
      <c r="G721" s="52"/>
      <c r="H721" s="52"/>
    </row>
    <row r="722" ht="12.75" customHeight="1">
      <c r="F722" s="51"/>
      <c r="G722" s="52"/>
      <c r="H722" s="52"/>
    </row>
    <row r="723" ht="12.75" customHeight="1">
      <c r="F723" s="51"/>
      <c r="G723" s="52"/>
      <c r="H723" s="52"/>
    </row>
    <row r="724" ht="12.75" customHeight="1">
      <c r="F724" s="51"/>
      <c r="G724" s="52"/>
      <c r="H724" s="52"/>
    </row>
    <row r="725" ht="12.75" customHeight="1">
      <c r="F725" s="51"/>
      <c r="G725" s="52"/>
      <c r="H725" s="52"/>
    </row>
    <row r="726" ht="12.75" customHeight="1">
      <c r="F726" s="51"/>
      <c r="G726" s="52"/>
      <c r="H726" s="52"/>
    </row>
    <row r="727" ht="12.75" customHeight="1">
      <c r="F727" s="51"/>
      <c r="G727" s="52"/>
      <c r="H727" s="52"/>
    </row>
    <row r="728" ht="12.75" customHeight="1">
      <c r="F728" s="51"/>
      <c r="G728" s="52"/>
      <c r="H728" s="52"/>
    </row>
    <row r="729" ht="12.75" customHeight="1">
      <c r="F729" s="51"/>
      <c r="G729" s="52"/>
      <c r="H729" s="52"/>
    </row>
    <row r="730" ht="12.75" customHeight="1">
      <c r="F730" s="51"/>
      <c r="G730" s="52"/>
      <c r="H730" s="52"/>
    </row>
    <row r="731" ht="12.75" customHeight="1">
      <c r="F731" s="51"/>
      <c r="G731" s="52"/>
      <c r="H731" s="52"/>
    </row>
    <row r="732" ht="12.75" customHeight="1">
      <c r="F732" s="51"/>
      <c r="G732" s="52"/>
      <c r="H732" s="52"/>
    </row>
    <row r="733" ht="12.75" customHeight="1">
      <c r="F733" s="51"/>
      <c r="G733" s="52"/>
      <c r="H733" s="52"/>
    </row>
    <row r="734" ht="12.75" customHeight="1">
      <c r="F734" s="51"/>
      <c r="G734" s="52"/>
      <c r="H734" s="52"/>
    </row>
    <row r="735" ht="12.75" customHeight="1">
      <c r="F735" s="51"/>
      <c r="G735" s="52"/>
      <c r="H735" s="52"/>
    </row>
    <row r="736" ht="12.75" customHeight="1">
      <c r="F736" s="51"/>
      <c r="G736" s="52"/>
      <c r="H736" s="52"/>
    </row>
    <row r="737" ht="12.75" customHeight="1">
      <c r="F737" s="51"/>
      <c r="G737" s="52"/>
      <c r="H737" s="52"/>
    </row>
    <row r="738" ht="12.75" customHeight="1">
      <c r="F738" s="51"/>
      <c r="G738" s="52"/>
      <c r="H738" s="52"/>
    </row>
    <row r="739" ht="12.75" customHeight="1">
      <c r="F739" s="51"/>
      <c r="G739" s="52"/>
      <c r="H739" s="52"/>
    </row>
    <row r="740" ht="12.75" customHeight="1">
      <c r="F740" s="51"/>
      <c r="G740" s="52"/>
      <c r="H740" s="52"/>
    </row>
    <row r="741" ht="12.75" customHeight="1">
      <c r="F741" s="51"/>
      <c r="G741" s="52"/>
      <c r="H741" s="52"/>
    </row>
    <row r="742" ht="12.75" customHeight="1">
      <c r="F742" s="51"/>
      <c r="G742" s="52"/>
      <c r="H742" s="52"/>
    </row>
    <row r="743" ht="12.75" customHeight="1">
      <c r="F743" s="51"/>
      <c r="G743" s="52"/>
      <c r="H743" s="52"/>
    </row>
    <row r="744" ht="12.75" customHeight="1">
      <c r="F744" s="51"/>
      <c r="G744" s="52"/>
      <c r="H744" s="52"/>
    </row>
    <row r="745" ht="12.75" customHeight="1">
      <c r="F745" s="51"/>
      <c r="G745" s="52"/>
      <c r="H745" s="52"/>
    </row>
    <row r="746" ht="12.75" customHeight="1">
      <c r="F746" s="51"/>
      <c r="G746" s="52"/>
      <c r="H746" s="52"/>
    </row>
    <row r="747" ht="12.75" customHeight="1">
      <c r="F747" s="51"/>
      <c r="G747" s="52"/>
      <c r="H747" s="52"/>
    </row>
    <row r="748" ht="12.75" customHeight="1">
      <c r="F748" s="51"/>
      <c r="G748" s="52"/>
      <c r="H748" s="52"/>
    </row>
    <row r="749" ht="12.75" customHeight="1">
      <c r="F749" s="51"/>
      <c r="G749" s="52"/>
      <c r="H749" s="52"/>
    </row>
    <row r="750" ht="12.75" customHeight="1">
      <c r="F750" s="51"/>
      <c r="G750" s="52"/>
      <c r="H750" s="52"/>
    </row>
    <row r="751" ht="12.75" customHeight="1">
      <c r="F751" s="51"/>
      <c r="G751" s="52"/>
      <c r="H751" s="52"/>
    </row>
    <row r="752" ht="12.75" customHeight="1">
      <c r="F752" s="51"/>
      <c r="G752" s="52"/>
      <c r="H752" s="52"/>
    </row>
    <row r="753" ht="12.75" customHeight="1">
      <c r="F753" s="51"/>
      <c r="G753" s="52"/>
      <c r="H753" s="52"/>
    </row>
    <row r="754" ht="12.75" customHeight="1">
      <c r="F754" s="51"/>
      <c r="G754" s="52"/>
      <c r="H754" s="52"/>
    </row>
    <row r="755" ht="12.75" customHeight="1">
      <c r="F755" s="51"/>
      <c r="G755" s="52"/>
      <c r="H755" s="52"/>
    </row>
    <row r="756" ht="12.75" customHeight="1">
      <c r="F756" s="51"/>
      <c r="G756" s="52"/>
      <c r="H756" s="52"/>
    </row>
    <row r="757" ht="12.75" customHeight="1">
      <c r="F757" s="51"/>
      <c r="G757" s="52"/>
      <c r="H757" s="52"/>
    </row>
    <row r="758" ht="12.75" customHeight="1">
      <c r="F758" s="51"/>
      <c r="G758" s="52"/>
      <c r="H758" s="52"/>
    </row>
    <row r="759" ht="12.75" customHeight="1">
      <c r="F759" s="51"/>
      <c r="G759" s="52"/>
      <c r="H759" s="52"/>
    </row>
    <row r="760" ht="12.75" customHeight="1">
      <c r="F760" s="51"/>
      <c r="G760" s="52"/>
      <c r="H760" s="52"/>
    </row>
    <row r="761" ht="12.75" customHeight="1">
      <c r="F761" s="51"/>
      <c r="G761" s="52"/>
      <c r="H761" s="52"/>
    </row>
    <row r="762" ht="12.75" customHeight="1">
      <c r="F762" s="51"/>
      <c r="G762" s="52"/>
      <c r="H762" s="52"/>
    </row>
    <row r="763" ht="12.75" customHeight="1">
      <c r="F763" s="51"/>
      <c r="G763" s="52"/>
      <c r="H763" s="52"/>
    </row>
    <row r="764" ht="12.75" customHeight="1">
      <c r="F764" s="51"/>
      <c r="G764" s="52"/>
      <c r="H764" s="52"/>
    </row>
    <row r="765" ht="12.75" customHeight="1">
      <c r="F765" s="51"/>
      <c r="G765" s="52"/>
      <c r="H765" s="52"/>
    </row>
    <row r="766" ht="12.75" customHeight="1">
      <c r="F766" s="51"/>
      <c r="G766" s="52"/>
      <c r="H766" s="52"/>
    </row>
    <row r="767" ht="12.75" customHeight="1">
      <c r="F767" s="51"/>
      <c r="G767" s="52"/>
      <c r="H767" s="52"/>
    </row>
    <row r="768" ht="12.75" customHeight="1">
      <c r="F768" s="51"/>
      <c r="G768" s="52"/>
      <c r="H768" s="52"/>
    </row>
    <row r="769" ht="12.75" customHeight="1">
      <c r="F769" s="51"/>
      <c r="G769" s="52"/>
      <c r="H769" s="52"/>
    </row>
    <row r="770" ht="12.75" customHeight="1">
      <c r="F770" s="51"/>
      <c r="G770" s="52"/>
      <c r="H770" s="52"/>
    </row>
    <row r="771" ht="12.75" customHeight="1">
      <c r="F771" s="51"/>
      <c r="G771" s="52"/>
      <c r="H771" s="52"/>
    </row>
    <row r="772" ht="12.75" customHeight="1">
      <c r="F772" s="51"/>
      <c r="G772" s="52"/>
      <c r="H772" s="52"/>
    </row>
    <row r="773" ht="12.75" customHeight="1">
      <c r="F773" s="51"/>
      <c r="G773" s="52"/>
      <c r="H773" s="52"/>
    </row>
    <row r="774" ht="12.75" customHeight="1">
      <c r="F774" s="51"/>
      <c r="G774" s="52"/>
      <c r="H774" s="52"/>
    </row>
    <row r="775" ht="12.75" customHeight="1">
      <c r="F775" s="51"/>
      <c r="G775" s="52"/>
      <c r="H775" s="52"/>
    </row>
    <row r="776" ht="12.75" customHeight="1">
      <c r="F776" s="51"/>
      <c r="G776" s="52"/>
      <c r="H776" s="52"/>
    </row>
    <row r="777" ht="12.75" customHeight="1">
      <c r="F777" s="51"/>
      <c r="G777" s="52"/>
      <c r="H777" s="52"/>
    </row>
    <row r="778" ht="12.75" customHeight="1">
      <c r="F778" s="51"/>
      <c r="G778" s="52"/>
      <c r="H778" s="52"/>
    </row>
    <row r="779" ht="12.75" customHeight="1">
      <c r="F779" s="51"/>
      <c r="G779" s="52"/>
      <c r="H779" s="52"/>
    </row>
    <row r="780" ht="12.75" customHeight="1">
      <c r="F780" s="51"/>
      <c r="G780" s="52"/>
      <c r="H780" s="52"/>
    </row>
    <row r="781" ht="12.75" customHeight="1">
      <c r="F781" s="51"/>
      <c r="G781" s="52"/>
      <c r="H781" s="52"/>
    </row>
    <row r="782" ht="12.75" customHeight="1">
      <c r="F782" s="51"/>
      <c r="G782" s="52"/>
      <c r="H782" s="52"/>
    </row>
    <row r="783" ht="12.75" customHeight="1">
      <c r="F783" s="51"/>
      <c r="G783" s="52"/>
      <c r="H783" s="52"/>
    </row>
    <row r="784" ht="12.75" customHeight="1">
      <c r="F784" s="51"/>
      <c r="G784" s="52"/>
      <c r="H784" s="52"/>
    </row>
    <row r="785" ht="12.75" customHeight="1">
      <c r="F785" s="51"/>
      <c r="G785" s="52"/>
      <c r="H785" s="52"/>
    </row>
    <row r="786" ht="12.75" customHeight="1">
      <c r="F786" s="51"/>
      <c r="G786" s="52"/>
      <c r="H786" s="52"/>
    </row>
    <row r="787" ht="12.75" customHeight="1">
      <c r="F787" s="51"/>
      <c r="G787" s="52"/>
      <c r="H787" s="52"/>
    </row>
    <row r="788" ht="12.75" customHeight="1">
      <c r="F788" s="51"/>
      <c r="G788" s="52"/>
      <c r="H788" s="52"/>
    </row>
    <row r="789" ht="12.75" customHeight="1">
      <c r="F789" s="51"/>
      <c r="G789" s="52"/>
      <c r="H789" s="52"/>
    </row>
    <row r="790" ht="12.75" customHeight="1">
      <c r="F790" s="51"/>
      <c r="G790" s="52"/>
      <c r="H790" s="52"/>
    </row>
    <row r="791" ht="12.75" customHeight="1">
      <c r="F791" s="51"/>
      <c r="G791" s="52"/>
      <c r="H791" s="52"/>
    </row>
    <row r="792" ht="12.75" customHeight="1">
      <c r="F792" s="51"/>
      <c r="G792" s="52"/>
      <c r="H792" s="52"/>
    </row>
    <row r="793" ht="12.75" customHeight="1">
      <c r="F793" s="51"/>
      <c r="G793" s="52"/>
      <c r="H793" s="52"/>
    </row>
    <row r="794" ht="12.75" customHeight="1">
      <c r="F794" s="51"/>
      <c r="G794" s="52"/>
      <c r="H794" s="52"/>
    </row>
    <row r="795" ht="12.75" customHeight="1">
      <c r="F795" s="51"/>
      <c r="G795" s="52"/>
      <c r="H795" s="52"/>
    </row>
    <row r="796" ht="12.75" customHeight="1">
      <c r="F796" s="51"/>
      <c r="G796" s="52"/>
      <c r="H796" s="52"/>
    </row>
    <row r="797" ht="12.75" customHeight="1">
      <c r="F797" s="51"/>
      <c r="G797" s="52"/>
      <c r="H797" s="52"/>
    </row>
    <row r="798" ht="12.75" customHeight="1">
      <c r="F798" s="51"/>
      <c r="G798" s="52"/>
      <c r="H798" s="52"/>
    </row>
    <row r="799" ht="12.75" customHeight="1">
      <c r="F799" s="51"/>
      <c r="G799" s="52"/>
      <c r="H799" s="52"/>
    </row>
    <row r="800" ht="12.75" customHeight="1">
      <c r="F800" s="51"/>
      <c r="G800" s="52"/>
      <c r="H800" s="52"/>
    </row>
    <row r="801" ht="12.75" customHeight="1">
      <c r="F801" s="51"/>
      <c r="G801" s="52"/>
      <c r="H801" s="52"/>
    </row>
    <row r="802" ht="12.75" customHeight="1">
      <c r="F802" s="51"/>
      <c r="G802" s="52"/>
      <c r="H802" s="52"/>
    </row>
    <row r="803" ht="12.75" customHeight="1">
      <c r="F803" s="51"/>
      <c r="G803" s="52"/>
      <c r="H803" s="52"/>
    </row>
    <row r="804" ht="12.75" customHeight="1">
      <c r="F804" s="51"/>
      <c r="G804" s="52"/>
      <c r="H804" s="52"/>
    </row>
    <row r="805" ht="12.75" customHeight="1">
      <c r="F805" s="51"/>
      <c r="G805" s="52"/>
      <c r="H805" s="52"/>
    </row>
    <row r="806" ht="12.75" customHeight="1">
      <c r="F806" s="51"/>
      <c r="G806" s="52"/>
      <c r="H806" s="52"/>
    </row>
    <row r="807" ht="12.75" customHeight="1">
      <c r="F807" s="51"/>
      <c r="G807" s="52"/>
      <c r="H807" s="52"/>
    </row>
    <row r="808" ht="12.75" customHeight="1">
      <c r="F808" s="51"/>
      <c r="G808" s="52"/>
      <c r="H808" s="52"/>
    </row>
    <row r="809" ht="12.75" customHeight="1">
      <c r="F809" s="51"/>
      <c r="G809" s="52"/>
      <c r="H809" s="52"/>
    </row>
    <row r="810" ht="12.75" customHeight="1">
      <c r="F810" s="51"/>
      <c r="G810" s="52"/>
      <c r="H810" s="52"/>
    </row>
    <row r="811" ht="12.75" customHeight="1">
      <c r="F811" s="51"/>
      <c r="G811" s="52"/>
      <c r="H811" s="52"/>
    </row>
    <row r="812" ht="12.75" customHeight="1">
      <c r="F812" s="51"/>
      <c r="G812" s="52"/>
      <c r="H812" s="52"/>
    </row>
    <row r="813" ht="12.75" customHeight="1">
      <c r="F813" s="51"/>
      <c r="G813" s="52"/>
      <c r="H813" s="52"/>
    </row>
    <row r="814" ht="12.75" customHeight="1">
      <c r="F814" s="51"/>
      <c r="G814" s="52"/>
      <c r="H814" s="52"/>
    </row>
    <row r="815" ht="12.75" customHeight="1">
      <c r="F815" s="51"/>
      <c r="G815" s="52"/>
      <c r="H815" s="52"/>
    </row>
    <row r="816" ht="12.75" customHeight="1">
      <c r="F816" s="51"/>
      <c r="G816" s="52"/>
      <c r="H816" s="52"/>
    </row>
    <row r="817" ht="12.75" customHeight="1">
      <c r="F817" s="51"/>
      <c r="G817" s="52"/>
      <c r="H817" s="52"/>
    </row>
    <row r="818" ht="12.75" customHeight="1">
      <c r="F818" s="51"/>
      <c r="G818" s="52"/>
      <c r="H818" s="52"/>
    </row>
    <row r="819" ht="12.75" customHeight="1">
      <c r="F819" s="51"/>
      <c r="G819" s="52"/>
      <c r="H819" s="52"/>
    </row>
    <row r="820" ht="12.75" customHeight="1">
      <c r="F820" s="51"/>
      <c r="G820" s="52"/>
      <c r="H820" s="52"/>
    </row>
    <row r="821" ht="12.75" customHeight="1">
      <c r="F821" s="51"/>
      <c r="G821" s="52"/>
      <c r="H821" s="52"/>
    </row>
    <row r="822" ht="12.75" customHeight="1">
      <c r="F822" s="51"/>
      <c r="G822" s="52"/>
      <c r="H822" s="52"/>
    </row>
    <row r="823" ht="12.75" customHeight="1">
      <c r="F823" s="51"/>
      <c r="G823" s="52"/>
      <c r="H823" s="52"/>
    </row>
    <row r="824" ht="12.75" customHeight="1">
      <c r="F824" s="51"/>
      <c r="G824" s="52"/>
      <c r="H824" s="52"/>
    </row>
    <row r="825" ht="12.75" customHeight="1">
      <c r="F825" s="51"/>
      <c r="G825" s="52"/>
      <c r="H825" s="52"/>
    </row>
    <row r="826" ht="12.75" customHeight="1">
      <c r="F826" s="51"/>
      <c r="G826" s="52"/>
      <c r="H826" s="52"/>
    </row>
    <row r="827" ht="12.75" customHeight="1">
      <c r="F827" s="51"/>
      <c r="G827" s="52"/>
      <c r="H827" s="52"/>
    </row>
    <row r="828" ht="12.75" customHeight="1">
      <c r="F828" s="51"/>
      <c r="G828" s="52"/>
      <c r="H828" s="52"/>
    </row>
    <row r="829" ht="12.75" customHeight="1">
      <c r="F829" s="51"/>
      <c r="G829" s="52"/>
      <c r="H829" s="52"/>
    </row>
    <row r="830" ht="12.75" customHeight="1">
      <c r="F830" s="51"/>
      <c r="G830" s="52"/>
      <c r="H830" s="52"/>
    </row>
    <row r="831" ht="12.75" customHeight="1">
      <c r="F831" s="51"/>
      <c r="G831" s="52"/>
      <c r="H831" s="52"/>
    </row>
    <row r="832" ht="12.75" customHeight="1">
      <c r="F832" s="51"/>
      <c r="G832" s="52"/>
      <c r="H832" s="52"/>
    </row>
    <row r="833" ht="12.75" customHeight="1">
      <c r="F833" s="51"/>
      <c r="G833" s="52"/>
      <c r="H833" s="52"/>
    </row>
    <row r="834" ht="12.75" customHeight="1">
      <c r="F834" s="51"/>
      <c r="G834" s="52"/>
      <c r="H834" s="52"/>
    </row>
    <row r="835" ht="12.75" customHeight="1">
      <c r="F835" s="51"/>
      <c r="G835" s="52"/>
      <c r="H835" s="52"/>
    </row>
    <row r="836" ht="12.75" customHeight="1">
      <c r="F836" s="51"/>
      <c r="G836" s="52"/>
      <c r="H836" s="52"/>
    </row>
    <row r="837" ht="12.75" customHeight="1">
      <c r="F837" s="51"/>
      <c r="G837" s="52"/>
      <c r="H837" s="52"/>
    </row>
    <row r="838" ht="12.75" customHeight="1">
      <c r="F838" s="51"/>
      <c r="G838" s="52"/>
      <c r="H838" s="52"/>
    </row>
    <row r="839" ht="12.75" customHeight="1">
      <c r="F839" s="51"/>
      <c r="G839" s="52"/>
      <c r="H839" s="52"/>
    </row>
    <row r="840" ht="12.75" customHeight="1">
      <c r="F840" s="51"/>
      <c r="G840" s="52"/>
      <c r="H840" s="52"/>
    </row>
    <row r="841" ht="12.75" customHeight="1">
      <c r="F841" s="51"/>
      <c r="G841" s="52"/>
      <c r="H841" s="52"/>
    </row>
    <row r="842" ht="12.75" customHeight="1">
      <c r="F842" s="51"/>
      <c r="G842" s="52"/>
      <c r="H842" s="52"/>
    </row>
    <row r="843" ht="12.75" customHeight="1">
      <c r="F843" s="51"/>
      <c r="G843" s="52"/>
      <c r="H843" s="52"/>
    </row>
    <row r="844" ht="12.75" customHeight="1">
      <c r="F844" s="51"/>
      <c r="G844" s="52"/>
      <c r="H844" s="52"/>
    </row>
    <row r="845" ht="12.75" customHeight="1">
      <c r="F845" s="51"/>
      <c r="G845" s="52"/>
      <c r="H845" s="52"/>
    </row>
    <row r="846" ht="12.75" customHeight="1">
      <c r="F846" s="51"/>
      <c r="G846" s="52"/>
      <c r="H846" s="52"/>
    </row>
    <row r="847" ht="12.75" customHeight="1">
      <c r="F847" s="51"/>
      <c r="G847" s="52"/>
      <c r="H847" s="52"/>
    </row>
    <row r="848" ht="12.75" customHeight="1">
      <c r="F848" s="51"/>
      <c r="G848" s="52"/>
      <c r="H848" s="52"/>
    </row>
    <row r="849" ht="12.75" customHeight="1">
      <c r="F849" s="51"/>
      <c r="G849" s="52"/>
      <c r="H849" s="52"/>
    </row>
    <row r="850" ht="12.75" customHeight="1">
      <c r="F850" s="51"/>
      <c r="G850" s="52"/>
      <c r="H850" s="52"/>
    </row>
    <row r="851" ht="12.75" customHeight="1">
      <c r="F851" s="51"/>
      <c r="G851" s="52"/>
      <c r="H851" s="52"/>
    </row>
    <row r="852" ht="12.75" customHeight="1">
      <c r="F852" s="51"/>
      <c r="G852" s="52"/>
      <c r="H852" s="52"/>
    </row>
    <row r="853" ht="12.75" customHeight="1">
      <c r="F853" s="51"/>
      <c r="G853" s="52"/>
      <c r="H853" s="52"/>
    </row>
    <row r="854" ht="12.75" customHeight="1">
      <c r="F854" s="51"/>
      <c r="G854" s="52"/>
      <c r="H854" s="52"/>
    </row>
    <row r="855" ht="12.75" customHeight="1">
      <c r="F855" s="51"/>
      <c r="G855" s="52"/>
      <c r="H855" s="52"/>
    </row>
    <row r="856" ht="12.75" customHeight="1">
      <c r="F856" s="51"/>
      <c r="G856" s="52"/>
      <c r="H856" s="52"/>
    </row>
    <row r="857" ht="12.75" customHeight="1">
      <c r="F857" s="51"/>
      <c r="G857" s="52"/>
      <c r="H857" s="52"/>
    </row>
    <row r="858" ht="12.75" customHeight="1">
      <c r="F858" s="51"/>
      <c r="G858" s="52"/>
      <c r="H858" s="52"/>
    </row>
    <row r="859" ht="12.75" customHeight="1">
      <c r="F859" s="51"/>
      <c r="G859" s="52"/>
      <c r="H859" s="52"/>
    </row>
    <row r="860" ht="12.75" customHeight="1">
      <c r="F860" s="51"/>
      <c r="G860" s="52"/>
      <c r="H860" s="52"/>
    </row>
    <row r="861" ht="12.75" customHeight="1">
      <c r="F861" s="51"/>
      <c r="G861" s="52"/>
      <c r="H861" s="52"/>
    </row>
    <row r="862" ht="12.75" customHeight="1">
      <c r="F862" s="51"/>
      <c r="G862" s="52"/>
      <c r="H862" s="52"/>
    </row>
    <row r="863" ht="12.75" customHeight="1">
      <c r="F863" s="51"/>
      <c r="G863" s="52"/>
      <c r="H863" s="52"/>
    </row>
    <row r="864" ht="12.75" customHeight="1">
      <c r="F864" s="51"/>
      <c r="G864" s="52"/>
      <c r="H864" s="52"/>
    </row>
    <row r="865" ht="12.75" customHeight="1">
      <c r="F865" s="51"/>
      <c r="G865" s="52"/>
      <c r="H865" s="52"/>
    </row>
    <row r="866" ht="12.75" customHeight="1">
      <c r="F866" s="51"/>
      <c r="G866" s="52"/>
      <c r="H866" s="52"/>
    </row>
    <row r="867" ht="12.75" customHeight="1">
      <c r="F867" s="51"/>
      <c r="G867" s="52"/>
      <c r="H867" s="52"/>
    </row>
    <row r="868" ht="12.75" customHeight="1">
      <c r="F868" s="51"/>
      <c r="G868" s="52"/>
      <c r="H868" s="52"/>
    </row>
    <row r="869" ht="12.75" customHeight="1">
      <c r="F869" s="51"/>
      <c r="G869" s="52"/>
      <c r="H869" s="52"/>
    </row>
    <row r="870" ht="12.75" customHeight="1">
      <c r="F870" s="51"/>
      <c r="G870" s="52"/>
      <c r="H870" s="52"/>
    </row>
    <row r="871" ht="12.75" customHeight="1">
      <c r="F871" s="51"/>
      <c r="G871" s="52"/>
      <c r="H871" s="52"/>
    </row>
    <row r="872" ht="12.75" customHeight="1">
      <c r="F872" s="51"/>
      <c r="G872" s="52"/>
      <c r="H872" s="52"/>
    </row>
    <row r="873" ht="12.75" customHeight="1">
      <c r="F873" s="51"/>
      <c r="G873" s="52"/>
      <c r="H873" s="52"/>
    </row>
    <row r="874" ht="12.75" customHeight="1">
      <c r="F874" s="51"/>
      <c r="G874" s="52"/>
      <c r="H874" s="52"/>
    </row>
    <row r="875" ht="12.75" customHeight="1">
      <c r="F875" s="51"/>
      <c r="G875" s="52"/>
      <c r="H875" s="52"/>
    </row>
    <row r="876" ht="12.75" customHeight="1">
      <c r="F876" s="51"/>
      <c r="G876" s="52"/>
      <c r="H876" s="52"/>
    </row>
    <row r="877" ht="12.75" customHeight="1">
      <c r="F877" s="51"/>
      <c r="G877" s="52"/>
      <c r="H877" s="52"/>
    </row>
    <row r="878" ht="12.75" customHeight="1">
      <c r="F878" s="51"/>
      <c r="G878" s="52"/>
      <c r="H878" s="52"/>
    </row>
    <row r="879" ht="12.75" customHeight="1">
      <c r="F879" s="51"/>
      <c r="G879" s="52"/>
      <c r="H879" s="52"/>
    </row>
    <row r="880" ht="12.75" customHeight="1">
      <c r="F880" s="51"/>
      <c r="G880" s="52"/>
      <c r="H880" s="52"/>
    </row>
    <row r="881" ht="12.75" customHeight="1">
      <c r="F881" s="51"/>
      <c r="G881" s="52"/>
      <c r="H881" s="52"/>
    </row>
    <row r="882" ht="12.75" customHeight="1">
      <c r="F882" s="51"/>
      <c r="G882" s="52"/>
      <c r="H882" s="52"/>
    </row>
    <row r="883" ht="12.75" customHeight="1">
      <c r="F883" s="51"/>
      <c r="G883" s="52"/>
      <c r="H883" s="52"/>
    </row>
    <row r="884" ht="12.75" customHeight="1">
      <c r="F884" s="51"/>
      <c r="G884" s="52"/>
      <c r="H884" s="52"/>
    </row>
    <row r="885" ht="12.75" customHeight="1">
      <c r="F885" s="51"/>
      <c r="G885" s="52"/>
      <c r="H885" s="52"/>
    </row>
    <row r="886" ht="12.75" customHeight="1">
      <c r="F886" s="51"/>
      <c r="G886" s="52"/>
      <c r="H886" s="52"/>
    </row>
    <row r="887" ht="12.75" customHeight="1">
      <c r="F887" s="51"/>
      <c r="G887" s="52"/>
      <c r="H887" s="52"/>
    </row>
    <row r="888" ht="12.75" customHeight="1">
      <c r="F888" s="51"/>
      <c r="G888" s="52"/>
      <c r="H888" s="52"/>
    </row>
    <row r="889" ht="12.75" customHeight="1">
      <c r="F889" s="51"/>
      <c r="G889" s="52"/>
      <c r="H889" s="52"/>
    </row>
    <row r="890" ht="12.75" customHeight="1">
      <c r="F890" s="51"/>
      <c r="G890" s="52"/>
      <c r="H890" s="52"/>
    </row>
    <row r="891" ht="12.75" customHeight="1">
      <c r="F891" s="51"/>
      <c r="G891" s="52"/>
      <c r="H891" s="52"/>
    </row>
    <row r="892" ht="12.75" customHeight="1">
      <c r="F892" s="51"/>
      <c r="G892" s="52"/>
      <c r="H892" s="52"/>
    </row>
    <row r="893" ht="12.75" customHeight="1">
      <c r="F893" s="51"/>
      <c r="G893" s="52"/>
      <c r="H893" s="52"/>
    </row>
    <row r="894" ht="12.75" customHeight="1">
      <c r="F894" s="51"/>
      <c r="G894" s="52"/>
      <c r="H894" s="52"/>
    </row>
    <row r="895" ht="12.75" customHeight="1">
      <c r="F895" s="51"/>
      <c r="G895" s="52"/>
      <c r="H895" s="52"/>
    </row>
    <row r="896" ht="12.75" customHeight="1">
      <c r="F896" s="51"/>
      <c r="G896" s="52"/>
      <c r="H896" s="52"/>
    </row>
    <row r="897" ht="12.75" customHeight="1">
      <c r="F897" s="51"/>
      <c r="G897" s="52"/>
      <c r="H897" s="52"/>
    </row>
    <row r="898" ht="12.75" customHeight="1">
      <c r="F898" s="51"/>
      <c r="G898" s="52"/>
      <c r="H898" s="52"/>
    </row>
    <row r="899" ht="12.75" customHeight="1">
      <c r="F899" s="51"/>
      <c r="G899" s="52"/>
      <c r="H899" s="52"/>
    </row>
    <row r="900" ht="12.75" customHeight="1">
      <c r="F900" s="51"/>
      <c r="G900" s="52"/>
      <c r="H900" s="52"/>
    </row>
    <row r="901" ht="12.75" customHeight="1">
      <c r="F901" s="51"/>
      <c r="G901" s="52"/>
      <c r="H901" s="52"/>
    </row>
    <row r="902" ht="12.75" customHeight="1">
      <c r="F902" s="51"/>
      <c r="G902" s="52"/>
      <c r="H902" s="52"/>
    </row>
    <row r="903" ht="12.75" customHeight="1">
      <c r="F903" s="51"/>
      <c r="G903" s="52"/>
      <c r="H903" s="52"/>
    </row>
    <row r="904" ht="12.75" customHeight="1">
      <c r="F904" s="51"/>
      <c r="G904" s="52"/>
      <c r="H904" s="52"/>
    </row>
    <row r="905" ht="12.75" customHeight="1">
      <c r="F905" s="51"/>
      <c r="G905" s="52"/>
      <c r="H905" s="52"/>
    </row>
    <row r="906" ht="12.75" customHeight="1">
      <c r="F906" s="51"/>
      <c r="G906" s="52"/>
      <c r="H906" s="52"/>
    </row>
    <row r="907" ht="12.75" customHeight="1">
      <c r="F907" s="51"/>
      <c r="G907" s="52"/>
      <c r="H907" s="52"/>
    </row>
    <row r="908" ht="12.75" customHeight="1">
      <c r="F908" s="51"/>
      <c r="G908" s="52"/>
      <c r="H908" s="52"/>
    </row>
    <row r="909" ht="12.75" customHeight="1">
      <c r="F909" s="51"/>
      <c r="G909" s="52"/>
      <c r="H909" s="52"/>
    </row>
    <row r="910" ht="12.75" customHeight="1">
      <c r="F910" s="51"/>
      <c r="G910" s="52"/>
      <c r="H910" s="52"/>
    </row>
    <row r="911" ht="12.75" customHeight="1">
      <c r="F911" s="51"/>
      <c r="G911" s="52"/>
      <c r="H911" s="52"/>
    </row>
    <row r="912" ht="12.75" customHeight="1">
      <c r="F912" s="51"/>
      <c r="G912" s="52"/>
      <c r="H912" s="52"/>
    </row>
    <row r="913" ht="12.75" customHeight="1">
      <c r="F913" s="51"/>
      <c r="G913" s="52"/>
      <c r="H913" s="52"/>
    </row>
    <row r="914" ht="12.75" customHeight="1">
      <c r="F914" s="51"/>
      <c r="G914" s="52"/>
      <c r="H914" s="52"/>
    </row>
    <row r="915" ht="12.75" customHeight="1">
      <c r="F915" s="51"/>
      <c r="G915" s="52"/>
      <c r="H915" s="52"/>
    </row>
    <row r="916" ht="12.75" customHeight="1">
      <c r="F916" s="51"/>
      <c r="G916" s="52"/>
      <c r="H916" s="52"/>
    </row>
    <row r="917" ht="12.75" customHeight="1">
      <c r="F917" s="51"/>
      <c r="G917" s="52"/>
      <c r="H917" s="52"/>
    </row>
    <row r="918" ht="12.75" customHeight="1">
      <c r="F918" s="51"/>
      <c r="G918" s="52"/>
      <c r="H918" s="52"/>
    </row>
    <row r="919" ht="12.75" customHeight="1">
      <c r="F919" s="51"/>
      <c r="G919" s="52"/>
      <c r="H919" s="52"/>
    </row>
    <row r="920" ht="12.75" customHeight="1">
      <c r="F920" s="51"/>
      <c r="G920" s="52"/>
      <c r="H920" s="52"/>
    </row>
    <row r="921" ht="12.75" customHeight="1">
      <c r="F921" s="51"/>
      <c r="G921" s="52"/>
      <c r="H921" s="52"/>
    </row>
    <row r="922" ht="12.75" customHeight="1">
      <c r="F922" s="51"/>
      <c r="G922" s="52"/>
      <c r="H922" s="52"/>
    </row>
    <row r="923" ht="12.75" customHeight="1">
      <c r="F923" s="51"/>
      <c r="G923" s="52"/>
      <c r="H923" s="52"/>
    </row>
    <row r="924" ht="12.75" customHeight="1">
      <c r="F924" s="51"/>
      <c r="G924" s="52"/>
      <c r="H924" s="52"/>
    </row>
    <row r="925" ht="12.75" customHeight="1">
      <c r="F925" s="51"/>
      <c r="G925" s="52"/>
      <c r="H925" s="52"/>
    </row>
    <row r="926" ht="12.75" customHeight="1">
      <c r="F926" s="51"/>
      <c r="G926" s="52"/>
      <c r="H926" s="52"/>
    </row>
    <row r="927" ht="12.75" customHeight="1">
      <c r="F927" s="51"/>
      <c r="G927" s="52"/>
      <c r="H927" s="52"/>
    </row>
    <row r="928" ht="12.75" customHeight="1">
      <c r="F928" s="51"/>
      <c r="G928" s="52"/>
      <c r="H928" s="52"/>
    </row>
    <row r="929" ht="12.75" customHeight="1">
      <c r="F929" s="51"/>
      <c r="G929" s="52"/>
      <c r="H929" s="52"/>
    </row>
    <row r="930" ht="12.75" customHeight="1">
      <c r="F930" s="51"/>
      <c r="G930" s="52"/>
      <c r="H930" s="52"/>
    </row>
    <row r="931" ht="12.75" customHeight="1">
      <c r="F931" s="51"/>
      <c r="G931" s="52"/>
      <c r="H931" s="52"/>
    </row>
    <row r="932" ht="12.75" customHeight="1">
      <c r="F932" s="51"/>
      <c r="G932" s="52"/>
      <c r="H932" s="52"/>
    </row>
    <row r="933" ht="12.75" customHeight="1">
      <c r="F933" s="51"/>
      <c r="G933" s="52"/>
      <c r="H933" s="52"/>
    </row>
    <row r="934" ht="12.75" customHeight="1">
      <c r="F934" s="51"/>
      <c r="G934" s="52"/>
      <c r="H934" s="52"/>
    </row>
    <row r="935" ht="12.75" customHeight="1">
      <c r="F935" s="51"/>
      <c r="G935" s="52"/>
      <c r="H935" s="52"/>
    </row>
    <row r="936" ht="12.75" customHeight="1">
      <c r="F936" s="51"/>
      <c r="G936" s="52"/>
      <c r="H936" s="52"/>
    </row>
    <row r="937" ht="12.75" customHeight="1">
      <c r="F937" s="51"/>
      <c r="G937" s="52"/>
      <c r="H937" s="52"/>
    </row>
    <row r="938" ht="12.75" customHeight="1">
      <c r="F938" s="51"/>
      <c r="G938" s="52"/>
      <c r="H938" s="52"/>
    </row>
    <row r="939" ht="12.75" customHeight="1">
      <c r="F939" s="51"/>
      <c r="G939" s="52"/>
      <c r="H939" s="52"/>
    </row>
    <row r="940" ht="12.75" customHeight="1">
      <c r="F940" s="51"/>
      <c r="G940" s="52"/>
      <c r="H940" s="52"/>
    </row>
    <row r="941" ht="12.75" customHeight="1">
      <c r="F941" s="51"/>
      <c r="G941" s="52"/>
      <c r="H941" s="52"/>
    </row>
    <row r="942" ht="12.75" customHeight="1">
      <c r="F942" s="51"/>
      <c r="G942" s="52"/>
      <c r="H942" s="52"/>
    </row>
    <row r="943" ht="12.75" customHeight="1">
      <c r="F943" s="51"/>
      <c r="G943" s="52"/>
      <c r="H943" s="52"/>
    </row>
    <row r="944" ht="12.75" customHeight="1">
      <c r="F944" s="51"/>
      <c r="G944" s="52"/>
      <c r="H944" s="52"/>
    </row>
    <row r="945" ht="12.75" customHeight="1">
      <c r="F945" s="51"/>
      <c r="G945" s="52"/>
      <c r="H945" s="52"/>
    </row>
    <row r="946" ht="12.75" customHeight="1">
      <c r="F946" s="51"/>
      <c r="G946" s="52"/>
      <c r="H946" s="52"/>
    </row>
    <row r="947" ht="12.75" customHeight="1">
      <c r="F947" s="51"/>
      <c r="G947" s="52"/>
      <c r="H947" s="52"/>
    </row>
    <row r="948" ht="12.75" customHeight="1">
      <c r="F948" s="51"/>
      <c r="G948" s="52"/>
      <c r="H948" s="52"/>
    </row>
    <row r="949" ht="12.75" customHeight="1">
      <c r="F949" s="51"/>
      <c r="G949" s="52"/>
      <c r="H949" s="52"/>
    </row>
    <row r="950" ht="12.75" customHeight="1">
      <c r="F950" s="51"/>
      <c r="G950" s="52"/>
      <c r="H950" s="52"/>
    </row>
    <row r="951" ht="12.75" customHeight="1">
      <c r="F951" s="51"/>
      <c r="G951" s="52"/>
      <c r="H951" s="52"/>
    </row>
    <row r="952" ht="12.75" customHeight="1">
      <c r="F952" s="51"/>
      <c r="G952" s="52"/>
      <c r="H952" s="52"/>
    </row>
    <row r="953" ht="12.75" customHeight="1">
      <c r="F953" s="51"/>
      <c r="G953" s="52"/>
      <c r="H953" s="52"/>
    </row>
    <row r="954" ht="12.75" customHeight="1">
      <c r="F954" s="51"/>
      <c r="G954" s="52"/>
      <c r="H954" s="52"/>
    </row>
    <row r="955" ht="12.75" customHeight="1">
      <c r="F955" s="51"/>
      <c r="G955" s="52"/>
      <c r="H955" s="52"/>
    </row>
    <row r="956" ht="12.75" customHeight="1">
      <c r="F956" s="51"/>
      <c r="G956" s="52"/>
      <c r="H956" s="52"/>
    </row>
    <row r="957" ht="12.75" customHeight="1">
      <c r="F957" s="51"/>
      <c r="G957" s="52"/>
      <c r="H957" s="52"/>
    </row>
    <row r="958" ht="12.75" customHeight="1">
      <c r="F958" s="51"/>
      <c r="G958" s="52"/>
      <c r="H958" s="52"/>
    </row>
    <row r="959" ht="12.75" customHeight="1">
      <c r="F959" s="51"/>
      <c r="G959" s="52"/>
      <c r="H959" s="52"/>
    </row>
    <row r="960" ht="12.75" customHeight="1">
      <c r="F960" s="51"/>
      <c r="G960" s="52"/>
      <c r="H960" s="52"/>
    </row>
    <row r="961" ht="12.75" customHeight="1">
      <c r="F961" s="51"/>
      <c r="G961" s="52"/>
      <c r="H961" s="52"/>
    </row>
    <row r="962" ht="12.75" customHeight="1">
      <c r="F962" s="51"/>
      <c r="G962" s="52"/>
      <c r="H962" s="52"/>
    </row>
    <row r="963" ht="12.75" customHeight="1">
      <c r="F963" s="51"/>
      <c r="G963" s="52"/>
      <c r="H963" s="52"/>
    </row>
    <row r="964" ht="12.75" customHeight="1">
      <c r="F964" s="51"/>
      <c r="G964" s="52"/>
      <c r="H964" s="52"/>
    </row>
    <row r="965" ht="12.75" customHeight="1">
      <c r="F965" s="51"/>
      <c r="G965" s="52"/>
      <c r="H965" s="52"/>
    </row>
    <row r="966" ht="12.75" customHeight="1">
      <c r="F966" s="51"/>
      <c r="G966" s="52"/>
      <c r="H966" s="52"/>
    </row>
    <row r="967" ht="12.75" customHeight="1">
      <c r="F967" s="51"/>
      <c r="G967" s="52"/>
      <c r="H967" s="52"/>
    </row>
    <row r="968" ht="12.75" customHeight="1">
      <c r="F968" s="51"/>
      <c r="G968" s="52"/>
      <c r="H968" s="52"/>
    </row>
    <row r="969" ht="12.75" customHeight="1">
      <c r="F969" s="51"/>
      <c r="G969" s="52"/>
      <c r="H969" s="52"/>
    </row>
    <row r="970" ht="12.75" customHeight="1">
      <c r="F970" s="51"/>
      <c r="G970" s="52"/>
      <c r="H970" s="52"/>
    </row>
    <row r="971" ht="12.75" customHeight="1">
      <c r="F971" s="51"/>
      <c r="G971" s="52"/>
      <c r="H971" s="52"/>
    </row>
    <row r="972" ht="12.75" customHeight="1">
      <c r="F972" s="51"/>
      <c r="G972" s="52"/>
      <c r="H972" s="52"/>
    </row>
    <row r="973" ht="12.75" customHeight="1">
      <c r="F973" s="51"/>
      <c r="G973" s="52"/>
      <c r="H973" s="52"/>
    </row>
    <row r="974" ht="12.75" customHeight="1">
      <c r="F974" s="51"/>
      <c r="G974" s="52"/>
      <c r="H974" s="52"/>
    </row>
    <row r="975" ht="12.75" customHeight="1">
      <c r="F975" s="51"/>
      <c r="G975" s="52"/>
      <c r="H975" s="52"/>
    </row>
    <row r="976" ht="12.75" customHeight="1">
      <c r="F976" s="51"/>
      <c r="G976" s="52"/>
      <c r="H976" s="52"/>
    </row>
    <row r="977" ht="12.75" customHeight="1">
      <c r="F977" s="51"/>
      <c r="G977" s="52"/>
      <c r="H977" s="52"/>
    </row>
    <row r="978" ht="12.75" customHeight="1">
      <c r="F978" s="51"/>
      <c r="G978" s="52"/>
      <c r="H978" s="52"/>
    </row>
    <row r="979" ht="12.75" customHeight="1">
      <c r="F979" s="51"/>
      <c r="G979" s="52"/>
      <c r="H979" s="52"/>
    </row>
    <row r="980" ht="12.75" customHeight="1">
      <c r="F980" s="51"/>
      <c r="G980" s="52"/>
      <c r="H980" s="52"/>
    </row>
    <row r="981" ht="12.75" customHeight="1">
      <c r="F981" s="51"/>
      <c r="G981" s="52"/>
      <c r="H981" s="52"/>
    </row>
    <row r="982" ht="12.75" customHeight="1">
      <c r="F982" s="51"/>
      <c r="G982" s="52"/>
      <c r="H982" s="52"/>
    </row>
    <row r="983" ht="12.75" customHeight="1">
      <c r="F983" s="51"/>
      <c r="G983" s="52"/>
      <c r="H983" s="52"/>
    </row>
    <row r="984" ht="12.75" customHeight="1">
      <c r="F984" s="51"/>
      <c r="G984" s="52"/>
      <c r="H984" s="52"/>
    </row>
    <row r="985" ht="12.75" customHeight="1">
      <c r="F985" s="51"/>
      <c r="G985" s="52"/>
      <c r="H985" s="52"/>
    </row>
    <row r="986" ht="12.75" customHeight="1">
      <c r="F986" s="51"/>
      <c r="G986" s="52"/>
      <c r="H986" s="52"/>
    </row>
    <row r="987" ht="12.75" customHeight="1">
      <c r="F987" s="51"/>
      <c r="G987" s="52"/>
      <c r="H987" s="52"/>
    </row>
    <row r="988" ht="12.75" customHeight="1">
      <c r="F988" s="51"/>
      <c r="G988" s="52"/>
      <c r="H988" s="52"/>
    </row>
    <row r="989" ht="12.75" customHeight="1">
      <c r="F989" s="51"/>
      <c r="G989" s="52"/>
      <c r="H989" s="52"/>
    </row>
    <row r="990" ht="12.75" customHeight="1">
      <c r="F990" s="51"/>
      <c r="G990" s="52"/>
      <c r="H990" s="52"/>
    </row>
    <row r="991" ht="12.75" customHeight="1">
      <c r="F991" s="51"/>
      <c r="G991" s="52"/>
      <c r="H991" s="52"/>
    </row>
    <row r="992" ht="12.75" customHeight="1">
      <c r="F992" s="51"/>
      <c r="G992" s="52"/>
      <c r="H992" s="52"/>
    </row>
    <row r="993" ht="12.75" customHeight="1">
      <c r="F993" s="51"/>
      <c r="G993" s="52"/>
      <c r="H993" s="52"/>
    </row>
    <row r="994" ht="12.75" customHeight="1">
      <c r="F994" s="51"/>
      <c r="G994" s="52"/>
      <c r="H994" s="52"/>
    </row>
    <row r="995" ht="12.75" customHeight="1">
      <c r="F995" s="51"/>
      <c r="G995" s="52"/>
      <c r="H995" s="52"/>
    </row>
    <row r="996" ht="12.75" customHeight="1">
      <c r="F996" s="51"/>
      <c r="G996" s="52"/>
      <c r="H996" s="52"/>
    </row>
    <row r="997" ht="12.75" customHeight="1">
      <c r="F997" s="51"/>
      <c r="G997" s="52"/>
      <c r="H997" s="52"/>
    </row>
    <row r="998" ht="12.75" customHeight="1">
      <c r="F998" s="51"/>
      <c r="G998" s="52"/>
      <c r="H998" s="52"/>
    </row>
    <row r="999" ht="12.75" customHeight="1">
      <c r="F999" s="51"/>
      <c r="G999" s="52"/>
      <c r="H999" s="52"/>
    </row>
    <row r="1000" ht="12.75" customHeight="1">
      <c r="F1000" s="51"/>
      <c r="G1000" s="52"/>
      <c r="H1000" s="5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2025-01-26T12:13:21Z</dcterms:created>
  <dc:creator>jameel</dc:creator>
</cp:coreProperties>
</file>