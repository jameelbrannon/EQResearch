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D1CF9434-8102-0146-9BE1-50E9A0AA9DE0}" xr6:coauthVersionLast="47" xr6:coauthVersionMax="47" xr10:uidLastSave="{00000000-0000-0000-0000-000000000000}"/>
  <bookViews>
    <workbookView xWindow="6340" yWindow="600" windowWidth="51200" windowHeight="28200" xr2:uid="{00000000-000D-0000-FFFF-FFFF00000000}"/>
  </bookViews>
  <sheets>
    <sheet name="Main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2" l="1"/>
  <c r="L47" i="2"/>
  <c r="L51" i="2" s="1"/>
  <c r="L46" i="2"/>
  <c r="L44" i="2"/>
  <c r="L45" i="2" s="1"/>
  <c r="L41" i="2"/>
  <c r="L30" i="2"/>
  <c r="L12" i="2"/>
  <c r="L54" i="2" s="1"/>
  <c r="L8" i="2"/>
  <c r="L10" i="2" s="1"/>
  <c r="G86" i="2"/>
  <c r="G81" i="2"/>
  <c r="G83" i="2" s="1"/>
  <c r="H82" i="2" s="1"/>
  <c r="W79" i="2"/>
  <c r="V79" i="2"/>
  <c r="U79" i="2"/>
  <c r="K79" i="2"/>
  <c r="H79" i="2"/>
  <c r="G79" i="2"/>
  <c r="C79" i="2"/>
  <c r="H78" i="2"/>
  <c r="D78" i="2"/>
  <c r="D79" i="2" s="1"/>
  <c r="W76" i="2"/>
  <c r="V76" i="2"/>
  <c r="U76" i="2"/>
  <c r="K76" i="2"/>
  <c r="G76" i="2"/>
  <c r="D76" i="2"/>
  <c r="C76" i="2"/>
  <c r="H75" i="2"/>
  <c r="I75" i="2" s="1"/>
  <c r="J75" i="2" s="1"/>
  <c r="E75" i="2"/>
  <c r="E76" i="2" s="1"/>
  <c r="D75" i="2"/>
  <c r="H74" i="2"/>
  <c r="F74" i="2"/>
  <c r="E74" i="2"/>
  <c r="D74" i="2"/>
  <c r="J73" i="2"/>
  <c r="I73" i="2"/>
  <c r="F73" i="2"/>
  <c r="E73" i="2"/>
  <c r="J72" i="2"/>
  <c r="F72" i="2"/>
  <c r="I71" i="2"/>
  <c r="H71" i="2"/>
  <c r="E71" i="2"/>
  <c r="D71" i="2"/>
  <c r="F71" i="2" s="1"/>
  <c r="W69" i="2"/>
  <c r="V69" i="2"/>
  <c r="U69" i="2"/>
  <c r="U81" i="2" s="1"/>
  <c r="U83" i="2" s="1"/>
  <c r="V82" i="2" s="1"/>
  <c r="K69" i="2"/>
  <c r="G69" i="2"/>
  <c r="C69" i="2"/>
  <c r="C86" i="2" s="1"/>
  <c r="I68" i="2"/>
  <c r="H68" i="2"/>
  <c r="F68" i="2"/>
  <c r="E68" i="2"/>
  <c r="D68" i="2"/>
  <c r="H67" i="2"/>
  <c r="D67" i="2"/>
  <c r="E67" i="2" s="1"/>
  <c r="I66" i="2"/>
  <c r="J66" i="2" s="1"/>
  <c r="H66" i="2"/>
  <c r="E66" i="2"/>
  <c r="F66" i="2" s="1"/>
  <c r="D66" i="2"/>
  <c r="H65" i="2"/>
  <c r="D65" i="2"/>
  <c r="H64" i="2"/>
  <c r="I64" i="2" s="1"/>
  <c r="J64" i="2" s="1"/>
  <c r="E64" i="2"/>
  <c r="D64" i="2"/>
  <c r="H63" i="2"/>
  <c r="F63" i="2"/>
  <c r="E63" i="2"/>
  <c r="D63" i="2"/>
  <c r="H62" i="2"/>
  <c r="E62" i="2"/>
  <c r="F62" i="2" s="1"/>
  <c r="D62" i="2"/>
  <c r="I61" i="2"/>
  <c r="J61" i="2" s="1"/>
  <c r="H61" i="2"/>
  <c r="E61" i="2"/>
  <c r="D61" i="2"/>
  <c r="F61" i="2" s="1"/>
  <c r="H60" i="2"/>
  <c r="F60" i="2"/>
  <c r="E60" i="2"/>
  <c r="D60" i="2"/>
  <c r="H59" i="2"/>
  <c r="I59" i="2" s="1"/>
  <c r="J59" i="2" s="1"/>
  <c r="D59" i="2"/>
  <c r="H58" i="2"/>
  <c r="F58" i="2"/>
  <c r="E58" i="2"/>
  <c r="D58" i="2"/>
  <c r="H57" i="2"/>
  <c r="D57" i="2"/>
  <c r="I56" i="2"/>
  <c r="J56" i="2" s="1"/>
  <c r="H56" i="2"/>
  <c r="E56" i="2"/>
  <c r="D56" i="2"/>
  <c r="F56" i="2" s="1"/>
  <c r="H55" i="2"/>
  <c r="D55" i="2"/>
  <c r="E55" i="2" s="1"/>
  <c r="T54" i="2"/>
  <c r="S54" i="2"/>
  <c r="R54" i="2"/>
  <c r="Q54" i="2"/>
  <c r="C54" i="2"/>
  <c r="K51" i="2"/>
  <c r="F51" i="2"/>
  <c r="E51" i="2"/>
  <c r="D51" i="2"/>
  <c r="E49" i="2"/>
  <c r="D49" i="2"/>
  <c r="C49" i="2"/>
  <c r="K48" i="2"/>
  <c r="K49" i="2" s="1"/>
  <c r="J48" i="2"/>
  <c r="J49" i="2" s="1"/>
  <c r="I48" i="2"/>
  <c r="I49" i="2" s="1"/>
  <c r="H48" i="2"/>
  <c r="G48" i="2"/>
  <c r="F48" i="2"/>
  <c r="F49" i="2" s="1"/>
  <c r="E48" i="2"/>
  <c r="D48" i="2"/>
  <c r="C48" i="2"/>
  <c r="K47" i="2"/>
  <c r="J47" i="2"/>
  <c r="J51" i="2" s="1"/>
  <c r="I47" i="2"/>
  <c r="I51" i="2" s="1"/>
  <c r="H47" i="2"/>
  <c r="H51" i="2" s="1"/>
  <c r="G47" i="2"/>
  <c r="G51" i="2" s="1"/>
  <c r="F47" i="2"/>
  <c r="E47" i="2"/>
  <c r="D47" i="2"/>
  <c r="C47" i="2"/>
  <c r="C51" i="2" s="1"/>
  <c r="K46" i="2"/>
  <c r="J46" i="2"/>
  <c r="I46" i="2"/>
  <c r="H46" i="2"/>
  <c r="G46" i="2"/>
  <c r="F46" i="2"/>
  <c r="E46" i="2"/>
  <c r="D46" i="2"/>
  <c r="C46" i="2"/>
  <c r="K45" i="2"/>
  <c r="J45" i="2"/>
  <c r="I45" i="2"/>
  <c r="H45" i="2"/>
  <c r="G45" i="2"/>
  <c r="F45" i="2"/>
  <c r="K44" i="2"/>
  <c r="J44" i="2"/>
  <c r="I44" i="2"/>
  <c r="H44" i="2"/>
  <c r="G44" i="2"/>
  <c r="F44" i="2"/>
  <c r="E44" i="2"/>
  <c r="E45" i="2" s="1"/>
  <c r="D44" i="2"/>
  <c r="D45" i="2" s="1"/>
  <c r="C44" i="2"/>
  <c r="C45" i="2" s="1"/>
  <c r="K41" i="2"/>
  <c r="J41" i="2"/>
  <c r="I41" i="2"/>
  <c r="H41" i="2"/>
  <c r="G41" i="2"/>
  <c r="F41" i="2"/>
  <c r="E41" i="2"/>
  <c r="D41" i="2"/>
  <c r="C41" i="2"/>
  <c r="K30" i="2"/>
  <c r="J30" i="2"/>
  <c r="I30" i="2"/>
  <c r="H30" i="2"/>
  <c r="G30" i="2"/>
  <c r="F30" i="2"/>
  <c r="E30" i="2"/>
  <c r="D30" i="2"/>
  <c r="C30" i="2"/>
  <c r="W21" i="2"/>
  <c r="AK19" i="2"/>
  <c r="W18" i="2"/>
  <c r="V18" i="2"/>
  <c r="U18" i="2"/>
  <c r="L18" i="2"/>
  <c r="K18" i="2"/>
  <c r="J18" i="2"/>
  <c r="I18" i="2"/>
  <c r="H18" i="2"/>
  <c r="G18" i="2"/>
  <c r="F18" i="2"/>
  <c r="E18" i="2"/>
  <c r="D18" i="2"/>
  <c r="C18" i="2"/>
  <c r="W17" i="2"/>
  <c r="V17" i="2"/>
  <c r="N17" i="2"/>
  <c r="M17" i="2"/>
  <c r="L17" i="2"/>
  <c r="K17" i="2"/>
  <c r="J17" i="2"/>
  <c r="I17" i="2"/>
  <c r="H17" i="2"/>
  <c r="G17" i="2"/>
  <c r="E14" i="2"/>
  <c r="F12" i="2"/>
  <c r="F54" i="2" s="1"/>
  <c r="E12" i="2"/>
  <c r="W10" i="2"/>
  <c r="W12" i="2" s="1"/>
  <c r="V10" i="2"/>
  <c r="V12" i="2" s="1"/>
  <c r="U10" i="2"/>
  <c r="U12" i="2" s="1"/>
  <c r="G10" i="2"/>
  <c r="G12" i="2" s="1"/>
  <c r="F10" i="2"/>
  <c r="C10" i="2"/>
  <c r="C12" i="2" s="1"/>
  <c r="C87" i="2" s="1"/>
  <c r="X9" i="2"/>
  <c r="M9" i="2"/>
  <c r="N9" i="2" s="1"/>
  <c r="W8" i="2"/>
  <c r="V8" i="2"/>
  <c r="U8" i="2"/>
  <c r="K8" i="2"/>
  <c r="J8" i="2"/>
  <c r="J10" i="2" s="1"/>
  <c r="J12" i="2" s="1"/>
  <c r="I8" i="2"/>
  <c r="I10" i="2" s="1"/>
  <c r="I12" i="2" s="1"/>
  <c r="H8" i="2"/>
  <c r="H10" i="2" s="1"/>
  <c r="H12" i="2" s="1"/>
  <c r="G8" i="2"/>
  <c r="F8" i="2"/>
  <c r="E8" i="2"/>
  <c r="E10" i="2" s="1"/>
  <c r="D8" i="2"/>
  <c r="D10" i="2" s="1"/>
  <c r="D12" i="2" s="1"/>
  <c r="N7" i="2"/>
  <c r="M7" i="2"/>
  <c r="N6" i="2"/>
  <c r="N4" i="2"/>
  <c r="M4" i="2"/>
  <c r="HR3" i="2"/>
  <c r="S3" i="2"/>
  <c r="R3" i="2"/>
  <c r="AG2" i="2"/>
  <c r="Y2" i="2"/>
  <c r="Z2" i="2" s="1"/>
  <c r="AA2" i="2" s="1"/>
  <c r="AB2" i="2" s="1"/>
  <c r="AC2" i="2" s="1"/>
  <c r="AD2" i="2" s="1"/>
  <c r="AE2" i="2" s="1"/>
  <c r="AF2" i="2" s="1"/>
  <c r="X2" i="2"/>
  <c r="L5" i="1"/>
  <c r="L6" i="1" s="1"/>
  <c r="K5" i="1"/>
  <c r="K7" i="1" s="1"/>
  <c r="AK22" i="2" s="1"/>
  <c r="K4" i="1"/>
  <c r="L49" i="2" l="1"/>
  <c r="L13" i="2"/>
  <c r="F65" i="2"/>
  <c r="F14" i="2"/>
  <c r="J65" i="2"/>
  <c r="J68" i="2"/>
  <c r="H54" i="2"/>
  <c r="H87" i="2"/>
  <c r="H14" i="2"/>
  <c r="J74" i="2"/>
  <c r="I60" i="2"/>
  <c r="J60" i="2"/>
  <c r="G54" i="2"/>
  <c r="G14" i="2"/>
  <c r="U54" i="2"/>
  <c r="U14" i="2"/>
  <c r="V81" i="2"/>
  <c r="V83" i="2" s="1"/>
  <c r="W82" i="2" s="1"/>
  <c r="E54" i="2"/>
  <c r="E87" i="2"/>
  <c r="I54" i="2"/>
  <c r="I14" i="2"/>
  <c r="I87" i="2"/>
  <c r="D87" i="2"/>
  <c r="G90" i="2" s="1"/>
  <c r="D54" i="2"/>
  <c r="D14" i="2"/>
  <c r="V14" i="2"/>
  <c r="V54" i="2"/>
  <c r="W81" i="2"/>
  <c r="F87" i="2"/>
  <c r="W54" i="2"/>
  <c r="W14" i="2"/>
  <c r="F76" i="2"/>
  <c r="G87" i="2"/>
  <c r="E65" i="2"/>
  <c r="E78" i="2"/>
  <c r="E79" i="2" s="1"/>
  <c r="X7" i="2"/>
  <c r="H49" i="2"/>
  <c r="F64" i="2"/>
  <c r="F75" i="2"/>
  <c r="I58" i="2"/>
  <c r="J58" i="2" s="1"/>
  <c r="D69" i="2"/>
  <c r="F67" i="2"/>
  <c r="I76" i="2"/>
  <c r="I78" i="2"/>
  <c r="I79" i="2" s="1"/>
  <c r="N5" i="2"/>
  <c r="N8" i="2" s="1"/>
  <c r="N10" i="2" s="1"/>
  <c r="N18" i="2"/>
  <c r="F55" i="2"/>
  <c r="E57" i="2"/>
  <c r="F57" i="2" s="1"/>
  <c r="E59" i="2"/>
  <c r="F59" i="2" s="1"/>
  <c r="I65" i="2"/>
  <c r="I67" i="2"/>
  <c r="J67" i="2" s="1"/>
  <c r="J71" i="2"/>
  <c r="I62" i="2"/>
  <c r="J62" i="2" s="1"/>
  <c r="X4" i="2"/>
  <c r="H69" i="2"/>
  <c r="I63" i="2"/>
  <c r="J63" i="2" s="1"/>
  <c r="I74" i="2"/>
  <c r="H76" i="2"/>
  <c r="C81" i="2"/>
  <c r="C83" i="2" s="1"/>
  <c r="J54" i="2"/>
  <c r="J14" i="2"/>
  <c r="J87" i="2"/>
  <c r="F78" i="2"/>
  <c r="F79" i="2" s="1"/>
  <c r="M5" i="2"/>
  <c r="M18" i="2" s="1"/>
  <c r="M6" i="2"/>
  <c r="X6" i="2" s="1"/>
  <c r="K10" i="2"/>
  <c r="C14" i="2"/>
  <c r="G49" i="2"/>
  <c r="I55" i="2"/>
  <c r="I57" i="2"/>
  <c r="J57" i="2" s="1"/>
  <c r="K81" i="2"/>
  <c r="K83" i="2" s="1"/>
  <c r="K86" i="2"/>
  <c r="K12" i="2" l="1"/>
  <c r="D81" i="2"/>
  <c r="D83" i="2" s="1"/>
  <c r="D86" i="2"/>
  <c r="F69" i="2"/>
  <c r="M8" i="2"/>
  <c r="M10" i="2" s="1"/>
  <c r="I69" i="2"/>
  <c r="J55" i="2"/>
  <c r="J69" i="2" s="1"/>
  <c r="J78" i="2"/>
  <c r="J79" i="2" s="1"/>
  <c r="H90" i="2"/>
  <c r="E69" i="2"/>
  <c r="Y4" i="2"/>
  <c r="X17" i="2"/>
  <c r="F90" i="2"/>
  <c r="H86" i="2"/>
  <c r="H81" i="2"/>
  <c r="H83" i="2" s="1"/>
  <c r="I82" i="2" s="1"/>
  <c r="I90" i="2"/>
  <c r="W83" i="2"/>
  <c r="J76" i="2"/>
  <c r="J90" i="2"/>
  <c r="X5" i="2"/>
  <c r="X18" i="2" s="1"/>
  <c r="I86" i="2" l="1"/>
  <c r="I81" i="2"/>
  <c r="I83" i="2" s="1"/>
  <c r="J82" i="2" s="1"/>
  <c r="J81" i="2"/>
  <c r="J83" i="2" s="1"/>
  <c r="J86" i="2"/>
  <c r="K89" i="2" s="1"/>
  <c r="AK26" i="2" s="1"/>
  <c r="AK27" i="2" s="1"/>
  <c r="M11" i="2"/>
  <c r="N11" i="2" s="1"/>
  <c r="N12" i="2" s="1"/>
  <c r="F86" i="2"/>
  <c r="I89" i="2" s="1"/>
  <c r="F81" i="2"/>
  <c r="F83" i="2" s="1"/>
  <c r="X10" i="2"/>
  <c r="E86" i="2"/>
  <c r="E81" i="2"/>
  <c r="E83" i="2" s="1"/>
  <c r="X8" i="2"/>
  <c r="Z4" i="2"/>
  <c r="Y17" i="2"/>
  <c r="Y5" i="2"/>
  <c r="Y18" i="2" s="1"/>
  <c r="Y6" i="2"/>
  <c r="Y7" i="2"/>
  <c r="K14" i="2"/>
  <c r="M14" i="2" s="1"/>
  <c r="N14" i="2" s="1"/>
  <c r="K87" i="2"/>
  <c r="K90" i="2" s="1"/>
  <c r="K54" i="2"/>
  <c r="N13" i="2" l="1"/>
  <c r="M12" i="2"/>
  <c r="M13" i="2" s="1"/>
  <c r="X11" i="2"/>
  <c r="X13" i="2"/>
  <c r="X12" i="2"/>
  <c r="Y8" i="2"/>
  <c r="J89" i="2"/>
  <c r="H89" i="2"/>
  <c r="Z17" i="2"/>
  <c r="Z7" i="2"/>
  <c r="AA4" i="2"/>
  <c r="Z5" i="2"/>
  <c r="Z6" i="2"/>
  <c r="F89" i="2"/>
  <c r="G89" i="2"/>
  <c r="Z8" i="2" l="1"/>
  <c r="Z18" i="2"/>
  <c r="AA17" i="2"/>
  <c r="AA7" i="2"/>
  <c r="AB4" i="2"/>
  <c r="AA5" i="2"/>
  <c r="AA6" i="2"/>
  <c r="X54" i="2"/>
  <c r="X14" i="2"/>
  <c r="Y14" i="2" s="1"/>
  <c r="Z14" i="2" s="1"/>
  <c r="AA14" i="2" s="1"/>
  <c r="AB14" i="2" s="1"/>
  <c r="AC14" i="2" s="1"/>
  <c r="AD14" i="2" s="1"/>
  <c r="AE14" i="2" s="1"/>
  <c r="AF14" i="2" s="1"/>
  <c r="AG14" i="2" s="1"/>
  <c r="X21" i="2"/>
  <c r="AK23" i="2"/>
  <c r="AA8" i="2" l="1"/>
  <c r="AA18" i="2"/>
  <c r="AB17" i="2"/>
  <c r="AB7" i="2"/>
  <c r="AB5" i="2"/>
  <c r="AB6" i="2"/>
  <c r="AB18" i="2"/>
  <c r="AC4" i="2"/>
  <c r="Y9" i="2"/>
  <c r="Y10" i="2" s="1"/>
  <c r="AB8" i="2" l="1"/>
  <c r="AC6" i="2"/>
  <c r="AC7" i="2"/>
  <c r="AC17" i="2"/>
  <c r="AC5" i="2"/>
  <c r="AC8" i="2" s="1"/>
  <c r="AD4" i="2"/>
  <c r="Y11" i="2"/>
  <c r="Y12" i="2" s="1"/>
  <c r="AC18" i="2" l="1"/>
  <c r="Y54" i="2"/>
  <c r="Y13" i="2"/>
  <c r="AK24" i="2"/>
  <c r="Y21" i="2"/>
  <c r="AD6" i="2"/>
  <c r="AD17" i="2"/>
  <c r="AD7" i="2"/>
  <c r="AD5" i="2"/>
  <c r="AE4" i="2"/>
  <c r="AD8" i="2" l="1"/>
  <c r="AD18" i="2"/>
  <c r="Z9" i="2"/>
  <c r="Z10" i="2" s="1"/>
  <c r="AE6" i="2"/>
  <c r="AE17" i="2"/>
  <c r="AE7" i="2"/>
  <c r="AE5" i="2"/>
  <c r="AE18" i="2" s="1"/>
  <c r="AF4" i="2"/>
  <c r="AF5" i="2" l="1"/>
  <c r="AF18" i="2" s="1"/>
  <c r="AF6" i="2"/>
  <c r="AF7" i="2"/>
  <c r="AG4" i="2"/>
  <c r="AF17" i="2"/>
  <c r="AE8" i="2"/>
  <c r="Z11" i="2"/>
  <c r="Z12" i="2" s="1"/>
  <c r="Z13" i="2" l="1"/>
  <c r="Z21" i="2"/>
  <c r="AG5" i="2"/>
  <c r="AG18" i="2" s="1"/>
  <c r="AG6" i="2"/>
  <c r="AG7" i="2"/>
  <c r="AG17" i="2"/>
  <c r="AF8" i="2"/>
  <c r="AG8" i="2" l="1"/>
  <c r="AA9" i="2"/>
  <c r="AA10" i="2" s="1"/>
  <c r="AA11" i="2" l="1"/>
  <c r="AA12" i="2" s="1"/>
  <c r="AA13" i="2" l="1"/>
  <c r="AA21" i="2"/>
  <c r="AB9" i="2" l="1"/>
  <c r="AB10" i="2" s="1"/>
  <c r="AB11" i="2" l="1"/>
  <c r="AB12" i="2" s="1"/>
  <c r="AB13" i="2" l="1"/>
  <c r="AB21" i="2"/>
  <c r="AC9" i="2" l="1"/>
  <c r="AC10" i="2" s="1"/>
  <c r="AC11" i="2" l="1"/>
  <c r="AC12" i="2" s="1"/>
  <c r="AC13" i="2" l="1"/>
  <c r="AC21" i="2"/>
  <c r="AD9" i="2" l="1"/>
  <c r="AD10" i="2" s="1"/>
  <c r="AD11" i="2" l="1"/>
  <c r="AD12" i="2" s="1"/>
  <c r="AD13" i="2" l="1"/>
  <c r="AD21" i="2"/>
  <c r="AE9" i="2" l="1"/>
  <c r="AE10" i="2" s="1"/>
  <c r="AE11" i="2" l="1"/>
  <c r="AE12" i="2" s="1"/>
  <c r="AE13" i="2" l="1"/>
  <c r="AE21" i="2"/>
  <c r="AF9" i="2" l="1"/>
  <c r="AF10" i="2" s="1"/>
  <c r="AF11" i="2" l="1"/>
  <c r="AF12" i="2" s="1"/>
  <c r="AF13" i="2" l="1"/>
  <c r="AF21" i="2"/>
  <c r="AG9" i="2" l="1"/>
  <c r="AG10" i="2" s="1"/>
  <c r="AG11" i="2" l="1"/>
  <c r="AG12" i="2" s="1"/>
  <c r="AG13" i="2" l="1"/>
  <c r="AH12" i="2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BK12" i="2" s="1"/>
  <c r="BL12" i="2" s="1"/>
  <c r="BM12" i="2" s="1"/>
  <c r="BN12" i="2" s="1"/>
  <c r="BO12" i="2" s="1"/>
  <c r="BP12" i="2" s="1"/>
  <c r="BQ12" i="2" s="1"/>
  <c r="BR12" i="2" s="1"/>
  <c r="BS12" i="2" s="1"/>
  <c r="BT12" i="2" s="1"/>
  <c r="BU12" i="2" s="1"/>
  <c r="BV12" i="2" s="1"/>
  <c r="BW12" i="2" s="1"/>
  <c r="BX12" i="2" s="1"/>
  <c r="BY12" i="2" s="1"/>
  <c r="BZ12" i="2" s="1"/>
  <c r="CA12" i="2" s="1"/>
  <c r="CB12" i="2" s="1"/>
  <c r="CC12" i="2" s="1"/>
  <c r="CD12" i="2" s="1"/>
  <c r="CE12" i="2" s="1"/>
  <c r="CF12" i="2" s="1"/>
  <c r="CG12" i="2" s="1"/>
  <c r="CH12" i="2" s="1"/>
  <c r="CI12" i="2" s="1"/>
  <c r="CJ12" i="2" s="1"/>
  <c r="CK12" i="2" s="1"/>
  <c r="CL12" i="2" s="1"/>
  <c r="CM12" i="2" s="1"/>
  <c r="CN12" i="2" s="1"/>
  <c r="CO12" i="2" s="1"/>
  <c r="CP12" i="2" s="1"/>
  <c r="CQ12" i="2" s="1"/>
  <c r="CR12" i="2" s="1"/>
  <c r="CS12" i="2" s="1"/>
  <c r="CT12" i="2" s="1"/>
  <c r="CU12" i="2" s="1"/>
  <c r="CV12" i="2" s="1"/>
  <c r="CW12" i="2" s="1"/>
  <c r="CX12" i="2" s="1"/>
  <c r="CY12" i="2" s="1"/>
  <c r="CZ12" i="2" s="1"/>
  <c r="DA12" i="2" s="1"/>
  <c r="DB12" i="2" s="1"/>
  <c r="DC12" i="2" s="1"/>
  <c r="DD12" i="2" s="1"/>
  <c r="DE12" i="2" s="1"/>
  <c r="DF12" i="2" s="1"/>
  <c r="DG12" i="2" s="1"/>
  <c r="DH12" i="2" s="1"/>
  <c r="DI12" i="2" s="1"/>
  <c r="DJ12" i="2" s="1"/>
  <c r="DK12" i="2" s="1"/>
  <c r="DL12" i="2" s="1"/>
  <c r="DM12" i="2" s="1"/>
  <c r="DN12" i="2" s="1"/>
  <c r="DO12" i="2" s="1"/>
  <c r="DP12" i="2" s="1"/>
  <c r="DQ12" i="2" s="1"/>
  <c r="DR12" i="2" s="1"/>
  <c r="DS12" i="2" s="1"/>
  <c r="DT12" i="2" s="1"/>
  <c r="DU12" i="2" s="1"/>
  <c r="DV12" i="2" s="1"/>
  <c r="DW12" i="2" s="1"/>
  <c r="DX12" i="2" s="1"/>
  <c r="DY12" i="2" s="1"/>
  <c r="DZ12" i="2" s="1"/>
  <c r="EA12" i="2" s="1"/>
  <c r="EB12" i="2" s="1"/>
  <c r="EC12" i="2" s="1"/>
  <c r="ED12" i="2" s="1"/>
  <c r="EE12" i="2" s="1"/>
  <c r="EF12" i="2" s="1"/>
  <c r="EG12" i="2" s="1"/>
  <c r="EH12" i="2" s="1"/>
  <c r="EI12" i="2" s="1"/>
  <c r="EJ12" i="2" s="1"/>
  <c r="EK12" i="2" s="1"/>
  <c r="EL12" i="2" s="1"/>
  <c r="EM12" i="2" s="1"/>
  <c r="EN12" i="2" s="1"/>
  <c r="EO12" i="2" s="1"/>
  <c r="EP12" i="2" s="1"/>
  <c r="EQ12" i="2" s="1"/>
  <c r="ER12" i="2" s="1"/>
  <c r="ES12" i="2" s="1"/>
  <c r="ET12" i="2" s="1"/>
  <c r="EU12" i="2" s="1"/>
  <c r="EV12" i="2" s="1"/>
  <c r="EW12" i="2" s="1"/>
  <c r="EX12" i="2" s="1"/>
  <c r="EY12" i="2" s="1"/>
  <c r="EZ12" i="2" s="1"/>
  <c r="FA12" i="2" s="1"/>
  <c r="FB12" i="2" s="1"/>
  <c r="FC12" i="2" s="1"/>
  <c r="FD12" i="2" s="1"/>
  <c r="FE12" i="2" s="1"/>
  <c r="FF12" i="2" s="1"/>
  <c r="FG12" i="2" s="1"/>
  <c r="FH12" i="2" s="1"/>
  <c r="FI12" i="2" s="1"/>
  <c r="FJ12" i="2" s="1"/>
  <c r="FK12" i="2" s="1"/>
  <c r="FL12" i="2" s="1"/>
  <c r="FM12" i="2" s="1"/>
  <c r="FN12" i="2" s="1"/>
  <c r="FO12" i="2" s="1"/>
  <c r="FP12" i="2" s="1"/>
  <c r="FQ12" i="2" s="1"/>
  <c r="FR12" i="2" s="1"/>
  <c r="FS12" i="2" s="1"/>
  <c r="FT12" i="2" s="1"/>
  <c r="FU12" i="2" s="1"/>
  <c r="FV12" i="2" s="1"/>
  <c r="FW12" i="2" s="1"/>
  <c r="FX12" i="2" s="1"/>
  <c r="FY12" i="2" s="1"/>
  <c r="FZ12" i="2" s="1"/>
  <c r="GA12" i="2" s="1"/>
  <c r="GB12" i="2" s="1"/>
  <c r="GC12" i="2" s="1"/>
  <c r="GD12" i="2" s="1"/>
  <c r="GE12" i="2" s="1"/>
  <c r="GF12" i="2" s="1"/>
  <c r="GG12" i="2" s="1"/>
  <c r="GH12" i="2" s="1"/>
  <c r="GI12" i="2" s="1"/>
  <c r="GJ12" i="2" s="1"/>
  <c r="GK12" i="2" s="1"/>
  <c r="GL12" i="2" s="1"/>
  <c r="GM12" i="2" s="1"/>
  <c r="GN12" i="2" s="1"/>
  <c r="GO12" i="2" s="1"/>
  <c r="GP12" i="2" s="1"/>
  <c r="GQ12" i="2" s="1"/>
  <c r="GR12" i="2" s="1"/>
  <c r="GS12" i="2" s="1"/>
  <c r="GT12" i="2" s="1"/>
  <c r="GU12" i="2" s="1"/>
  <c r="GV12" i="2" s="1"/>
  <c r="GW12" i="2" s="1"/>
  <c r="GX12" i="2" s="1"/>
  <c r="GY12" i="2" s="1"/>
  <c r="GZ12" i="2" s="1"/>
  <c r="HA12" i="2" s="1"/>
  <c r="HB12" i="2" s="1"/>
  <c r="HC12" i="2" s="1"/>
  <c r="HD12" i="2" s="1"/>
  <c r="HE12" i="2" s="1"/>
  <c r="HF12" i="2" s="1"/>
  <c r="HG12" i="2" s="1"/>
  <c r="HH12" i="2" s="1"/>
  <c r="HI12" i="2" s="1"/>
  <c r="HJ12" i="2" s="1"/>
  <c r="HK12" i="2" s="1"/>
  <c r="HL12" i="2" s="1"/>
  <c r="HM12" i="2" s="1"/>
  <c r="HN12" i="2" s="1"/>
  <c r="HO12" i="2" s="1"/>
  <c r="HP12" i="2" s="1"/>
  <c r="HQ12" i="2" s="1"/>
  <c r="HR12" i="2" s="1"/>
  <c r="AG21" i="2"/>
  <c r="HR54" i="2" l="1"/>
  <c r="AK18" i="2" a="1"/>
  <c r="AK18" i="2" s="1"/>
  <c r="AK20" i="2" s="1"/>
  <c r="AN20" i="2" s="1"/>
</calcChain>
</file>

<file path=xl/sharedStrings.xml><?xml version="1.0" encoding="utf-8"?>
<sst xmlns="http://schemas.openxmlformats.org/spreadsheetml/2006/main" count="112" uniqueCount="105">
  <si>
    <t>Main</t>
  </si>
  <si>
    <t xml:space="preserve">CEO </t>
  </si>
  <si>
    <t>P</t>
  </si>
  <si>
    <t xml:space="preserve">CFO </t>
  </si>
  <si>
    <t>S</t>
  </si>
  <si>
    <t>Q126</t>
  </si>
  <si>
    <t>$M</t>
  </si>
  <si>
    <t>MC</t>
  </si>
  <si>
    <t>C</t>
  </si>
  <si>
    <t>D</t>
  </si>
  <si>
    <t>EV</t>
  </si>
  <si>
    <t>Q124</t>
  </si>
  <si>
    <t>Q224</t>
  </si>
  <si>
    <t>Q324</t>
  </si>
  <si>
    <t>Q424</t>
  </si>
  <si>
    <t>Q125</t>
  </si>
  <si>
    <t>Q225</t>
  </si>
  <si>
    <t>Q325</t>
  </si>
  <si>
    <t>Q425</t>
  </si>
  <si>
    <t>Q226E</t>
  </si>
  <si>
    <t>Q326E</t>
  </si>
  <si>
    <t>Q426E</t>
  </si>
  <si>
    <t>2027E</t>
  </si>
  <si>
    <t>Sales</t>
  </si>
  <si>
    <t>COS</t>
  </si>
  <si>
    <t>Selling</t>
  </si>
  <si>
    <t>G&amp;A</t>
  </si>
  <si>
    <t xml:space="preserve">Operating Income </t>
  </si>
  <si>
    <t xml:space="preserve">Other Income </t>
  </si>
  <si>
    <t>Income Before Taxes</t>
  </si>
  <si>
    <t>Taxes</t>
  </si>
  <si>
    <t xml:space="preserve">Net Income </t>
  </si>
  <si>
    <t>EPS</t>
  </si>
  <si>
    <t>DIluted</t>
  </si>
  <si>
    <t>ROIC</t>
  </si>
  <si>
    <t xml:space="preserve">Growth YY </t>
  </si>
  <si>
    <t xml:space="preserve">Terminal </t>
  </si>
  <si>
    <t xml:space="preserve">Discount </t>
  </si>
  <si>
    <t xml:space="preserve">Gross Margin </t>
  </si>
  <si>
    <t>NPV</t>
  </si>
  <si>
    <t>Shares</t>
  </si>
  <si>
    <t xml:space="preserve">Estimate </t>
  </si>
  <si>
    <t xml:space="preserve">Cash </t>
  </si>
  <si>
    <t>Investments</t>
  </si>
  <si>
    <t>A/R</t>
  </si>
  <si>
    <t>EV/26E</t>
  </si>
  <si>
    <t xml:space="preserve">Inventory </t>
  </si>
  <si>
    <t>EV/27E</t>
  </si>
  <si>
    <t>Prepaid Expenses</t>
  </si>
  <si>
    <t>PPE</t>
  </si>
  <si>
    <t>4Q FCF</t>
  </si>
  <si>
    <t>Op Lease</t>
  </si>
  <si>
    <t xml:space="preserve">FCF Yield </t>
  </si>
  <si>
    <t>Long Terrm Investments</t>
  </si>
  <si>
    <t>Other Assets</t>
  </si>
  <si>
    <t xml:space="preserve">Total Assets </t>
  </si>
  <si>
    <t>A/P</t>
  </si>
  <si>
    <t xml:space="preserve">Accrued Employee Comp </t>
  </si>
  <si>
    <t>Accrued Store OpEx</t>
  </si>
  <si>
    <t>Gift Certs</t>
  </si>
  <si>
    <t>Current Op Lease</t>
  </si>
  <si>
    <t xml:space="preserve">Income Tax Payable </t>
  </si>
  <si>
    <t xml:space="preserve">Deferred Comp </t>
  </si>
  <si>
    <t>NC Op Lease</t>
  </si>
  <si>
    <t xml:space="preserve">Equity </t>
  </si>
  <si>
    <t xml:space="preserve">Total Liabilities + Equity </t>
  </si>
  <si>
    <t xml:space="preserve">Total Debt </t>
  </si>
  <si>
    <t xml:space="preserve">Total Cash </t>
  </si>
  <si>
    <t>Net Cash</t>
  </si>
  <si>
    <t xml:space="preserve">DSO </t>
  </si>
  <si>
    <t xml:space="preserve">DIO </t>
  </si>
  <si>
    <t>DPO</t>
  </si>
  <si>
    <t>CCC</t>
  </si>
  <si>
    <t>Inventory Turnover</t>
  </si>
  <si>
    <t xml:space="preserve">Model NI </t>
  </si>
  <si>
    <t>D&amp;A</t>
  </si>
  <si>
    <t>Amortization of Stock Grants</t>
  </si>
  <si>
    <t>Deferred Income Taxes</t>
  </si>
  <si>
    <t>Other</t>
  </si>
  <si>
    <t>Inventory</t>
  </si>
  <si>
    <t>Prepaid Expenses &amp; Other</t>
  </si>
  <si>
    <t>Accrued Store Opex</t>
  </si>
  <si>
    <t>Gift Certificates Redeemable</t>
  </si>
  <si>
    <t>Income taxes Payable</t>
  </si>
  <si>
    <t>Other Assets and Liabilities</t>
  </si>
  <si>
    <t>CFFO</t>
  </si>
  <si>
    <t>CapEx</t>
  </si>
  <si>
    <t>Proceeds from sale CapEx</t>
  </si>
  <si>
    <t>Change in OA</t>
  </si>
  <si>
    <t>Purchases of Investments</t>
  </si>
  <si>
    <t>Proceeds from Sales/Mats</t>
  </si>
  <si>
    <t>CFFI</t>
  </si>
  <si>
    <t>Payments of Dividends</t>
  </si>
  <si>
    <t>CFFF</t>
  </si>
  <si>
    <t>Cash Increase</t>
  </si>
  <si>
    <t>Cash @ Begin</t>
  </si>
  <si>
    <t>Cash @ End</t>
  </si>
  <si>
    <t xml:space="preserve">Free Cash Flow </t>
  </si>
  <si>
    <t>Net Income</t>
  </si>
  <si>
    <t xml:space="preserve">4Q Moving FCF </t>
  </si>
  <si>
    <t>4Q Moving NI</t>
  </si>
  <si>
    <t>Press</t>
  </si>
  <si>
    <t>Q226</t>
  </si>
  <si>
    <t>Upside</t>
  </si>
  <si>
    <t>2026E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</si>
</sst>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&quot;E&quot;"/>
    <numFmt numFmtId="165" formatCode="0.0\x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1C4587"/>
      <name val="Arial"/>
      <family val="2"/>
      <scheme val="minor"/>
    </font>
    <font>
      <b/>
      <sz val="10"/>
      <color rgb="FF1C4587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i/>
      <sz val="10"/>
      <color rgb="FF1C4587"/>
      <name val="Arial"/>
      <family val="2"/>
      <scheme val="minor"/>
    </font>
    <font>
      <sz val="10"/>
      <color rgb="FF1155CC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/>
    <xf numFmtId="3" fontId="4" fillId="0" borderId="0" xfId="0" applyNumberFormat="1" applyFont="1" applyAlignment="1">
      <alignment horizontal="right"/>
    </xf>
    <xf numFmtId="3" fontId="1" fillId="0" borderId="1" xfId="0" applyNumberFormat="1" applyFont="1" applyBorder="1"/>
    <xf numFmtId="10" fontId="5" fillId="0" borderId="2" xfId="0" applyNumberFormat="1" applyFont="1" applyBorder="1"/>
    <xf numFmtId="0" fontId="6" fillId="0" borderId="3" xfId="0" applyFont="1" applyBorder="1"/>
    <xf numFmtId="10" fontId="5" fillId="0" borderId="4" xfId="0" applyNumberFormat="1" applyFont="1" applyBorder="1"/>
    <xf numFmtId="9" fontId="6" fillId="0" borderId="0" xfId="0" applyNumberFormat="1" applyFont="1"/>
    <xf numFmtId="9" fontId="6" fillId="0" borderId="0" xfId="0" applyNumberFormat="1" applyFont="1" applyAlignment="1">
      <alignment horizontal="right"/>
    </xf>
    <xf numFmtId="3" fontId="1" fillId="0" borderId="3" xfId="0" applyNumberFormat="1" applyFont="1" applyBorder="1"/>
    <xf numFmtId="10" fontId="7" fillId="0" borderId="4" xfId="0" applyNumberFormat="1" applyFont="1" applyBorder="1"/>
    <xf numFmtId="3" fontId="6" fillId="0" borderId="4" xfId="0" applyNumberFormat="1" applyFont="1" applyBorder="1"/>
    <xf numFmtId="0" fontId="1" fillId="0" borderId="3" xfId="0" applyFont="1" applyBorder="1"/>
    <xf numFmtId="3" fontId="1" fillId="0" borderId="4" xfId="0" applyNumberFormat="1" applyFont="1" applyBorder="1"/>
    <xf numFmtId="0" fontId="1" fillId="0" borderId="5" xfId="0" applyFont="1" applyBorder="1"/>
    <xf numFmtId="3" fontId="1" fillId="0" borderId="6" xfId="0" applyNumberFormat="1" applyFont="1" applyBorder="1"/>
    <xf numFmtId="3" fontId="1" fillId="0" borderId="2" xfId="0" applyNumberFormat="1" applyFont="1" applyBorder="1"/>
    <xf numFmtId="165" fontId="1" fillId="0" borderId="4" xfId="0" applyNumberFormat="1" applyFont="1" applyBorder="1"/>
    <xf numFmtId="3" fontId="1" fillId="0" borderId="5" xfId="0" applyNumberFormat="1" applyFont="1" applyBorder="1"/>
    <xf numFmtId="165" fontId="1" fillId="0" borderId="6" xfId="0" applyNumberFormat="1" applyFont="1" applyBorder="1"/>
    <xf numFmtId="9" fontId="1" fillId="0" borderId="6" xfId="0" applyNumberFormat="1" applyFont="1" applyBorder="1"/>
    <xf numFmtId="3" fontId="8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9" fillId="0" borderId="0" xfId="1" applyNumberFormat="1"/>
    <xf numFmtId="9" fontId="1" fillId="0" borderId="0" xfId="0" applyNumberFormat="1" applyFont="1"/>
    <xf numFmtId="3" fontId="4" fillId="3" borderId="0" xfId="0" applyNumberFormat="1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rporate.buckle.com/investor-relations/press-releases/press-release-details/2026/The-Buckle-Inc--Reports-Second-Quarter-Net-Inco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237" workbookViewId="0">
      <selection activeCell="F7" sqref="F7"/>
    </sheetView>
  </sheetViews>
  <sheetFormatPr baseColWidth="10" defaultColWidth="12.6640625" defaultRowHeight="15.75" customHeight="1" x14ac:dyDescent="0.15"/>
  <cols>
    <col min="1" max="1" width="3.5" customWidth="1"/>
    <col min="2" max="2" width="5.5" bestFit="1" customWidth="1"/>
    <col min="10" max="10" width="3.6640625" bestFit="1" customWidth="1"/>
    <col min="11" max="11" width="5.6640625" bestFit="1" customWidth="1"/>
    <col min="12" max="12" width="5.5" bestFit="1" customWidth="1"/>
  </cols>
  <sheetData>
    <row r="1" spans="1:26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15">
      <c r="A2" s="1"/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>
        <v>43.23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15">
      <c r="A3" s="1"/>
      <c r="B3" s="1" t="s">
        <v>3</v>
      </c>
      <c r="C3" s="1"/>
      <c r="D3" s="1"/>
      <c r="E3" s="1"/>
      <c r="F3" s="1"/>
      <c r="G3" s="1"/>
      <c r="H3" s="1"/>
      <c r="I3" s="1"/>
      <c r="J3" s="1" t="s">
        <v>4</v>
      </c>
      <c r="K3" s="1">
        <v>51.518085999999997</v>
      </c>
      <c r="L3" s="2" t="s">
        <v>102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15">
      <c r="A4" s="1"/>
      <c r="B4" s="1"/>
      <c r="C4" s="1"/>
      <c r="D4" s="1"/>
      <c r="E4" s="1"/>
      <c r="F4" s="1"/>
      <c r="G4" s="1"/>
      <c r="H4" s="1"/>
      <c r="I4" s="1"/>
      <c r="J4" s="1" t="s">
        <v>7</v>
      </c>
      <c r="K4" s="1">
        <f>K2*K3</f>
        <v>2227.1268577799997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15">
      <c r="A5" s="1"/>
      <c r="B5" s="1"/>
      <c r="C5" s="1"/>
      <c r="D5" s="1"/>
      <c r="E5" s="1"/>
      <c r="F5" s="1"/>
      <c r="G5" s="1"/>
      <c r="H5" s="1"/>
      <c r="I5" s="1"/>
      <c r="J5" s="1" t="s">
        <v>8</v>
      </c>
      <c r="K5" s="1">
        <f>266.164+23.818</f>
        <v>289.98199999999997</v>
      </c>
      <c r="L5" s="2" t="str">
        <f>L3</f>
        <v>Q226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 t="s">
        <v>9</v>
      </c>
      <c r="K6" s="1">
        <v>0</v>
      </c>
      <c r="L6" s="2" t="str">
        <f>L5</f>
        <v>Q226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15">
      <c r="A7" s="1"/>
      <c r="B7" s="1"/>
      <c r="C7" s="1"/>
      <c r="D7" s="1"/>
      <c r="E7" s="1"/>
      <c r="F7" s="1"/>
      <c r="G7" s="1"/>
      <c r="H7" s="1"/>
      <c r="I7" s="1"/>
      <c r="J7" s="1" t="s">
        <v>10</v>
      </c>
      <c r="K7" s="1">
        <f>K4-K5+K6</f>
        <v>1937.1448577799997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15">
      <c r="A8" s="1"/>
      <c r="B8" s="1" t="s">
        <v>101</v>
      </c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15">
      <c r="A9" s="1"/>
      <c r="B9" s="32" t="s">
        <v>102</v>
      </c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9" r:id="rId1" xr:uid="{F7FFBF35-8D7B-C547-9B40-B9F6B46039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R1013"/>
  <sheetViews>
    <sheetView showGridLines="0" zoomScale="257" workbookViewId="0">
      <pane xSplit="2" ySplit="3" topLeftCell="AD4" activePane="bottomRight" state="frozen"/>
      <selection pane="topRight" activeCell="C1" sqref="C1"/>
      <selection pane="bottomLeft" activeCell="A4" sqref="A4"/>
      <selection pane="bottomRight" activeCell="L5" sqref="L5"/>
    </sheetView>
  </sheetViews>
  <sheetFormatPr baseColWidth="10" defaultColWidth="12.6640625" defaultRowHeight="15.75" customHeight="1" x14ac:dyDescent="0.15"/>
  <cols>
    <col min="1" max="1" width="4.6640625" customWidth="1"/>
    <col min="2" max="2" width="22.1640625" customWidth="1"/>
    <col min="3" max="4" width="5.6640625" customWidth="1"/>
    <col min="5" max="5" width="6.33203125" customWidth="1"/>
    <col min="6" max="8" width="5.6640625" customWidth="1"/>
    <col min="9" max="9" width="6.33203125" customWidth="1"/>
    <col min="10" max="10" width="6.5" customWidth="1"/>
    <col min="11" max="11" width="5.6640625" customWidth="1"/>
    <col min="12" max="12" width="7.1640625" bestFit="1" customWidth="1"/>
    <col min="13" max="14" width="6.1640625" customWidth="1"/>
    <col min="15" max="16" width="4" customWidth="1"/>
    <col min="17" max="20" width="4.6640625" customWidth="1"/>
    <col min="21" max="22" width="5.6640625" customWidth="1"/>
    <col min="23" max="33" width="6.5" customWidth="1"/>
    <col min="34" max="35" width="4.6640625" customWidth="1"/>
    <col min="36" max="36" width="8.6640625" customWidth="1"/>
    <col min="37" max="37" width="6.5" bestFit="1" customWidth="1"/>
    <col min="38" max="226" width="4.6640625" customWidth="1"/>
  </cols>
  <sheetData>
    <row r="1" spans="1:226" ht="13.5" customHeight="1" x14ac:dyDescent="0.15">
      <c r="A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226" ht="13.5" customHeight="1" x14ac:dyDescent="0.15">
      <c r="A2" s="5" t="s">
        <v>6</v>
      </c>
      <c r="B2" s="5"/>
      <c r="C2" s="6">
        <v>45416</v>
      </c>
      <c r="D2" s="6">
        <v>45507</v>
      </c>
      <c r="E2" s="6">
        <v>45598</v>
      </c>
      <c r="F2" s="6">
        <v>45689</v>
      </c>
      <c r="G2" s="6">
        <v>45780</v>
      </c>
      <c r="H2" s="6">
        <v>45871</v>
      </c>
      <c r="I2" s="6">
        <v>45962</v>
      </c>
      <c r="J2" s="6">
        <v>46053</v>
      </c>
      <c r="K2" s="6">
        <v>46144</v>
      </c>
      <c r="L2" s="6">
        <v>46255</v>
      </c>
      <c r="M2" s="6"/>
      <c r="N2" s="6"/>
      <c r="O2" s="5"/>
      <c r="P2" s="5"/>
      <c r="Q2" s="5"/>
      <c r="R2" s="5"/>
      <c r="S2" s="5"/>
      <c r="T2" s="5"/>
      <c r="U2" s="5">
        <v>45325</v>
      </c>
      <c r="V2" s="5">
        <v>45689</v>
      </c>
      <c r="W2" s="5">
        <v>46053</v>
      </c>
      <c r="X2" s="5">
        <f t="shared" ref="X2:AG2" si="0">W2+365</f>
        <v>46418</v>
      </c>
      <c r="Y2" s="5">
        <f t="shared" si="0"/>
        <v>46783</v>
      </c>
      <c r="Z2" s="5">
        <f t="shared" si="0"/>
        <v>47148</v>
      </c>
      <c r="AA2" s="5">
        <f t="shared" si="0"/>
        <v>47513</v>
      </c>
      <c r="AB2" s="5">
        <f t="shared" si="0"/>
        <v>47878</v>
      </c>
      <c r="AC2" s="5">
        <f t="shared" si="0"/>
        <v>48243</v>
      </c>
      <c r="AD2" s="5">
        <f t="shared" si="0"/>
        <v>48608</v>
      </c>
      <c r="AE2" s="5">
        <f t="shared" si="0"/>
        <v>48973</v>
      </c>
      <c r="AF2" s="5">
        <f t="shared" si="0"/>
        <v>49338</v>
      </c>
      <c r="AG2" s="5">
        <f t="shared" si="0"/>
        <v>49703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</row>
    <row r="3" spans="1:226" ht="13.5" customHeight="1" x14ac:dyDescent="0.15"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18</v>
      </c>
      <c r="K3" s="7" t="s">
        <v>5</v>
      </c>
      <c r="L3" s="7" t="s">
        <v>19</v>
      </c>
      <c r="M3" s="7" t="s">
        <v>20</v>
      </c>
      <c r="N3" s="7" t="s">
        <v>21</v>
      </c>
      <c r="Q3" s="8">
        <v>2019</v>
      </c>
      <c r="R3" s="8">
        <f t="shared" ref="R3:S3" si="1">Q3+1</f>
        <v>2020</v>
      </c>
      <c r="S3" s="8">
        <f t="shared" si="1"/>
        <v>2021</v>
      </c>
      <c r="T3" s="8">
        <v>2022</v>
      </c>
      <c r="U3" s="8">
        <v>2023</v>
      </c>
      <c r="V3" s="8">
        <v>2024</v>
      </c>
      <c r="W3" s="8">
        <v>2025</v>
      </c>
      <c r="X3" s="8" t="s">
        <v>104</v>
      </c>
      <c r="Y3" s="8" t="s">
        <v>22</v>
      </c>
      <c r="Z3" s="9">
        <v>2028</v>
      </c>
      <c r="AA3" s="9">
        <v>2029</v>
      </c>
      <c r="AB3" s="9">
        <v>2030</v>
      </c>
      <c r="AC3" s="9">
        <v>2031</v>
      </c>
      <c r="AD3" s="9">
        <v>2032</v>
      </c>
      <c r="AE3" s="9">
        <v>2033</v>
      </c>
      <c r="AF3" s="9">
        <v>2034</v>
      </c>
      <c r="AG3" s="9">
        <v>2035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 t="e">
        <f>Y3+1</f>
        <v>#VALUE!</v>
      </c>
    </row>
    <row r="4" spans="1:226" ht="13.5" customHeight="1" x14ac:dyDescent="0.15">
      <c r="A4" s="1"/>
      <c r="B4" s="1" t="s">
        <v>23</v>
      </c>
      <c r="C4" s="10">
        <v>262.48</v>
      </c>
      <c r="D4" s="10">
        <v>282.392</v>
      </c>
      <c r="E4" s="10">
        <v>293.61799999999999</v>
      </c>
      <c r="F4" s="10">
        <v>379.19900000000001</v>
      </c>
      <c r="G4" s="10">
        <v>272.12099999999998</v>
      </c>
      <c r="H4" s="10">
        <v>305.73700000000002</v>
      </c>
      <c r="I4" s="10">
        <v>320.83699999999999</v>
      </c>
      <c r="J4" s="10">
        <v>399.14</v>
      </c>
      <c r="K4" s="10">
        <v>288.73500000000001</v>
      </c>
      <c r="L4" s="10">
        <v>319.81599999999997</v>
      </c>
      <c r="M4" s="2">
        <f t="shared" ref="M4:N4" si="2">I4*1.04</f>
        <v>333.67048</v>
      </c>
      <c r="N4" s="2">
        <f t="shared" si="2"/>
        <v>415.10559999999998</v>
      </c>
      <c r="O4" s="1"/>
      <c r="P4" s="1"/>
      <c r="Q4" s="1"/>
      <c r="R4" s="1"/>
      <c r="S4" s="1"/>
      <c r="T4" s="1"/>
      <c r="U4" s="2">
        <v>1261.1020000000001</v>
      </c>
      <c r="V4" s="2">
        <v>1217.6890000000001</v>
      </c>
      <c r="W4" s="2">
        <v>1297.835</v>
      </c>
      <c r="X4" s="1">
        <f t="shared" ref="X4:X8" si="3">SUM(K4:N4)</f>
        <v>1357.32708</v>
      </c>
      <c r="Y4" s="1">
        <f t="shared" ref="Y4:AG4" si="4">X4*1.01</f>
        <v>1370.9003508000001</v>
      </c>
      <c r="Z4" s="1">
        <f t="shared" si="4"/>
        <v>1384.6093543080001</v>
      </c>
      <c r="AA4" s="1">
        <f t="shared" si="4"/>
        <v>1398.4554478510802</v>
      </c>
      <c r="AB4" s="1">
        <f t="shared" si="4"/>
        <v>1412.4400023295909</v>
      </c>
      <c r="AC4" s="1">
        <f t="shared" si="4"/>
        <v>1426.5644023528869</v>
      </c>
      <c r="AD4" s="1">
        <f t="shared" si="4"/>
        <v>1440.8300463764158</v>
      </c>
      <c r="AE4" s="1">
        <f t="shared" si="4"/>
        <v>1455.2383468401799</v>
      </c>
      <c r="AF4" s="1">
        <f t="shared" si="4"/>
        <v>1469.7907303085817</v>
      </c>
      <c r="AG4" s="1">
        <f t="shared" si="4"/>
        <v>1484.4886376116676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</row>
    <row r="5" spans="1:226" ht="13.5" customHeight="1" x14ac:dyDescent="0.15">
      <c r="A5" s="1"/>
      <c r="B5" s="1" t="s">
        <v>24</v>
      </c>
      <c r="C5" s="10">
        <v>141.78299999999999</v>
      </c>
      <c r="D5" s="10">
        <v>149.858</v>
      </c>
      <c r="E5" s="10">
        <v>153.547</v>
      </c>
      <c r="F5" s="10">
        <v>179.714</v>
      </c>
      <c r="G5" s="10">
        <v>145.14500000000001</v>
      </c>
      <c r="H5" s="10">
        <v>160.72800000000001</v>
      </c>
      <c r="I5" s="10">
        <v>166.93100000000001</v>
      </c>
      <c r="J5" s="10">
        <v>189.173</v>
      </c>
      <c r="K5" s="10">
        <v>155.25899999999999</v>
      </c>
      <c r="L5" s="10">
        <v>166.79499999999999</v>
      </c>
      <c r="M5" s="2">
        <f t="shared" ref="M5:N5" si="5">M$4*(I5/I$4)</f>
        <v>173.60824</v>
      </c>
      <c r="N5" s="2">
        <f t="shared" si="5"/>
        <v>196.73992000000001</v>
      </c>
      <c r="O5" s="1"/>
      <c r="P5" s="1"/>
      <c r="Q5" s="1"/>
      <c r="R5" s="1"/>
      <c r="S5" s="1"/>
      <c r="T5" s="1"/>
      <c r="U5" s="2">
        <v>642.03700000000003</v>
      </c>
      <c r="V5" s="2">
        <v>624.90200000000004</v>
      </c>
      <c r="W5" s="2">
        <v>661.97699999999998</v>
      </c>
      <c r="X5" s="1">
        <f t="shared" si="3"/>
        <v>692.40215999999998</v>
      </c>
      <c r="Y5" s="1">
        <f t="shared" ref="Y5:AG5" si="6">Y$4*(X5/X$4)</f>
        <v>699.32618160000004</v>
      </c>
      <c r="Z5" s="1">
        <f t="shared" si="6"/>
        <v>706.31944341600001</v>
      </c>
      <c r="AA5" s="1">
        <f t="shared" si="6"/>
        <v>713.38263785016011</v>
      </c>
      <c r="AB5" s="1">
        <f t="shared" si="6"/>
        <v>720.51646422866168</v>
      </c>
      <c r="AC5" s="1">
        <f t="shared" si="6"/>
        <v>727.72162887094828</v>
      </c>
      <c r="AD5" s="1">
        <f t="shared" si="6"/>
        <v>734.99884515965778</v>
      </c>
      <c r="AE5" s="1">
        <f t="shared" si="6"/>
        <v>742.34883361125435</v>
      </c>
      <c r="AF5" s="1">
        <f t="shared" si="6"/>
        <v>749.77232194736689</v>
      </c>
      <c r="AG5" s="1">
        <f t="shared" si="6"/>
        <v>757.27004516684065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</row>
    <row r="6" spans="1:226" ht="13.5" customHeight="1" x14ac:dyDescent="0.15">
      <c r="A6" s="1"/>
      <c r="B6" s="1" t="s">
        <v>25</v>
      </c>
      <c r="C6" s="10">
        <v>67.198999999999998</v>
      </c>
      <c r="D6" s="10">
        <v>70.742000000000004</v>
      </c>
      <c r="E6" s="10">
        <v>71.986000000000004</v>
      </c>
      <c r="F6" s="10">
        <v>86.721999999999994</v>
      </c>
      <c r="G6" s="10">
        <v>67.198999999999998</v>
      </c>
      <c r="H6" s="10">
        <v>73.900000000000006</v>
      </c>
      <c r="I6" s="10">
        <v>77.537999999999997</v>
      </c>
      <c r="J6" s="10">
        <v>89.838999999999999</v>
      </c>
      <c r="K6" s="10">
        <v>55.216000000000001</v>
      </c>
      <c r="L6" s="10">
        <v>81.230999999999995</v>
      </c>
      <c r="M6" s="2">
        <f t="shared" ref="M6:N6" si="7">M$4*(I6/I$4)</f>
        <v>80.639520000000005</v>
      </c>
      <c r="N6" s="2">
        <f t="shared" si="7"/>
        <v>93.432559999999995</v>
      </c>
      <c r="O6" s="1"/>
      <c r="P6" s="1"/>
      <c r="Q6" s="1"/>
      <c r="R6" s="1"/>
      <c r="S6" s="1"/>
      <c r="T6" s="1"/>
      <c r="U6" s="2">
        <v>291.01799999999997</v>
      </c>
      <c r="V6" s="2">
        <v>293.17599999999999</v>
      </c>
      <c r="W6" s="2">
        <v>308.476</v>
      </c>
      <c r="X6" s="1">
        <f t="shared" si="3"/>
        <v>310.51908000000003</v>
      </c>
      <c r="Y6" s="1">
        <f t="shared" ref="Y6:AG6" si="8">Y$4*(X6/X$4)</f>
        <v>313.62427080000003</v>
      </c>
      <c r="Z6" s="1">
        <f t="shared" si="8"/>
        <v>316.76051350800003</v>
      </c>
      <c r="AA6" s="1">
        <f t="shared" si="8"/>
        <v>319.92811864308004</v>
      </c>
      <c r="AB6" s="1">
        <f t="shared" si="8"/>
        <v>323.12739982951081</v>
      </c>
      <c r="AC6" s="1">
        <f t="shared" si="8"/>
        <v>326.35867382780589</v>
      </c>
      <c r="AD6" s="1">
        <f t="shared" si="8"/>
        <v>329.62226056608398</v>
      </c>
      <c r="AE6" s="1">
        <f t="shared" si="8"/>
        <v>332.91848317174481</v>
      </c>
      <c r="AF6" s="1">
        <f t="shared" si="8"/>
        <v>336.24766800346225</v>
      </c>
      <c r="AG6" s="1">
        <f t="shared" si="8"/>
        <v>339.61014468349691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</row>
    <row r="7" spans="1:226" ht="13.5" customHeight="1" x14ac:dyDescent="0.15">
      <c r="A7" s="1"/>
      <c r="B7" s="1" t="s">
        <v>26</v>
      </c>
      <c r="C7" s="10">
        <v>63.725999999999999</v>
      </c>
      <c r="D7" s="10">
        <v>13.532</v>
      </c>
      <c r="E7" s="10">
        <v>13.602</v>
      </c>
      <c r="F7" s="10">
        <v>16.538</v>
      </c>
      <c r="G7" s="10">
        <v>16.231000000000002</v>
      </c>
      <c r="H7" s="10">
        <v>14.768000000000001</v>
      </c>
      <c r="I7" s="10">
        <v>15.454000000000001</v>
      </c>
      <c r="J7" s="10">
        <v>19.484999999999999</v>
      </c>
      <c r="K7" s="10">
        <v>18.806999999999999</v>
      </c>
      <c r="L7" s="10">
        <v>15.988</v>
      </c>
      <c r="M7" s="2">
        <f t="shared" ref="M7:N7" si="9">M$4*(I7/I$4)</f>
        <v>16.07216</v>
      </c>
      <c r="N7" s="2">
        <f t="shared" si="9"/>
        <v>20.264399999999998</v>
      </c>
      <c r="O7" s="1"/>
      <c r="P7" s="1"/>
      <c r="Q7" s="1"/>
      <c r="R7" s="1"/>
      <c r="S7" s="1"/>
      <c r="T7" s="1"/>
      <c r="U7" s="2">
        <v>56.988</v>
      </c>
      <c r="V7" s="2">
        <v>58.247</v>
      </c>
      <c r="W7" s="2">
        <v>65.938000000000002</v>
      </c>
      <c r="X7" s="1">
        <f t="shared" si="3"/>
        <v>71.131559999999993</v>
      </c>
      <c r="Y7" s="1">
        <f t="shared" ref="Y7:AG7" si="10">Y$4*(X7/X$4)</f>
        <v>71.842875599999999</v>
      </c>
      <c r="Z7" s="1">
        <f t="shared" si="10"/>
        <v>72.561304356000008</v>
      </c>
      <c r="AA7" s="1">
        <f t="shared" si="10"/>
        <v>73.286917399560011</v>
      </c>
      <c r="AB7" s="1">
        <f t="shared" si="10"/>
        <v>74.019786573555606</v>
      </c>
      <c r="AC7" s="1">
        <f t="shared" si="10"/>
        <v>74.759984439291159</v>
      </c>
      <c r="AD7" s="1">
        <f t="shared" si="10"/>
        <v>75.507584283684068</v>
      </c>
      <c r="AE7" s="1">
        <f t="shared" si="10"/>
        <v>76.262660126520913</v>
      </c>
      <c r="AF7" s="1">
        <f t="shared" si="10"/>
        <v>77.02528672778611</v>
      </c>
      <c r="AG7" s="1">
        <f t="shared" si="10"/>
        <v>77.795539595063971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</row>
    <row r="8" spans="1:226" ht="13.5" customHeight="1" x14ac:dyDescent="0.15">
      <c r="A8" s="1"/>
      <c r="B8" s="1" t="s">
        <v>27</v>
      </c>
      <c r="C8" s="2">
        <v>14.574999999999999</v>
      </c>
      <c r="D8" s="2">
        <f t="shared" ref="D8:N8" si="11">D4-SUM(D5:D7)</f>
        <v>48.259999999999962</v>
      </c>
      <c r="E8" s="2">
        <f t="shared" si="11"/>
        <v>54.482999999999976</v>
      </c>
      <c r="F8" s="2">
        <f t="shared" si="11"/>
        <v>96.225000000000023</v>
      </c>
      <c r="G8" s="2">
        <f t="shared" si="11"/>
        <v>43.545999999999992</v>
      </c>
      <c r="H8" s="2">
        <f t="shared" si="11"/>
        <v>56.341000000000008</v>
      </c>
      <c r="I8" s="2">
        <f t="shared" si="11"/>
        <v>60.913999999999987</v>
      </c>
      <c r="J8" s="2">
        <f t="shared" si="11"/>
        <v>100.64299999999997</v>
      </c>
      <c r="K8" s="2">
        <f t="shared" si="11"/>
        <v>59.453000000000031</v>
      </c>
      <c r="L8" s="2">
        <f t="shared" ref="L8" si="12">L4-SUM(L5:L7)</f>
        <v>55.801999999999964</v>
      </c>
      <c r="M8" s="2">
        <f t="shared" si="11"/>
        <v>63.350559999999973</v>
      </c>
      <c r="N8" s="2">
        <f t="shared" si="11"/>
        <v>104.66871999999995</v>
      </c>
      <c r="O8" s="1"/>
      <c r="P8" s="1"/>
      <c r="Q8" s="1"/>
      <c r="R8" s="1"/>
      <c r="S8" s="1"/>
      <c r="T8" s="1"/>
      <c r="U8" s="2">
        <f t="shared" ref="U8:W8" si="13">U4-SUM(U5:U7)</f>
        <v>271.05899999999997</v>
      </c>
      <c r="V8" s="2">
        <f t="shared" si="13"/>
        <v>241.36400000000015</v>
      </c>
      <c r="W8" s="2">
        <f t="shared" si="13"/>
        <v>261.44399999999996</v>
      </c>
      <c r="X8" s="1">
        <f t="shared" si="3"/>
        <v>283.27427999999992</v>
      </c>
      <c r="Y8" s="2">
        <f t="shared" ref="Y8:AG8" si="14">Y4-SUM(Y5:Y7)</f>
        <v>286.10702279999987</v>
      </c>
      <c r="Z8" s="2">
        <f t="shared" si="14"/>
        <v>288.96809302800011</v>
      </c>
      <c r="AA8" s="2">
        <f t="shared" si="14"/>
        <v>291.85777395827995</v>
      </c>
      <c r="AB8" s="2">
        <f t="shared" si="14"/>
        <v>294.77635169786276</v>
      </c>
      <c r="AC8" s="2">
        <f t="shared" si="14"/>
        <v>297.7241152148415</v>
      </c>
      <c r="AD8" s="2">
        <f t="shared" si="14"/>
        <v>300.70135636699001</v>
      </c>
      <c r="AE8" s="2">
        <f t="shared" si="14"/>
        <v>303.70836993065996</v>
      </c>
      <c r="AF8" s="2">
        <f t="shared" si="14"/>
        <v>306.74545362996651</v>
      </c>
      <c r="AG8" s="2">
        <f t="shared" si="14"/>
        <v>309.8129081662662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</row>
    <row r="9" spans="1:226" ht="13.5" customHeight="1" x14ac:dyDescent="0.15">
      <c r="A9" s="1"/>
      <c r="B9" s="1" t="s">
        <v>28</v>
      </c>
      <c r="C9" s="10">
        <v>3.754</v>
      </c>
      <c r="D9" s="10">
        <v>3.7330000000000001</v>
      </c>
      <c r="E9" s="10">
        <v>4.0229999999999997</v>
      </c>
      <c r="F9" s="10">
        <v>4.9029999999999996</v>
      </c>
      <c r="G9" s="10">
        <v>3.0670000000000002</v>
      </c>
      <c r="H9" s="10">
        <v>3.27</v>
      </c>
      <c r="I9" s="10">
        <v>3.589</v>
      </c>
      <c r="J9" s="10">
        <v>4.7489999999999997</v>
      </c>
      <c r="K9" s="10">
        <v>2.6429999999999998</v>
      </c>
      <c r="L9" s="10">
        <v>3.0190000000000001</v>
      </c>
      <c r="M9" s="2">
        <f t="shared" ref="M9:N9" si="15">AVERAGE(I9:L9)</f>
        <v>3.4999999999999996</v>
      </c>
      <c r="N9" s="2">
        <f t="shared" si="15"/>
        <v>3.4777499999999999</v>
      </c>
      <c r="O9" s="1"/>
      <c r="P9" s="1"/>
      <c r="Q9" s="1"/>
      <c r="R9" s="1"/>
      <c r="S9" s="1"/>
      <c r="T9" s="1"/>
      <c r="U9" s="2">
        <v>18.155999999999999</v>
      </c>
      <c r="V9" s="2">
        <v>16.413</v>
      </c>
      <c r="W9" s="2">
        <v>14.675000000000001</v>
      </c>
      <c r="X9" s="1">
        <f t="shared" ref="X9:AG9" si="16">W21 * $AK$15</f>
        <v>6.4758999999999993</v>
      </c>
      <c r="Y9" s="1">
        <f t="shared" si="16"/>
        <v>10.944203780724569</v>
      </c>
      <c r="Z9" s="1">
        <f t="shared" si="16"/>
        <v>15.429679237226319</v>
      </c>
      <c r="AA9" s="1">
        <f t="shared" si="16"/>
        <v>20.026087581422935</v>
      </c>
      <c r="AB9" s="1">
        <f t="shared" si="16"/>
        <v>24.735535922432092</v>
      </c>
      <c r="AC9" s="1">
        <f t="shared" si="16"/>
        <v>29.560167506950769</v>
      </c>
      <c r="AD9" s="1">
        <f t="shared" si="16"/>
        <v>34.502162308135134</v>
      </c>
      <c r="AE9" s="1">
        <f t="shared" si="16"/>
        <v>39.563737623804492</v>
      </c>
      <c r="AF9" s="1">
        <f t="shared" si="16"/>
        <v>44.747148684114492</v>
      </c>
      <c r="AG9" s="1">
        <f t="shared" si="16"/>
        <v>50.054689268846907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</row>
    <row r="10" spans="1:226" ht="13.5" customHeight="1" x14ac:dyDescent="0.15">
      <c r="A10" s="1"/>
      <c r="B10" s="1" t="s">
        <v>29</v>
      </c>
      <c r="C10" s="2">
        <f t="shared" ref="C10:N10" si="17">C8+C9</f>
        <v>18.329000000000001</v>
      </c>
      <c r="D10" s="2">
        <f t="shared" si="17"/>
        <v>51.992999999999959</v>
      </c>
      <c r="E10" s="2">
        <f t="shared" si="17"/>
        <v>58.505999999999972</v>
      </c>
      <c r="F10" s="2">
        <f t="shared" si="17"/>
        <v>101.12800000000003</v>
      </c>
      <c r="G10" s="2">
        <f t="shared" si="17"/>
        <v>46.612999999999992</v>
      </c>
      <c r="H10" s="2">
        <f t="shared" si="17"/>
        <v>59.611000000000011</v>
      </c>
      <c r="I10" s="2">
        <f t="shared" si="17"/>
        <v>64.502999999999986</v>
      </c>
      <c r="J10" s="2">
        <f t="shared" si="17"/>
        <v>105.39199999999997</v>
      </c>
      <c r="K10" s="2">
        <f t="shared" si="17"/>
        <v>62.096000000000032</v>
      </c>
      <c r="L10" s="2">
        <f t="shared" ref="L10" si="18">L8+L9</f>
        <v>58.820999999999962</v>
      </c>
      <c r="M10" s="2">
        <f t="shared" si="17"/>
        <v>66.850559999999973</v>
      </c>
      <c r="N10" s="2">
        <f t="shared" si="17"/>
        <v>108.14646999999995</v>
      </c>
      <c r="O10" s="1"/>
      <c r="P10" s="1"/>
      <c r="Q10" s="1"/>
      <c r="R10" s="1"/>
      <c r="S10" s="1"/>
      <c r="T10" s="1"/>
      <c r="U10" s="2">
        <f t="shared" ref="U10:W10" si="19">U8+U9</f>
        <v>289.21499999999997</v>
      </c>
      <c r="V10" s="2">
        <f t="shared" si="19"/>
        <v>257.77700000000016</v>
      </c>
      <c r="W10" s="2">
        <f t="shared" si="19"/>
        <v>276.11899999999997</v>
      </c>
      <c r="X10" s="1">
        <f t="shared" ref="X10:X13" si="20">SUM(K10:N10)</f>
        <v>295.91402999999991</v>
      </c>
      <c r="Y10" s="2">
        <f t="shared" ref="Y10:AG10" si="21">Y8+Y9</f>
        <v>297.05122658072446</v>
      </c>
      <c r="Z10" s="2">
        <f t="shared" si="21"/>
        <v>304.39777226522642</v>
      </c>
      <c r="AA10" s="2">
        <f t="shared" si="21"/>
        <v>311.88386153970288</v>
      </c>
      <c r="AB10" s="2">
        <f t="shared" si="21"/>
        <v>319.51188762029483</v>
      </c>
      <c r="AC10" s="2">
        <f t="shared" si="21"/>
        <v>327.28428272179229</v>
      </c>
      <c r="AD10" s="2">
        <f t="shared" si="21"/>
        <v>335.20351867512517</v>
      </c>
      <c r="AE10" s="2">
        <f t="shared" si="21"/>
        <v>343.27210755446447</v>
      </c>
      <c r="AF10" s="2">
        <f t="shared" si="21"/>
        <v>351.49260231408101</v>
      </c>
      <c r="AG10" s="2">
        <f t="shared" si="21"/>
        <v>359.86759743511311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</row>
    <row r="11" spans="1:226" ht="13.5" customHeight="1" x14ac:dyDescent="0.15">
      <c r="A11" s="1"/>
      <c r="B11" s="1" t="s">
        <v>30</v>
      </c>
      <c r="C11" s="10">
        <v>11.307</v>
      </c>
      <c r="D11" s="10">
        <v>12.738</v>
      </c>
      <c r="E11" s="10">
        <v>14.334</v>
      </c>
      <c r="F11" s="10">
        <v>23.93</v>
      </c>
      <c r="G11" s="10">
        <v>11.42</v>
      </c>
      <c r="H11" s="10">
        <v>14.605</v>
      </c>
      <c r="I11" s="10">
        <v>15.803000000000001</v>
      </c>
      <c r="J11" s="10">
        <v>24.547000000000001</v>
      </c>
      <c r="K11" s="10">
        <v>15.214</v>
      </c>
      <c r="L11" s="10">
        <v>14.411</v>
      </c>
      <c r="M11" s="2">
        <f t="shared" ref="M11:N11" si="22">M10*(L11/L10)</f>
        <v>16.378222406283474</v>
      </c>
      <c r="N11" s="2">
        <f t="shared" si="22"/>
        <v>26.495618557487976</v>
      </c>
      <c r="O11" s="1"/>
      <c r="P11" s="1"/>
      <c r="Q11" s="1"/>
      <c r="R11" s="1"/>
      <c r="S11" s="1"/>
      <c r="T11" s="1"/>
      <c r="U11" s="2">
        <v>69.296000000000006</v>
      </c>
      <c r="V11" s="2">
        <v>16.413</v>
      </c>
      <c r="W11" s="2">
        <v>66.375</v>
      </c>
      <c r="X11" s="1">
        <f t="shared" si="20"/>
        <v>72.498840963771443</v>
      </c>
      <c r="Y11" s="1">
        <f t="shared" ref="Y11:AG11" si="23">Y10*(X11/X10)</f>
        <v>72.777453755637026</v>
      </c>
      <c r="Z11" s="1">
        <f t="shared" si="23"/>
        <v>74.577355055395572</v>
      </c>
      <c r="AA11" s="1">
        <f t="shared" si="23"/>
        <v>76.411444489245198</v>
      </c>
      <c r="AB11" s="1">
        <f t="shared" si="23"/>
        <v>78.280308394360944</v>
      </c>
      <c r="AC11" s="1">
        <f t="shared" si="23"/>
        <v>80.184542662574117</v>
      </c>
      <c r="AD11" s="1">
        <f t="shared" si="23"/>
        <v>82.124752891657408</v>
      </c>
      <c r="AE11" s="1">
        <f t="shared" si="23"/>
        <v>84.101554538964479</v>
      </c>
      <c r="AF11" s="1">
        <f t="shared" si="23"/>
        <v>86.115573077460127</v>
      </c>
      <c r="AG11" s="1">
        <f t="shared" si="23"/>
        <v>88.167444154178142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</row>
    <row r="12" spans="1:226" ht="13.5" customHeight="1" x14ac:dyDescent="0.15">
      <c r="A12" s="1"/>
      <c r="B12" s="1" t="s">
        <v>31</v>
      </c>
      <c r="C12" s="2">
        <f t="shared" ref="C12:N12" si="24">C10-C11</f>
        <v>7.0220000000000002</v>
      </c>
      <c r="D12" s="2">
        <f t="shared" si="24"/>
        <v>39.25499999999996</v>
      </c>
      <c r="E12" s="2">
        <f t="shared" si="24"/>
        <v>44.171999999999969</v>
      </c>
      <c r="F12" s="2">
        <f t="shared" si="24"/>
        <v>77.198000000000036</v>
      </c>
      <c r="G12" s="2">
        <f t="shared" si="24"/>
        <v>35.192999999999991</v>
      </c>
      <c r="H12" s="2">
        <f t="shared" si="24"/>
        <v>45.006000000000014</v>
      </c>
      <c r="I12" s="2">
        <f t="shared" si="24"/>
        <v>48.699999999999989</v>
      </c>
      <c r="J12" s="2">
        <f t="shared" si="24"/>
        <v>80.84499999999997</v>
      </c>
      <c r="K12" s="2">
        <f t="shared" si="24"/>
        <v>46.882000000000033</v>
      </c>
      <c r="L12" s="2">
        <f t="shared" si="24"/>
        <v>44.409999999999961</v>
      </c>
      <c r="M12" s="2">
        <f t="shared" si="24"/>
        <v>50.472337593716503</v>
      </c>
      <c r="N12" s="2">
        <f t="shared" si="24"/>
        <v>81.650851442511978</v>
      </c>
      <c r="O12" s="1"/>
      <c r="P12" s="1"/>
      <c r="Q12" s="1"/>
      <c r="R12" s="1"/>
      <c r="S12" s="1"/>
      <c r="T12" s="1"/>
      <c r="U12" s="2">
        <f t="shared" ref="U12:W12" si="25">U10-U11</f>
        <v>219.91899999999998</v>
      </c>
      <c r="V12" s="2">
        <f t="shared" si="25"/>
        <v>241.36400000000015</v>
      </c>
      <c r="W12" s="2">
        <f t="shared" si="25"/>
        <v>209.74399999999997</v>
      </c>
      <c r="X12" s="1">
        <f t="shared" si="20"/>
        <v>223.41518903622847</v>
      </c>
      <c r="Y12" s="2">
        <f t="shared" ref="Y12:AG12" si="26">Y10-Y11</f>
        <v>224.27377282508743</v>
      </c>
      <c r="Z12" s="2">
        <f t="shared" si="26"/>
        <v>229.82041720983085</v>
      </c>
      <c r="AA12" s="2">
        <f t="shared" si="26"/>
        <v>235.47241705045769</v>
      </c>
      <c r="AB12" s="2">
        <f t="shared" si="26"/>
        <v>241.2315792259339</v>
      </c>
      <c r="AC12" s="2">
        <f t="shared" si="26"/>
        <v>247.09974005921816</v>
      </c>
      <c r="AD12" s="2">
        <f t="shared" si="26"/>
        <v>253.07876578346776</v>
      </c>
      <c r="AE12" s="2">
        <f t="shared" si="26"/>
        <v>259.17055301549999</v>
      </c>
      <c r="AF12" s="2">
        <f t="shared" si="26"/>
        <v>265.3770292366209</v>
      </c>
      <c r="AG12" s="2">
        <f t="shared" si="26"/>
        <v>271.70015328093496</v>
      </c>
      <c r="AH12" s="1">
        <f t="shared" ref="AH12:HR12" si="27">AG12*(1+$AK$16)</f>
        <v>274.41715481374433</v>
      </c>
      <c r="AI12" s="1">
        <f t="shared" si="27"/>
        <v>277.16132636188178</v>
      </c>
      <c r="AJ12" s="1">
        <f t="shared" si="27"/>
        <v>279.93293962550058</v>
      </c>
      <c r="AK12" s="1">
        <f t="shared" si="27"/>
        <v>282.7322690217556</v>
      </c>
      <c r="AL12" s="1">
        <f t="shared" si="27"/>
        <v>285.55959171197316</v>
      </c>
      <c r="AM12" s="1">
        <f t="shared" si="27"/>
        <v>288.41518762909288</v>
      </c>
      <c r="AN12" s="1">
        <f t="shared" si="27"/>
        <v>291.29933950538384</v>
      </c>
      <c r="AO12" s="1">
        <f t="shared" si="27"/>
        <v>294.21233290043767</v>
      </c>
      <c r="AP12" s="1">
        <f t="shared" si="27"/>
        <v>297.15445622944208</v>
      </c>
      <c r="AQ12" s="1">
        <f t="shared" si="27"/>
        <v>300.12600079173649</v>
      </c>
      <c r="AR12" s="1">
        <f t="shared" si="27"/>
        <v>303.12726079965387</v>
      </c>
      <c r="AS12" s="1">
        <f t="shared" si="27"/>
        <v>306.1585334076504</v>
      </c>
      <c r="AT12" s="1">
        <f t="shared" si="27"/>
        <v>309.22011874172688</v>
      </c>
      <c r="AU12" s="1">
        <f t="shared" si="27"/>
        <v>312.31231992914417</v>
      </c>
      <c r="AV12" s="1">
        <f t="shared" si="27"/>
        <v>315.43544312843562</v>
      </c>
      <c r="AW12" s="1">
        <f t="shared" si="27"/>
        <v>318.58979755971995</v>
      </c>
      <c r="AX12" s="1">
        <f t="shared" si="27"/>
        <v>321.77569553531714</v>
      </c>
      <c r="AY12" s="1">
        <f t="shared" si="27"/>
        <v>324.99345249067034</v>
      </c>
      <c r="AZ12" s="1">
        <f t="shared" si="27"/>
        <v>328.24338701557707</v>
      </c>
      <c r="BA12" s="1">
        <f t="shared" si="27"/>
        <v>331.52582088573286</v>
      </c>
      <c r="BB12" s="1">
        <f t="shared" si="27"/>
        <v>334.84107909459021</v>
      </c>
      <c r="BC12" s="1">
        <f t="shared" si="27"/>
        <v>338.18948988553609</v>
      </c>
      <c r="BD12" s="1">
        <f t="shared" si="27"/>
        <v>341.57138478439146</v>
      </c>
      <c r="BE12" s="1">
        <f t="shared" si="27"/>
        <v>344.98709863223536</v>
      </c>
      <c r="BF12" s="1">
        <f t="shared" si="27"/>
        <v>348.43696961855773</v>
      </c>
      <c r="BG12" s="1">
        <f t="shared" si="27"/>
        <v>351.92133931474331</v>
      </c>
      <c r="BH12" s="1">
        <f t="shared" si="27"/>
        <v>355.44055270789073</v>
      </c>
      <c r="BI12" s="1">
        <f t="shared" si="27"/>
        <v>358.99495823496966</v>
      </c>
      <c r="BJ12" s="1">
        <f t="shared" si="27"/>
        <v>362.58490781731933</v>
      </c>
      <c r="BK12" s="1">
        <f t="shared" si="27"/>
        <v>366.21075689549252</v>
      </c>
      <c r="BL12" s="1">
        <f t="shared" si="27"/>
        <v>369.87286446444745</v>
      </c>
      <c r="BM12" s="1">
        <f t="shared" si="27"/>
        <v>373.57159310909191</v>
      </c>
      <c r="BN12" s="1">
        <f t="shared" si="27"/>
        <v>377.30730904018282</v>
      </c>
      <c r="BO12" s="1">
        <f t="shared" si="27"/>
        <v>381.08038213058467</v>
      </c>
      <c r="BP12" s="1">
        <f t="shared" si="27"/>
        <v>384.89118595189052</v>
      </c>
      <c r="BQ12" s="1">
        <f t="shared" si="27"/>
        <v>388.74009781140944</v>
      </c>
      <c r="BR12" s="1">
        <f t="shared" si="27"/>
        <v>392.62749878952354</v>
      </c>
      <c r="BS12" s="1">
        <f t="shared" si="27"/>
        <v>396.55377377741877</v>
      </c>
      <c r="BT12" s="1">
        <f t="shared" si="27"/>
        <v>400.51931151519295</v>
      </c>
      <c r="BU12" s="1">
        <f t="shared" si="27"/>
        <v>404.52450463034489</v>
      </c>
      <c r="BV12" s="1">
        <f t="shared" si="27"/>
        <v>408.56974967664837</v>
      </c>
      <c r="BW12" s="1">
        <f t="shared" si="27"/>
        <v>412.65544717341487</v>
      </c>
      <c r="BX12" s="1">
        <f t="shared" si="27"/>
        <v>416.78200164514902</v>
      </c>
      <c r="BY12" s="1">
        <f t="shared" si="27"/>
        <v>420.94982166160054</v>
      </c>
      <c r="BZ12" s="1">
        <f t="shared" si="27"/>
        <v>425.15931987821654</v>
      </c>
      <c r="CA12" s="1">
        <f t="shared" si="27"/>
        <v>429.41091307699872</v>
      </c>
      <c r="CB12" s="1">
        <f t="shared" si="27"/>
        <v>433.70502220776871</v>
      </c>
      <c r="CC12" s="1">
        <f t="shared" si="27"/>
        <v>438.04207242984637</v>
      </c>
      <c r="CD12" s="1">
        <f t="shared" si="27"/>
        <v>442.42249315414483</v>
      </c>
      <c r="CE12" s="1">
        <f t="shared" si="27"/>
        <v>446.84671808568629</v>
      </c>
      <c r="CF12" s="1">
        <f t="shared" si="27"/>
        <v>451.31518526654315</v>
      </c>
      <c r="CG12" s="1">
        <f t="shared" si="27"/>
        <v>455.82833711920858</v>
      </c>
      <c r="CH12" s="1">
        <f t="shared" si="27"/>
        <v>460.38662049040067</v>
      </c>
      <c r="CI12" s="1">
        <f t="shared" si="27"/>
        <v>464.9904866953047</v>
      </c>
      <c r="CJ12" s="1">
        <f t="shared" si="27"/>
        <v>469.64039156225778</v>
      </c>
      <c r="CK12" s="1">
        <f t="shared" si="27"/>
        <v>474.33679547788034</v>
      </c>
      <c r="CL12" s="1">
        <f t="shared" si="27"/>
        <v>479.08016343265916</v>
      </c>
      <c r="CM12" s="1">
        <f t="shared" si="27"/>
        <v>483.87096506698578</v>
      </c>
      <c r="CN12" s="1">
        <f t="shared" si="27"/>
        <v>488.70967471765562</v>
      </c>
      <c r="CO12" s="1">
        <f t="shared" si="27"/>
        <v>493.59677146483216</v>
      </c>
      <c r="CP12" s="1">
        <f t="shared" si="27"/>
        <v>498.53273917948047</v>
      </c>
      <c r="CQ12" s="1">
        <f t="shared" si="27"/>
        <v>503.51806657127526</v>
      </c>
      <c r="CR12" s="1">
        <f t="shared" si="27"/>
        <v>508.553247236988</v>
      </c>
      <c r="CS12" s="1">
        <f t="shared" si="27"/>
        <v>513.63877970935789</v>
      </c>
      <c r="CT12" s="1">
        <f t="shared" si="27"/>
        <v>518.77516750645145</v>
      </c>
      <c r="CU12" s="1">
        <f t="shared" si="27"/>
        <v>523.96291918151599</v>
      </c>
      <c r="CV12" s="1">
        <f t="shared" si="27"/>
        <v>529.20254837333118</v>
      </c>
      <c r="CW12" s="1">
        <f t="shared" si="27"/>
        <v>534.49457385706455</v>
      </c>
      <c r="CX12" s="1">
        <f t="shared" si="27"/>
        <v>539.83951959563524</v>
      </c>
      <c r="CY12" s="1">
        <f t="shared" si="27"/>
        <v>545.23791479159161</v>
      </c>
      <c r="CZ12" s="1">
        <f t="shared" si="27"/>
        <v>550.69029393950757</v>
      </c>
      <c r="DA12" s="1">
        <f t="shared" si="27"/>
        <v>556.19719687890267</v>
      </c>
      <c r="DB12" s="1">
        <f t="shared" si="27"/>
        <v>561.75916884769174</v>
      </c>
      <c r="DC12" s="1">
        <f t="shared" si="27"/>
        <v>567.37676053616872</v>
      </c>
      <c r="DD12" s="1">
        <f t="shared" si="27"/>
        <v>573.05052814153044</v>
      </c>
      <c r="DE12" s="1">
        <f t="shared" si="27"/>
        <v>578.78103342294571</v>
      </c>
      <c r="DF12" s="1">
        <f t="shared" si="27"/>
        <v>584.56884375717516</v>
      </c>
      <c r="DG12" s="1">
        <f t="shared" si="27"/>
        <v>590.41453219474693</v>
      </c>
      <c r="DH12" s="1">
        <f t="shared" si="27"/>
        <v>596.31867751669438</v>
      </c>
      <c r="DI12" s="1">
        <f t="shared" si="27"/>
        <v>602.28186429186133</v>
      </c>
      <c r="DJ12" s="1">
        <f t="shared" si="27"/>
        <v>608.30468293477998</v>
      </c>
      <c r="DK12" s="1">
        <f t="shared" si="27"/>
        <v>614.38772976412781</v>
      </c>
      <c r="DL12" s="1">
        <f t="shared" si="27"/>
        <v>620.53160706176914</v>
      </c>
      <c r="DM12" s="1">
        <f t="shared" si="27"/>
        <v>626.73692313238678</v>
      </c>
      <c r="DN12" s="1">
        <f t="shared" si="27"/>
        <v>633.00429236371065</v>
      </c>
      <c r="DO12" s="1">
        <f t="shared" si="27"/>
        <v>639.33433528734781</v>
      </c>
      <c r="DP12" s="1">
        <f t="shared" si="27"/>
        <v>645.72767864022126</v>
      </c>
      <c r="DQ12" s="1">
        <f t="shared" si="27"/>
        <v>652.18495542662345</v>
      </c>
      <c r="DR12" s="1">
        <f t="shared" si="27"/>
        <v>658.70680498088973</v>
      </c>
      <c r="DS12" s="1">
        <f t="shared" si="27"/>
        <v>665.29387303069859</v>
      </c>
      <c r="DT12" s="1">
        <f t="shared" si="27"/>
        <v>671.94681176100562</v>
      </c>
      <c r="DU12" s="1">
        <f t="shared" si="27"/>
        <v>678.66627987861568</v>
      </c>
      <c r="DV12" s="1">
        <f t="shared" si="27"/>
        <v>685.45294267740189</v>
      </c>
      <c r="DW12" s="1">
        <f t="shared" si="27"/>
        <v>692.30747210417587</v>
      </c>
      <c r="DX12" s="1">
        <f t="shared" si="27"/>
        <v>699.23054682521763</v>
      </c>
      <c r="DY12" s="1">
        <f t="shared" si="27"/>
        <v>706.22285229346983</v>
      </c>
      <c r="DZ12" s="1">
        <f t="shared" si="27"/>
        <v>713.2850808164045</v>
      </c>
      <c r="EA12" s="1">
        <f t="shared" si="27"/>
        <v>720.41793162456861</v>
      </c>
      <c r="EB12" s="1">
        <f t="shared" si="27"/>
        <v>727.62211094081431</v>
      </c>
      <c r="EC12" s="1">
        <f t="shared" si="27"/>
        <v>734.89833205022251</v>
      </c>
      <c r="ED12" s="1">
        <f t="shared" si="27"/>
        <v>742.24731537072478</v>
      </c>
      <c r="EE12" s="1">
        <f t="shared" si="27"/>
        <v>749.66978852443208</v>
      </c>
      <c r="EF12" s="1">
        <f t="shared" si="27"/>
        <v>757.16648640967639</v>
      </c>
      <c r="EG12" s="1">
        <f t="shared" si="27"/>
        <v>764.73815127377316</v>
      </c>
      <c r="EH12" s="1">
        <f t="shared" si="27"/>
        <v>772.38553278651091</v>
      </c>
      <c r="EI12" s="1">
        <f t="shared" si="27"/>
        <v>780.10938811437597</v>
      </c>
      <c r="EJ12" s="1">
        <f t="shared" si="27"/>
        <v>787.91048199551972</v>
      </c>
      <c r="EK12" s="1">
        <f t="shared" si="27"/>
        <v>795.78958681547488</v>
      </c>
      <c r="EL12" s="1">
        <f t="shared" si="27"/>
        <v>803.74748268362964</v>
      </c>
      <c r="EM12" s="1">
        <f t="shared" si="27"/>
        <v>811.78495751046592</v>
      </c>
      <c r="EN12" s="1">
        <f t="shared" si="27"/>
        <v>819.90280708557054</v>
      </c>
      <c r="EO12" s="1">
        <f t="shared" si="27"/>
        <v>828.1018351564262</v>
      </c>
      <c r="EP12" s="1">
        <f t="shared" si="27"/>
        <v>836.38285350799049</v>
      </c>
      <c r="EQ12" s="1">
        <f t="shared" si="27"/>
        <v>844.74668204307045</v>
      </c>
      <c r="ER12" s="1">
        <f t="shared" si="27"/>
        <v>853.19414886350114</v>
      </c>
      <c r="ES12" s="1">
        <f t="shared" si="27"/>
        <v>861.72609035213611</v>
      </c>
      <c r="ET12" s="1">
        <f t="shared" si="27"/>
        <v>870.34335125565747</v>
      </c>
      <c r="EU12" s="1">
        <f t="shared" si="27"/>
        <v>879.04678476821402</v>
      </c>
      <c r="EV12" s="1">
        <f t="shared" si="27"/>
        <v>887.8372526158962</v>
      </c>
      <c r="EW12" s="1">
        <f t="shared" si="27"/>
        <v>896.71562514205516</v>
      </c>
      <c r="EX12" s="1">
        <f t="shared" si="27"/>
        <v>905.68278139347569</v>
      </c>
      <c r="EY12" s="1">
        <f t="shared" si="27"/>
        <v>914.73960920741047</v>
      </c>
      <c r="EZ12" s="1">
        <f t="shared" si="27"/>
        <v>923.8870052994846</v>
      </c>
      <c r="FA12" s="1">
        <f t="shared" si="27"/>
        <v>933.1258753524794</v>
      </c>
      <c r="FB12" s="1">
        <f t="shared" si="27"/>
        <v>942.45713410600422</v>
      </c>
      <c r="FC12" s="1">
        <f t="shared" si="27"/>
        <v>951.88170544706429</v>
      </c>
      <c r="FD12" s="1">
        <f t="shared" si="27"/>
        <v>961.40052250153497</v>
      </c>
      <c r="FE12" s="1">
        <f t="shared" si="27"/>
        <v>971.01452772655034</v>
      </c>
      <c r="FF12" s="1">
        <f t="shared" si="27"/>
        <v>980.72467300381584</v>
      </c>
      <c r="FG12" s="1">
        <f t="shared" si="27"/>
        <v>990.53191973385401</v>
      </c>
      <c r="FH12" s="1">
        <f t="shared" si="27"/>
        <v>1000.4372389311926</v>
      </c>
      <c r="FI12" s="1">
        <f t="shared" si="27"/>
        <v>1010.4416113205045</v>
      </c>
      <c r="FJ12" s="1">
        <f t="shared" si="27"/>
        <v>1020.5460274337096</v>
      </c>
      <c r="FK12" s="1">
        <f t="shared" si="27"/>
        <v>1030.7514877080466</v>
      </c>
      <c r="FL12" s="1">
        <f t="shared" si="27"/>
        <v>1041.059002585127</v>
      </c>
      <c r="FM12" s="1">
        <f t="shared" si="27"/>
        <v>1051.4695926109782</v>
      </c>
      <c r="FN12" s="1">
        <f t="shared" si="27"/>
        <v>1061.9842885370881</v>
      </c>
      <c r="FO12" s="1">
        <f t="shared" si="27"/>
        <v>1072.604131422459</v>
      </c>
      <c r="FP12" s="1">
        <f t="shared" si="27"/>
        <v>1083.3301727366836</v>
      </c>
      <c r="FQ12" s="1">
        <f t="shared" si="27"/>
        <v>1094.1634744640505</v>
      </c>
      <c r="FR12" s="1">
        <f t="shared" si="27"/>
        <v>1105.1051092086911</v>
      </c>
      <c r="FS12" s="1">
        <f t="shared" si="27"/>
        <v>1116.1561603007781</v>
      </c>
      <c r="FT12" s="1">
        <f t="shared" si="27"/>
        <v>1127.3177219037859</v>
      </c>
      <c r="FU12" s="1">
        <f t="shared" si="27"/>
        <v>1138.5908991228239</v>
      </c>
      <c r="FV12" s="1">
        <f t="shared" si="27"/>
        <v>1149.9768081140521</v>
      </c>
      <c r="FW12" s="1">
        <f t="shared" si="27"/>
        <v>1161.4765761951926</v>
      </c>
      <c r="FX12" s="1">
        <f t="shared" si="27"/>
        <v>1173.0913419571446</v>
      </c>
      <c r="FY12" s="1">
        <f t="shared" si="27"/>
        <v>1184.8222553767159</v>
      </c>
      <c r="FZ12" s="1">
        <f t="shared" si="27"/>
        <v>1196.670477930483</v>
      </c>
      <c r="GA12" s="1">
        <f t="shared" si="27"/>
        <v>1208.6371827097878</v>
      </c>
      <c r="GB12" s="1">
        <f t="shared" si="27"/>
        <v>1220.7235545368858</v>
      </c>
      <c r="GC12" s="1">
        <f t="shared" si="27"/>
        <v>1232.9307900822546</v>
      </c>
      <c r="GD12" s="1">
        <f t="shared" si="27"/>
        <v>1245.2600979830772</v>
      </c>
      <c r="GE12" s="1">
        <f t="shared" si="27"/>
        <v>1257.712698962908</v>
      </c>
      <c r="GF12" s="1">
        <f t="shared" si="27"/>
        <v>1270.2898259525371</v>
      </c>
      <c r="GG12" s="1">
        <f t="shared" si="27"/>
        <v>1282.9927242120625</v>
      </c>
      <c r="GH12" s="1">
        <f t="shared" si="27"/>
        <v>1295.8226514541832</v>
      </c>
      <c r="GI12" s="1">
        <f t="shared" si="27"/>
        <v>1308.780877968725</v>
      </c>
      <c r="GJ12" s="1">
        <f t="shared" si="27"/>
        <v>1321.8686867484123</v>
      </c>
      <c r="GK12" s="1">
        <f t="shared" si="27"/>
        <v>1335.0873736158965</v>
      </c>
      <c r="GL12" s="1">
        <f t="shared" si="27"/>
        <v>1348.4382473520554</v>
      </c>
      <c r="GM12" s="1">
        <f t="shared" si="27"/>
        <v>1361.922629825576</v>
      </c>
      <c r="GN12" s="1">
        <f t="shared" si="27"/>
        <v>1375.5418561238318</v>
      </c>
      <c r="GO12" s="1">
        <f t="shared" si="27"/>
        <v>1389.2972746850701</v>
      </c>
      <c r="GP12" s="1">
        <f t="shared" si="27"/>
        <v>1403.1902474319209</v>
      </c>
      <c r="GQ12" s="1">
        <f t="shared" si="27"/>
        <v>1417.22214990624</v>
      </c>
      <c r="GR12" s="1">
        <f t="shared" si="27"/>
        <v>1431.3943714053025</v>
      </c>
      <c r="GS12" s="1">
        <f t="shared" si="27"/>
        <v>1445.7083151193556</v>
      </c>
      <c r="GT12" s="1">
        <f t="shared" si="27"/>
        <v>1460.1653982705491</v>
      </c>
      <c r="GU12" s="1">
        <f t="shared" si="27"/>
        <v>1474.7670522532546</v>
      </c>
      <c r="GV12" s="1">
        <f t="shared" si="27"/>
        <v>1489.5147227757873</v>
      </c>
      <c r="GW12" s="1">
        <f t="shared" si="27"/>
        <v>1504.4098700035452</v>
      </c>
      <c r="GX12" s="1">
        <f t="shared" si="27"/>
        <v>1519.4539687035806</v>
      </c>
      <c r="GY12" s="1">
        <f t="shared" si="27"/>
        <v>1534.6485083906164</v>
      </c>
      <c r="GZ12" s="1">
        <f t="shared" si="27"/>
        <v>1549.9949934745225</v>
      </c>
      <c r="HA12" s="1">
        <f t="shared" si="27"/>
        <v>1565.4949434092678</v>
      </c>
      <c r="HB12" s="1">
        <f t="shared" si="27"/>
        <v>1581.1498928433605</v>
      </c>
      <c r="HC12" s="1">
        <f t="shared" si="27"/>
        <v>1596.9613917717941</v>
      </c>
      <c r="HD12" s="1">
        <f t="shared" si="27"/>
        <v>1612.9310056895119</v>
      </c>
      <c r="HE12" s="1">
        <f t="shared" si="27"/>
        <v>1629.060315746407</v>
      </c>
      <c r="HF12" s="1">
        <f t="shared" si="27"/>
        <v>1645.3509189038712</v>
      </c>
      <c r="HG12" s="1">
        <f t="shared" si="27"/>
        <v>1661.8044280929098</v>
      </c>
      <c r="HH12" s="1">
        <f t="shared" si="27"/>
        <v>1678.4224723738389</v>
      </c>
      <c r="HI12" s="1">
        <f t="shared" si="27"/>
        <v>1695.2066970975773</v>
      </c>
      <c r="HJ12" s="1">
        <f t="shared" si="27"/>
        <v>1712.158764068553</v>
      </c>
      <c r="HK12" s="1">
        <f t="shared" si="27"/>
        <v>1729.2803517092384</v>
      </c>
      <c r="HL12" s="1">
        <f t="shared" si="27"/>
        <v>1746.5731552263308</v>
      </c>
      <c r="HM12" s="1">
        <f t="shared" si="27"/>
        <v>1764.0388867785941</v>
      </c>
      <c r="HN12" s="1">
        <f t="shared" si="27"/>
        <v>1781.6792756463801</v>
      </c>
      <c r="HO12" s="1">
        <f t="shared" si="27"/>
        <v>1799.496068402844</v>
      </c>
      <c r="HP12" s="1">
        <f t="shared" si="27"/>
        <v>1817.4910290868725</v>
      </c>
      <c r="HQ12" s="1">
        <f t="shared" si="27"/>
        <v>1835.6659393777411</v>
      </c>
      <c r="HR12" s="1">
        <f t="shared" si="27"/>
        <v>1854.0225987715185</v>
      </c>
    </row>
    <row r="13" spans="1:226" ht="13.5" customHeight="1" x14ac:dyDescent="0.15">
      <c r="A13" s="1"/>
      <c r="B13" s="1" t="s">
        <v>32</v>
      </c>
      <c r="C13" s="2">
        <v>0.69</v>
      </c>
      <c r="D13" s="2">
        <v>0.79</v>
      </c>
      <c r="E13" s="2">
        <v>0.88</v>
      </c>
      <c r="F13" s="2">
        <v>1.53</v>
      </c>
      <c r="G13" s="2">
        <v>0.7</v>
      </c>
      <c r="H13" s="2">
        <v>0.89</v>
      </c>
      <c r="I13" s="2">
        <v>0.96</v>
      </c>
      <c r="J13" s="2">
        <v>1.59</v>
      </c>
      <c r="K13" s="2">
        <v>0.92</v>
      </c>
      <c r="L13" s="2">
        <f>+L12/L14</f>
        <v>0.87066481071225443</v>
      </c>
      <c r="M13" s="2">
        <f t="shared" ref="M13:N13" si="28">M12/M14</f>
        <v>0.98951786213101156</v>
      </c>
      <c r="N13" s="2">
        <f t="shared" si="28"/>
        <v>1.6007773725667453</v>
      </c>
      <c r="O13" s="1"/>
      <c r="P13" s="1"/>
      <c r="Q13" s="1"/>
      <c r="R13" s="1"/>
      <c r="S13" s="1"/>
      <c r="T13" s="1"/>
      <c r="U13" s="2">
        <v>4.4000000000000004</v>
      </c>
      <c r="V13" s="2">
        <v>3.89</v>
      </c>
      <c r="W13" s="2">
        <v>4.1399999999999997</v>
      </c>
      <c r="X13" s="1">
        <f t="shared" si="20"/>
        <v>4.3809600454100117</v>
      </c>
      <c r="Y13" s="1">
        <f t="shared" ref="Y13:AG13" si="29">Y12/Y14</f>
        <v>4.3977960595183356</v>
      </c>
      <c r="Z13" s="1">
        <f t="shared" si="29"/>
        <v>4.5065604973369222</v>
      </c>
      <c r="AA13" s="1">
        <f t="shared" si="29"/>
        <v>4.6173908557618137</v>
      </c>
      <c r="AB13" s="1">
        <f t="shared" si="29"/>
        <v>4.730322565976496</v>
      </c>
      <c r="AC13" s="1">
        <f t="shared" si="29"/>
        <v>4.8453916365332406</v>
      </c>
      <c r="AD13" s="1">
        <f t="shared" si="29"/>
        <v>4.9626346624949562</v>
      </c>
      <c r="AE13" s="1">
        <f t="shared" si="29"/>
        <v>5.0820888347193183</v>
      </c>
      <c r="AF13" s="1">
        <f t="shared" si="29"/>
        <v>5.2037919492873659</v>
      </c>
      <c r="AG13" s="1">
        <f t="shared" si="29"/>
        <v>5.3277824170787893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</row>
    <row r="14" spans="1:226" ht="13.5" customHeight="1" x14ac:dyDescent="0.15">
      <c r="A14" s="1"/>
      <c r="B14" s="1" t="s">
        <v>33</v>
      </c>
      <c r="C14" s="10">
        <f t="shared" ref="C14:K14" si="30">C12/C13</f>
        <v>10.176811594202899</v>
      </c>
      <c r="D14" s="10">
        <f t="shared" si="30"/>
        <v>49.689873417721465</v>
      </c>
      <c r="E14" s="10">
        <f t="shared" si="30"/>
        <v>50.19545454545451</v>
      </c>
      <c r="F14" s="10">
        <f t="shared" si="30"/>
        <v>50.456209150326821</v>
      </c>
      <c r="G14" s="10">
        <f t="shared" si="30"/>
        <v>50.275714285714272</v>
      </c>
      <c r="H14" s="10">
        <f t="shared" si="30"/>
        <v>50.568539325842714</v>
      </c>
      <c r="I14" s="10">
        <f t="shared" si="30"/>
        <v>50.729166666666657</v>
      </c>
      <c r="J14" s="10">
        <f t="shared" si="30"/>
        <v>50.845911949685515</v>
      </c>
      <c r="K14" s="10">
        <f t="shared" si="30"/>
        <v>50.958695652173944</v>
      </c>
      <c r="L14" s="10">
        <v>51.006999999999998</v>
      </c>
      <c r="M14" s="2">
        <f t="shared" ref="M14:N14" si="31">L14</f>
        <v>51.006999999999998</v>
      </c>
      <c r="N14" s="2">
        <f t="shared" si="31"/>
        <v>51.006999999999998</v>
      </c>
      <c r="O14" s="1"/>
      <c r="P14" s="1"/>
      <c r="Q14" s="1"/>
      <c r="R14" s="1"/>
      <c r="S14" s="1"/>
      <c r="T14" s="1"/>
      <c r="U14" s="2">
        <f t="shared" ref="U14:X14" si="32">U12/U13</f>
        <v>49.981590909090905</v>
      </c>
      <c r="V14" s="2">
        <f t="shared" si="32"/>
        <v>62.047300771208263</v>
      </c>
      <c r="W14" s="2">
        <f t="shared" si="32"/>
        <v>50.662801932367145</v>
      </c>
      <c r="X14" s="1">
        <f t="shared" si="32"/>
        <v>50.996856104703227</v>
      </c>
      <c r="Y14" s="1">
        <f t="shared" ref="Y14:AG14" si="33">X14</f>
        <v>50.996856104703227</v>
      </c>
      <c r="Z14" s="1">
        <f t="shared" si="33"/>
        <v>50.996856104703227</v>
      </c>
      <c r="AA14" s="1">
        <f t="shared" si="33"/>
        <v>50.996856104703227</v>
      </c>
      <c r="AB14" s="1">
        <f t="shared" si="33"/>
        <v>50.996856104703227</v>
      </c>
      <c r="AC14" s="1">
        <f t="shared" si="33"/>
        <v>50.996856104703227</v>
      </c>
      <c r="AD14" s="1">
        <f t="shared" si="33"/>
        <v>50.996856104703227</v>
      </c>
      <c r="AE14" s="1">
        <f t="shared" si="33"/>
        <v>50.996856104703227</v>
      </c>
      <c r="AF14" s="1">
        <f t="shared" si="33"/>
        <v>50.996856104703227</v>
      </c>
      <c r="AG14" s="1">
        <f t="shared" si="33"/>
        <v>50.996856104703227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</row>
    <row r="15" spans="1:226" ht="13.5" customHeight="1" x14ac:dyDescent="0.1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1" t="s">
        <v>34</v>
      </c>
      <c r="AK15" s="12">
        <v>0.02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</row>
    <row r="16" spans="1:226" ht="13.5" customHeight="1" x14ac:dyDescent="0.15">
      <c r="A16" s="1"/>
      <c r="B16" s="1" t="s">
        <v>35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3" t="s">
        <v>36</v>
      </c>
      <c r="AK16" s="14">
        <v>0.01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</row>
    <row r="17" spans="1:226" ht="13.5" customHeight="1" x14ac:dyDescent="0.15">
      <c r="A17" s="15"/>
      <c r="B17" s="15" t="s">
        <v>23</v>
      </c>
      <c r="C17" s="16"/>
      <c r="D17" s="16"/>
      <c r="E17" s="16"/>
      <c r="F17" s="16"/>
      <c r="G17" s="16">
        <f t="shared" ref="G17:N17" si="34">G4/C4-1</f>
        <v>3.6730417555623118E-2</v>
      </c>
      <c r="H17" s="16">
        <f t="shared" si="34"/>
        <v>8.2668772486472752E-2</v>
      </c>
      <c r="I17" s="16">
        <f t="shared" si="34"/>
        <v>9.2702082297406729E-2</v>
      </c>
      <c r="J17" s="16">
        <f t="shared" si="34"/>
        <v>5.2587163995685637E-2</v>
      </c>
      <c r="K17" s="16">
        <f t="shared" si="34"/>
        <v>6.1053722424950774E-2</v>
      </c>
      <c r="L17" s="16">
        <f t="shared" si="34"/>
        <v>4.6049382312248532E-2</v>
      </c>
      <c r="M17" s="16">
        <f t="shared" si="34"/>
        <v>4.0000000000000036E-2</v>
      </c>
      <c r="N17" s="16">
        <f t="shared" si="34"/>
        <v>4.0000000000000036E-2</v>
      </c>
      <c r="O17" s="15"/>
      <c r="P17" s="15"/>
      <c r="Q17" s="15"/>
      <c r="R17" s="15"/>
      <c r="S17" s="15"/>
      <c r="T17" s="15"/>
      <c r="U17" s="15"/>
      <c r="V17" s="15">
        <f t="shared" ref="V17:AG17" si="35">V4/U4-1</f>
        <v>-3.4424653993094911E-2</v>
      </c>
      <c r="W17" s="15">
        <f t="shared" si="35"/>
        <v>6.5818119404872588E-2</v>
      </c>
      <c r="X17" s="15">
        <f t="shared" si="35"/>
        <v>4.5839478824349689E-2</v>
      </c>
      <c r="Y17" s="15">
        <f t="shared" si="35"/>
        <v>1.0000000000000009E-2</v>
      </c>
      <c r="Z17" s="15">
        <f t="shared" si="35"/>
        <v>1.0000000000000009E-2</v>
      </c>
      <c r="AA17" s="15">
        <f t="shared" si="35"/>
        <v>1.0000000000000009E-2</v>
      </c>
      <c r="AB17" s="15">
        <f t="shared" si="35"/>
        <v>1.0000000000000009E-2</v>
      </c>
      <c r="AC17" s="15">
        <f t="shared" si="35"/>
        <v>1.0000000000000009E-2</v>
      </c>
      <c r="AD17" s="15">
        <f t="shared" si="35"/>
        <v>1.0000000000000009E-2</v>
      </c>
      <c r="AE17" s="15">
        <f t="shared" si="35"/>
        <v>1.0000000000000009E-2</v>
      </c>
      <c r="AF17" s="15">
        <f t="shared" si="35"/>
        <v>1.0000000000000009E-2</v>
      </c>
      <c r="AG17" s="15">
        <f t="shared" si="35"/>
        <v>1.0000000000000009E-2</v>
      </c>
      <c r="AH17" s="15"/>
      <c r="AI17" s="15"/>
      <c r="AJ17" s="17" t="s">
        <v>37</v>
      </c>
      <c r="AK17" s="18">
        <v>0.08</v>
      </c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</row>
    <row r="18" spans="1:226" ht="13.5" customHeight="1" x14ac:dyDescent="0.15">
      <c r="A18" s="15"/>
      <c r="B18" s="15" t="s">
        <v>38</v>
      </c>
      <c r="C18" s="16">
        <f t="shared" ref="C18:N18" si="36">(C4-C5)/C4</f>
        <v>0.45983313014324911</v>
      </c>
      <c r="D18" s="16">
        <f t="shared" si="36"/>
        <v>0.46932632652483069</v>
      </c>
      <c r="E18" s="16">
        <f t="shared" si="36"/>
        <v>0.4770518156243827</v>
      </c>
      <c r="F18" s="16">
        <f t="shared" si="36"/>
        <v>0.52606942528856881</v>
      </c>
      <c r="G18" s="16">
        <f t="shared" si="36"/>
        <v>0.46661595393225802</v>
      </c>
      <c r="H18" s="16">
        <f t="shared" si="36"/>
        <v>0.47429326512656306</v>
      </c>
      <c r="I18" s="16">
        <f t="shared" si="36"/>
        <v>0.47970153068380511</v>
      </c>
      <c r="J18" s="16">
        <f t="shared" si="36"/>
        <v>0.52604850428421102</v>
      </c>
      <c r="K18" s="16">
        <f t="shared" si="36"/>
        <v>0.46227855992519101</v>
      </c>
      <c r="L18" s="16">
        <f t="shared" si="36"/>
        <v>0.47846574280211124</v>
      </c>
      <c r="M18" s="16">
        <f t="shared" si="36"/>
        <v>0.47970153068380517</v>
      </c>
      <c r="N18" s="16">
        <f t="shared" si="36"/>
        <v>0.52604850428421102</v>
      </c>
      <c r="O18" s="15"/>
      <c r="P18" s="15"/>
      <c r="Q18" s="15"/>
      <c r="R18" s="15"/>
      <c r="S18" s="15"/>
      <c r="T18" s="15"/>
      <c r="U18" s="16">
        <f t="shared" ref="U18:AG18" si="37">(U4-U5)/U4</f>
        <v>0.49089209278868801</v>
      </c>
      <c r="V18" s="16">
        <f t="shared" si="37"/>
        <v>0.48681313537364629</v>
      </c>
      <c r="W18" s="16">
        <f t="shared" si="37"/>
        <v>0.4899374727912254</v>
      </c>
      <c r="X18" s="16">
        <f t="shared" si="37"/>
        <v>0.48987818028356145</v>
      </c>
      <c r="Y18" s="16">
        <f t="shared" si="37"/>
        <v>0.48987818028356139</v>
      </c>
      <c r="Z18" s="16">
        <f t="shared" si="37"/>
        <v>0.48987818028356145</v>
      </c>
      <c r="AA18" s="16">
        <f t="shared" si="37"/>
        <v>0.48987818028356139</v>
      </c>
      <c r="AB18" s="16">
        <f t="shared" si="37"/>
        <v>0.48987818028356139</v>
      </c>
      <c r="AC18" s="16">
        <f t="shared" si="37"/>
        <v>0.48987818028356145</v>
      </c>
      <c r="AD18" s="16">
        <f t="shared" si="37"/>
        <v>0.48987818028356145</v>
      </c>
      <c r="AE18" s="16">
        <f t="shared" si="37"/>
        <v>0.48987818028356145</v>
      </c>
      <c r="AF18" s="16">
        <f t="shared" si="37"/>
        <v>0.48987818028356145</v>
      </c>
      <c r="AG18" s="16">
        <f t="shared" si="37"/>
        <v>0.48987818028356139</v>
      </c>
      <c r="AH18" s="15"/>
      <c r="AI18" s="15"/>
      <c r="AJ18" s="17" t="s">
        <v>39</v>
      </c>
      <c r="AK18" s="19">
        <f t="array" ref="AK18">NPV(AK17,X12:HR12)</f>
        <v>3436.6782910626853</v>
      </c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</row>
    <row r="19" spans="1:226" ht="13.5" customHeight="1" x14ac:dyDescent="0.15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20" t="s">
        <v>40</v>
      </c>
      <c r="AK19" s="21">
        <f>Main!K3</f>
        <v>51.518085999999997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</row>
    <row r="20" spans="1:226" ht="13.5" customHeight="1" x14ac:dyDescent="0.15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22" t="s">
        <v>41</v>
      </c>
      <c r="AK20" s="23">
        <f>AK18/AK19</f>
        <v>66.708190421955607</v>
      </c>
      <c r="AL20" s="1"/>
      <c r="AM20" s="1" t="s">
        <v>103</v>
      </c>
      <c r="AN20" s="33">
        <f>+AK20/Main!K2-1</f>
        <v>0.543099477722776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</row>
    <row r="21" spans="1:226" ht="13.5" customHeight="1" x14ac:dyDescent="0.15">
      <c r="A21" s="1"/>
      <c r="B21" s="1" t="s">
        <v>42</v>
      </c>
      <c r="C21" s="10">
        <v>267.42700000000002</v>
      </c>
      <c r="D21" s="10">
        <v>287.26600000000002</v>
      </c>
      <c r="E21" s="10">
        <v>301.95800000000003</v>
      </c>
      <c r="F21" s="10">
        <v>266.92899999999997</v>
      </c>
      <c r="G21" s="10">
        <v>268.88400000000001</v>
      </c>
      <c r="H21" s="10">
        <v>297.81099999999998</v>
      </c>
      <c r="I21" s="10">
        <v>316.15199999999999</v>
      </c>
      <c r="J21" s="10">
        <v>249.46100000000001</v>
      </c>
      <c r="K21" s="10">
        <v>266.16399999999999</v>
      </c>
      <c r="L21" s="10">
        <v>264.77800000000002</v>
      </c>
      <c r="M21" s="2"/>
      <c r="N21" s="2"/>
      <c r="O21" s="1"/>
      <c r="P21" s="1"/>
      <c r="Q21" s="1"/>
      <c r="R21" s="1"/>
      <c r="S21" s="1"/>
      <c r="T21" s="1"/>
      <c r="U21" s="1"/>
      <c r="V21" s="1"/>
      <c r="W21" s="1">
        <f>K45</f>
        <v>323.79499999999996</v>
      </c>
      <c r="X21" s="1">
        <f t="shared" ref="X21:AG21" si="38">W21+X12</f>
        <v>547.21018903622848</v>
      </c>
      <c r="Y21" s="1">
        <f t="shared" si="38"/>
        <v>771.48396186131595</v>
      </c>
      <c r="Z21" s="1">
        <f t="shared" si="38"/>
        <v>1001.3043790711467</v>
      </c>
      <c r="AA21" s="1">
        <f t="shared" si="38"/>
        <v>1236.7767961216045</v>
      </c>
      <c r="AB21" s="1">
        <f t="shared" si="38"/>
        <v>1478.0083753475385</v>
      </c>
      <c r="AC21" s="1">
        <f t="shared" si="38"/>
        <v>1725.1081154067567</v>
      </c>
      <c r="AD21" s="1">
        <f t="shared" si="38"/>
        <v>1978.1868811902245</v>
      </c>
      <c r="AE21" s="1">
        <f t="shared" si="38"/>
        <v>2237.3574342057245</v>
      </c>
      <c r="AF21" s="1">
        <f t="shared" si="38"/>
        <v>2502.7344634423453</v>
      </c>
      <c r="AG21" s="1">
        <f t="shared" si="38"/>
        <v>2774.4346167232802</v>
      </c>
      <c r="AH21" s="1"/>
      <c r="AI21" s="1"/>
      <c r="AJ21" s="17"/>
      <c r="AK21" s="2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</row>
    <row r="22" spans="1:226" ht="13.5" customHeight="1" x14ac:dyDescent="0.15">
      <c r="A22" s="1"/>
      <c r="B22" s="1" t="s">
        <v>43</v>
      </c>
      <c r="C22" s="10">
        <v>23.052</v>
      </c>
      <c r="D22" s="10">
        <v>21.856000000000002</v>
      </c>
      <c r="E22" s="10">
        <v>23.481999999999999</v>
      </c>
      <c r="F22" s="10">
        <v>23.800999999999998</v>
      </c>
      <c r="G22" s="10">
        <v>22.882999999999999</v>
      </c>
      <c r="H22" s="10">
        <v>22.117999999999999</v>
      </c>
      <c r="I22" s="10">
        <v>23.992999999999999</v>
      </c>
      <c r="J22" s="10">
        <v>24.698</v>
      </c>
      <c r="K22" s="10">
        <v>23.818000000000001</v>
      </c>
      <c r="L22" s="10">
        <v>22.402000000000001</v>
      </c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1" t="s">
        <v>10</v>
      </c>
      <c r="AK22" s="24">
        <f>Main!K7</f>
        <v>1937.1448577799997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</row>
    <row r="23" spans="1:226" ht="13.5" customHeight="1" x14ac:dyDescent="0.15">
      <c r="A23" s="1"/>
      <c r="B23" s="1" t="s">
        <v>44</v>
      </c>
      <c r="C23" s="10">
        <v>6.1390000000000002</v>
      </c>
      <c r="D23" s="10">
        <v>7.6980000000000004</v>
      </c>
      <c r="E23" s="10">
        <v>7.9009999999999998</v>
      </c>
      <c r="F23" s="10">
        <v>6.758</v>
      </c>
      <c r="G23" s="10">
        <v>7.9269999999999996</v>
      </c>
      <c r="H23" s="10">
        <v>7.7039999999999997</v>
      </c>
      <c r="I23" s="10">
        <v>8.2219999999999995</v>
      </c>
      <c r="J23" s="10">
        <v>10.98</v>
      </c>
      <c r="K23" s="10">
        <v>7.2809999999999997</v>
      </c>
      <c r="L23" s="10">
        <v>9.9359999999999999</v>
      </c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7" t="s">
        <v>45</v>
      </c>
      <c r="AK23" s="25">
        <f>AK22/X12</f>
        <v>8.6706050118458009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</row>
    <row r="24" spans="1:226" ht="13.5" customHeight="1" x14ac:dyDescent="0.15">
      <c r="A24" s="1"/>
      <c r="B24" s="1" t="s">
        <v>46</v>
      </c>
      <c r="C24" s="10">
        <v>130.661</v>
      </c>
      <c r="D24" s="10">
        <v>131.41800000000001</v>
      </c>
      <c r="E24" s="10">
        <v>149.351</v>
      </c>
      <c r="F24" s="10">
        <v>120.789</v>
      </c>
      <c r="G24" s="10">
        <v>132.39500000000001</v>
      </c>
      <c r="H24" s="10">
        <v>142.48599999999999</v>
      </c>
      <c r="I24" s="10">
        <v>165.779</v>
      </c>
      <c r="J24" s="10">
        <v>139.50399999999999</v>
      </c>
      <c r="K24" s="10">
        <v>150.197</v>
      </c>
      <c r="L24" s="10">
        <v>161.40299999999999</v>
      </c>
      <c r="M24" s="2"/>
      <c r="N24" s="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6" t="s">
        <v>47</v>
      </c>
      <c r="AK24" s="27">
        <f>AK22/Y12</f>
        <v>8.6374114698234976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</row>
    <row r="25" spans="1:226" ht="13.5" customHeight="1" x14ac:dyDescent="0.15">
      <c r="A25" s="1"/>
      <c r="B25" s="1" t="s">
        <v>48</v>
      </c>
      <c r="C25" s="10">
        <v>19.55</v>
      </c>
      <c r="D25" s="10">
        <v>20.962</v>
      </c>
      <c r="E25" s="10">
        <v>22.236000000000001</v>
      </c>
      <c r="F25" s="10">
        <v>20.931999999999999</v>
      </c>
      <c r="G25" s="10">
        <v>23.553999999999998</v>
      </c>
      <c r="H25" s="10">
        <v>23.183</v>
      </c>
      <c r="I25" s="10">
        <v>24.977</v>
      </c>
      <c r="J25" s="10">
        <v>23.234999999999999</v>
      </c>
      <c r="K25" s="10">
        <v>23.51</v>
      </c>
      <c r="L25" s="10">
        <v>23.727</v>
      </c>
      <c r="M25" s="2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7"/>
      <c r="AK25" s="2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</row>
    <row r="26" spans="1:226" ht="13.5" customHeight="1" x14ac:dyDescent="0.15">
      <c r="A26" s="1"/>
      <c r="B26" s="1" t="s">
        <v>49</v>
      </c>
      <c r="C26" s="10">
        <v>132.07499999999999</v>
      </c>
      <c r="D26" s="10">
        <v>139.333</v>
      </c>
      <c r="E26" s="10">
        <v>143.03200000000001</v>
      </c>
      <c r="F26" s="10">
        <v>145.75200000000001</v>
      </c>
      <c r="G26" s="10">
        <v>152.09</v>
      </c>
      <c r="H26" s="10">
        <v>158.78299999999999</v>
      </c>
      <c r="I26" s="10">
        <v>162.31899999999999</v>
      </c>
      <c r="J26" s="10">
        <v>162.446</v>
      </c>
      <c r="K26" s="10">
        <v>169.01400000000001</v>
      </c>
      <c r="L26" s="10">
        <v>191.74100000000001</v>
      </c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1" t="s">
        <v>50</v>
      </c>
      <c r="AK26" s="24">
        <f>K89</f>
        <v>221.19300000000001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</row>
    <row r="27" spans="1:226" ht="13.5" customHeight="1" x14ac:dyDescent="0.15">
      <c r="A27" s="1"/>
      <c r="B27" s="1" t="s">
        <v>51</v>
      </c>
      <c r="C27" s="10">
        <v>288.64600000000002</v>
      </c>
      <c r="D27" s="10">
        <v>292.19400000000002</v>
      </c>
      <c r="E27" s="10">
        <v>287.68700000000001</v>
      </c>
      <c r="F27" s="10">
        <v>289.79300000000001</v>
      </c>
      <c r="G27" s="10">
        <v>330.01400000000001</v>
      </c>
      <c r="H27" s="10">
        <v>334.70299999999997</v>
      </c>
      <c r="I27" s="10">
        <v>332.654</v>
      </c>
      <c r="J27" s="10">
        <v>339.68700000000001</v>
      </c>
      <c r="K27" s="10">
        <v>364.82600000000002</v>
      </c>
      <c r="L27" s="34">
        <v>373.93700000000001</v>
      </c>
      <c r="M27" s="2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26" t="s">
        <v>52</v>
      </c>
      <c r="AK27" s="28">
        <f>AK26/AK22</f>
        <v>0.11418505906341504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</row>
    <row r="28" spans="1:226" ht="13.5" customHeight="1" x14ac:dyDescent="0.15">
      <c r="A28" s="1"/>
      <c r="B28" s="1" t="s">
        <v>53</v>
      </c>
      <c r="C28" s="10">
        <v>26.763000000000002</v>
      </c>
      <c r="D28" s="10">
        <v>26.984000000000002</v>
      </c>
      <c r="E28" s="10">
        <v>27.260999999999999</v>
      </c>
      <c r="F28" s="10">
        <v>28.116</v>
      </c>
      <c r="G28" s="10">
        <v>28.274999999999999</v>
      </c>
      <c r="H28" s="10">
        <v>29.63</v>
      </c>
      <c r="I28" s="10">
        <v>31.157</v>
      </c>
      <c r="J28" s="10">
        <v>32.393000000000001</v>
      </c>
      <c r="K28" s="10">
        <v>33.813000000000002</v>
      </c>
      <c r="L28" s="10">
        <v>35.728999999999999</v>
      </c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</row>
    <row r="29" spans="1:226" ht="13.5" customHeight="1" x14ac:dyDescent="0.15">
      <c r="A29" s="1"/>
      <c r="B29" s="1" t="s">
        <v>54</v>
      </c>
      <c r="C29" s="10">
        <v>11.757</v>
      </c>
      <c r="D29" s="10">
        <v>12.56</v>
      </c>
      <c r="E29" s="10">
        <v>13.362</v>
      </c>
      <c r="F29" s="10">
        <v>10.303000000000001</v>
      </c>
      <c r="G29" s="10">
        <v>11.307</v>
      </c>
      <c r="H29" s="10">
        <v>12.214</v>
      </c>
      <c r="I29" s="10">
        <v>13.116</v>
      </c>
      <c r="J29" s="10">
        <v>8.875</v>
      </c>
      <c r="K29" s="10">
        <v>10.166</v>
      </c>
      <c r="L29" s="10">
        <v>11.054</v>
      </c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</row>
    <row r="30" spans="1:226" ht="13.5" customHeight="1" x14ac:dyDescent="0.15">
      <c r="A30" s="1"/>
      <c r="B30" s="1" t="s">
        <v>55</v>
      </c>
      <c r="C30" s="2">
        <f t="shared" ref="C30:K30" si="39">SUM(C21:C29)</f>
        <v>906.06999999999994</v>
      </c>
      <c r="D30" s="2">
        <f t="shared" si="39"/>
        <v>940.27100000000007</v>
      </c>
      <c r="E30" s="2">
        <f t="shared" si="39"/>
        <v>976.27</v>
      </c>
      <c r="F30" s="2">
        <f t="shared" si="39"/>
        <v>913.173</v>
      </c>
      <c r="G30" s="2">
        <f t="shared" si="39"/>
        <v>977.32900000000006</v>
      </c>
      <c r="H30" s="2">
        <f t="shared" si="39"/>
        <v>1028.6319999999998</v>
      </c>
      <c r="I30" s="2">
        <f t="shared" si="39"/>
        <v>1078.3689999999999</v>
      </c>
      <c r="J30" s="2">
        <f t="shared" si="39"/>
        <v>991.27900000000011</v>
      </c>
      <c r="K30" s="2">
        <f t="shared" si="39"/>
        <v>1048.789</v>
      </c>
      <c r="L30" s="2">
        <f t="shared" ref="L30" si="40">SUM(L21:L29)</f>
        <v>1094.7070000000001</v>
      </c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</row>
    <row r="31" spans="1:226" ht="13.5" customHeight="1" x14ac:dyDescent="0.15">
      <c r="A31" s="1"/>
      <c r="B31" s="1"/>
      <c r="C31" s="29"/>
      <c r="D31" s="29"/>
      <c r="E31" s="29"/>
      <c r="F31" s="29"/>
      <c r="G31" s="29"/>
      <c r="H31" s="29"/>
      <c r="I31" s="29"/>
      <c r="J31" s="29"/>
      <c r="K31" s="29"/>
      <c r="L31" s="2"/>
      <c r="M31" s="2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</row>
    <row r="32" spans="1:226" ht="13.5" customHeight="1" x14ac:dyDescent="0.15">
      <c r="A32" s="1"/>
      <c r="B32" s="1" t="s">
        <v>56</v>
      </c>
      <c r="C32" s="10">
        <v>54.811</v>
      </c>
      <c r="D32" s="10">
        <v>62.82</v>
      </c>
      <c r="E32" s="10">
        <v>67.700999999999993</v>
      </c>
      <c r="F32" s="10">
        <v>45.981999999999999</v>
      </c>
      <c r="G32" s="10">
        <v>63.015000000000001</v>
      </c>
      <c r="H32" s="10">
        <v>72.63</v>
      </c>
      <c r="I32" s="10">
        <v>81.400999999999996</v>
      </c>
      <c r="J32" s="10">
        <v>47.749000000000002</v>
      </c>
      <c r="K32" s="10">
        <v>60.619</v>
      </c>
      <c r="L32" s="10">
        <v>73.197999999999993</v>
      </c>
      <c r="M32" s="2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</row>
    <row r="33" spans="1:226" ht="13.5" customHeight="1" x14ac:dyDescent="0.15">
      <c r="A33" s="1"/>
      <c r="B33" s="1" t="s">
        <v>57</v>
      </c>
      <c r="C33" s="10">
        <v>13.766999999999999</v>
      </c>
      <c r="D33" s="10">
        <v>24.478000000000002</v>
      </c>
      <c r="E33" s="10">
        <v>27.094999999999999</v>
      </c>
      <c r="F33" s="10">
        <v>46.716999999999999</v>
      </c>
      <c r="G33" s="10">
        <v>14.753</v>
      </c>
      <c r="H33" s="10">
        <v>30.03</v>
      </c>
      <c r="I33" s="10">
        <v>35.125999999999998</v>
      </c>
      <c r="J33" s="10">
        <v>54.96</v>
      </c>
      <c r="K33" s="10">
        <v>18.353000000000002</v>
      </c>
      <c r="L33" s="10">
        <v>33.01</v>
      </c>
      <c r="M33" s="2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</row>
    <row r="34" spans="1:226" ht="13.5" customHeight="1" x14ac:dyDescent="0.15">
      <c r="A34" s="1"/>
      <c r="B34" s="1" t="s">
        <v>58</v>
      </c>
      <c r="C34" s="10">
        <v>23.477</v>
      </c>
      <c r="D34" s="10">
        <v>26.123999999999999</v>
      </c>
      <c r="E34" s="10">
        <v>25.920999999999999</v>
      </c>
      <c r="F34" s="10">
        <v>19.265999999999998</v>
      </c>
      <c r="G34" s="10">
        <v>23.494</v>
      </c>
      <c r="H34" s="10">
        <v>28.087</v>
      </c>
      <c r="I34" s="10">
        <v>27.396999999999998</v>
      </c>
      <c r="J34" s="10">
        <v>20.071999999999999</v>
      </c>
      <c r="K34" s="10">
        <v>24.672000000000001</v>
      </c>
      <c r="L34" s="10">
        <v>29.957000000000001</v>
      </c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</row>
    <row r="35" spans="1:226" ht="13.5" customHeight="1" x14ac:dyDescent="0.15">
      <c r="A35" s="1"/>
      <c r="B35" s="1" t="s">
        <v>59</v>
      </c>
      <c r="C35" s="10">
        <v>14.37</v>
      </c>
      <c r="D35" s="10">
        <v>13.214</v>
      </c>
      <c r="E35" s="10">
        <v>12.571</v>
      </c>
      <c r="F35" s="10">
        <v>17.007000000000001</v>
      </c>
      <c r="G35" s="10">
        <v>14.753</v>
      </c>
      <c r="H35" s="10">
        <v>13.582000000000001</v>
      </c>
      <c r="I35" s="10">
        <v>12.967000000000001</v>
      </c>
      <c r="J35" s="10">
        <v>17.236999999999998</v>
      </c>
      <c r="K35" s="10">
        <v>14.798</v>
      </c>
      <c r="L35" s="10">
        <v>13.512</v>
      </c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</row>
    <row r="36" spans="1:226" ht="13.5" customHeight="1" x14ac:dyDescent="0.15">
      <c r="A36" s="1"/>
      <c r="B36" s="1" t="s">
        <v>60</v>
      </c>
      <c r="C36" s="10">
        <v>83.644999999999996</v>
      </c>
      <c r="D36" s="10">
        <v>79.582999999999998</v>
      </c>
      <c r="E36" s="10">
        <v>76.962999999999994</v>
      </c>
      <c r="F36" s="10">
        <v>78.941999999999993</v>
      </c>
      <c r="G36" s="10">
        <v>83.634</v>
      </c>
      <c r="H36" s="10">
        <v>82.489000000000004</v>
      </c>
      <c r="I36" s="10">
        <v>82.867000000000004</v>
      </c>
      <c r="J36" s="10">
        <v>85.876999999999995</v>
      </c>
      <c r="K36" s="10">
        <v>85.456100000000006</v>
      </c>
      <c r="L36" s="10">
        <v>81.813999999999993</v>
      </c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</row>
    <row r="37" spans="1:226" ht="13.5" customHeight="1" x14ac:dyDescent="0.15">
      <c r="A37" s="1"/>
      <c r="B37" s="1" t="s">
        <v>61</v>
      </c>
      <c r="C37" s="10">
        <v>15.21</v>
      </c>
      <c r="D37" s="10">
        <v>0</v>
      </c>
      <c r="E37" s="10">
        <v>2.5190000000000001</v>
      </c>
      <c r="F37" s="10">
        <v>6.0179999999999998</v>
      </c>
      <c r="G37" s="10">
        <v>17.605</v>
      </c>
      <c r="H37" s="10">
        <v>2.7360000000000002</v>
      </c>
      <c r="I37" s="10">
        <v>4.6909999999999998</v>
      </c>
      <c r="J37" s="10">
        <v>10.81</v>
      </c>
      <c r="K37" s="10">
        <v>26.794</v>
      </c>
      <c r="L37" s="10">
        <v>0</v>
      </c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</row>
    <row r="38" spans="1:226" ht="13.5" customHeight="1" x14ac:dyDescent="0.15">
      <c r="A38" s="1"/>
      <c r="B38" s="1" t="s">
        <v>62</v>
      </c>
      <c r="C38" s="10">
        <v>26.763000000000002</v>
      </c>
      <c r="D38" s="10">
        <v>26.984000000000002</v>
      </c>
      <c r="E38" s="10">
        <v>27.260999999999999</v>
      </c>
      <c r="F38" s="10">
        <v>28.116</v>
      </c>
      <c r="G38" s="10">
        <v>28.274999999999999</v>
      </c>
      <c r="H38" s="10">
        <v>29.63</v>
      </c>
      <c r="I38" s="10">
        <v>31.157</v>
      </c>
      <c r="J38" s="10">
        <v>31.994</v>
      </c>
      <c r="K38" s="10">
        <v>33.813000000000002</v>
      </c>
      <c r="L38" s="10">
        <v>34.697000000000003</v>
      </c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</row>
    <row r="39" spans="1:226" ht="13.5" customHeight="1" x14ac:dyDescent="0.15">
      <c r="A39" s="1"/>
      <c r="B39" s="1" t="s">
        <v>63</v>
      </c>
      <c r="C39" s="10">
        <v>240.21199999999999</v>
      </c>
      <c r="D39" s="10">
        <v>248.42400000000001</v>
      </c>
      <c r="E39" s="10">
        <v>247.85</v>
      </c>
      <c r="F39" s="10">
        <v>247.321</v>
      </c>
      <c r="G39" s="10">
        <v>286.05200000000002</v>
      </c>
      <c r="H39" s="10">
        <v>293.29300000000001</v>
      </c>
      <c r="I39" s="10">
        <v>292.03300000000002</v>
      </c>
      <c r="J39" s="10">
        <v>297.93700000000001</v>
      </c>
      <c r="K39" s="10">
        <v>325.41800000000001</v>
      </c>
      <c r="L39" s="10">
        <v>339.56700000000001</v>
      </c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</row>
    <row r="40" spans="1:226" ht="13.5" customHeight="1" x14ac:dyDescent="0.15">
      <c r="A40" s="1"/>
      <c r="B40" s="1" t="s">
        <v>64</v>
      </c>
      <c r="C40" s="10">
        <v>433.815</v>
      </c>
      <c r="D40" s="10">
        <v>458.64400000000001</v>
      </c>
      <c r="E40" s="10">
        <v>488.38900000000001</v>
      </c>
      <c r="F40" s="10">
        <v>423.80399999999997</v>
      </c>
      <c r="G40" s="10">
        <v>445.27300000000002</v>
      </c>
      <c r="H40" s="10">
        <v>476.15499999999997</v>
      </c>
      <c r="I40" s="10">
        <v>510.73</v>
      </c>
      <c r="J40" s="10">
        <v>424.64299999999997</v>
      </c>
      <c r="K40" s="10">
        <v>458.87099999999998</v>
      </c>
      <c r="L40" s="10">
        <v>488.952</v>
      </c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</row>
    <row r="41" spans="1:226" ht="13.5" customHeight="1" x14ac:dyDescent="0.15">
      <c r="A41" s="1"/>
      <c r="B41" s="1" t="s">
        <v>65</v>
      </c>
      <c r="C41" s="2">
        <f t="shared" ref="C41:K41" si="41">SUM(C32:C40)</f>
        <v>906.06999999999994</v>
      </c>
      <c r="D41" s="2">
        <f t="shared" si="41"/>
        <v>940.27099999999996</v>
      </c>
      <c r="E41" s="2">
        <f t="shared" si="41"/>
        <v>976.27</v>
      </c>
      <c r="F41" s="2">
        <f t="shared" si="41"/>
        <v>913.173</v>
      </c>
      <c r="G41" s="2">
        <f t="shared" si="41"/>
        <v>976.85400000000004</v>
      </c>
      <c r="H41" s="2">
        <f t="shared" si="41"/>
        <v>1028.6320000000001</v>
      </c>
      <c r="I41" s="2">
        <f t="shared" si="41"/>
        <v>1078.3690000000001</v>
      </c>
      <c r="J41" s="2">
        <f t="shared" si="41"/>
        <v>991.279</v>
      </c>
      <c r="K41" s="2">
        <f t="shared" si="41"/>
        <v>1048.7941000000001</v>
      </c>
      <c r="L41" s="2">
        <f t="shared" ref="L41" si="42">SUM(L32:L40)</f>
        <v>1094.7069999999999</v>
      </c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</row>
    <row r="42" spans="1:226" ht="13.5" customHeight="1" x14ac:dyDescent="0.15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</row>
    <row r="43" spans="1:226" ht="13.5" customHeight="1" x14ac:dyDescent="0.15">
      <c r="A43" s="1"/>
      <c r="B43" s="1" t="s">
        <v>66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</row>
    <row r="44" spans="1:226" ht="13.5" customHeight="1" x14ac:dyDescent="0.15">
      <c r="A44" s="1"/>
      <c r="B44" s="1" t="s">
        <v>67</v>
      </c>
      <c r="C44" s="2">
        <f t="shared" ref="C44:K44" si="43">SUM(C21:C22,C28)</f>
        <v>317.24200000000002</v>
      </c>
      <c r="D44" s="2">
        <f t="shared" si="43"/>
        <v>336.10599999999999</v>
      </c>
      <c r="E44" s="2">
        <f t="shared" si="43"/>
        <v>352.70100000000008</v>
      </c>
      <c r="F44" s="2">
        <f t="shared" si="43"/>
        <v>318.84599999999995</v>
      </c>
      <c r="G44" s="2">
        <f t="shared" si="43"/>
        <v>320.04199999999997</v>
      </c>
      <c r="H44" s="2">
        <f t="shared" si="43"/>
        <v>349.55899999999997</v>
      </c>
      <c r="I44" s="2">
        <f t="shared" si="43"/>
        <v>371.30199999999996</v>
      </c>
      <c r="J44" s="2">
        <f t="shared" si="43"/>
        <v>306.55200000000002</v>
      </c>
      <c r="K44" s="2">
        <f t="shared" si="43"/>
        <v>323.79499999999996</v>
      </c>
      <c r="L44" s="2">
        <f t="shared" ref="L44" si="44">SUM(L21:L22,L28)</f>
        <v>322.90899999999999</v>
      </c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</row>
    <row r="45" spans="1:226" ht="13.5" customHeight="1" x14ac:dyDescent="0.15">
      <c r="A45" s="1"/>
      <c r="B45" s="1" t="s">
        <v>68</v>
      </c>
      <c r="C45" s="2">
        <f t="shared" ref="C45:K45" si="45">C44-C43</f>
        <v>317.24200000000002</v>
      </c>
      <c r="D45" s="2">
        <f t="shared" si="45"/>
        <v>336.10599999999999</v>
      </c>
      <c r="E45" s="2">
        <f t="shared" si="45"/>
        <v>352.70100000000008</v>
      </c>
      <c r="F45" s="2">
        <f t="shared" si="45"/>
        <v>318.84599999999995</v>
      </c>
      <c r="G45" s="2">
        <f t="shared" si="45"/>
        <v>320.04199999999997</v>
      </c>
      <c r="H45" s="2">
        <f t="shared" si="45"/>
        <v>349.55899999999997</v>
      </c>
      <c r="I45" s="2">
        <f t="shared" si="45"/>
        <v>371.30199999999996</v>
      </c>
      <c r="J45" s="2">
        <f t="shared" si="45"/>
        <v>306.55200000000002</v>
      </c>
      <c r="K45" s="2">
        <f t="shared" si="45"/>
        <v>323.79499999999996</v>
      </c>
      <c r="L45" s="2">
        <f t="shared" ref="L45" si="46">L44-L43</f>
        <v>322.90899999999999</v>
      </c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</row>
    <row r="46" spans="1:226" ht="13.5" customHeight="1" x14ac:dyDescent="0.15">
      <c r="A46" s="1"/>
      <c r="B46" s="1" t="s">
        <v>69</v>
      </c>
      <c r="C46" s="2">
        <f t="shared" ref="C46:K46" si="47">(C23/C4) * 90</f>
        <v>2.1049603779335566</v>
      </c>
      <c r="D46" s="2">
        <f t="shared" si="47"/>
        <v>2.4533981132609988</v>
      </c>
      <c r="E46" s="2">
        <f t="shared" si="47"/>
        <v>2.4218201881356047</v>
      </c>
      <c r="F46" s="2">
        <f t="shared" si="47"/>
        <v>1.6039599260546573</v>
      </c>
      <c r="G46" s="2">
        <f t="shared" si="47"/>
        <v>2.6217381238493171</v>
      </c>
      <c r="H46" s="2">
        <f t="shared" si="47"/>
        <v>2.267831502238852</v>
      </c>
      <c r="I46" s="2">
        <f t="shared" si="47"/>
        <v>2.3064048099190555</v>
      </c>
      <c r="J46" s="2">
        <f t="shared" si="47"/>
        <v>2.4758230194919078</v>
      </c>
      <c r="K46" s="2">
        <f t="shared" si="47"/>
        <v>2.2695204945711462</v>
      </c>
      <c r="L46" s="2">
        <f t="shared" ref="L46" si="48">(L23/L4) * 90</f>
        <v>2.7961077619631292</v>
      </c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</row>
    <row r="47" spans="1:226" ht="13.5" customHeight="1" x14ac:dyDescent="0.15">
      <c r="A47" s="1"/>
      <c r="B47" s="1" t="s">
        <v>70</v>
      </c>
      <c r="C47" s="2">
        <f t="shared" ref="C47:K47" si="49">(C24/C5) * 90</f>
        <v>82.940056283193343</v>
      </c>
      <c r="D47" s="2">
        <f t="shared" si="49"/>
        <v>78.925516155293678</v>
      </c>
      <c r="E47" s="2">
        <f t="shared" si="49"/>
        <v>87.540557614280971</v>
      </c>
      <c r="F47" s="2">
        <f t="shared" si="49"/>
        <v>60.49061286265956</v>
      </c>
      <c r="G47" s="2">
        <f t="shared" si="49"/>
        <v>82.094112783767955</v>
      </c>
      <c r="H47" s="2">
        <f t="shared" si="49"/>
        <v>79.785351649992521</v>
      </c>
      <c r="I47" s="2">
        <f t="shared" si="49"/>
        <v>89.378905056580251</v>
      </c>
      <c r="J47" s="2">
        <f t="shared" si="49"/>
        <v>66.369725066473535</v>
      </c>
      <c r="K47" s="2">
        <f t="shared" si="49"/>
        <v>87.065677352037582</v>
      </c>
      <c r="L47" s="2">
        <f t="shared" ref="L47" si="50">(L24/L5) * 90</f>
        <v>87.090560268593194</v>
      </c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</row>
    <row r="48" spans="1:226" ht="13.5" customHeight="1" x14ac:dyDescent="0.15">
      <c r="A48" s="1"/>
      <c r="B48" s="1" t="s">
        <v>71</v>
      </c>
      <c r="C48" s="2">
        <f t="shared" ref="C48:K48" si="51">(C32/C5) * 90</f>
        <v>34.792535071200362</v>
      </c>
      <c r="D48" s="2">
        <f t="shared" si="51"/>
        <v>37.727715570740301</v>
      </c>
      <c r="E48" s="2">
        <f t="shared" si="51"/>
        <v>39.682247129543391</v>
      </c>
      <c r="F48" s="2">
        <f t="shared" si="51"/>
        <v>23.027588279154656</v>
      </c>
      <c r="G48" s="2">
        <f t="shared" si="51"/>
        <v>39.073684935753896</v>
      </c>
      <c r="H48" s="2">
        <f t="shared" si="51"/>
        <v>40.669329550545015</v>
      </c>
      <c r="I48" s="2">
        <f t="shared" si="51"/>
        <v>43.88693532058155</v>
      </c>
      <c r="J48" s="2">
        <f t="shared" si="51"/>
        <v>22.716825339768359</v>
      </c>
      <c r="K48" s="2">
        <f t="shared" si="51"/>
        <v>35.139412207987945</v>
      </c>
      <c r="L48" s="2">
        <f t="shared" ref="L48" si="52">(L32/L5) * 90</f>
        <v>39.496507689079408</v>
      </c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</row>
    <row r="49" spans="1:226" ht="13.5" customHeight="1" x14ac:dyDescent="0.15">
      <c r="A49" s="1"/>
      <c r="B49" s="1" t="s">
        <v>72</v>
      </c>
      <c r="C49" s="2">
        <f t="shared" ref="C49:K49" si="53">SUM(C46:C47)-C48</f>
        <v>50.252481589926532</v>
      </c>
      <c r="D49" s="2">
        <f t="shared" si="53"/>
        <v>43.65119869781438</v>
      </c>
      <c r="E49" s="2">
        <f t="shared" si="53"/>
        <v>50.280130672873177</v>
      </c>
      <c r="F49" s="2">
        <f t="shared" si="53"/>
        <v>39.06698450955956</v>
      </c>
      <c r="G49" s="2">
        <f t="shared" si="53"/>
        <v>45.642165971863371</v>
      </c>
      <c r="H49" s="2">
        <f t="shared" si="53"/>
        <v>41.383853601686354</v>
      </c>
      <c r="I49" s="2">
        <f t="shared" si="53"/>
        <v>47.79837454591776</v>
      </c>
      <c r="J49" s="2">
        <f t="shared" si="53"/>
        <v>46.128722746197084</v>
      </c>
      <c r="K49" s="2">
        <f t="shared" si="53"/>
        <v>54.195785638620777</v>
      </c>
      <c r="L49" s="2">
        <f t="shared" ref="L49" si="54">SUM(L46:L47)-L48</f>
        <v>50.390160341476914</v>
      </c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</row>
    <row r="50" spans="1:226" ht="13.5" customHeight="1" x14ac:dyDescent="0.15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</row>
    <row r="51" spans="1:226" ht="13.5" customHeight="1" x14ac:dyDescent="0.15">
      <c r="A51" s="1"/>
      <c r="B51" s="1" t="s">
        <v>73</v>
      </c>
      <c r="C51" s="30">
        <f t="shared" ref="C51:K51" si="55">365/C47</f>
        <v>4.4007686557835406</v>
      </c>
      <c r="D51" s="30">
        <f t="shared" si="55"/>
        <v>4.624613404894645</v>
      </c>
      <c r="E51" s="30">
        <f t="shared" si="55"/>
        <v>4.1694959450481672</v>
      </c>
      <c r="F51" s="30">
        <f t="shared" si="55"/>
        <v>6.0339940815066857</v>
      </c>
      <c r="G51" s="30">
        <f t="shared" si="55"/>
        <v>4.4461166291107004</v>
      </c>
      <c r="H51" s="30">
        <f t="shared" si="55"/>
        <v>4.5747745977382577</v>
      </c>
      <c r="I51" s="30">
        <f t="shared" si="55"/>
        <v>4.083737653408722</v>
      </c>
      <c r="J51" s="30">
        <f t="shared" si="55"/>
        <v>5.4994954346191598</v>
      </c>
      <c r="K51" s="30">
        <f t="shared" si="55"/>
        <v>4.1922375280464976</v>
      </c>
      <c r="L51" s="30">
        <f t="shared" ref="L51" si="56">365/L47</f>
        <v>4.1910397507412425</v>
      </c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</row>
    <row r="52" spans="1:226" ht="13.5" customHeight="1" x14ac:dyDescent="0.15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</row>
    <row r="53" spans="1:226" ht="13.5" customHeight="1" x14ac:dyDescent="0.15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</row>
    <row r="54" spans="1:226" ht="13.5" customHeight="1" x14ac:dyDescent="0.15">
      <c r="A54" s="1"/>
      <c r="B54" s="1" t="s">
        <v>74</v>
      </c>
      <c r="C54" s="2">
        <f t="shared" ref="C54:L54" si="57">C12</f>
        <v>7.0220000000000002</v>
      </c>
      <c r="D54" s="2">
        <f t="shared" si="57"/>
        <v>39.25499999999996</v>
      </c>
      <c r="E54" s="2">
        <f t="shared" si="57"/>
        <v>44.171999999999969</v>
      </c>
      <c r="F54" s="2">
        <f t="shared" si="57"/>
        <v>77.198000000000036</v>
      </c>
      <c r="G54" s="2">
        <f t="shared" si="57"/>
        <v>35.192999999999991</v>
      </c>
      <c r="H54" s="2">
        <f t="shared" si="57"/>
        <v>45.006000000000014</v>
      </c>
      <c r="I54" s="2">
        <f t="shared" si="57"/>
        <v>48.699999999999989</v>
      </c>
      <c r="J54" s="2">
        <f t="shared" si="57"/>
        <v>80.84499999999997</v>
      </c>
      <c r="K54" s="2">
        <f t="shared" si="57"/>
        <v>46.882000000000033</v>
      </c>
      <c r="L54" s="2">
        <f t="shared" si="57"/>
        <v>44.409999999999961</v>
      </c>
      <c r="M54" s="2"/>
      <c r="N54" s="2"/>
      <c r="O54" s="1"/>
      <c r="P54" s="1"/>
      <c r="Q54" s="1">
        <f t="shared" ref="Q54:Y54" si="58">Q12</f>
        <v>0</v>
      </c>
      <c r="R54" s="1">
        <f t="shared" si="58"/>
        <v>0</v>
      </c>
      <c r="S54" s="1">
        <f t="shared" si="58"/>
        <v>0</v>
      </c>
      <c r="T54" s="1">
        <f t="shared" si="58"/>
        <v>0</v>
      </c>
      <c r="U54" s="1">
        <f t="shared" si="58"/>
        <v>219.91899999999998</v>
      </c>
      <c r="V54" s="1">
        <f t="shared" si="58"/>
        <v>241.36400000000015</v>
      </c>
      <c r="W54" s="1">
        <f t="shared" si="58"/>
        <v>209.74399999999997</v>
      </c>
      <c r="X54" s="1">
        <f t="shared" si="58"/>
        <v>223.41518903622847</v>
      </c>
      <c r="Y54" s="1">
        <f t="shared" si="58"/>
        <v>224.27377282508743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>
        <f>HR12</f>
        <v>1854.0225987715185</v>
      </c>
    </row>
    <row r="55" spans="1:226" ht="13.5" customHeight="1" x14ac:dyDescent="0.15">
      <c r="A55" s="1"/>
      <c r="B55" s="1" t="s">
        <v>31</v>
      </c>
      <c r="C55" s="10">
        <v>34.843000000000004</v>
      </c>
      <c r="D55" s="10">
        <f>74.098-C55</f>
        <v>39.254999999999995</v>
      </c>
      <c r="E55" s="10">
        <f>118.27-D55-C55</f>
        <v>44.171999999999997</v>
      </c>
      <c r="F55" s="10">
        <f t="shared" ref="F55:F68" si="59">V55-SUM(C55:E55)</f>
        <v>77.197999999999993</v>
      </c>
      <c r="G55" s="10">
        <v>35.192999999999998</v>
      </c>
      <c r="H55" s="10">
        <f>80.199-G55</f>
        <v>45.006</v>
      </c>
      <c r="I55" s="10">
        <f>128.899-H55-G55</f>
        <v>48.7</v>
      </c>
      <c r="J55" s="10">
        <f t="shared" ref="J55:J68" si="60">W55-SUM(G55:I55)</f>
        <v>80.844999999999999</v>
      </c>
      <c r="K55" s="10">
        <v>46.881999999999998</v>
      </c>
      <c r="L55" s="2"/>
      <c r="M55" s="2"/>
      <c r="N55" s="2"/>
      <c r="O55" s="1"/>
      <c r="P55" s="1"/>
      <c r="Q55" s="1"/>
      <c r="R55" s="1"/>
      <c r="S55" s="1"/>
      <c r="T55" s="1"/>
      <c r="U55" s="1">
        <v>219.91900000000001</v>
      </c>
      <c r="V55" s="1">
        <v>195.46799999999999</v>
      </c>
      <c r="W55" s="1">
        <v>209.744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</row>
    <row r="56" spans="1:226" ht="13.5" customHeight="1" x14ac:dyDescent="0.15">
      <c r="A56" s="1"/>
      <c r="B56" s="1" t="s">
        <v>75</v>
      </c>
      <c r="C56" s="10">
        <v>5.4219999999999997</v>
      </c>
      <c r="D56" s="10">
        <f>11.089-C56</f>
        <v>5.6670000000000007</v>
      </c>
      <c r="E56" s="10">
        <f>16.599-D56-C56</f>
        <v>5.5099999999999989</v>
      </c>
      <c r="F56" s="10">
        <f t="shared" si="59"/>
        <v>6.3939999999999984</v>
      </c>
      <c r="G56" s="10">
        <v>5.8609999999999998</v>
      </c>
      <c r="H56" s="10">
        <f>11.991-G56</f>
        <v>6.13</v>
      </c>
      <c r="I56" s="10">
        <f>18.171-H56-G56</f>
        <v>6.1800000000000006</v>
      </c>
      <c r="J56" s="10">
        <f t="shared" si="60"/>
        <v>7.2469999999999999</v>
      </c>
      <c r="K56" s="10">
        <v>6.4619999999999997</v>
      </c>
      <c r="L56" s="2"/>
      <c r="M56" s="2"/>
      <c r="N56" s="2"/>
      <c r="O56" s="1"/>
      <c r="P56" s="1"/>
      <c r="Q56" s="1"/>
      <c r="R56" s="1"/>
      <c r="S56" s="1"/>
      <c r="T56" s="1"/>
      <c r="U56" s="1">
        <v>20.83</v>
      </c>
      <c r="V56" s="1">
        <v>22.992999999999999</v>
      </c>
      <c r="W56" s="1">
        <v>25.417999999999999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</row>
    <row r="57" spans="1:226" ht="13.5" customHeight="1" x14ac:dyDescent="0.15">
      <c r="A57" s="1"/>
      <c r="B57" s="1" t="s">
        <v>76</v>
      </c>
      <c r="C57" s="10">
        <v>3.5259999999999998</v>
      </c>
      <c r="D57" s="10">
        <f>6.869-C57</f>
        <v>3.343</v>
      </c>
      <c r="E57" s="10">
        <f>10.213-D57-C57</f>
        <v>3.3439999999999994</v>
      </c>
      <c r="F57" s="10">
        <f t="shared" si="59"/>
        <v>2.9220000000000006</v>
      </c>
      <c r="G57" s="10">
        <v>4.1820000000000004</v>
      </c>
      <c r="H57" s="10">
        <f>7.962-G57</f>
        <v>3.7799999999999994</v>
      </c>
      <c r="I57" s="10">
        <f>-11.741-H57-G57</f>
        <v>-19.702999999999999</v>
      </c>
      <c r="J57" s="10">
        <f t="shared" si="60"/>
        <v>27.925999999999998</v>
      </c>
      <c r="K57" s="10">
        <v>5.3769999999999998</v>
      </c>
      <c r="L57" s="2"/>
      <c r="M57" s="2"/>
      <c r="N57" s="2"/>
      <c r="O57" s="1"/>
      <c r="P57" s="1"/>
      <c r="Q57" s="1"/>
      <c r="R57" s="1"/>
      <c r="S57" s="1"/>
      <c r="T57" s="1"/>
      <c r="U57" s="1">
        <v>13.725</v>
      </c>
      <c r="V57" s="1">
        <v>13.135</v>
      </c>
      <c r="W57" s="1">
        <v>16.184999999999999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</row>
    <row r="58" spans="1:226" ht="13.5" customHeight="1" x14ac:dyDescent="0.15">
      <c r="A58" s="1"/>
      <c r="B58" s="1" t="s">
        <v>77</v>
      </c>
      <c r="C58" s="10">
        <v>-0.84599999999999997</v>
      </c>
      <c r="D58" s="10">
        <f>-1.649-C58</f>
        <v>-0.80300000000000005</v>
      </c>
      <c r="E58" s="10">
        <f>-2.451-D58-C58</f>
        <v>-0.80200000000000016</v>
      </c>
      <c r="F58" s="10">
        <f t="shared" si="59"/>
        <v>3.0880000000000001</v>
      </c>
      <c r="G58" s="10">
        <v>-1.004</v>
      </c>
      <c r="H58" s="10">
        <f>-1.911-G58</f>
        <v>-0.90700000000000003</v>
      </c>
      <c r="I58" s="10">
        <f>-2.818-H58-G58</f>
        <v>-0.90700000000000003</v>
      </c>
      <c r="J58" s="10">
        <f t="shared" si="60"/>
        <v>4.2709999999999999</v>
      </c>
      <c r="K58" s="10">
        <v>-1.2909999999999999</v>
      </c>
      <c r="L58" s="2"/>
      <c r="M58" s="2"/>
      <c r="N58" s="2"/>
      <c r="O58" s="1"/>
      <c r="P58" s="1"/>
      <c r="Q58" s="1"/>
      <c r="R58" s="1"/>
      <c r="S58" s="1"/>
      <c r="T58" s="1"/>
      <c r="U58" s="1">
        <v>-1.089</v>
      </c>
      <c r="V58" s="1">
        <v>0.63700000000000001</v>
      </c>
      <c r="W58" s="1">
        <v>1.4530000000000001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</row>
    <row r="59" spans="1:226" ht="13.5" customHeight="1" x14ac:dyDescent="0.15">
      <c r="A59" s="1"/>
      <c r="B59" s="1" t="s">
        <v>78</v>
      </c>
      <c r="C59" s="10">
        <v>0.20499999999999999</v>
      </c>
      <c r="D59" s="10">
        <f>0.613-C59</f>
        <v>0.40800000000000003</v>
      </c>
      <c r="E59" s="10">
        <f>0.633-D59-C59</f>
        <v>1.999999999999999E-2</v>
      </c>
      <c r="F59" s="10">
        <f t="shared" si="59"/>
        <v>0.27900000000000003</v>
      </c>
      <c r="G59" s="10">
        <v>-0.16600000000000001</v>
      </c>
      <c r="H59" s="10">
        <f>0.29-G59</f>
        <v>0.45599999999999996</v>
      </c>
      <c r="I59" s="10">
        <f>0.596-H59-G59</f>
        <v>0.30600000000000005</v>
      </c>
      <c r="J59" s="10">
        <f t="shared" si="60"/>
        <v>-1.0089999999999999</v>
      </c>
      <c r="K59" s="10">
        <v>0.123</v>
      </c>
      <c r="L59" s="2"/>
      <c r="M59" s="2"/>
      <c r="N59" s="2"/>
      <c r="O59" s="1"/>
      <c r="P59" s="1"/>
      <c r="Q59" s="1"/>
      <c r="R59" s="1"/>
      <c r="S59" s="1"/>
      <c r="T59" s="1"/>
      <c r="U59" s="1">
        <v>1.036</v>
      </c>
      <c r="V59" s="1">
        <v>0.91200000000000003</v>
      </c>
      <c r="W59" s="1">
        <v>-0.41299999999999998</v>
      </c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</row>
    <row r="60" spans="1:226" ht="13.5" customHeight="1" x14ac:dyDescent="0.15">
      <c r="A60" s="1"/>
      <c r="B60" s="1" t="s">
        <v>44</v>
      </c>
      <c r="C60" s="10">
        <v>1.66</v>
      </c>
      <c r="D60" s="10">
        <f>1.163-C60</f>
        <v>-0.49699999999999989</v>
      </c>
      <c r="E60" s="10">
        <f>0.448-D60-C60</f>
        <v>-0.71500000000000008</v>
      </c>
      <c r="F60" s="10">
        <f t="shared" si="59"/>
        <v>0.16700000000000004</v>
      </c>
      <c r="G60" s="10">
        <v>-1.329</v>
      </c>
      <c r="H60" s="10">
        <f>-1.035-G60</f>
        <v>0.29400000000000004</v>
      </c>
      <c r="I60" s="10">
        <f>-1.624-H60-G60</f>
        <v>-0.58900000000000019</v>
      </c>
      <c r="J60" s="10">
        <f t="shared" si="60"/>
        <v>-2.7579999999999996</v>
      </c>
      <c r="K60" s="10">
        <v>3.6989999999999998</v>
      </c>
      <c r="L60" s="2"/>
      <c r="M60" s="2"/>
      <c r="N60" s="2"/>
      <c r="O60" s="1"/>
      <c r="P60" s="1"/>
      <c r="Q60" s="1"/>
      <c r="R60" s="1"/>
      <c r="S60" s="1"/>
      <c r="T60" s="1"/>
      <c r="U60" s="1">
        <v>-1.0149999999999999</v>
      </c>
      <c r="V60" s="1">
        <v>0.61499999999999999</v>
      </c>
      <c r="W60" s="1">
        <v>-4.3819999999999997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</row>
    <row r="61" spans="1:226" ht="13.5" customHeight="1" x14ac:dyDescent="0.15">
      <c r="A61" s="1"/>
      <c r="B61" s="1" t="s">
        <v>79</v>
      </c>
      <c r="C61" s="10">
        <v>-4.3710000000000004</v>
      </c>
      <c r="D61" s="10">
        <f>-5.128-C61</f>
        <v>-0.75699999999999967</v>
      </c>
      <c r="E61" s="10">
        <f>-23.061-D61-C61</f>
        <v>-17.933</v>
      </c>
      <c r="F61" s="10">
        <f t="shared" si="59"/>
        <v>28.562000000000001</v>
      </c>
      <c r="G61" s="10">
        <v>-11.606</v>
      </c>
      <c r="H61" s="10">
        <f>-21.697-G61</f>
        <v>-10.090999999999999</v>
      </c>
      <c r="I61" s="10">
        <f>-44.99-H61-G61</f>
        <v>-23.292999999999999</v>
      </c>
      <c r="J61" s="10">
        <f t="shared" si="60"/>
        <v>26.274999999999995</v>
      </c>
      <c r="K61" s="10">
        <v>-10.693</v>
      </c>
      <c r="L61" s="2"/>
      <c r="M61" s="2"/>
      <c r="N61" s="2"/>
      <c r="O61" s="1"/>
      <c r="P61" s="1"/>
      <c r="Q61" s="1"/>
      <c r="R61" s="1"/>
      <c r="S61" s="1"/>
      <c r="T61" s="1"/>
      <c r="U61" s="1">
        <v>-1.1559999999999999</v>
      </c>
      <c r="V61" s="1">
        <v>5.5010000000000003</v>
      </c>
      <c r="W61" s="1">
        <v>-18.715</v>
      </c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</row>
    <row r="62" spans="1:226" ht="13.5" customHeight="1" x14ac:dyDescent="0.15">
      <c r="A62" s="1"/>
      <c r="B62" s="1" t="s">
        <v>80</v>
      </c>
      <c r="C62" s="10">
        <v>-0.70399999999999996</v>
      </c>
      <c r="D62" s="10">
        <f>-2.116-C62</f>
        <v>-1.4120000000000001</v>
      </c>
      <c r="E62" s="10">
        <f>-3.39-D62-C62</f>
        <v>-1.274</v>
      </c>
      <c r="F62" s="10">
        <f t="shared" si="59"/>
        <v>1.3040000000000003</v>
      </c>
      <c r="G62" s="10">
        <v>-2.6219999999999999</v>
      </c>
      <c r="H62" s="10">
        <f>-2.251-G62</f>
        <v>0.371</v>
      </c>
      <c r="I62" s="10">
        <f>-4.045-H62-G62</f>
        <v>-1.7940000000000005</v>
      </c>
      <c r="J62" s="10">
        <f t="shared" si="60"/>
        <v>1.742</v>
      </c>
      <c r="K62" s="10">
        <v>-0.27500000000000002</v>
      </c>
      <c r="L62" s="2"/>
      <c r="M62" s="2"/>
      <c r="N62" s="2"/>
      <c r="O62" s="1"/>
      <c r="P62" s="1"/>
      <c r="Q62" s="1"/>
      <c r="R62" s="1"/>
      <c r="S62" s="1"/>
      <c r="T62" s="1"/>
      <c r="U62" s="1">
        <v>-6.3659999999999997</v>
      </c>
      <c r="V62" s="1">
        <v>-2.0859999999999999</v>
      </c>
      <c r="W62" s="1">
        <v>-2.3029999999999999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</row>
    <row r="63" spans="1:226" ht="13.5" customHeight="1" x14ac:dyDescent="0.15">
      <c r="A63" s="1"/>
      <c r="B63" s="1" t="s">
        <v>56</v>
      </c>
      <c r="C63" s="10">
        <v>10.817</v>
      </c>
      <c r="D63" s="10">
        <f>16.966-C63</f>
        <v>6.1490000000000009</v>
      </c>
      <c r="E63" s="10">
        <f>22.77-D63-C63</f>
        <v>5.8039999999999985</v>
      </c>
      <c r="F63" s="10">
        <f t="shared" si="59"/>
        <v>-21.291</v>
      </c>
      <c r="G63" s="10">
        <v>16.071000000000002</v>
      </c>
      <c r="H63" s="10">
        <f>24.775-G63</f>
        <v>8.7039999999999971</v>
      </c>
      <c r="I63" s="10">
        <f>34.584-H63-G63</f>
        <v>9.8090000000000046</v>
      </c>
      <c r="J63" s="10">
        <f t="shared" si="60"/>
        <v>-34.902000000000001</v>
      </c>
      <c r="K63" s="10">
        <v>14.38</v>
      </c>
      <c r="L63" s="2"/>
      <c r="M63" s="2"/>
      <c r="N63" s="2"/>
      <c r="O63" s="1"/>
      <c r="P63" s="1"/>
      <c r="Q63" s="1"/>
      <c r="R63" s="1"/>
      <c r="S63" s="1"/>
      <c r="T63" s="1"/>
      <c r="U63" s="1">
        <v>9.1999999999999998E-2</v>
      </c>
      <c r="V63" s="1">
        <v>1.4790000000000001</v>
      </c>
      <c r="W63" s="1">
        <v>-0.318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</row>
    <row r="64" spans="1:226" ht="13.5" customHeight="1" x14ac:dyDescent="0.15">
      <c r="A64" s="1"/>
      <c r="B64" s="1" t="s">
        <v>57</v>
      </c>
      <c r="C64" s="10">
        <v>-36.06</v>
      </c>
      <c r="D64" s="10">
        <f>-25.349-C64</f>
        <v>10.711000000000002</v>
      </c>
      <c r="E64" s="10">
        <f>-22.732-D64-C64</f>
        <v>2.6170000000000044</v>
      </c>
      <c r="F64" s="10">
        <f t="shared" si="59"/>
        <v>19.621999999999996</v>
      </c>
      <c r="G64" s="10">
        <v>-31.489000000000001</v>
      </c>
      <c r="H64" s="10">
        <f>-16.687-G64</f>
        <v>14.802</v>
      </c>
      <c r="I64" s="10">
        <f>-11.591-H64-G64</f>
        <v>5.0960000000000001</v>
      </c>
      <c r="J64" s="10">
        <f t="shared" si="60"/>
        <v>19.834000000000003</v>
      </c>
      <c r="K64" s="10">
        <v>-36.606999999999999</v>
      </c>
      <c r="L64" s="2"/>
      <c r="M64" s="2"/>
      <c r="N64" s="2"/>
      <c r="O64" s="1"/>
      <c r="P64" s="1"/>
      <c r="Q64" s="1"/>
      <c r="R64" s="1"/>
      <c r="S64" s="1"/>
      <c r="T64" s="1"/>
      <c r="U64" s="1">
        <v>-5.6630000000000003</v>
      </c>
      <c r="V64" s="1">
        <v>-3.11</v>
      </c>
      <c r="W64" s="1">
        <v>8.2430000000000003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</row>
    <row r="65" spans="1:226" ht="13.5" customHeight="1" x14ac:dyDescent="0.15">
      <c r="A65" s="1"/>
      <c r="B65" s="1" t="s">
        <v>81</v>
      </c>
      <c r="C65" s="10">
        <v>4.41</v>
      </c>
      <c r="D65" s="10">
        <f>7.036-C65</f>
        <v>2.6259999999999994</v>
      </c>
      <c r="E65" s="10">
        <f>6.836-D65-C65</f>
        <v>-0.19999999999999929</v>
      </c>
      <c r="F65" s="10">
        <f t="shared" si="59"/>
        <v>-6.6370000000000005</v>
      </c>
      <c r="G65" s="10">
        <v>4.2279999999999998</v>
      </c>
      <c r="H65" s="10">
        <f>8.821-G65</f>
        <v>4.593</v>
      </c>
      <c r="I65" s="10">
        <f>8.131-H65-G65</f>
        <v>-0.6899999999999995</v>
      </c>
      <c r="J65" s="10">
        <f t="shared" si="60"/>
        <v>-7.3250000000000002</v>
      </c>
      <c r="K65" s="10">
        <v>4.5999999999999996</v>
      </c>
      <c r="L65" s="2"/>
      <c r="M65" s="2"/>
      <c r="N65" s="2"/>
      <c r="O65" s="1"/>
      <c r="P65" s="1"/>
      <c r="Q65" s="1"/>
      <c r="R65" s="1"/>
      <c r="S65" s="1"/>
      <c r="T65" s="1"/>
      <c r="U65" s="1">
        <v>-0.28000000000000003</v>
      </c>
      <c r="V65" s="1">
        <v>0.19900000000000001</v>
      </c>
      <c r="W65" s="1">
        <v>0.80600000000000005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</row>
    <row r="66" spans="1:226" ht="13.5" customHeight="1" x14ac:dyDescent="0.15">
      <c r="A66" s="1"/>
      <c r="B66" s="1" t="s">
        <v>82</v>
      </c>
      <c r="C66" s="10">
        <v>-2.2970000000000002</v>
      </c>
      <c r="D66" s="10">
        <f>-3.453-C66</f>
        <v>-1.1559999999999997</v>
      </c>
      <c r="E66" s="10">
        <f>-4.096-D66-C66</f>
        <v>-0.64300000000000024</v>
      </c>
      <c r="F66" s="10">
        <f t="shared" si="59"/>
        <v>4.4359999999999999</v>
      </c>
      <c r="G66" s="10">
        <v>-2.254</v>
      </c>
      <c r="H66" s="10">
        <f>-3.425-G66</f>
        <v>-1.1709999999999998</v>
      </c>
      <c r="I66" s="10">
        <f>-4.04-H66-G66</f>
        <v>-0.61500000000000021</v>
      </c>
      <c r="J66" s="10">
        <f t="shared" si="60"/>
        <v>4.2700000000000005</v>
      </c>
      <c r="K66" s="10">
        <v>-2.4390000000000001</v>
      </c>
      <c r="L66" s="2"/>
      <c r="M66" s="2"/>
      <c r="N66" s="2"/>
      <c r="O66" s="1"/>
      <c r="P66" s="1"/>
      <c r="Q66" s="1"/>
      <c r="R66" s="1"/>
      <c r="S66" s="1"/>
      <c r="T66" s="1"/>
      <c r="U66" s="1">
        <v>-0.11</v>
      </c>
      <c r="V66" s="1">
        <v>0.34</v>
      </c>
      <c r="W66" s="1">
        <v>0.23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</row>
    <row r="67" spans="1:226" ht="13.5" customHeight="1" x14ac:dyDescent="0.15">
      <c r="A67" s="1"/>
      <c r="B67" s="1" t="s">
        <v>83</v>
      </c>
      <c r="C67" s="10">
        <v>11.436</v>
      </c>
      <c r="D67" s="10">
        <f>-4.836-C67</f>
        <v>-16.271999999999998</v>
      </c>
      <c r="E67" s="10">
        <f>-1.805-D67-C67</f>
        <v>3.0309999999999988</v>
      </c>
      <c r="F67" s="10">
        <f t="shared" si="59"/>
        <v>4.4749999999999996</v>
      </c>
      <c r="G67" s="10">
        <v>11.747</v>
      </c>
      <c r="H67" s="10">
        <f>-3.193-G67</f>
        <v>-14.94</v>
      </c>
      <c r="I67" s="10">
        <f>-1.167-H67-G67</f>
        <v>2.0259999999999998</v>
      </c>
      <c r="J67" s="10">
        <f t="shared" si="60"/>
        <v>6.1189999999999998</v>
      </c>
      <c r="K67" s="10">
        <v>15.984</v>
      </c>
      <c r="L67" s="2"/>
      <c r="M67" s="2"/>
      <c r="N67" s="2"/>
      <c r="O67" s="1"/>
      <c r="P67" s="1"/>
      <c r="Q67" s="1"/>
      <c r="R67" s="1"/>
      <c r="S67" s="1"/>
      <c r="T67" s="1"/>
      <c r="U67" s="1">
        <v>9.6379999999999999</v>
      </c>
      <c r="V67" s="1">
        <v>2.67</v>
      </c>
      <c r="W67" s="1">
        <v>4.952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</row>
    <row r="68" spans="1:226" ht="13.5" customHeight="1" x14ac:dyDescent="0.15">
      <c r="A68" s="1"/>
      <c r="B68" s="1" t="s">
        <v>84</v>
      </c>
      <c r="C68" s="10">
        <v>1.843</v>
      </c>
      <c r="D68" s="10">
        <f>2.185-C68</f>
        <v>0.34200000000000008</v>
      </c>
      <c r="E68" s="10">
        <f>3.008-D68-C68</f>
        <v>0.82299999999999995</v>
      </c>
      <c r="F68" s="10">
        <f t="shared" si="59"/>
        <v>0.25300000000000011</v>
      </c>
      <c r="G68" s="10">
        <v>3.8319999999999999</v>
      </c>
      <c r="H68" s="10">
        <f>5.573-G68</f>
        <v>1.7410000000000005</v>
      </c>
      <c r="I68" s="10">
        <f>7.012-H68-G68</f>
        <v>1.4389999999999992</v>
      </c>
      <c r="J68" s="10">
        <f t="shared" si="60"/>
        <v>3.2280000000000006</v>
      </c>
      <c r="K68" s="10">
        <v>3.1160000000000001</v>
      </c>
      <c r="L68" s="2"/>
      <c r="M68" s="2"/>
      <c r="N68" s="2"/>
      <c r="O68" s="1"/>
      <c r="P68" s="1"/>
      <c r="Q68" s="1"/>
      <c r="R68" s="1"/>
      <c r="S68" s="1"/>
      <c r="T68" s="1"/>
      <c r="U68" s="1">
        <v>5.0830000000000002</v>
      </c>
      <c r="V68" s="1">
        <v>3.2610000000000001</v>
      </c>
      <c r="W68" s="1">
        <v>10.24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</row>
    <row r="69" spans="1:226" ht="13.5" customHeight="1" x14ac:dyDescent="0.15">
      <c r="A69" s="1"/>
      <c r="B69" s="1" t="s">
        <v>85</v>
      </c>
      <c r="C69" s="2">
        <f t="shared" ref="C69:K69" si="61">SUM(C55:C68)</f>
        <v>29.88399999999999</v>
      </c>
      <c r="D69" s="2">
        <f t="shared" si="61"/>
        <v>47.604000000000013</v>
      </c>
      <c r="E69" s="2">
        <f t="shared" si="61"/>
        <v>43.753999999999991</v>
      </c>
      <c r="F69" s="2">
        <f t="shared" si="61"/>
        <v>120.77199999999998</v>
      </c>
      <c r="G69" s="2">
        <f t="shared" si="61"/>
        <v>30.643999999999998</v>
      </c>
      <c r="H69" s="2">
        <f t="shared" si="61"/>
        <v>58.767999999999986</v>
      </c>
      <c r="I69" s="2">
        <f t="shared" si="61"/>
        <v>25.965000000000014</v>
      </c>
      <c r="J69" s="2">
        <f t="shared" si="61"/>
        <v>135.76300000000001</v>
      </c>
      <c r="K69" s="2">
        <f t="shared" si="61"/>
        <v>49.318000000000005</v>
      </c>
      <c r="L69" s="2"/>
      <c r="M69" s="2"/>
      <c r="N69" s="2"/>
      <c r="O69" s="1"/>
      <c r="P69" s="1"/>
      <c r="Q69" s="1"/>
      <c r="R69" s="1"/>
      <c r="S69" s="1"/>
      <c r="T69" s="1"/>
      <c r="U69" s="1">
        <f t="shared" ref="U69:W69" si="62">SUM(U55:U68)</f>
        <v>254.64400000000001</v>
      </c>
      <c r="V69" s="1">
        <f t="shared" si="62"/>
        <v>242.01399999999998</v>
      </c>
      <c r="W69" s="1">
        <f t="shared" si="62"/>
        <v>251.14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</row>
    <row r="70" spans="1:226" ht="13.5" customHeight="1" x14ac:dyDescent="0.15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</row>
    <row r="71" spans="1:226" ht="13.5" customHeight="1" x14ac:dyDescent="0.15">
      <c r="A71" s="1"/>
      <c r="B71" s="1" t="s">
        <v>86</v>
      </c>
      <c r="C71" s="10">
        <v>-10.829000000000001</v>
      </c>
      <c r="D71" s="10">
        <f>-22.302-C71</f>
        <v>-11.472999999999999</v>
      </c>
      <c r="E71" s="10">
        <f>-32.454-D71-C71</f>
        <v>-10.152000000000001</v>
      </c>
      <c r="F71" s="10">
        <f t="shared" ref="F71:F75" si="63">V71-SUM(C71:E71)</f>
        <v>-9.820999999999998</v>
      </c>
      <c r="G71" s="10">
        <v>-11.403</v>
      </c>
      <c r="H71" s="10">
        <f>-23.439-G71</f>
        <v>-12.036</v>
      </c>
      <c r="I71" s="10">
        <f>-34.499-H71-G71</f>
        <v>-11.06</v>
      </c>
      <c r="J71" s="10">
        <f t="shared" ref="J71:J75" si="64">W71-SUM(G71:I71)</f>
        <v>-10.861999999999995</v>
      </c>
      <c r="K71" s="10">
        <v>-14.663</v>
      </c>
      <c r="L71" s="2"/>
      <c r="M71" s="2"/>
      <c r="N71" s="2"/>
      <c r="O71" s="1"/>
      <c r="P71" s="1"/>
      <c r="Q71" s="1"/>
      <c r="R71" s="1"/>
      <c r="S71" s="1"/>
      <c r="T71" s="1"/>
      <c r="U71" s="1">
        <v>-37.274000000000001</v>
      </c>
      <c r="V71" s="1">
        <v>-42.274999999999999</v>
      </c>
      <c r="W71" s="1">
        <v>-45.360999999999997</v>
      </c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</row>
    <row r="72" spans="1:226" ht="13.5" customHeight="1" x14ac:dyDescent="0.15">
      <c r="A72" s="1"/>
      <c r="B72" s="1" t="s">
        <v>87</v>
      </c>
      <c r="C72" s="10">
        <v>0</v>
      </c>
      <c r="D72" s="10">
        <v>0</v>
      </c>
      <c r="E72" s="10">
        <v>0</v>
      </c>
      <c r="F72" s="10">
        <f t="shared" si="63"/>
        <v>0</v>
      </c>
      <c r="G72" s="10">
        <v>0</v>
      </c>
      <c r="H72" s="10">
        <v>0</v>
      </c>
      <c r="I72" s="10">
        <v>0</v>
      </c>
      <c r="J72" s="31">
        <f t="shared" si="64"/>
        <v>5.7469999999999999</v>
      </c>
      <c r="K72" s="10">
        <v>0</v>
      </c>
      <c r="L72" s="2"/>
      <c r="M72" s="2"/>
      <c r="N72" s="2"/>
      <c r="O72" s="1"/>
      <c r="P72" s="1"/>
      <c r="Q72" s="1"/>
      <c r="R72" s="1"/>
      <c r="S72" s="1"/>
      <c r="T72" s="1"/>
      <c r="U72" s="1">
        <v>4.0000000000000002E-4</v>
      </c>
      <c r="V72" s="1">
        <v>0</v>
      </c>
      <c r="W72" s="1">
        <v>5.7469999999999999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</row>
    <row r="73" spans="1:226" ht="13.5" customHeight="1" x14ac:dyDescent="0.15">
      <c r="A73" s="1"/>
      <c r="B73" s="1" t="s">
        <v>88</v>
      </c>
      <c r="C73" s="10">
        <v>0</v>
      </c>
      <c r="D73" s="10">
        <v>0</v>
      </c>
      <c r="E73" s="10">
        <f>0</f>
        <v>0</v>
      </c>
      <c r="F73" s="10">
        <f t="shared" si="63"/>
        <v>-2.9000000000000001E-2</v>
      </c>
      <c r="G73" s="10">
        <v>0</v>
      </c>
      <c r="H73" s="10">
        <v>0</v>
      </c>
      <c r="I73" s="10">
        <f>0.0005-H73-G73</f>
        <v>5.0000000000000001E-4</v>
      </c>
      <c r="J73" s="10">
        <f t="shared" si="64"/>
        <v>-2.5500000000000002E-2</v>
      </c>
      <c r="K73" s="10">
        <v>0</v>
      </c>
      <c r="L73" s="2"/>
      <c r="M73" s="2"/>
      <c r="N73" s="2"/>
      <c r="O73" s="1"/>
      <c r="P73" s="1"/>
      <c r="Q73" s="1"/>
      <c r="R73" s="1"/>
      <c r="S73" s="1"/>
      <c r="T73" s="1"/>
      <c r="U73" s="1">
        <v>-2.5999999999999999E-3</v>
      </c>
      <c r="V73" s="1">
        <v>-2.9000000000000001E-2</v>
      </c>
      <c r="W73" s="1">
        <v>-2.5000000000000001E-2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</row>
    <row r="74" spans="1:226" ht="13.5" customHeight="1" x14ac:dyDescent="0.15">
      <c r="A74" s="1"/>
      <c r="B74" s="1" t="s">
        <v>89</v>
      </c>
      <c r="C74" s="10">
        <v>-10.773999999999999</v>
      </c>
      <c r="D74" s="10">
        <f>-22.651-C74</f>
        <v>-11.877000000000001</v>
      </c>
      <c r="E74" s="10">
        <f>-30.191-D74-C74</f>
        <v>-7.5400000000000009</v>
      </c>
      <c r="F74" s="10">
        <f t="shared" si="63"/>
        <v>-9.8109999999999999</v>
      </c>
      <c r="G74" s="10">
        <v>-7.4930000000000003</v>
      </c>
      <c r="H74" s="10">
        <f>-16.551-G74</f>
        <v>-9.0579999999999981</v>
      </c>
      <c r="I74" s="10">
        <f>-28.051-H74-G74</f>
        <v>-11.500000000000002</v>
      </c>
      <c r="J74" s="10">
        <f t="shared" si="64"/>
        <v>-10.869999999999997</v>
      </c>
      <c r="K74" s="10">
        <v>-11.831</v>
      </c>
      <c r="L74" s="2"/>
      <c r="M74" s="2"/>
      <c r="N74" s="2"/>
      <c r="O74" s="1"/>
      <c r="P74" s="1"/>
      <c r="Q74" s="1"/>
      <c r="R74" s="1"/>
      <c r="S74" s="1"/>
      <c r="T74" s="1"/>
      <c r="U74" s="1">
        <v>-43.389000000000003</v>
      </c>
      <c r="V74" s="1">
        <v>-40.002000000000002</v>
      </c>
      <c r="W74" s="1">
        <v>-38.920999999999999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</row>
    <row r="75" spans="1:226" ht="13.5" customHeight="1" x14ac:dyDescent="0.15">
      <c r="A75" s="1"/>
      <c r="B75" s="1" t="s">
        <v>90</v>
      </c>
      <c r="C75" s="10">
        <v>8.7070000000000007</v>
      </c>
      <c r="D75" s="10">
        <f>22.061-C75</f>
        <v>13.353999999999999</v>
      </c>
      <c r="E75" s="10">
        <f>28.462-D75-C75</f>
        <v>6.4009999999999998</v>
      </c>
      <c r="F75" s="10">
        <f t="shared" si="63"/>
        <v>8.5650000000000013</v>
      </c>
      <c r="G75" s="10">
        <v>7.7809999999999997</v>
      </c>
      <c r="H75" s="10">
        <f>17.27-G75</f>
        <v>9.4890000000000008</v>
      </c>
      <c r="I75" s="10">
        <f>26.623-H75-G75</f>
        <v>9.3530000000000015</v>
      </c>
      <c r="J75" s="10">
        <f t="shared" si="64"/>
        <v>8.4190000000000005</v>
      </c>
      <c r="K75" s="10">
        <v>11.91</v>
      </c>
      <c r="L75" s="2"/>
      <c r="M75" s="2"/>
      <c r="N75" s="2"/>
      <c r="O75" s="1"/>
      <c r="P75" s="1"/>
      <c r="Q75" s="1"/>
      <c r="R75" s="1"/>
      <c r="S75" s="1"/>
      <c r="T75" s="1"/>
      <c r="U75" s="1">
        <v>38.914999999999999</v>
      </c>
      <c r="V75" s="1">
        <v>37.027000000000001</v>
      </c>
      <c r="W75" s="1">
        <v>35.042000000000002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</row>
    <row r="76" spans="1:226" ht="13.5" customHeight="1" x14ac:dyDescent="0.15">
      <c r="A76" s="1"/>
      <c r="B76" s="1" t="s">
        <v>91</v>
      </c>
      <c r="C76" s="2">
        <f t="shared" ref="C76:K76" si="65">SUM(C71:C75)</f>
        <v>-12.896000000000001</v>
      </c>
      <c r="D76" s="2">
        <f t="shared" si="65"/>
        <v>-9.9960000000000022</v>
      </c>
      <c r="E76" s="2">
        <f t="shared" si="65"/>
        <v>-11.291</v>
      </c>
      <c r="F76" s="2">
        <f t="shared" si="65"/>
        <v>-11.095999999999997</v>
      </c>
      <c r="G76" s="2">
        <f t="shared" si="65"/>
        <v>-11.115000000000002</v>
      </c>
      <c r="H76" s="2">
        <f t="shared" si="65"/>
        <v>-11.604999999999997</v>
      </c>
      <c r="I76" s="2">
        <f t="shared" si="65"/>
        <v>-13.206499999999998</v>
      </c>
      <c r="J76" s="2">
        <f t="shared" si="65"/>
        <v>-7.5914999999999928</v>
      </c>
      <c r="K76" s="2">
        <f t="shared" si="65"/>
        <v>-14.584</v>
      </c>
      <c r="L76" s="2"/>
      <c r="M76" s="2"/>
      <c r="N76" s="2"/>
      <c r="O76" s="1"/>
      <c r="P76" s="1"/>
      <c r="Q76" s="1"/>
      <c r="R76" s="1"/>
      <c r="S76" s="1"/>
      <c r="T76" s="1"/>
      <c r="U76" s="1">
        <f t="shared" ref="U76:W76" si="66">SUM(U71:U75)</f>
        <v>-41.7502</v>
      </c>
      <c r="V76" s="1">
        <f t="shared" si="66"/>
        <v>-45.279000000000011</v>
      </c>
      <c r="W76" s="1">
        <f t="shared" si="66"/>
        <v>-43.518000000000001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</row>
    <row r="77" spans="1:226" ht="13.5" customHeight="1" x14ac:dyDescent="0.15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</row>
    <row r="78" spans="1:226" ht="13.5" customHeight="1" x14ac:dyDescent="0.15">
      <c r="A78" s="1"/>
      <c r="B78" s="1" t="s">
        <v>92</v>
      </c>
      <c r="C78" s="10">
        <v>-17.774000000000001</v>
      </c>
      <c r="D78" s="10">
        <f>-35.543-C78</f>
        <v>-17.768999999999998</v>
      </c>
      <c r="E78" s="10">
        <f>-53.314-D78-C78</f>
        <v>-17.771000000000001</v>
      </c>
      <c r="F78" s="10">
        <f>V78-SUM(C78:E78)</f>
        <v>-144.70400000000001</v>
      </c>
      <c r="G78" s="10">
        <v>-17.905999999999999</v>
      </c>
      <c r="H78" s="10">
        <f>-35.81-G78</f>
        <v>-17.904000000000003</v>
      </c>
      <c r="I78" s="10">
        <f>-53.714-H78-G78</f>
        <v>-17.903999999999996</v>
      </c>
      <c r="J78" s="10">
        <f>W78-SUM(G78:I78)</f>
        <v>-171.376</v>
      </c>
      <c r="K78" s="10">
        <v>-18.030999999999999</v>
      </c>
      <c r="L78" s="2"/>
      <c r="M78" s="2"/>
      <c r="N78" s="2"/>
      <c r="O78" s="1"/>
      <c r="P78" s="1"/>
      <c r="Q78" s="1"/>
      <c r="R78" s="1"/>
      <c r="S78" s="1"/>
      <c r="T78" s="1"/>
      <c r="U78" s="1">
        <v>-196.738</v>
      </c>
      <c r="V78" s="1">
        <v>-198.018</v>
      </c>
      <c r="W78" s="1">
        <v>-225.09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</row>
    <row r="79" spans="1:226" ht="13.5" customHeight="1" x14ac:dyDescent="0.15">
      <c r="A79" s="1"/>
      <c r="B79" s="1" t="s">
        <v>93</v>
      </c>
      <c r="C79" s="2">
        <f t="shared" ref="C79:K79" si="67">C78</f>
        <v>-17.774000000000001</v>
      </c>
      <c r="D79" s="2">
        <f t="shared" si="67"/>
        <v>-17.768999999999998</v>
      </c>
      <c r="E79" s="2">
        <f t="shared" si="67"/>
        <v>-17.771000000000001</v>
      </c>
      <c r="F79" s="2">
        <f t="shared" si="67"/>
        <v>-144.70400000000001</v>
      </c>
      <c r="G79" s="2">
        <f t="shared" si="67"/>
        <v>-17.905999999999999</v>
      </c>
      <c r="H79" s="2">
        <f t="shared" si="67"/>
        <v>-17.904000000000003</v>
      </c>
      <c r="I79" s="2">
        <f t="shared" si="67"/>
        <v>-17.903999999999996</v>
      </c>
      <c r="J79" s="2">
        <f t="shared" si="67"/>
        <v>-171.376</v>
      </c>
      <c r="K79" s="2">
        <f t="shared" si="67"/>
        <v>-18.030999999999999</v>
      </c>
      <c r="L79" s="2"/>
      <c r="M79" s="2"/>
      <c r="N79" s="2"/>
      <c r="O79" s="1"/>
      <c r="P79" s="1"/>
      <c r="Q79" s="1"/>
      <c r="R79" s="1"/>
      <c r="S79" s="1"/>
      <c r="T79" s="1"/>
      <c r="U79" s="1">
        <f t="shared" ref="U79:W79" si="68">U78</f>
        <v>-196.738</v>
      </c>
      <c r="V79" s="1">
        <f t="shared" si="68"/>
        <v>-198.018</v>
      </c>
      <c r="W79" s="1">
        <f t="shared" si="68"/>
        <v>-225.09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</row>
    <row r="80" spans="1:226" ht="13.5" customHeight="1" x14ac:dyDescent="0.1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</row>
    <row r="81" spans="1:226" ht="13.5" customHeight="1" x14ac:dyDescent="0.15">
      <c r="A81" s="1"/>
      <c r="B81" s="1" t="s">
        <v>94</v>
      </c>
      <c r="C81" s="2">
        <f t="shared" ref="C81:K81" si="69">SUM(C69,C76,C79)</f>
        <v>-0.78600000000001202</v>
      </c>
      <c r="D81" s="2">
        <f t="shared" si="69"/>
        <v>19.839000000000013</v>
      </c>
      <c r="E81" s="2">
        <f t="shared" si="69"/>
        <v>14.691999999999993</v>
      </c>
      <c r="F81" s="2">
        <f t="shared" si="69"/>
        <v>-35.02800000000002</v>
      </c>
      <c r="G81" s="2">
        <f t="shared" si="69"/>
        <v>1.6229999999999976</v>
      </c>
      <c r="H81" s="2">
        <f t="shared" si="69"/>
        <v>29.258999999999986</v>
      </c>
      <c r="I81" s="2">
        <f t="shared" si="69"/>
        <v>-5.1454999999999806</v>
      </c>
      <c r="J81" s="2">
        <f t="shared" si="69"/>
        <v>-43.204499999999996</v>
      </c>
      <c r="K81" s="2">
        <f t="shared" si="69"/>
        <v>16.70300000000001</v>
      </c>
      <c r="L81" s="2"/>
      <c r="M81" s="2"/>
      <c r="N81" s="2"/>
      <c r="O81" s="1"/>
      <c r="P81" s="1"/>
      <c r="Q81" s="1"/>
      <c r="R81" s="1"/>
      <c r="S81" s="1"/>
      <c r="T81" s="1"/>
      <c r="U81" s="2">
        <f t="shared" ref="U81:W81" si="70">SUM(U69,U76,U79)</f>
        <v>16.155799999999999</v>
      </c>
      <c r="V81" s="2">
        <f t="shared" si="70"/>
        <v>-1.2830000000000439</v>
      </c>
      <c r="W81" s="2">
        <f t="shared" si="70"/>
        <v>-17.468000000000018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</row>
    <row r="82" spans="1:226" ht="13.5" customHeight="1" x14ac:dyDescent="0.15">
      <c r="A82" s="1"/>
      <c r="B82" s="1" t="s">
        <v>95</v>
      </c>
      <c r="C82" s="2">
        <v>266.92599999999999</v>
      </c>
      <c r="D82" s="2">
        <v>266.92599999999999</v>
      </c>
      <c r="E82" s="2">
        <v>266.92599999999999</v>
      </c>
      <c r="F82" s="2">
        <v>266.92599999999999</v>
      </c>
      <c r="G82" s="2">
        <v>266.92599999999999</v>
      </c>
      <c r="H82" s="2">
        <f t="shared" ref="H82:J82" si="71">G83</f>
        <v>268.54899999999998</v>
      </c>
      <c r="I82" s="2">
        <f t="shared" si="71"/>
        <v>297.80799999999999</v>
      </c>
      <c r="J82" s="2">
        <f t="shared" si="71"/>
        <v>292.66250000000002</v>
      </c>
      <c r="K82" s="2">
        <v>249.46100000000001</v>
      </c>
      <c r="L82" s="2"/>
      <c r="M82" s="2"/>
      <c r="N82" s="2"/>
      <c r="O82" s="1"/>
      <c r="P82" s="1"/>
      <c r="Q82" s="1"/>
      <c r="R82" s="1"/>
      <c r="S82" s="1"/>
      <c r="T82" s="1"/>
      <c r="U82" s="1">
        <v>252.077</v>
      </c>
      <c r="V82" s="1">
        <f t="shared" ref="V82:W82" si="72">U83</f>
        <v>268.2328</v>
      </c>
      <c r="W82" s="1">
        <f t="shared" si="72"/>
        <v>266.94979999999998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</row>
    <row r="83" spans="1:226" ht="13.5" customHeight="1" x14ac:dyDescent="0.15">
      <c r="A83" s="1"/>
      <c r="B83" s="1" t="s">
        <v>96</v>
      </c>
      <c r="C83" s="2">
        <f t="shared" ref="C83:K83" si="73">C81+C82</f>
        <v>266.14</v>
      </c>
      <c r="D83" s="2">
        <f t="shared" si="73"/>
        <v>286.76499999999999</v>
      </c>
      <c r="E83" s="2">
        <f t="shared" si="73"/>
        <v>281.61799999999999</v>
      </c>
      <c r="F83" s="2">
        <f t="shared" si="73"/>
        <v>231.89799999999997</v>
      </c>
      <c r="G83" s="2">
        <f t="shared" si="73"/>
        <v>268.54899999999998</v>
      </c>
      <c r="H83" s="2">
        <f t="shared" si="73"/>
        <v>297.80799999999999</v>
      </c>
      <c r="I83" s="2">
        <f t="shared" si="73"/>
        <v>292.66250000000002</v>
      </c>
      <c r="J83" s="2">
        <f t="shared" si="73"/>
        <v>249.45800000000003</v>
      </c>
      <c r="K83" s="2">
        <f t="shared" si="73"/>
        <v>266.16400000000004</v>
      </c>
      <c r="L83" s="2"/>
      <c r="M83" s="2"/>
      <c r="N83" s="2"/>
      <c r="O83" s="1"/>
      <c r="P83" s="1"/>
      <c r="Q83" s="1"/>
      <c r="R83" s="1"/>
      <c r="S83" s="1"/>
      <c r="T83" s="1"/>
      <c r="U83" s="1">
        <f t="shared" ref="U83:W83" si="74">U81+U82</f>
        <v>268.2328</v>
      </c>
      <c r="V83" s="1">
        <f t="shared" si="74"/>
        <v>266.94979999999998</v>
      </c>
      <c r="W83" s="1">
        <f t="shared" si="74"/>
        <v>249.48179999999996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</row>
    <row r="84" spans="1:226" ht="13.5" customHeight="1" x14ac:dyDescent="0.15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</row>
    <row r="85" spans="1:226" ht="13.5" customHeight="1" x14ac:dyDescent="0.1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</row>
    <row r="86" spans="1:226" ht="13.5" customHeight="1" x14ac:dyDescent="0.15">
      <c r="A86" s="1"/>
      <c r="B86" s="1" t="s">
        <v>97</v>
      </c>
      <c r="C86" s="2">
        <f t="shared" ref="C86:K86" si="75">C69+C71</f>
        <v>19.054999999999989</v>
      </c>
      <c r="D86" s="2">
        <f t="shared" si="75"/>
        <v>36.131000000000014</v>
      </c>
      <c r="E86" s="2">
        <f t="shared" si="75"/>
        <v>33.60199999999999</v>
      </c>
      <c r="F86" s="2">
        <f t="shared" si="75"/>
        <v>110.95099999999998</v>
      </c>
      <c r="G86" s="2">
        <f t="shared" si="75"/>
        <v>19.241</v>
      </c>
      <c r="H86" s="2">
        <f t="shared" si="75"/>
        <v>46.731999999999985</v>
      </c>
      <c r="I86" s="2">
        <f t="shared" si="75"/>
        <v>14.905000000000014</v>
      </c>
      <c r="J86" s="2">
        <f t="shared" si="75"/>
        <v>124.90100000000001</v>
      </c>
      <c r="K86" s="2">
        <f t="shared" si="75"/>
        <v>34.655000000000001</v>
      </c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</row>
    <row r="87" spans="1:226" ht="13.5" customHeight="1" x14ac:dyDescent="0.15">
      <c r="A87" s="1"/>
      <c r="B87" s="1" t="s">
        <v>98</v>
      </c>
      <c r="C87" s="2">
        <f t="shared" ref="C87:K87" si="76">C12</f>
        <v>7.0220000000000002</v>
      </c>
      <c r="D87" s="2">
        <f t="shared" si="76"/>
        <v>39.25499999999996</v>
      </c>
      <c r="E87" s="2">
        <f t="shared" si="76"/>
        <v>44.171999999999969</v>
      </c>
      <c r="F87" s="2">
        <f t="shared" si="76"/>
        <v>77.198000000000036</v>
      </c>
      <c r="G87" s="2">
        <f t="shared" si="76"/>
        <v>35.192999999999991</v>
      </c>
      <c r="H87" s="2">
        <f t="shared" si="76"/>
        <v>45.006000000000014</v>
      </c>
      <c r="I87" s="2">
        <f t="shared" si="76"/>
        <v>48.699999999999989</v>
      </c>
      <c r="J87" s="2">
        <f t="shared" si="76"/>
        <v>80.84499999999997</v>
      </c>
      <c r="K87" s="2">
        <f t="shared" si="76"/>
        <v>46.882000000000033</v>
      </c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</row>
    <row r="88" spans="1:226" ht="13.5" customHeight="1" x14ac:dyDescent="0.15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</row>
    <row r="89" spans="1:226" ht="13.5" customHeight="1" x14ac:dyDescent="0.15">
      <c r="A89" s="1"/>
      <c r="B89" s="1" t="s">
        <v>99</v>
      </c>
      <c r="C89" s="2"/>
      <c r="D89" s="2"/>
      <c r="E89" s="2"/>
      <c r="F89" s="2">
        <f t="shared" ref="F89:K89" si="77">SUM(C86:F86)</f>
        <v>199.73899999999998</v>
      </c>
      <c r="G89" s="2">
        <f t="shared" si="77"/>
        <v>199.92499999999995</v>
      </c>
      <c r="H89" s="2">
        <f t="shared" si="77"/>
        <v>210.52599999999995</v>
      </c>
      <c r="I89" s="2">
        <f t="shared" si="77"/>
        <v>191.82899999999998</v>
      </c>
      <c r="J89" s="2">
        <f t="shared" si="77"/>
        <v>205.779</v>
      </c>
      <c r="K89" s="2">
        <f t="shared" si="77"/>
        <v>221.19300000000001</v>
      </c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</row>
    <row r="90" spans="1:226" ht="13.5" customHeight="1" x14ac:dyDescent="0.15">
      <c r="A90" s="1"/>
      <c r="B90" s="1" t="s">
        <v>100</v>
      </c>
      <c r="C90" s="2"/>
      <c r="D90" s="2"/>
      <c r="E90" s="2"/>
      <c r="F90" s="2">
        <f t="shared" ref="F90:K90" si="78">SUM(C87:F87)</f>
        <v>167.64699999999996</v>
      </c>
      <c r="G90" s="2">
        <f t="shared" si="78"/>
        <v>195.81799999999996</v>
      </c>
      <c r="H90" s="2">
        <f t="shared" si="78"/>
        <v>201.56900000000002</v>
      </c>
      <c r="I90" s="2">
        <f t="shared" si="78"/>
        <v>206.09700000000004</v>
      </c>
      <c r="J90" s="2">
        <f t="shared" si="78"/>
        <v>209.74399999999997</v>
      </c>
      <c r="K90" s="2">
        <f t="shared" si="78"/>
        <v>221.43300000000002</v>
      </c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</row>
    <row r="91" spans="1:226" ht="13.5" customHeight="1" x14ac:dyDescent="0.15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</row>
    <row r="92" spans="1:226" ht="13.5" customHeight="1" x14ac:dyDescent="0.15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</row>
    <row r="93" spans="1:226" ht="13.5" customHeight="1" x14ac:dyDescent="0.15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</row>
    <row r="94" spans="1:226" ht="13.5" customHeight="1" x14ac:dyDescent="0.15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</row>
    <row r="95" spans="1:226" ht="13.5" customHeight="1" x14ac:dyDescent="0.1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</row>
    <row r="96" spans="1:226" ht="13.5" customHeight="1" x14ac:dyDescent="0.15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</row>
    <row r="97" spans="1:226" ht="13.5" customHeight="1" x14ac:dyDescent="0.15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</row>
    <row r="98" spans="1:226" ht="13.5" customHeight="1" x14ac:dyDescent="0.15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</row>
    <row r="99" spans="1:226" ht="13.5" customHeight="1" x14ac:dyDescent="0.15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</row>
    <row r="100" spans="1:226" ht="13.5" customHeight="1" x14ac:dyDescent="0.15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</row>
    <row r="101" spans="1:226" ht="13.5" customHeight="1" x14ac:dyDescent="0.15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</row>
    <row r="102" spans="1:226" ht="13.5" customHeight="1" x14ac:dyDescent="0.15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</row>
    <row r="103" spans="1:226" ht="13.5" customHeight="1" x14ac:dyDescent="0.15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</row>
    <row r="104" spans="1:226" ht="13.5" customHeight="1" x14ac:dyDescent="0.15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</row>
    <row r="105" spans="1:226" ht="13.5" customHeight="1" x14ac:dyDescent="0.1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</row>
    <row r="106" spans="1:226" ht="13.5" customHeight="1" x14ac:dyDescent="0.15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</row>
    <row r="107" spans="1:226" ht="13.5" customHeight="1" x14ac:dyDescent="0.15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</row>
    <row r="108" spans="1:226" ht="13.5" customHeight="1" x14ac:dyDescent="0.15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</row>
    <row r="109" spans="1:226" ht="13.5" customHeight="1" x14ac:dyDescent="0.15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</row>
    <row r="110" spans="1:226" ht="13.5" customHeight="1" x14ac:dyDescent="0.15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</row>
    <row r="111" spans="1:226" ht="13.5" customHeight="1" x14ac:dyDescent="0.15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</row>
    <row r="112" spans="1:226" ht="13.5" customHeight="1" x14ac:dyDescent="0.15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</row>
    <row r="113" spans="1:226" ht="13.5" customHeight="1" x14ac:dyDescent="0.15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</row>
    <row r="114" spans="1:226" ht="13.5" customHeight="1" x14ac:dyDescent="0.15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</row>
    <row r="115" spans="1:226" ht="13.5" customHeight="1" x14ac:dyDescent="0.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</row>
    <row r="116" spans="1:226" ht="13.5" customHeight="1" x14ac:dyDescent="0.15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</row>
    <row r="117" spans="1:226" ht="13.5" customHeight="1" x14ac:dyDescent="0.15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</row>
    <row r="118" spans="1:226" ht="13.5" customHeight="1" x14ac:dyDescent="0.15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</row>
    <row r="119" spans="1:226" ht="13.5" customHeight="1" x14ac:dyDescent="0.15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</row>
    <row r="120" spans="1:226" ht="13.5" customHeight="1" x14ac:dyDescent="0.15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</row>
    <row r="121" spans="1:226" ht="13.5" customHeight="1" x14ac:dyDescent="0.15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</row>
    <row r="122" spans="1:226" ht="13.5" customHeight="1" x14ac:dyDescent="0.15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</row>
    <row r="123" spans="1:226" ht="13.5" customHeight="1" x14ac:dyDescent="0.15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</row>
    <row r="124" spans="1:226" ht="13.5" customHeight="1" x14ac:dyDescent="0.15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</row>
    <row r="125" spans="1:226" ht="13.5" customHeight="1" x14ac:dyDescent="0.1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</row>
    <row r="126" spans="1:226" ht="13.5" customHeight="1" x14ac:dyDescent="0.15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</row>
    <row r="127" spans="1:226" ht="13.5" customHeight="1" x14ac:dyDescent="0.15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</row>
    <row r="128" spans="1:226" ht="13.5" customHeight="1" x14ac:dyDescent="0.15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</row>
    <row r="129" spans="1:226" ht="13.5" customHeight="1" x14ac:dyDescent="0.15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</row>
    <row r="130" spans="1:226" ht="13.5" customHeight="1" x14ac:dyDescent="0.15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</row>
    <row r="131" spans="1:226" ht="13.5" customHeight="1" x14ac:dyDescent="0.15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</row>
    <row r="132" spans="1:226" ht="13.5" customHeight="1" x14ac:dyDescent="0.15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</row>
    <row r="133" spans="1:226" ht="13.5" customHeight="1" x14ac:dyDescent="0.15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</row>
    <row r="134" spans="1:226" ht="13.5" customHeight="1" x14ac:dyDescent="0.15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</row>
    <row r="135" spans="1:226" ht="13.5" customHeight="1" x14ac:dyDescent="0.1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</row>
    <row r="136" spans="1:226" ht="13.5" customHeight="1" x14ac:dyDescent="0.15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</row>
    <row r="137" spans="1:226" ht="13.5" customHeight="1" x14ac:dyDescent="0.15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</row>
    <row r="138" spans="1:226" ht="13.5" customHeight="1" x14ac:dyDescent="0.15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</row>
    <row r="139" spans="1:226" ht="13.5" customHeight="1" x14ac:dyDescent="0.15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</row>
    <row r="140" spans="1:226" ht="13.5" customHeight="1" x14ac:dyDescent="0.15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</row>
    <row r="141" spans="1:226" ht="13.5" customHeight="1" x14ac:dyDescent="0.15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</row>
    <row r="142" spans="1:226" ht="13.5" customHeight="1" x14ac:dyDescent="0.15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</row>
    <row r="143" spans="1:226" ht="13.5" customHeight="1" x14ac:dyDescent="0.15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</row>
    <row r="144" spans="1:226" ht="13.5" customHeight="1" x14ac:dyDescent="0.15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</row>
    <row r="145" spans="1:226" ht="13.5" customHeight="1" x14ac:dyDescent="0.1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</row>
    <row r="146" spans="1:226" ht="13.5" customHeight="1" x14ac:dyDescent="0.15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</row>
    <row r="147" spans="1:226" ht="13.5" customHeight="1" x14ac:dyDescent="0.15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</row>
    <row r="148" spans="1:226" ht="13.5" customHeight="1" x14ac:dyDescent="0.15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</row>
    <row r="149" spans="1:226" ht="13.5" customHeight="1" x14ac:dyDescent="0.15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</row>
    <row r="150" spans="1:226" ht="13.5" customHeight="1" x14ac:dyDescent="0.15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</row>
    <row r="151" spans="1:226" ht="13.5" customHeight="1" x14ac:dyDescent="0.15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</row>
    <row r="152" spans="1:226" ht="13.5" customHeight="1" x14ac:dyDescent="0.15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</row>
    <row r="153" spans="1:226" ht="13.5" customHeight="1" x14ac:dyDescent="0.15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</row>
    <row r="154" spans="1:226" ht="13.5" customHeight="1" x14ac:dyDescent="0.15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</row>
    <row r="155" spans="1:226" ht="13.5" customHeight="1" x14ac:dyDescent="0.1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</row>
    <row r="156" spans="1:226" ht="13.5" customHeight="1" x14ac:dyDescent="0.15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</row>
    <row r="157" spans="1:226" ht="13.5" customHeight="1" x14ac:dyDescent="0.15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</row>
    <row r="158" spans="1:226" ht="13.5" customHeight="1" x14ac:dyDescent="0.15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</row>
    <row r="159" spans="1:226" ht="13.5" customHeight="1" x14ac:dyDescent="0.15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</row>
    <row r="160" spans="1:226" ht="13.5" customHeight="1" x14ac:dyDescent="0.15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</row>
    <row r="161" spans="1:226" ht="13.5" customHeight="1" x14ac:dyDescent="0.15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</row>
    <row r="162" spans="1:226" ht="13.5" customHeight="1" x14ac:dyDescent="0.15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</row>
    <row r="163" spans="1:226" ht="13.5" customHeight="1" x14ac:dyDescent="0.15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</row>
    <row r="164" spans="1:226" ht="13.5" customHeight="1" x14ac:dyDescent="0.15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</row>
    <row r="165" spans="1:226" ht="13.5" customHeight="1" x14ac:dyDescent="0.1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</row>
    <row r="166" spans="1:226" ht="13.5" customHeight="1" x14ac:dyDescent="0.15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</row>
    <row r="167" spans="1:226" ht="13.5" customHeight="1" x14ac:dyDescent="0.15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</row>
    <row r="168" spans="1:226" ht="13.5" customHeight="1" x14ac:dyDescent="0.15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</row>
    <row r="169" spans="1:226" ht="13.5" customHeight="1" x14ac:dyDescent="0.15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</row>
    <row r="170" spans="1:226" ht="13.5" customHeight="1" x14ac:dyDescent="0.15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</row>
    <row r="171" spans="1:226" ht="13.5" customHeight="1" x14ac:dyDescent="0.15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</row>
    <row r="172" spans="1:226" ht="13.5" customHeight="1" x14ac:dyDescent="0.15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</row>
    <row r="173" spans="1:226" ht="13.5" customHeight="1" x14ac:dyDescent="0.15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</row>
    <row r="174" spans="1:226" ht="13.5" customHeight="1" x14ac:dyDescent="0.15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</row>
    <row r="175" spans="1:226" ht="13.5" customHeight="1" x14ac:dyDescent="0.1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</row>
    <row r="176" spans="1:226" ht="13.5" customHeight="1" x14ac:dyDescent="0.15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</row>
    <row r="177" spans="1:226" ht="13.5" customHeight="1" x14ac:dyDescent="0.15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</row>
    <row r="178" spans="1:226" ht="13.5" customHeight="1" x14ac:dyDescent="0.15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</row>
    <row r="179" spans="1:226" ht="13.5" customHeight="1" x14ac:dyDescent="0.15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</row>
    <row r="180" spans="1:226" ht="13.5" customHeight="1" x14ac:dyDescent="0.15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</row>
    <row r="181" spans="1:226" ht="13.5" customHeight="1" x14ac:dyDescent="0.15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</row>
    <row r="182" spans="1:226" ht="13.5" customHeight="1" x14ac:dyDescent="0.15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</row>
    <row r="183" spans="1:226" ht="13.5" customHeight="1" x14ac:dyDescent="0.15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</row>
    <row r="184" spans="1:226" ht="13.5" customHeight="1" x14ac:dyDescent="0.15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</row>
    <row r="185" spans="1:226" ht="13.5" customHeight="1" x14ac:dyDescent="0.1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</row>
    <row r="186" spans="1:226" ht="13.5" customHeight="1" x14ac:dyDescent="0.15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</row>
    <row r="187" spans="1:226" ht="13.5" customHeight="1" x14ac:dyDescent="0.15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</row>
    <row r="188" spans="1:226" ht="13.5" customHeight="1" x14ac:dyDescent="0.15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</row>
    <row r="189" spans="1:226" ht="13.5" customHeight="1" x14ac:dyDescent="0.15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</row>
    <row r="190" spans="1:226" ht="13.5" customHeight="1" x14ac:dyDescent="0.15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</row>
    <row r="191" spans="1:226" ht="13.5" customHeight="1" x14ac:dyDescent="0.15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</row>
    <row r="192" spans="1:226" ht="13.5" customHeight="1" x14ac:dyDescent="0.15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</row>
    <row r="193" spans="1:226" ht="13.5" customHeight="1" x14ac:dyDescent="0.15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</row>
    <row r="194" spans="1:226" ht="13.5" customHeight="1" x14ac:dyDescent="0.15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</row>
    <row r="195" spans="1:226" ht="13.5" customHeight="1" x14ac:dyDescent="0.1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</row>
    <row r="196" spans="1:226" ht="13.5" customHeight="1" x14ac:dyDescent="0.15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</row>
    <row r="197" spans="1:226" ht="13.5" customHeight="1" x14ac:dyDescent="0.15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</row>
    <row r="198" spans="1:226" ht="13.5" customHeight="1" x14ac:dyDescent="0.15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</row>
    <row r="199" spans="1:226" ht="13.5" customHeight="1" x14ac:dyDescent="0.15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</row>
    <row r="200" spans="1:226" ht="13.5" customHeight="1" x14ac:dyDescent="0.15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</row>
    <row r="201" spans="1:226" ht="13.5" customHeight="1" x14ac:dyDescent="0.15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</row>
    <row r="202" spans="1:226" ht="13.5" customHeight="1" x14ac:dyDescent="0.15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</row>
    <row r="203" spans="1:226" ht="13.5" customHeight="1" x14ac:dyDescent="0.15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</row>
    <row r="204" spans="1:226" ht="13.5" customHeight="1" x14ac:dyDescent="0.15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</row>
    <row r="205" spans="1:226" ht="13.5" customHeight="1" x14ac:dyDescent="0.1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</row>
    <row r="206" spans="1:226" ht="13.5" customHeight="1" x14ac:dyDescent="0.15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</row>
    <row r="207" spans="1:226" ht="13.5" customHeight="1" x14ac:dyDescent="0.15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</row>
    <row r="208" spans="1:226" ht="13.5" customHeight="1" x14ac:dyDescent="0.15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</row>
    <row r="209" spans="1:226" ht="13.5" customHeight="1" x14ac:dyDescent="0.15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</row>
    <row r="210" spans="1:226" ht="13.5" customHeight="1" x14ac:dyDescent="0.15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</row>
    <row r="211" spans="1:226" ht="13.5" customHeight="1" x14ac:dyDescent="0.15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</row>
    <row r="212" spans="1:226" ht="13.5" customHeight="1" x14ac:dyDescent="0.15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</row>
    <row r="213" spans="1:226" ht="13.5" customHeight="1" x14ac:dyDescent="0.15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</row>
    <row r="214" spans="1:226" ht="13.5" customHeight="1" x14ac:dyDescent="0.15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</row>
    <row r="215" spans="1:226" ht="13.5" customHeight="1" x14ac:dyDescent="0.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</row>
    <row r="216" spans="1:226" ht="13.5" customHeight="1" x14ac:dyDescent="0.15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</row>
    <row r="217" spans="1:226" ht="13.5" customHeight="1" x14ac:dyDescent="0.15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</row>
    <row r="218" spans="1:226" ht="13.5" customHeight="1" x14ac:dyDescent="0.15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</row>
    <row r="219" spans="1:226" ht="13.5" customHeight="1" x14ac:dyDescent="0.15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</row>
    <row r="220" spans="1:226" ht="13.5" customHeight="1" x14ac:dyDescent="0.15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</row>
    <row r="221" spans="1:226" ht="13.5" customHeight="1" x14ac:dyDescent="0.15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</row>
    <row r="222" spans="1:226" ht="13.5" customHeight="1" x14ac:dyDescent="0.15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</row>
    <row r="223" spans="1:226" ht="13.5" customHeight="1" x14ac:dyDescent="0.15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</row>
    <row r="224" spans="1:226" ht="13.5" customHeight="1" x14ac:dyDescent="0.15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</row>
    <row r="225" spans="1:226" ht="13.5" customHeight="1" x14ac:dyDescent="0.1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</row>
    <row r="226" spans="1:226" ht="13.5" customHeight="1" x14ac:dyDescent="0.15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</row>
    <row r="227" spans="1:226" ht="13.5" customHeight="1" x14ac:dyDescent="0.15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</row>
    <row r="228" spans="1:226" ht="13.5" customHeight="1" x14ac:dyDescent="0.15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</row>
    <row r="229" spans="1:226" ht="13.5" customHeight="1" x14ac:dyDescent="0.15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</row>
    <row r="230" spans="1:226" ht="13.5" customHeight="1" x14ac:dyDescent="0.15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</row>
    <row r="231" spans="1:226" ht="13.5" customHeight="1" x14ac:dyDescent="0.15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</row>
    <row r="232" spans="1:226" ht="13.5" customHeight="1" x14ac:dyDescent="0.15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</row>
    <row r="233" spans="1:226" ht="13.5" customHeight="1" x14ac:dyDescent="0.15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</row>
    <row r="234" spans="1:226" ht="13.5" customHeight="1" x14ac:dyDescent="0.15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</row>
    <row r="235" spans="1:226" ht="13.5" customHeight="1" x14ac:dyDescent="0.1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</row>
    <row r="236" spans="1:226" ht="13.5" customHeight="1" x14ac:dyDescent="0.15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</row>
    <row r="237" spans="1:226" ht="13.5" customHeight="1" x14ac:dyDescent="0.15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</row>
    <row r="238" spans="1:226" ht="13.5" customHeight="1" x14ac:dyDescent="0.15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</row>
    <row r="239" spans="1:226" ht="13.5" customHeight="1" x14ac:dyDescent="0.15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</row>
    <row r="240" spans="1:226" ht="13.5" customHeight="1" x14ac:dyDescent="0.15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</row>
    <row r="241" spans="1:226" ht="13.5" customHeight="1" x14ac:dyDescent="0.15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</row>
    <row r="242" spans="1:226" ht="13.5" customHeight="1" x14ac:dyDescent="0.15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</row>
    <row r="243" spans="1:226" ht="13.5" customHeight="1" x14ac:dyDescent="0.15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</row>
    <row r="244" spans="1:226" ht="13.5" customHeight="1" x14ac:dyDescent="0.15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</row>
    <row r="245" spans="1:226" ht="13.5" customHeight="1" x14ac:dyDescent="0.1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</row>
    <row r="246" spans="1:226" ht="13.5" customHeight="1" x14ac:dyDescent="0.15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</row>
    <row r="247" spans="1:226" ht="13.5" customHeight="1" x14ac:dyDescent="0.15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</row>
    <row r="248" spans="1:226" ht="13.5" customHeight="1" x14ac:dyDescent="0.15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</row>
    <row r="249" spans="1:226" ht="13.5" customHeight="1" x14ac:dyDescent="0.15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</row>
    <row r="250" spans="1:226" ht="13.5" customHeight="1" x14ac:dyDescent="0.15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</row>
    <row r="251" spans="1:226" ht="13.5" customHeight="1" x14ac:dyDescent="0.15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</row>
    <row r="252" spans="1:226" ht="13.5" customHeight="1" x14ac:dyDescent="0.15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</row>
    <row r="253" spans="1:226" ht="13.5" customHeight="1" x14ac:dyDescent="0.15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</row>
    <row r="254" spans="1:226" ht="13.5" customHeight="1" x14ac:dyDescent="0.15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</row>
    <row r="255" spans="1:226" ht="13.5" customHeight="1" x14ac:dyDescent="0.1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</row>
    <row r="256" spans="1:226" ht="13.5" customHeight="1" x14ac:dyDescent="0.15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</row>
    <row r="257" spans="1:226" ht="13.5" customHeight="1" x14ac:dyDescent="0.15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</row>
    <row r="258" spans="1:226" ht="13.5" customHeight="1" x14ac:dyDescent="0.15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</row>
    <row r="259" spans="1:226" ht="13.5" customHeight="1" x14ac:dyDescent="0.15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</row>
    <row r="260" spans="1:226" ht="13.5" customHeight="1" x14ac:dyDescent="0.15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</row>
    <row r="261" spans="1:226" ht="13.5" customHeight="1" x14ac:dyDescent="0.15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</row>
    <row r="262" spans="1:226" ht="13.5" customHeight="1" x14ac:dyDescent="0.15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</row>
    <row r="263" spans="1:226" ht="13.5" customHeight="1" x14ac:dyDescent="0.15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</row>
    <row r="264" spans="1:226" ht="13.5" customHeight="1" x14ac:dyDescent="0.15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</row>
    <row r="265" spans="1:226" ht="13.5" customHeight="1" x14ac:dyDescent="0.1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</row>
    <row r="266" spans="1:226" ht="13.5" customHeight="1" x14ac:dyDescent="0.15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</row>
    <row r="267" spans="1:226" ht="13.5" customHeight="1" x14ac:dyDescent="0.15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</row>
    <row r="268" spans="1:226" ht="13.5" customHeight="1" x14ac:dyDescent="0.15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</row>
    <row r="269" spans="1:226" ht="13.5" customHeight="1" x14ac:dyDescent="0.15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</row>
    <row r="270" spans="1:226" ht="13.5" customHeight="1" x14ac:dyDescent="0.15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</row>
    <row r="271" spans="1:226" ht="13.5" customHeight="1" x14ac:dyDescent="0.15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</row>
    <row r="272" spans="1:226" ht="13.5" customHeight="1" x14ac:dyDescent="0.15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</row>
    <row r="273" spans="1:226" ht="13.5" customHeight="1" x14ac:dyDescent="0.15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</row>
    <row r="274" spans="1:226" ht="13.5" customHeight="1" x14ac:dyDescent="0.15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</row>
    <row r="275" spans="1:226" ht="13.5" customHeight="1" x14ac:dyDescent="0.1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</row>
    <row r="276" spans="1:226" ht="13.5" customHeight="1" x14ac:dyDescent="0.15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</row>
    <row r="277" spans="1:226" ht="13.5" customHeight="1" x14ac:dyDescent="0.15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</row>
    <row r="278" spans="1:226" ht="13.5" customHeight="1" x14ac:dyDescent="0.15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</row>
    <row r="279" spans="1:226" ht="13.5" customHeight="1" x14ac:dyDescent="0.15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</row>
    <row r="280" spans="1:226" ht="13.5" customHeight="1" x14ac:dyDescent="0.15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</row>
    <row r="281" spans="1:226" ht="13.5" customHeight="1" x14ac:dyDescent="0.15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</row>
    <row r="282" spans="1:226" ht="13.5" customHeight="1" x14ac:dyDescent="0.15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</row>
    <row r="283" spans="1:226" ht="13.5" customHeight="1" x14ac:dyDescent="0.15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</row>
    <row r="284" spans="1:226" ht="13.5" customHeight="1" x14ac:dyDescent="0.15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</row>
    <row r="285" spans="1:226" ht="13.5" customHeight="1" x14ac:dyDescent="0.1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</row>
    <row r="286" spans="1:226" ht="13.5" customHeight="1" x14ac:dyDescent="0.15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</row>
    <row r="287" spans="1:226" ht="13.5" customHeight="1" x14ac:dyDescent="0.15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</row>
    <row r="288" spans="1:226" ht="13.5" customHeight="1" x14ac:dyDescent="0.15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</row>
    <row r="289" spans="1:226" ht="13.5" customHeight="1" x14ac:dyDescent="0.15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</row>
    <row r="290" spans="1:226" ht="13.5" customHeight="1" x14ac:dyDescent="0.15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</row>
    <row r="291" spans="1:226" ht="13.5" customHeight="1" x14ac:dyDescent="0.15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</row>
    <row r="292" spans="1:226" ht="13.5" customHeight="1" x14ac:dyDescent="0.15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</row>
    <row r="293" spans="1:226" ht="13.5" customHeight="1" x14ac:dyDescent="0.15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</row>
    <row r="294" spans="1:226" ht="13.5" customHeight="1" x14ac:dyDescent="0.15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</row>
    <row r="295" spans="1:226" ht="13.5" customHeight="1" x14ac:dyDescent="0.1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</row>
    <row r="296" spans="1:226" ht="13.5" customHeight="1" x14ac:dyDescent="0.15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</row>
    <row r="297" spans="1:226" ht="13.5" customHeight="1" x14ac:dyDescent="0.15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</row>
    <row r="298" spans="1:226" ht="13.5" customHeight="1" x14ac:dyDescent="0.15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</row>
    <row r="299" spans="1:226" ht="13.5" customHeight="1" x14ac:dyDescent="0.15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</row>
    <row r="300" spans="1:226" ht="13.5" customHeight="1" x14ac:dyDescent="0.15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</row>
    <row r="301" spans="1:226" ht="13.5" customHeight="1" x14ac:dyDescent="0.15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</row>
    <row r="302" spans="1:226" ht="13.5" customHeight="1" x14ac:dyDescent="0.15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</row>
    <row r="303" spans="1:226" ht="13.5" customHeight="1" x14ac:dyDescent="0.15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</row>
    <row r="304" spans="1:226" ht="13.5" customHeight="1" x14ac:dyDescent="0.15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</row>
    <row r="305" spans="1:226" ht="13.5" customHeight="1" x14ac:dyDescent="0.1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</row>
    <row r="306" spans="1:226" ht="13.5" customHeight="1" x14ac:dyDescent="0.15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</row>
    <row r="307" spans="1:226" ht="13.5" customHeight="1" x14ac:dyDescent="0.15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</row>
    <row r="308" spans="1:226" ht="13.5" customHeight="1" x14ac:dyDescent="0.15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</row>
    <row r="309" spans="1:226" ht="13.5" customHeight="1" x14ac:dyDescent="0.15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</row>
    <row r="310" spans="1:226" ht="13.5" customHeight="1" x14ac:dyDescent="0.15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</row>
    <row r="311" spans="1:226" ht="13.5" customHeight="1" x14ac:dyDescent="0.15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</row>
    <row r="312" spans="1:226" ht="13.5" customHeight="1" x14ac:dyDescent="0.15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</row>
    <row r="313" spans="1:226" ht="13.5" customHeight="1" x14ac:dyDescent="0.15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</row>
    <row r="314" spans="1:226" ht="13.5" customHeight="1" x14ac:dyDescent="0.15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</row>
    <row r="315" spans="1:226" ht="13.5" customHeight="1" x14ac:dyDescent="0.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</row>
    <row r="316" spans="1:226" ht="13.5" customHeight="1" x14ac:dyDescent="0.15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</row>
    <row r="317" spans="1:226" ht="13.5" customHeight="1" x14ac:dyDescent="0.15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</row>
    <row r="318" spans="1:226" ht="13.5" customHeight="1" x14ac:dyDescent="0.15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</row>
    <row r="319" spans="1:226" ht="13.5" customHeight="1" x14ac:dyDescent="0.15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</row>
    <row r="320" spans="1:226" ht="13.5" customHeight="1" x14ac:dyDescent="0.15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</row>
    <row r="321" spans="1:226" ht="13.5" customHeight="1" x14ac:dyDescent="0.15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</row>
    <row r="322" spans="1:226" ht="13.5" customHeight="1" x14ac:dyDescent="0.15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</row>
    <row r="323" spans="1:226" ht="13.5" customHeight="1" x14ac:dyDescent="0.15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</row>
    <row r="324" spans="1:226" ht="13.5" customHeight="1" x14ac:dyDescent="0.15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</row>
    <row r="325" spans="1:226" ht="13.5" customHeight="1" x14ac:dyDescent="0.1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</row>
    <row r="326" spans="1:226" ht="13.5" customHeight="1" x14ac:dyDescent="0.15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</row>
    <row r="327" spans="1:226" ht="13.5" customHeight="1" x14ac:dyDescent="0.15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</row>
    <row r="328" spans="1:226" ht="13.5" customHeight="1" x14ac:dyDescent="0.15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</row>
    <row r="329" spans="1:226" ht="13.5" customHeight="1" x14ac:dyDescent="0.15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</row>
    <row r="330" spans="1:226" ht="13.5" customHeight="1" x14ac:dyDescent="0.15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</row>
    <row r="331" spans="1:226" ht="13.5" customHeight="1" x14ac:dyDescent="0.15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</row>
    <row r="332" spans="1:226" ht="13.5" customHeight="1" x14ac:dyDescent="0.15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</row>
    <row r="333" spans="1:226" ht="13.5" customHeight="1" x14ac:dyDescent="0.15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</row>
    <row r="334" spans="1:226" ht="13.5" customHeight="1" x14ac:dyDescent="0.15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</row>
    <row r="335" spans="1:226" ht="13.5" customHeight="1" x14ac:dyDescent="0.1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</row>
    <row r="336" spans="1:226" ht="13.5" customHeight="1" x14ac:dyDescent="0.15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</row>
    <row r="337" spans="1:226" ht="13.5" customHeight="1" x14ac:dyDescent="0.15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</row>
    <row r="338" spans="1:226" ht="13.5" customHeight="1" x14ac:dyDescent="0.15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</row>
    <row r="339" spans="1:226" ht="13.5" customHeight="1" x14ac:dyDescent="0.15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</row>
    <row r="340" spans="1:226" ht="13.5" customHeight="1" x14ac:dyDescent="0.15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</row>
    <row r="341" spans="1:226" ht="13.5" customHeight="1" x14ac:dyDescent="0.15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</row>
    <row r="342" spans="1:226" ht="13.5" customHeight="1" x14ac:dyDescent="0.15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</row>
    <row r="343" spans="1:226" ht="13.5" customHeight="1" x14ac:dyDescent="0.15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</row>
    <row r="344" spans="1:226" ht="13.5" customHeight="1" x14ac:dyDescent="0.15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</row>
    <row r="345" spans="1:226" ht="13.5" customHeight="1" x14ac:dyDescent="0.1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</row>
    <row r="346" spans="1:226" ht="13.5" customHeight="1" x14ac:dyDescent="0.15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</row>
    <row r="347" spans="1:226" ht="13.5" customHeight="1" x14ac:dyDescent="0.15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</row>
    <row r="348" spans="1:226" ht="13.5" customHeight="1" x14ac:dyDescent="0.15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</row>
    <row r="349" spans="1:226" ht="13.5" customHeight="1" x14ac:dyDescent="0.15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</row>
    <row r="350" spans="1:226" ht="13.5" customHeight="1" x14ac:dyDescent="0.15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</row>
    <row r="351" spans="1:226" ht="13.5" customHeight="1" x14ac:dyDescent="0.15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</row>
    <row r="352" spans="1:226" ht="13.5" customHeight="1" x14ac:dyDescent="0.15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</row>
    <row r="353" spans="1:226" ht="13.5" customHeight="1" x14ac:dyDescent="0.15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</row>
    <row r="354" spans="1:226" ht="13.5" customHeight="1" x14ac:dyDescent="0.15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</row>
    <row r="355" spans="1:226" ht="13.5" customHeight="1" x14ac:dyDescent="0.1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</row>
    <row r="356" spans="1:226" ht="13.5" customHeight="1" x14ac:dyDescent="0.15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</row>
    <row r="357" spans="1:226" ht="13.5" customHeight="1" x14ac:dyDescent="0.15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</row>
    <row r="358" spans="1:226" ht="13.5" customHeight="1" x14ac:dyDescent="0.15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</row>
    <row r="359" spans="1:226" ht="13.5" customHeight="1" x14ac:dyDescent="0.15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</row>
    <row r="360" spans="1:226" ht="13.5" customHeight="1" x14ac:dyDescent="0.15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</row>
    <row r="361" spans="1:226" ht="13.5" customHeight="1" x14ac:dyDescent="0.15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</row>
    <row r="362" spans="1:226" ht="13.5" customHeight="1" x14ac:dyDescent="0.15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</row>
    <row r="363" spans="1:226" ht="13.5" customHeight="1" x14ac:dyDescent="0.15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</row>
    <row r="364" spans="1:226" ht="13.5" customHeight="1" x14ac:dyDescent="0.15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</row>
    <row r="365" spans="1:226" ht="13.5" customHeight="1" x14ac:dyDescent="0.1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</row>
    <row r="366" spans="1:226" ht="13.5" customHeight="1" x14ac:dyDescent="0.15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</row>
    <row r="367" spans="1:226" ht="13.5" customHeight="1" x14ac:dyDescent="0.15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</row>
    <row r="368" spans="1:226" ht="13.5" customHeight="1" x14ac:dyDescent="0.15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</row>
    <row r="369" spans="1:226" ht="13.5" customHeight="1" x14ac:dyDescent="0.15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</row>
    <row r="370" spans="1:226" ht="13.5" customHeight="1" x14ac:dyDescent="0.15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</row>
    <row r="371" spans="1:226" ht="13.5" customHeight="1" x14ac:dyDescent="0.15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</row>
    <row r="372" spans="1:226" ht="13.5" customHeight="1" x14ac:dyDescent="0.15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</row>
    <row r="373" spans="1:226" ht="13.5" customHeight="1" x14ac:dyDescent="0.15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</row>
    <row r="374" spans="1:226" ht="13.5" customHeight="1" x14ac:dyDescent="0.15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</row>
    <row r="375" spans="1:226" ht="13.5" customHeight="1" x14ac:dyDescent="0.1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</row>
    <row r="376" spans="1:226" ht="13.5" customHeight="1" x14ac:dyDescent="0.15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</row>
    <row r="377" spans="1:226" ht="13.5" customHeight="1" x14ac:dyDescent="0.15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</row>
    <row r="378" spans="1:226" ht="13.5" customHeight="1" x14ac:dyDescent="0.15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</row>
    <row r="379" spans="1:226" ht="13.5" customHeight="1" x14ac:dyDescent="0.15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</row>
    <row r="380" spans="1:226" ht="13.5" customHeight="1" x14ac:dyDescent="0.15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</row>
    <row r="381" spans="1:226" ht="13.5" customHeight="1" x14ac:dyDescent="0.15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</row>
    <row r="382" spans="1:226" ht="13.5" customHeight="1" x14ac:dyDescent="0.15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</row>
    <row r="383" spans="1:226" ht="13.5" customHeight="1" x14ac:dyDescent="0.15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</row>
    <row r="384" spans="1:226" ht="13.5" customHeight="1" x14ac:dyDescent="0.15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</row>
    <row r="385" spans="1:226" ht="13.5" customHeight="1" x14ac:dyDescent="0.1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</row>
    <row r="386" spans="1:226" ht="13.5" customHeight="1" x14ac:dyDescent="0.15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</row>
    <row r="387" spans="1:226" ht="13.5" customHeight="1" x14ac:dyDescent="0.15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</row>
    <row r="388" spans="1:226" ht="13.5" customHeight="1" x14ac:dyDescent="0.15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</row>
    <row r="389" spans="1:226" ht="13.5" customHeight="1" x14ac:dyDescent="0.15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</row>
    <row r="390" spans="1:226" ht="13.5" customHeight="1" x14ac:dyDescent="0.15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</row>
    <row r="391" spans="1:226" ht="13.5" customHeight="1" x14ac:dyDescent="0.15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</row>
    <row r="392" spans="1:226" ht="13.5" customHeight="1" x14ac:dyDescent="0.15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</row>
    <row r="393" spans="1:226" ht="13.5" customHeight="1" x14ac:dyDescent="0.15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</row>
    <row r="394" spans="1:226" ht="13.5" customHeight="1" x14ac:dyDescent="0.15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</row>
    <row r="395" spans="1:226" ht="13.5" customHeight="1" x14ac:dyDescent="0.1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</row>
    <row r="396" spans="1:226" ht="13.5" customHeight="1" x14ac:dyDescent="0.15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</row>
    <row r="397" spans="1:226" ht="13.5" customHeight="1" x14ac:dyDescent="0.15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</row>
    <row r="398" spans="1:226" ht="13.5" customHeight="1" x14ac:dyDescent="0.15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</row>
    <row r="399" spans="1:226" ht="13.5" customHeight="1" x14ac:dyDescent="0.15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</row>
    <row r="400" spans="1:226" ht="13.5" customHeight="1" x14ac:dyDescent="0.15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</row>
    <row r="401" spans="1:226" ht="13.5" customHeight="1" x14ac:dyDescent="0.15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</row>
    <row r="402" spans="1:226" ht="13.5" customHeight="1" x14ac:dyDescent="0.15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</row>
    <row r="403" spans="1:226" ht="13.5" customHeight="1" x14ac:dyDescent="0.15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</row>
    <row r="404" spans="1:226" ht="13.5" customHeight="1" x14ac:dyDescent="0.15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</row>
    <row r="405" spans="1:226" ht="13.5" customHeight="1" x14ac:dyDescent="0.1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</row>
    <row r="406" spans="1:226" ht="13.5" customHeight="1" x14ac:dyDescent="0.15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</row>
    <row r="407" spans="1:226" ht="13.5" customHeight="1" x14ac:dyDescent="0.15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</row>
    <row r="408" spans="1:226" ht="13.5" customHeight="1" x14ac:dyDescent="0.15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</row>
    <row r="409" spans="1:226" ht="13.5" customHeight="1" x14ac:dyDescent="0.15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</row>
    <row r="410" spans="1:226" ht="13.5" customHeight="1" x14ac:dyDescent="0.15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</row>
    <row r="411" spans="1:226" ht="13.5" customHeight="1" x14ac:dyDescent="0.15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</row>
    <row r="412" spans="1:226" ht="13.5" customHeight="1" x14ac:dyDescent="0.15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</row>
    <row r="413" spans="1:226" ht="13.5" customHeight="1" x14ac:dyDescent="0.15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</row>
    <row r="414" spans="1:226" ht="13.5" customHeight="1" x14ac:dyDescent="0.15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</row>
    <row r="415" spans="1:226" ht="13.5" customHeight="1" x14ac:dyDescent="0.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</row>
    <row r="416" spans="1:226" ht="13.5" customHeight="1" x14ac:dyDescent="0.15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</row>
    <row r="417" spans="1:226" ht="13.5" customHeight="1" x14ac:dyDescent="0.15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</row>
    <row r="418" spans="1:226" ht="13.5" customHeight="1" x14ac:dyDescent="0.15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</row>
    <row r="419" spans="1:226" ht="13.5" customHeight="1" x14ac:dyDescent="0.15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</row>
    <row r="420" spans="1:226" ht="13.5" customHeight="1" x14ac:dyDescent="0.15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</row>
    <row r="421" spans="1:226" ht="13.5" customHeight="1" x14ac:dyDescent="0.15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</row>
    <row r="422" spans="1:226" ht="13.5" customHeight="1" x14ac:dyDescent="0.15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</row>
    <row r="423" spans="1:226" ht="13.5" customHeight="1" x14ac:dyDescent="0.15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</row>
    <row r="424" spans="1:226" ht="13.5" customHeight="1" x14ac:dyDescent="0.15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</row>
    <row r="425" spans="1:226" ht="13.5" customHeight="1" x14ac:dyDescent="0.1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</row>
    <row r="426" spans="1:226" ht="13.5" customHeight="1" x14ac:dyDescent="0.15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</row>
    <row r="427" spans="1:226" ht="13.5" customHeight="1" x14ac:dyDescent="0.15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</row>
    <row r="428" spans="1:226" ht="13.5" customHeight="1" x14ac:dyDescent="0.15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</row>
    <row r="429" spans="1:226" ht="13.5" customHeight="1" x14ac:dyDescent="0.15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</row>
    <row r="430" spans="1:226" ht="13.5" customHeight="1" x14ac:dyDescent="0.15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</row>
    <row r="431" spans="1:226" ht="13.5" customHeight="1" x14ac:dyDescent="0.15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</row>
    <row r="432" spans="1:226" ht="13.5" customHeight="1" x14ac:dyDescent="0.15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</row>
    <row r="433" spans="1:226" ht="13.5" customHeight="1" x14ac:dyDescent="0.15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</row>
    <row r="434" spans="1:226" ht="13.5" customHeight="1" x14ac:dyDescent="0.15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</row>
    <row r="435" spans="1:226" ht="13.5" customHeight="1" x14ac:dyDescent="0.1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</row>
    <row r="436" spans="1:226" ht="13.5" customHeight="1" x14ac:dyDescent="0.15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</row>
    <row r="437" spans="1:226" ht="13.5" customHeight="1" x14ac:dyDescent="0.15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</row>
    <row r="438" spans="1:226" ht="13.5" customHeight="1" x14ac:dyDescent="0.15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</row>
    <row r="439" spans="1:226" ht="13.5" customHeight="1" x14ac:dyDescent="0.15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</row>
    <row r="440" spans="1:226" ht="13.5" customHeight="1" x14ac:dyDescent="0.15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</row>
    <row r="441" spans="1:226" ht="13.5" customHeight="1" x14ac:dyDescent="0.15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</row>
    <row r="442" spans="1:226" ht="13.5" customHeight="1" x14ac:dyDescent="0.15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</row>
    <row r="443" spans="1:226" ht="13.5" customHeight="1" x14ac:dyDescent="0.15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</row>
    <row r="444" spans="1:226" ht="13.5" customHeight="1" x14ac:dyDescent="0.15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</row>
    <row r="445" spans="1:226" ht="13.5" customHeight="1" x14ac:dyDescent="0.1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</row>
    <row r="446" spans="1:226" ht="13.5" customHeight="1" x14ac:dyDescent="0.15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</row>
    <row r="447" spans="1:226" ht="13.5" customHeight="1" x14ac:dyDescent="0.15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</row>
    <row r="448" spans="1:226" ht="13.5" customHeight="1" x14ac:dyDescent="0.15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</row>
    <row r="449" spans="1:226" ht="13.5" customHeight="1" x14ac:dyDescent="0.15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</row>
    <row r="450" spans="1:226" ht="13.5" customHeight="1" x14ac:dyDescent="0.15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</row>
    <row r="451" spans="1:226" ht="13.5" customHeight="1" x14ac:dyDescent="0.15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</row>
    <row r="452" spans="1:226" ht="13.5" customHeight="1" x14ac:dyDescent="0.15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</row>
    <row r="453" spans="1:226" ht="13.5" customHeight="1" x14ac:dyDescent="0.15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</row>
    <row r="454" spans="1:226" ht="13.5" customHeight="1" x14ac:dyDescent="0.15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</row>
    <row r="455" spans="1:226" ht="13.5" customHeight="1" x14ac:dyDescent="0.1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</row>
    <row r="456" spans="1:226" ht="13.5" customHeight="1" x14ac:dyDescent="0.15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</row>
    <row r="457" spans="1:226" ht="13.5" customHeight="1" x14ac:dyDescent="0.15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</row>
    <row r="458" spans="1:226" ht="13.5" customHeight="1" x14ac:dyDescent="0.15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</row>
    <row r="459" spans="1:226" ht="13.5" customHeight="1" x14ac:dyDescent="0.15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</row>
    <row r="460" spans="1:226" ht="13.5" customHeight="1" x14ac:dyDescent="0.15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</row>
    <row r="461" spans="1:226" ht="13.5" customHeight="1" x14ac:dyDescent="0.15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</row>
    <row r="462" spans="1:226" ht="13.5" customHeight="1" x14ac:dyDescent="0.15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</row>
    <row r="463" spans="1:226" ht="13.5" customHeight="1" x14ac:dyDescent="0.15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</row>
    <row r="464" spans="1:226" ht="13.5" customHeight="1" x14ac:dyDescent="0.15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</row>
    <row r="465" spans="1:226" ht="13.5" customHeight="1" x14ac:dyDescent="0.1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</row>
    <row r="466" spans="1:226" ht="13.5" customHeight="1" x14ac:dyDescent="0.15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</row>
    <row r="467" spans="1:226" ht="13.5" customHeight="1" x14ac:dyDescent="0.15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</row>
    <row r="468" spans="1:226" ht="13.5" customHeight="1" x14ac:dyDescent="0.15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</row>
    <row r="469" spans="1:226" ht="13.5" customHeight="1" x14ac:dyDescent="0.15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</row>
    <row r="470" spans="1:226" ht="13.5" customHeight="1" x14ac:dyDescent="0.15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</row>
    <row r="471" spans="1:226" ht="13.5" customHeight="1" x14ac:dyDescent="0.15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</row>
    <row r="472" spans="1:226" ht="13.5" customHeight="1" x14ac:dyDescent="0.15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</row>
    <row r="473" spans="1:226" ht="13.5" customHeight="1" x14ac:dyDescent="0.15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</row>
    <row r="474" spans="1:226" ht="13.5" customHeight="1" x14ac:dyDescent="0.15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</row>
    <row r="475" spans="1:226" ht="13.5" customHeight="1" x14ac:dyDescent="0.1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</row>
    <row r="476" spans="1:226" ht="13.5" customHeight="1" x14ac:dyDescent="0.15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</row>
    <row r="477" spans="1:226" ht="13.5" customHeight="1" x14ac:dyDescent="0.15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</row>
    <row r="478" spans="1:226" ht="13.5" customHeight="1" x14ac:dyDescent="0.15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</row>
    <row r="479" spans="1:226" ht="13.5" customHeight="1" x14ac:dyDescent="0.15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</row>
    <row r="480" spans="1:226" ht="13.5" customHeight="1" x14ac:dyDescent="0.15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</row>
    <row r="481" spans="1:226" ht="13.5" customHeight="1" x14ac:dyDescent="0.15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</row>
    <row r="482" spans="1:226" ht="13.5" customHeight="1" x14ac:dyDescent="0.15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</row>
    <row r="483" spans="1:226" ht="13.5" customHeight="1" x14ac:dyDescent="0.15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</row>
    <row r="484" spans="1:226" ht="13.5" customHeight="1" x14ac:dyDescent="0.15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</row>
    <row r="485" spans="1:226" ht="13.5" customHeight="1" x14ac:dyDescent="0.1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</row>
    <row r="486" spans="1:226" ht="13.5" customHeight="1" x14ac:dyDescent="0.15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</row>
    <row r="487" spans="1:226" ht="13.5" customHeight="1" x14ac:dyDescent="0.15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</row>
    <row r="488" spans="1:226" ht="13.5" customHeight="1" x14ac:dyDescent="0.15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</row>
    <row r="489" spans="1:226" ht="13.5" customHeight="1" x14ac:dyDescent="0.15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</row>
    <row r="490" spans="1:226" ht="13.5" customHeight="1" x14ac:dyDescent="0.15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</row>
    <row r="491" spans="1:226" ht="13.5" customHeight="1" x14ac:dyDescent="0.15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</row>
    <row r="492" spans="1:226" ht="13.5" customHeight="1" x14ac:dyDescent="0.15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</row>
    <row r="493" spans="1:226" ht="13.5" customHeight="1" x14ac:dyDescent="0.15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</row>
    <row r="494" spans="1:226" ht="13.5" customHeight="1" x14ac:dyDescent="0.15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</row>
    <row r="495" spans="1:226" ht="13.5" customHeight="1" x14ac:dyDescent="0.1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</row>
    <row r="496" spans="1:226" ht="13.5" customHeight="1" x14ac:dyDescent="0.15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</row>
    <row r="497" spans="1:226" ht="13.5" customHeight="1" x14ac:dyDescent="0.15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</row>
    <row r="498" spans="1:226" ht="13.5" customHeight="1" x14ac:dyDescent="0.15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</row>
    <row r="499" spans="1:226" ht="13.5" customHeight="1" x14ac:dyDescent="0.15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</row>
    <row r="500" spans="1:226" ht="13.5" customHeight="1" x14ac:dyDescent="0.15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</row>
    <row r="501" spans="1:226" ht="13.5" customHeight="1" x14ac:dyDescent="0.15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</row>
    <row r="502" spans="1:226" ht="13.5" customHeight="1" x14ac:dyDescent="0.15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</row>
    <row r="503" spans="1:226" ht="13.5" customHeight="1" x14ac:dyDescent="0.15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</row>
    <row r="504" spans="1:226" ht="13.5" customHeight="1" x14ac:dyDescent="0.15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</row>
    <row r="505" spans="1:226" ht="13.5" customHeight="1" x14ac:dyDescent="0.1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</row>
    <row r="506" spans="1:226" ht="13.5" customHeight="1" x14ac:dyDescent="0.15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</row>
    <row r="507" spans="1:226" ht="13.5" customHeight="1" x14ac:dyDescent="0.15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</row>
    <row r="508" spans="1:226" ht="13.5" customHeight="1" x14ac:dyDescent="0.15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</row>
    <row r="509" spans="1:226" ht="13.5" customHeight="1" x14ac:dyDescent="0.15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</row>
    <row r="510" spans="1:226" ht="13.5" customHeight="1" x14ac:dyDescent="0.15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</row>
    <row r="511" spans="1:226" ht="13.5" customHeight="1" x14ac:dyDescent="0.15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</row>
    <row r="512" spans="1:226" ht="13.5" customHeight="1" x14ac:dyDescent="0.15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</row>
    <row r="513" spans="1:226" ht="13.5" customHeight="1" x14ac:dyDescent="0.15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</row>
    <row r="514" spans="1:226" ht="13.5" customHeight="1" x14ac:dyDescent="0.15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</row>
    <row r="515" spans="1:226" ht="13.5" customHeight="1" x14ac:dyDescent="0.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</row>
    <row r="516" spans="1:226" ht="13.5" customHeight="1" x14ac:dyDescent="0.15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</row>
    <row r="517" spans="1:226" ht="13.5" customHeight="1" x14ac:dyDescent="0.15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</row>
    <row r="518" spans="1:226" ht="13.5" customHeight="1" x14ac:dyDescent="0.15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</row>
    <row r="519" spans="1:226" ht="13.5" customHeight="1" x14ac:dyDescent="0.15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</row>
    <row r="520" spans="1:226" ht="13.5" customHeight="1" x14ac:dyDescent="0.15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</row>
    <row r="521" spans="1:226" ht="13.5" customHeight="1" x14ac:dyDescent="0.15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</row>
    <row r="522" spans="1:226" ht="13.5" customHeight="1" x14ac:dyDescent="0.15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</row>
    <row r="523" spans="1:226" ht="13.5" customHeight="1" x14ac:dyDescent="0.15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</row>
    <row r="524" spans="1:226" ht="13.5" customHeight="1" x14ac:dyDescent="0.15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</row>
    <row r="525" spans="1:226" ht="13.5" customHeight="1" x14ac:dyDescent="0.1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</row>
    <row r="526" spans="1:226" ht="13.5" customHeight="1" x14ac:dyDescent="0.15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</row>
    <row r="527" spans="1:226" ht="13.5" customHeight="1" x14ac:dyDescent="0.15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</row>
    <row r="528" spans="1:226" ht="13.5" customHeight="1" x14ac:dyDescent="0.15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</row>
    <row r="529" spans="1:226" ht="13.5" customHeight="1" x14ac:dyDescent="0.15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</row>
    <row r="530" spans="1:226" ht="13.5" customHeight="1" x14ac:dyDescent="0.15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</row>
    <row r="531" spans="1:226" ht="13.5" customHeight="1" x14ac:dyDescent="0.15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</row>
    <row r="532" spans="1:226" ht="13.5" customHeight="1" x14ac:dyDescent="0.15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</row>
    <row r="533" spans="1:226" ht="13.5" customHeight="1" x14ac:dyDescent="0.15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</row>
    <row r="534" spans="1:226" ht="13.5" customHeight="1" x14ac:dyDescent="0.15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</row>
    <row r="535" spans="1:226" ht="13.5" customHeight="1" x14ac:dyDescent="0.1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</row>
    <row r="536" spans="1:226" ht="13.5" customHeight="1" x14ac:dyDescent="0.15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</row>
    <row r="537" spans="1:226" ht="13.5" customHeight="1" x14ac:dyDescent="0.15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</row>
    <row r="538" spans="1:226" ht="13.5" customHeight="1" x14ac:dyDescent="0.15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</row>
    <row r="539" spans="1:226" ht="13.5" customHeight="1" x14ac:dyDescent="0.15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</row>
    <row r="540" spans="1:226" ht="13.5" customHeight="1" x14ac:dyDescent="0.15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</row>
    <row r="541" spans="1:226" ht="13.5" customHeight="1" x14ac:dyDescent="0.15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</row>
    <row r="542" spans="1:226" ht="13.5" customHeight="1" x14ac:dyDescent="0.15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</row>
    <row r="543" spans="1:226" ht="13.5" customHeight="1" x14ac:dyDescent="0.15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</row>
    <row r="544" spans="1:226" ht="13.5" customHeight="1" x14ac:dyDescent="0.15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</row>
    <row r="545" spans="1:226" ht="13.5" customHeight="1" x14ac:dyDescent="0.1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</row>
    <row r="546" spans="1:226" ht="13.5" customHeight="1" x14ac:dyDescent="0.15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</row>
    <row r="547" spans="1:226" ht="13.5" customHeight="1" x14ac:dyDescent="0.15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</row>
    <row r="548" spans="1:226" ht="13.5" customHeight="1" x14ac:dyDescent="0.15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</row>
    <row r="549" spans="1:226" ht="13.5" customHeight="1" x14ac:dyDescent="0.15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</row>
    <row r="550" spans="1:226" ht="13.5" customHeight="1" x14ac:dyDescent="0.15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</row>
    <row r="551" spans="1:226" ht="13.5" customHeight="1" x14ac:dyDescent="0.15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</row>
    <row r="552" spans="1:226" ht="13.5" customHeight="1" x14ac:dyDescent="0.15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</row>
    <row r="553" spans="1:226" ht="13.5" customHeight="1" x14ac:dyDescent="0.15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</row>
    <row r="554" spans="1:226" ht="13.5" customHeight="1" x14ac:dyDescent="0.15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</row>
    <row r="555" spans="1:226" ht="13.5" customHeight="1" x14ac:dyDescent="0.1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</row>
    <row r="556" spans="1:226" ht="13.5" customHeight="1" x14ac:dyDescent="0.15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</row>
    <row r="557" spans="1:226" ht="13.5" customHeight="1" x14ac:dyDescent="0.15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</row>
    <row r="558" spans="1:226" ht="13.5" customHeight="1" x14ac:dyDescent="0.15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</row>
    <row r="559" spans="1:226" ht="13.5" customHeight="1" x14ac:dyDescent="0.15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</row>
    <row r="560" spans="1:226" ht="13.5" customHeight="1" x14ac:dyDescent="0.15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</row>
    <row r="561" spans="1:226" ht="13.5" customHeight="1" x14ac:dyDescent="0.15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</row>
    <row r="562" spans="1:226" ht="13.5" customHeight="1" x14ac:dyDescent="0.15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</row>
    <row r="563" spans="1:226" ht="13.5" customHeight="1" x14ac:dyDescent="0.15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</row>
    <row r="564" spans="1:226" ht="13.5" customHeight="1" x14ac:dyDescent="0.15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</row>
    <row r="565" spans="1:226" ht="13.5" customHeight="1" x14ac:dyDescent="0.1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</row>
    <row r="566" spans="1:226" ht="13.5" customHeight="1" x14ac:dyDescent="0.15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</row>
    <row r="567" spans="1:226" ht="13.5" customHeight="1" x14ac:dyDescent="0.15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</row>
    <row r="568" spans="1:226" ht="13.5" customHeight="1" x14ac:dyDescent="0.15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</row>
    <row r="569" spans="1:226" ht="13.5" customHeight="1" x14ac:dyDescent="0.15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</row>
    <row r="570" spans="1:226" ht="13.5" customHeight="1" x14ac:dyDescent="0.15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</row>
    <row r="571" spans="1:226" ht="13.5" customHeight="1" x14ac:dyDescent="0.15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</row>
    <row r="572" spans="1:226" ht="13.5" customHeight="1" x14ac:dyDescent="0.15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</row>
    <row r="573" spans="1:226" ht="13.5" customHeight="1" x14ac:dyDescent="0.15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</row>
    <row r="574" spans="1:226" ht="13.5" customHeight="1" x14ac:dyDescent="0.15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</row>
    <row r="575" spans="1:226" ht="13.5" customHeight="1" x14ac:dyDescent="0.1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</row>
    <row r="576" spans="1:226" ht="13.5" customHeight="1" x14ac:dyDescent="0.15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</row>
    <row r="577" spans="1:226" ht="13.5" customHeight="1" x14ac:dyDescent="0.15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</row>
    <row r="578" spans="1:226" ht="13.5" customHeight="1" x14ac:dyDescent="0.15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</row>
    <row r="579" spans="1:226" ht="13.5" customHeight="1" x14ac:dyDescent="0.15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</row>
    <row r="580" spans="1:226" ht="13.5" customHeight="1" x14ac:dyDescent="0.15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</row>
    <row r="581" spans="1:226" ht="13.5" customHeight="1" x14ac:dyDescent="0.15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</row>
    <row r="582" spans="1:226" ht="13.5" customHeight="1" x14ac:dyDescent="0.15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</row>
    <row r="583" spans="1:226" ht="13.5" customHeight="1" x14ac:dyDescent="0.15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</row>
    <row r="584" spans="1:226" ht="13.5" customHeight="1" x14ac:dyDescent="0.15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</row>
    <row r="585" spans="1:226" ht="13.5" customHeight="1" x14ac:dyDescent="0.1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</row>
    <row r="586" spans="1:226" ht="13.5" customHeight="1" x14ac:dyDescent="0.15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</row>
    <row r="587" spans="1:226" ht="13.5" customHeight="1" x14ac:dyDescent="0.15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</row>
    <row r="588" spans="1:226" ht="13.5" customHeight="1" x14ac:dyDescent="0.15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</row>
    <row r="589" spans="1:226" ht="13.5" customHeight="1" x14ac:dyDescent="0.15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</row>
    <row r="590" spans="1:226" ht="13.5" customHeight="1" x14ac:dyDescent="0.15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</row>
    <row r="591" spans="1:226" ht="13.5" customHeight="1" x14ac:dyDescent="0.15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</row>
    <row r="592" spans="1:226" ht="13.5" customHeight="1" x14ac:dyDescent="0.15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</row>
    <row r="593" spans="1:226" ht="13.5" customHeight="1" x14ac:dyDescent="0.15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</row>
    <row r="594" spans="1:226" ht="13.5" customHeight="1" x14ac:dyDescent="0.15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</row>
    <row r="595" spans="1:226" ht="13.5" customHeight="1" x14ac:dyDescent="0.1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</row>
    <row r="596" spans="1:226" ht="13.5" customHeight="1" x14ac:dyDescent="0.15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</row>
    <row r="597" spans="1:226" ht="13.5" customHeight="1" x14ac:dyDescent="0.15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</row>
    <row r="598" spans="1:226" ht="13.5" customHeight="1" x14ac:dyDescent="0.15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</row>
    <row r="599" spans="1:226" ht="13.5" customHeight="1" x14ac:dyDescent="0.15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</row>
    <row r="600" spans="1:226" ht="13.5" customHeight="1" x14ac:dyDescent="0.15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</row>
    <row r="601" spans="1:226" ht="13.5" customHeight="1" x14ac:dyDescent="0.15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</row>
    <row r="602" spans="1:226" ht="13.5" customHeight="1" x14ac:dyDescent="0.15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</row>
    <row r="603" spans="1:226" ht="13.5" customHeight="1" x14ac:dyDescent="0.15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</row>
    <row r="604" spans="1:226" ht="13.5" customHeight="1" x14ac:dyDescent="0.15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</row>
    <row r="605" spans="1:226" ht="13.5" customHeight="1" x14ac:dyDescent="0.1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</row>
    <row r="606" spans="1:226" ht="13.5" customHeight="1" x14ac:dyDescent="0.15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</row>
    <row r="607" spans="1:226" ht="13.5" customHeight="1" x14ac:dyDescent="0.15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</row>
    <row r="608" spans="1:226" ht="13.5" customHeight="1" x14ac:dyDescent="0.15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</row>
    <row r="609" spans="1:226" ht="13.5" customHeight="1" x14ac:dyDescent="0.15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</row>
    <row r="610" spans="1:226" ht="13.5" customHeight="1" x14ac:dyDescent="0.15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</row>
    <row r="611" spans="1:226" ht="13.5" customHeight="1" x14ac:dyDescent="0.15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</row>
    <row r="612" spans="1:226" ht="13.5" customHeight="1" x14ac:dyDescent="0.15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</row>
    <row r="613" spans="1:226" ht="13.5" customHeight="1" x14ac:dyDescent="0.15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</row>
    <row r="614" spans="1:226" ht="13.5" customHeight="1" x14ac:dyDescent="0.15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</row>
    <row r="615" spans="1:226" ht="13.5" customHeight="1" x14ac:dyDescent="0.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</row>
    <row r="616" spans="1:226" ht="13.5" customHeight="1" x14ac:dyDescent="0.15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</row>
    <row r="617" spans="1:226" ht="13.5" customHeight="1" x14ac:dyDescent="0.15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</row>
    <row r="618" spans="1:226" ht="13.5" customHeight="1" x14ac:dyDescent="0.15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</row>
    <row r="619" spans="1:226" ht="13.5" customHeight="1" x14ac:dyDescent="0.15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</row>
    <row r="620" spans="1:226" ht="13.5" customHeight="1" x14ac:dyDescent="0.15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</row>
    <row r="621" spans="1:226" ht="13.5" customHeight="1" x14ac:dyDescent="0.15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</row>
    <row r="622" spans="1:226" ht="13.5" customHeight="1" x14ac:dyDescent="0.15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</row>
    <row r="623" spans="1:226" ht="13.5" customHeight="1" x14ac:dyDescent="0.15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</row>
    <row r="624" spans="1:226" ht="13.5" customHeight="1" x14ac:dyDescent="0.15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</row>
    <row r="625" spans="1:226" ht="13.5" customHeight="1" x14ac:dyDescent="0.1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</row>
    <row r="626" spans="1:226" ht="13.5" customHeight="1" x14ac:dyDescent="0.15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</row>
    <row r="627" spans="1:226" ht="13.5" customHeight="1" x14ac:dyDescent="0.15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</row>
    <row r="628" spans="1:226" ht="13.5" customHeight="1" x14ac:dyDescent="0.15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</row>
    <row r="629" spans="1:226" ht="13.5" customHeight="1" x14ac:dyDescent="0.15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</row>
    <row r="630" spans="1:226" ht="13.5" customHeight="1" x14ac:dyDescent="0.15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</row>
    <row r="631" spans="1:226" ht="13.5" customHeight="1" x14ac:dyDescent="0.15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</row>
    <row r="632" spans="1:226" ht="13.5" customHeight="1" x14ac:dyDescent="0.15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</row>
    <row r="633" spans="1:226" ht="13.5" customHeight="1" x14ac:dyDescent="0.15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</row>
    <row r="634" spans="1:226" ht="13.5" customHeight="1" x14ac:dyDescent="0.15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</row>
    <row r="635" spans="1:226" ht="13.5" customHeight="1" x14ac:dyDescent="0.1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</row>
    <row r="636" spans="1:226" ht="13.5" customHeight="1" x14ac:dyDescent="0.15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</row>
    <row r="637" spans="1:226" ht="13.5" customHeight="1" x14ac:dyDescent="0.15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</row>
    <row r="638" spans="1:226" ht="13.5" customHeight="1" x14ac:dyDescent="0.15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</row>
    <row r="639" spans="1:226" ht="13.5" customHeight="1" x14ac:dyDescent="0.15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</row>
    <row r="640" spans="1:226" ht="13.5" customHeight="1" x14ac:dyDescent="0.15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</row>
    <row r="641" spans="1:226" ht="13.5" customHeight="1" x14ac:dyDescent="0.15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</row>
    <row r="642" spans="1:226" ht="13.5" customHeight="1" x14ac:dyDescent="0.15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</row>
    <row r="643" spans="1:226" ht="13.5" customHeight="1" x14ac:dyDescent="0.15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</row>
    <row r="644" spans="1:226" ht="13.5" customHeight="1" x14ac:dyDescent="0.15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</row>
    <row r="645" spans="1:226" ht="13.5" customHeight="1" x14ac:dyDescent="0.1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</row>
    <row r="646" spans="1:226" ht="13.5" customHeight="1" x14ac:dyDescent="0.15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</row>
    <row r="647" spans="1:226" ht="13.5" customHeight="1" x14ac:dyDescent="0.15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</row>
    <row r="648" spans="1:226" ht="13.5" customHeight="1" x14ac:dyDescent="0.15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</row>
    <row r="649" spans="1:226" ht="13.5" customHeight="1" x14ac:dyDescent="0.15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</row>
    <row r="650" spans="1:226" ht="13.5" customHeight="1" x14ac:dyDescent="0.15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</row>
    <row r="651" spans="1:226" ht="13.5" customHeight="1" x14ac:dyDescent="0.15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</row>
    <row r="652" spans="1:226" ht="13.5" customHeight="1" x14ac:dyDescent="0.15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</row>
    <row r="653" spans="1:226" ht="13.5" customHeight="1" x14ac:dyDescent="0.15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</row>
    <row r="654" spans="1:226" ht="13.5" customHeight="1" x14ac:dyDescent="0.15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</row>
    <row r="655" spans="1:226" ht="13.5" customHeight="1" x14ac:dyDescent="0.1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</row>
    <row r="656" spans="1:226" ht="13.5" customHeight="1" x14ac:dyDescent="0.15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</row>
    <row r="657" spans="1:226" ht="13.5" customHeight="1" x14ac:dyDescent="0.15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</row>
    <row r="658" spans="1:226" ht="13.5" customHeight="1" x14ac:dyDescent="0.15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</row>
    <row r="659" spans="1:226" ht="13.5" customHeight="1" x14ac:dyDescent="0.15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</row>
    <row r="660" spans="1:226" ht="13.5" customHeight="1" x14ac:dyDescent="0.15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</row>
    <row r="661" spans="1:226" ht="13.5" customHeight="1" x14ac:dyDescent="0.15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</row>
    <row r="662" spans="1:226" ht="13.5" customHeight="1" x14ac:dyDescent="0.15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</row>
    <row r="663" spans="1:226" ht="13.5" customHeight="1" x14ac:dyDescent="0.15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</row>
    <row r="664" spans="1:226" ht="13.5" customHeight="1" x14ac:dyDescent="0.15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</row>
    <row r="665" spans="1:226" ht="13.5" customHeight="1" x14ac:dyDescent="0.1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</row>
    <row r="666" spans="1:226" ht="13.5" customHeight="1" x14ac:dyDescent="0.15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</row>
    <row r="667" spans="1:226" ht="13.5" customHeight="1" x14ac:dyDescent="0.15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</row>
    <row r="668" spans="1:226" ht="13.5" customHeight="1" x14ac:dyDescent="0.15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</row>
    <row r="669" spans="1:226" ht="13.5" customHeight="1" x14ac:dyDescent="0.15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</row>
    <row r="670" spans="1:226" ht="13.5" customHeight="1" x14ac:dyDescent="0.15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</row>
    <row r="671" spans="1:226" ht="13.5" customHeight="1" x14ac:dyDescent="0.15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</row>
    <row r="672" spans="1:226" ht="13.5" customHeight="1" x14ac:dyDescent="0.15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</row>
    <row r="673" spans="1:226" ht="13.5" customHeight="1" x14ac:dyDescent="0.15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</row>
    <row r="674" spans="1:226" ht="13.5" customHeight="1" x14ac:dyDescent="0.15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</row>
    <row r="675" spans="1:226" ht="13.5" customHeight="1" x14ac:dyDescent="0.1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</row>
    <row r="676" spans="1:226" ht="13.5" customHeight="1" x14ac:dyDescent="0.15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</row>
    <row r="677" spans="1:226" ht="13.5" customHeight="1" x14ac:dyDescent="0.15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</row>
    <row r="678" spans="1:226" ht="13.5" customHeight="1" x14ac:dyDescent="0.15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</row>
    <row r="679" spans="1:226" ht="13.5" customHeight="1" x14ac:dyDescent="0.15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</row>
    <row r="680" spans="1:226" ht="13.5" customHeight="1" x14ac:dyDescent="0.15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</row>
    <row r="681" spans="1:226" ht="13.5" customHeight="1" x14ac:dyDescent="0.15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</row>
    <row r="682" spans="1:226" ht="13.5" customHeight="1" x14ac:dyDescent="0.15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</row>
    <row r="683" spans="1:226" ht="13.5" customHeight="1" x14ac:dyDescent="0.15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</row>
    <row r="684" spans="1:226" ht="13.5" customHeight="1" x14ac:dyDescent="0.15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</row>
    <row r="685" spans="1:226" ht="13.5" customHeight="1" x14ac:dyDescent="0.1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</row>
    <row r="686" spans="1:226" ht="13.5" customHeight="1" x14ac:dyDescent="0.15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</row>
    <row r="687" spans="1:226" ht="13.5" customHeight="1" x14ac:dyDescent="0.15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</row>
    <row r="688" spans="1:226" ht="13.5" customHeight="1" x14ac:dyDescent="0.15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</row>
    <row r="689" spans="1:226" ht="13.5" customHeight="1" x14ac:dyDescent="0.15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</row>
    <row r="690" spans="1:226" ht="13.5" customHeight="1" x14ac:dyDescent="0.15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</row>
    <row r="691" spans="1:226" ht="13.5" customHeight="1" x14ac:dyDescent="0.15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</row>
    <row r="692" spans="1:226" ht="13.5" customHeight="1" x14ac:dyDescent="0.15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</row>
    <row r="693" spans="1:226" ht="13.5" customHeight="1" x14ac:dyDescent="0.15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</row>
    <row r="694" spans="1:226" ht="13.5" customHeight="1" x14ac:dyDescent="0.15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</row>
    <row r="695" spans="1:226" ht="13.5" customHeight="1" x14ac:dyDescent="0.1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</row>
    <row r="696" spans="1:226" ht="13.5" customHeight="1" x14ac:dyDescent="0.15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</row>
    <row r="697" spans="1:226" ht="13.5" customHeight="1" x14ac:dyDescent="0.15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</row>
    <row r="698" spans="1:226" ht="13.5" customHeight="1" x14ac:dyDescent="0.15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</row>
    <row r="699" spans="1:226" ht="13.5" customHeight="1" x14ac:dyDescent="0.15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</row>
    <row r="700" spans="1:226" ht="13.5" customHeight="1" x14ac:dyDescent="0.15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</row>
    <row r="701" spans="1:226" ht="13.5" customHeight="1" x14ac:dyDescent="0.15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</row>
    <row r="702" spans="1:226" ht="13.5" customHeight="1" x14ac:dyDescent="0.15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</row>
    <row r="703" spans="1:226" ht="13.5" customHeight="1" x14ac:dyDescent="0.15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</row>
    <row r="704" spans="1:226" ht="13.5" customHeight="1" x14ac:dyDescent="0.15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</row>
    <row r="705" spans="1:226" ht="13.5" customHeight="1" x14ac:dyDescent="0.1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</row>
    <row r="706" spans="1:226" ht="13.5" customHeight="1" x14ac:dyDescent="0.15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</row>
    <row r="707" spans="1:226" ht="13.5" customHeight="1" x14ac:dyDescent="0.15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</row>
    <row r="708" spans="1:226" ht="13.5" customHeight="1" x14ac:dyDescent="0.15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</row>
    <row r="709" spans="1:226" ht="13.5" customHeight="1" x14ac:dyDescent="0.15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</row>
    <row r="710" spans="1:226" ht="13.5" customHeight="1" x14ac:dyDescent="0.15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</row>
    <row r="711" spans="1:226" ht="13.5" customHeight="1" x14ac:dyDescent="0.15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</row>
    <row r="712" spans="1:226" ht="13.5" customHeight="1" x14ac:dyDescent="0.15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</row>
    <row r="713" spans="1:226" ht="13.5" customHeight="1" x14ac:dyDescent="0.15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</row>
    <row r="714" spans="1:226" ht="13.5" customHeight="1" x14ac:dyDescent="0.15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</row>
    <row r="715" spans="1:226" ht="13.5" customHeight="1" x14ac:dyDescent="0.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</row>
    <row r="716" spans="1:226" ht="13.5" customHeight="1" x14ac:dyDescent="0.15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</row>
    <row r="717" spans="1:226" ht="13.5" customHeight="1" x14ac:dyDescent="0.15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</row>
    <row r="718" spans="1:226" ht="13.5" customHeight="1" x14ac:dyDescent="0.15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</row>
    <row r="719" spans="1:226" ht="13.5" customHeight="1" x14ac:dyDescent="0.15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</row>
    <row r="720" spans="1:226" ht="13.5" customHeight="1" x14ac:dyDescent="0.15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</row>
    <row r="721" spans="1:226" ht="13.5" customHeight="1" x14ac:dyDescent="0.15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</row>
    <row r="722" spans="1:226" ht="13.5" customHeight="1" x14ac:dyDescent="0.15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</row>
    <row r="723" spans="1:226" ht="13.5" customHeight="1" x14ac:dyDescent="0.15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</row>
    <row r="724" spans="1:226" ht="13.5" customHeight="1" x14ac:dyDescent="0.15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</row>
    <row r="725" spans="1:226" ht="13.5" customHeight="1" x14ac:dyDescent="0.1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</row>
    <row r="726" spans="1:226" ht="13.5" customHeight="1" x14ac:dyDescent="0.15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</row>
    <row r="727" spans="1:226" ht="13.5" customHeight="1" x14ac:dyDescent="0.15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</row>
    <row r="728" spans="1:226" ht="13.5" customHeight="1" x14ac:dyDescent="0.15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</row>
    <row r="729" spans="1:226" ht="13.5" customHeight="1" x14ac:dyDescent="0.15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</row>
    <row r="730" spans="1:226" ht="13.5" customHeight="1" x14ac:dyDescent="0.15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</row>
    <row r="731" spans="1:226" ht="13.5" customHeight="1" x14ac:dyDescent="0.15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</row>
    <row r="732" spans="1:226" ht="13.5" customHeight="1" x14ac:dyDescent="0.15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</row>
    <row r="733" spans="1:226" ht="13.5" customHeight="1" x14ac:dyDescent="0.15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</row>
    <row r="734" spans="1:226" ht="13.5" customHeight="1" x14ac:dyDescent="0.15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</row>
    <row r="735" spans="1:226" ht="13.5" customHeight="1" x14ac:dyDescent="0.1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</row>
    <row r="736" spans="1:226" ht="13.5" customHeight="1" x14ac:dyDescent="0.15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</row>
    <row r="737" spans="1:226" ht="13.5" customHeight="1" x14ac:dyDescent="0.15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</row>
    <row r="738" spans="1:226" ht="13.5" customHeight="1" x14ac:dyDescent="0.15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</row>
    <row r="739" spans="1:226" ht="13.5" customHeight="1" x14ac:dyDescent="0.15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</row>
    <row r="740" spans="1:226" ht="13.5" customHeight="1" x14ac:dyDescent="0.15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</row>
    <row r="741" spans="1:226" ht="13.5" customHeight="1" x14ac:dyDescent="0.15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</row>
    <row r="742" spans="1:226" ht="13.5" customHeight="1" x14ac:dyDescent="0.15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</row>
    <row r="743" spans="1:226" ht="13.5" customHeight="1" x14ac:dyDescent="0.15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</row>
    <row r="744" spans="1:226" ht="13.5" customHeight="1" x14ac:dyDescent="0.15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</row>
    <row r="745" spans="1:226" ht="13.5" customHeight="1" x14ac:dyDescent="0.1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</row>
    <row r="746" spans="1:226" ht="13.5" customHeight="1" x14ac:dyDescent="0.15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</row>
    <row r="747" spans="1:226" ht="13.5" customHeight="1" x14ac:dyDescent="0.15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</row>
    <row r="748" spans="1:226" ht="13.5" customHeight="1" x14ac:dyDescent="0.15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</row>
    <row r="749" spans="1:226" ht="13.5" customHeight="1" x14ac:dyDescent="0.15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</row>
    <row r="750" spans="1:226" ht="13.5" customHeight="1" x14ac:dyDescent="0.15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</row>
    <row r="751" spans="1:226" ht="13.5" customHeight="1" x14ac:dyDescent="0.15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</row>
    <row r="752" spans="1:226" ht="13.5" customHeight="1" x14ac:dyDescent="0.15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</row>
    <row r="753" spans="1:226" ht="13.5" customHeight="1" x14ac:dyDescent="0.15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</row>
    <row r="754" spans="1:226" ht="13.5" customHeight="1" x14ac:dyDescent="0.15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</row>
    <row r="755" spans="1:226" ht="13.5" customHeight="1" x14ac:dyDescent="0.1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</row>
    <row r="756" spans="1:226" ht="13.5" customHeight="1" x14ac:dyDescent="0.15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</row>
    <row r="757" spans="1:226" ht="13.5" customHeight="1" x14ac:dyDescent="0.15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</row>
    <row r="758" spans="1:226" ht="13.5" customHeight="1" x14ac:dyDescent="0.15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</row>
    <row r="759" spans="1:226" ht="13.5" customHeight="1" x14ac:dyDescent="0.15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</row>
    <row r="760" spans="1:226" ht="13.5" customHeight="1" x14ac:dyDescent="0.15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</row>
    <row r="761" spans="1:226" ht="13.5" customHeight="1" x14ac:dyDescent="0.15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</row>
    <row r="762" spans="1:226" ht="13.5" customHeight="1" x14ac:dyDescent="0.15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</row>
    <row r="763" spans="1:226" ht="13.5" customHeight="1" x14ac:dyDescent="0.15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</row>
    <row r="764" spans="1:226" ht="13.5" customHeight="1" x14ac:dyDescent="0.15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</row>
    <row r="765" spans="1:226" ht="13.5" customHeight="1" x14ac:dyDescent="0.1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</row>
    <row r="766" spans="1:226" ht="13.5" customHeight="1" x14ac:dyDescent="0.15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</row>
    <row r="767" spans="1:226" ht="13.5" customHeight="1" x14ac:dyDescent="0.15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</row>
    <row r="768" spans="1:226" ht="13.5" customHeight="1" x14ac:dyDescent="0.15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</row>
    <row r="769" spans="1:226" ht="13.5" customHeight="1" x14ac:dyDescent="0.15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</row>
    <row r="770" spans="1:226" ht="13.5" customHeight="1" x14ac:dyDescent="0.15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</row>
    <row r="771" spans="1:226" ht="13.5" customHeight="1" x14ac:dyDescent="0.15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</row>
    <row r="772" spans="1:226" ht="13.5" customHeight="1" x14ac:dyDescent="0.15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</row>
    <row r="773" spans="1:226" ht="13.5" customHeight="1" x14ac:dyDescent="0.15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</row>
    <row r="774" spans="1:226" ht="13.5" customHeight="1" x14ac:dyDescent="0.15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</row>
    <row r="775" spans="1:226" ht="13.5" customHeight="1" x14ac:dyDescent="0.1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</row>
    <row r="776" spans="1:226" ht="13.5" customHeight="1" x14ac:dyDescent="0.15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</row>
    <row r="777" spans="1:226" ht="13.5" customHeight="1" x14ac:dyDescent="0.15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</row>
    <row r="778" spans="1:226" ht="13.5" customHeight="1" x14ac:dyDescent="0.15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</row>
    <row r="779" spans="1:226" ht="13.5" customHeight="1" x14ac:dyDescent="0.15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</row>
    <row r="780" spans="1:226" ht="13.5" customHeight="1" x14ac:dyDescent="0.15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</row>
    <row r="781" spans="1:226" ht="13.5" customHeight="1" x14ac:dyDescent="0.15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</row>
    <row r="782" spans="1:226" ht="13.5" customHeight="1" x14ac:dyDescent="0.15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</row>
    <row r="783" spans="1:226" ht="13.5" customHeight="1" x14ac:dyDescent="0.15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</row>
    <row r="784" spans="1:226" ht="13.5" customHeight="1" x14ac:dyDescent="0.15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</row>
    <row r="785" spans="1:226" ht="13.5" customHeight="1" x14ac:dyDescent="0.1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</row>
    <row r="786" spans="1:226" ht="13.5" customHeight="1" x14ac:dyDescent="0.15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</row>
    <row r="787" spans="1:226" ht="13.5" customHeight="1" x14ac:dyDescent="0.15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</row>
    <row r="788" spans="1:226" ht="13.5" customHeight="1" x14ac:dyDescent="0.15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</row>
    <row r="789" spans="1:226" ht="13.5" customHeight="1" x14ac:dyDescent="0.15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</row>
    <row r="790" spans="1:226" ht="13.5" customHeight="1" x14ac:dyDescent="0.15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</row>
    <row r="791" spans="1:226" ht="13.5" customHeight="1" x14ac:dyDescent="0.15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</row>
    <row r="792" spans="1:226" ht="13.5" customHeight="1" x14ac:dyDescent="0.15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</row>
    <row r="793" spans="1:226" ht="13.5" customHeight="1" x14ac:dyDescent="0.15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</row>
    <row r="794" spans="1:226" ht="13.5" customHeight="1" x14ac:dyDescent="0.15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</row>
    <row r="795" spans="1:226" ht="13.5" customHeight="1" x14ac:dyDescent="0.1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</row>
    <row r="796" spans="1:226" ht="13.5" customHeight="1" x14ac:dyDescent="0.15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</row>
    <row r="797" spans="1:226" ht="13.5" customHeight="1" x14ac:dyDescent="0.15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</row>
    <row r="798" spans="1:226" ht="13.5" customHeight="1" x14ac:dyDescent="0.15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</row>
    <row r="799" spans="1:226" ht="13.5" customHeight="1" x14ac:dyDescent="0.15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</row>
    <row r="800" spans="1:226" ht="13.5" customHeight="1" x14ac:dyDescent="0.15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</row>
    <row r="801" spans="1:226" ht="13.5" customHeight="1" x14ac:dyDescent="0.15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</row>
    <row r="802" spans="1:226" ht="13.5" customHeight="1" x14ac:dyDescent="0.15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</row>
    <row r="803" spans="1:226" ht="13.5" customHeight="1" x14ac:dyDescent="0.15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</row>
    <row r="804" spans="1:226" ht="13.5" customHeight="1" x14ac:dyDescent="0.15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</row>
    <row r="805" spans="1:226" ht="13.5" customHeight="1" x14ac:dyDescent="0.1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</row>
    <row r="806" spans="1:226" ht="13.5" customHeight="1" x14ac:dyDescent="0.15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</row>
    <row r="807" spans="1:226" ht="13.5" customHeight="1" x14ac:dyDescent="0.15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</row>
    <row r="808" spans="1:226" ht="13.5" customHeight="1" x14ac:dyDescent="0.15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</row>
    <row r="809" spans="1:226" ht="13.5" customHeight="1" x14ac:dyDescent="0.15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</row>
    <row r="810" spans="1:226" ht="13.5" customHeight="1" x14ac:dyDescent="0.15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</row>
    <row r="811" spans="1:226" ht="13.5" customHeight="1" x14ac:dyDescent="0.15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</row>
    <row r="812" spans="1:226" ht="13.5" customHeight="1" x14ac:dyDescent="0.15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</row>
    <row r="813" spans="1:226" ht="13.5" customHeight="1" x14ac:dyDescent="0.15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</row>
    <row r="814" spans="1:226" ht="13.5" customHeight="1" x14ac:dyDescent="0.15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</row>
    <row r="815" spans="1:226" ht="13.5" customHeight="1" x14ac:dyDescent="0.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</row>
    <row r="816" spans="1:226" ht="13.5" customHeight="1" x14ac:dyDescent="0.15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</row>
    <row r="817" spans="1:226" ht="13.5" customHeight="1" x14ac:dyDescent="0.15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</row>
    <row r="818" spans="1:226" ht="13.5" customHeight="1" x14ac:dyDescent="0.15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</row>
    <row r="819" spans="1:226" ht="13.5" customHeight="1" x14ac:dyDescent="0.15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</row>
    <row r="820" spans="1:226" ht="13.5" customHeight="1" x14ac:dyDescent="0.15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</row>
    <row r="821" spans="1:226" ht="13.5" customHeight="1" x14ac:dyDescent="0.15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</row>
    <row r="822" spans="1:226" ht="13.5" customHeight="1" x14ac:dyDescent="0.15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</row>
    <row r="823" spans="1:226" ht="13.5" customHeight="1" x14ac:dyDescent="0.15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</row>
    <row r="824" spans="1:226" ht="13.5" customHeight="1" x14ac:dyDescent="0.15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</row>
    <row r="825" spans="1:226" ht="13.5" customHeight="1" x14ac:dyDescent="0.1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</row>
    <row r="826" spans="1:226" ht="13.5" customHeight="1" x14ac:dyDescent="0.15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</row>
    <row r="827" spans="1:226" ht="13.5" customHeight="1" x14ac:dyDescent="0.15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</row>
    <row r="828" spans="1:226" ht="13.5" customHeight="1" x14ac:dyDescent="0.15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</row>
    <row r="829" spans="1:226" ht="13.5" customHeight="1" x14ac:dyDescent="0.15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</row>
    <row r="830" spans="1:226" ht="13.5" customHeight="1" x14ac:dyDescent="0.15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</row>
    <row r="831" spans="1:226" ht="13.5" customHeight="1" x14ac:dyDescent="0.15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</row>
    <row r="832" spans="1:226" ht="13.5" customHeight="1" x14ac:dyDescent="0.15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</row>
    <row r="833" spans="1:226" ht="13.5" customHeight="1" x14ac:dyDescent="0.15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</row>
    <row r="834" spans="1:226" ht="13.5" customHeight="1" x14ac:dyDescent="0.15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</row>
    <row r="835" spans="1:226" ht="13.5" customHeight="1" x14ac:dyDescent="0.1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</row>
    <row r="836" spans="1:226" ht="13.5" customHeight="1" x14ac:dyDescent="0.15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</row>
    <row r="837" spans="1:226" ht="13.5" customHeight="1" x14ac:dyDescent="0.15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</row>
    <row r="838" spans="1:226" ht="13.5" customHeight="1" x14ac:dyDescent="0.15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</row>
    <row r="839" spans="1:226" ht="13.5" customHeight="1" x14ac:dyDescent="0.15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</row>
    <row r="840" spans="1:226" ht="13.5" customHeight="1" x14ac:dyDescent="0.15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</row>
    <row r="841" spans="1:226" ht="13.5" customHeight="1" x14ac:dyDescent="0.15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</row>
    <row r="842" spans="1:226" ht="13.5" customHeight="1" x14ac:dyDescent="0.15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</row>
    <row r="843" spans="1:226" ht="13.5" customHeight="1" x14ac:dyDescent="0.15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</row>
    <row r="844" spans="1:226" ht="13.5" customHeight="1" x14ac:dyDescent="0.15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</row>
    <row r="845" spans="1:226" ht="13.5" customHeight="1" x14ac:dyDescent="0.1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</row>
    <row r="846" spans="1:226" ht="13.5" customHeight="1" x14ac:dyDescent="0.15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</row>
    <row r="847" spans="1:226" ht="13.5" customHeight="1" x14ac:dyDescent="0.15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</row>
    <row r="848" spans="1:226" ht="13.5" customHeight="1" x14ac:dyDescent="0.15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</row>
    <row r="849" spans="1:226" ht="13.5" customHeight="1" x14ac:dyDescent="0.15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</row>
    <row r="850" spans="1:226" ht="13.5" customHeight="1" x14ac:dyDescent="0.15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</row>
    <row r="851" spans="1:226" ht="13.5" customHeight="1" x14ac:dyDescent="0.15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</row>
    <row r="852" spans="1:226" ht="13.5" customHeight="1" x14ac:dyDescent="0.15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</row>
    <row r="853" spans="1:226" ht="13.5" customHeight="1" x14ac:dyDescent="0.15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</row>
    <row r="854" spans="1:226" ht="13.5" customHeight="1" x14ac:dyDescent="0.15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</row>
    <row r="855" spans="1:226" ht="13.5" customHeight="1" x14ac:dyDescent="0.1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</row>
    <row r="856" spans="1:226" ht="13.5" customHeight="1" x14ac:dyDescent="0.15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</row>
    <row r="857" spans="1:226" ht="13.5" customHeight="1" x14ac:dyDescent="0.15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</row>
    <row r="858" spans="1:226" ht="13.5" customHeight="1" x14ac:dyDescent="0.15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</row>
    <row r="859" spans="1:226" ht="13.5" customHeight="1" x14ac:dyDescent="0.15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</row>
    <row r="860" spans="1:226" ht="13.5" customHeight="1" x14ac:dyDescent="0.15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</row>
    <row r="861" spans="1:226" ht="13.5" customHeight="1" x14ac:dyDescent="0.15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</row>
    <row r="862" spans="1:226" ht="13.5" customHeight="1" x14ac:dyDescent="0.15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</row>
    <row r="863" spans="1:226" ht="13.5" customHeight="1" x14ac:dyDescent="0.15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</row>
    <row r="864" spans="1:226" ht="13.5" customHeight="1" x14ac:dyDescent="0.15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</row>
    <row r="865" spans="1:226" ht="13.5" customHeight="1" x14ac:dyDescent="0.1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</row>
    <row r="866" spans="1:226" ht="13.5" customHeight="1" x14ac:dyDescent="0.15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</row>
    <row r="867" spans="1:226" ht="13.5" customHeight="1" x14ac:dyDescent="0.15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</row>
    <row r="868" spans="1:226" ht="13.5" customHeight="1" x14ac:dyDescent="0.15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</row>
    <row r="869" spans="1:226" ht="13.5" customHeight="1" x14ac:dyDescent="0.15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</row>
    <row r="870" spans="1:226" ht="13.5" customHeight="1" x14ac:dyDescent="0.15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</row>
    <row r="871" spans="1:226" ht="13.5" customHeight="1" x14ac:dyDescent="0.15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</row>
    <row r="872" spans="1:226" ht="13.5" customHeight="1" x14ac:dyDescent="0.15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</row>
    <row r="873" spans="1:226" ht="13.5" customHeight="1" x14ac:dyDescent="0.15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</row>
    <row r="874" spans="1:226" ht="13.5" customHeight="1" x14ac:dyDescent="0.15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</row>
    <row r="875" spans="1:226" ht="13.5" customHeight="1" x14ac:dyDescent="0.1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</row>
    <row r="876" spans="1:226" ht="13.5" customHeight="1" x14ac:dyDescent="0.15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</row>
    <row r="877" spans="1:226" ht="13.5" customHeight="1" x14ac:dyDescent="0.15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</row>
    <row r="878" spans="1:226" ht="13.5" customHeight="1" x14ac:dyDescent="0.15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</row>
    <row r="879" spans="1:226" ht="13.5" customHeight="1" x14ac:dyDescent="0.15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</row>
    <row r="880" spans="1:226" ht="13.5" customHeight="1" x14ac:dyDescent="0.15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</row>
    <row r="881" spans="1:226" ht="13.5" customHeight="1" x14ac:dyDescent="0.15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</row>
    <row r="882" spans="1:226" ht="13.5" customHeight="1" x14ac:dyDescent="0.15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</row>
    <row r="883" spans="1:226" ht="13.5" customHeight="1" x14ac:dyDescent="0.15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</row>
    <row r="884" spans="1:226" ht="13.5" customHeight="1" x14ac:dyDescent="0.15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</row>
    <row r="885" spans="1:226" ht="13.5" customHeight="1" x14ac:dyDescent="0.1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</row>
    <row r="886" spans="1:226" ht="13.5" customHeight="1" x14ac:dyDescent="0.15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</row>
    <row r="887" spans="1:226" ht="13.5" customHeight="1" x14ac:dyDescent="0.15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</row>
    <row r="888" spans="1:226" ht="13.5" customHeight="1" x14ac:dyDescent="0.15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</row>
    <row r="889" spans="1:226" ht="13.5" customHeight="1" x14ac:dyDescent="0.15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</row>
    <row r="890" spans="1:226" ht="13.5" customHeight="1" x14ac:dyDescent="0.15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</row>
    <row r="891" spans="1:226" ht="13.5" customHeight="1" x14ac:dyDescent="0.15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</row>
    <row r="892" spans="1:226" ht="13.5" customHeight="1" x14ac:dyDescent="0.15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</row>
    <row r="893" spans="1:226" ht="13.5" customHeight="1" x14ac:dyDescent="0.15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</row>
    <row r="894" spans="1:226" ht="13.5" customHeight="1" x14ac:dyDescent="0.15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</row>
    <row r="895" spans="1:226" ht="13.5" customHeight="1" x14ac:dyDescent="0.1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</row>
    <row r="896" spans="1:226" ht="13.5" customHeight="1" x14ac:dyDescent="0.15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</row>
    <row r="897" spans="1:226" ht="13.5" customHeight="1" x14ac:dyDescent="0.15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</row>
    <row r="898" spans="1:226" ht="13.5" customHeight="1" x14ac:dyDescent="0.15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</row>
    <row r="899" spans="1:226" ht="13.5" customHeight="1" x14ac:dyDescent="0.15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</row>
    <row r="900" spans="1:226" ht="13.5" customHeight="1" x14ac:dyDescent="0.15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</row>
    <row r="901" spans="1:226" ht="13.5" customHeight="1" x14ac:dyDescent="0.15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</row>
    <row r="902" spans="1:226" ht="13.5" customHeight="1" x14ac:dyDescent="0.15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</row>
    <row r="903" spans="1:226" ht="13.5" customHeight="1" x14ac:dyDescent="0.15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</row>
    <row r="904" spans="1:226" ht="13.5" customHeight="1" x14ac:dyDescent="0.15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</row>
    <row r="905" spans="1:226" ht="13.5" customHeight="1" x14ac:dyDescent="0.1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</row>
    <row r="906" spans="1:226" ht="13.5" customHeight="1" x14ac:dyDescent="0.15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</row>
    <row r="907" spans="1:226" ht="13.5" customHeight="1" x14ac:dyDescent="0.15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</row>
    <row r="908" spans="1:226" ht="13.5" customHeight="1" x14ac:dyDescent="0.15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</row>
    <row r="909" spans="1:226" ht="13.5" customHeight="1" x14ac:dyDescent="0.15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</row>
    <row r="910" spans="1:226" ht="13.5" customHeight="1" x14ac:dyDescent="0.15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</row>
    <row r="911" spans="1:226" ht="13.5" customHeight="1" x14ac:dyDescent="0.15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</row>
    <row r="912" spans="1:226" ht="13.5" customHeight="1" x14ac:dyDescent="0.15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</row>
    <row r="913" spans="1:226" ht="13.5" customHeight="1" x14ac:dyDescent="0.15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</row>
    <row r="914" spans="1:226" ht="13.5" customHeight="1" x14ac:dyDescent="0.15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</row>
    <row r="915" spans="1:226" ht="13.5" customHeight="1" x14ac:dyDescent="0.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</row>
    <row r="916" spans="1:226" ht="13.5" customHeight="1" x14ac:dyDescent="0.15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</row>
    <row r="917" spans="1:226" ht="13.5" customHeight="1" x14ac:dyDescent="0.15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</row>
    <row r="918" spans="1:226" ht="13.5" customHeight="1" x14ac:dyDescent="0.15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</row>
    <row r="919" spans="1:226" ht="13.5" customHeight="1" x14ac:dyDescent="0.15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</row>
    <row r="920" spans="1:226" ht="13.5" customHeight="1" x14ac:dyDescent="0.15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</row>
    <row r="921" spans="1:226" ht="13.5" customHeight="1" x14ac:dyDescent="0.15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</row>
    <row r="922" spans="1:226" ht="13.5" customHeight="1" x14ac:dyDescent="0.15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</row>
    <row r="923" spans="1:226" ht="13.5" customHeight="1" x14ac:dyDescent="0.15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</row>
    <row r="924" spans="1:226" ht="13.5" customHeight="1" x14ac:dyDescent="0.15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</row>
    <row r="925" spans="1:226" ht="13.5" customHeight="1" x14ac:dyDescent="0.1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</row>
    <row r="926" spans="1:226" ht="13.5" customHeight="1" x14ac:dyDescent="0.15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</row>
    <row r="927" spans="1:226" ht="13.5" customHeight="1" x14ac:dyDescent="0.15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</row>
    <row r="928" spans="1:226" ht="13.5" customHeight="1" x14ac:dyDescent="0.15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</row>
    <row r="929" spans="1:226" ht="13.5" customHeight="1" x14ac:dyDescent="0.15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</row>
    <row r="930" spans="1:226" ht="13.5" customHeight="1" x14ac:dyDescent="0.15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</row>
    <row r="931" spans="1:226" ht="13.5" customHeight="1" x14ac:dyDescent="0.15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</row>
    <row r="932" spans="1:226" ht="13.5" customHeight="1" x14ac:dyDescent="0.15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</row>
    <row r="933" spans="1:226" ht="13.5" customHeight="1" x14ac:dyDescent="0.15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</row>
    <row r="934" spans="1:226" ht="13.5" customHeight="1" x14ac:dyDescent="0.15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</row>
    <row r="935" spans="1:226" ht="13.5" customHeight="1" x14ac:dyDescent="0.1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</row>
    <row r="936" spans="1:226" ht="13.5" customHeight="1" x14ac:dyDescent="0.15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</row>
    <row r="937" spans="1:226" ht="13.5" customHeight="1" x14ac:dyDescent="0.15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</row>
    <row r="938" spans="1:226" ht="13.5" customHeight="1" x14ac:dyDescent="0.15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</row>
    <row r="939" spans="1:226" ht="13.5" customHeight="1" x14ac:dyDescent="0.15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</row>
    <row r="940" spans="1:226" ht="13.5" customHeight="1" x14ac:dyDescent="0.15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</row>
    <row r="941" spans="1:226" ht="13.5" customHeight="1" x14ac:dyDescent="0.15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</row>
    <row r="942" spans="1:226" ht="13.5" customHeight="1" x14ac:dyDescent="0.15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</row>
    <row r="943" spans="1:226" ht="13.5" customHeight="1" x14ac:dyDescent="0.15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</row>
    <row r="944" spans="1:226" ht="13.5" customHeight="1" x14ac:dyDescent="0.15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</row>
    <row r="945" spans="1:226" ht="13.5" customHeight="1" x14ac:dyDescent="0.1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</row>
    <row r="946" spans="1:226" ht="13.5" customHeight="1" x14ac:dyDescent="0.15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</row>
    <row r="947" spans="1:226" ht="13.5" customHeight="1" x14ac:dyDescent="0.15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</row>
    <row r="948" spans="1:226" ht="13.5" customHeight="1" x14ac:dyDescent="0.15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</row>
    <row r="949" spans="1:226" ht="13.5" customHeight="1" x14ac:dyDescent="0.15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</row>
    <row r="950" spans="1:226" ht="13.5" customHeight="1" x14ac:dyDescent="0.15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</row>
    <row r="951" spans="1:226" ht="13.5" customHeight="1" x14ac:dyDescent="0.15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</row>
    <row r="952" spans="1:226" ht="13.5" customHeight="1" x14ac:dyDescent="0.15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</row>
    <row r="953" spans="1:226" ht="13.5" customHeight="1" x14ac:dyDescent="0.15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</row>
    <row r="954" spans="1:226" ht="13.5" customHeight="1" x14ac:dyDescent="0.15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</row>
    <row r="955" spans="1:226" ht="13.5" customHeight="1" x14ac:dyDescent="0.1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</row>
    <row r="956" spans="1:226" ht="13.5" customHeight="1" x14ac:dyDescent="0.15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</row>
    <row r="957" spans="1:226" ht="13.5" customHeight="1" x14ac:dyDescent="0.15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</row>
    <row r="958" spans="1:226" ht="13.5" customHeight="1" x14ac:dyDescent="0.15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</row>
    <row r="959" spans="1:226" ht="13.5" customHeight="1" x14ac:dyDescent="0.15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</row>
    <row r="960" spans="1:226" ht="13.5" customHeight="1" x14ac:dyDescent="0.15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</row>
    <row r="961" spans="1:226" ht="13.5" customHeight="1" x14ac:dyDescent="0.15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</row>
    <row r="962" spans="1:226" ht="13.5" customHeight="1" x14ac:dyDescent="0.15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</row>
    <row r="963" spans="1:226" ht="13.5" customHeight="1" x14ac:dyDescent="0.15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</row>
    <row r="964" spans="1:226" ht="13.5" customHeight="1" x14ac:dyDescent="0.15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</row>
    <row r="965" spans="1:226" ht="13.5" customHeight="1" x14ac:dyDescent="0.1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</row>
    <row r="966" spans="1:226" ht="13.5" customHeight="1" x14ac:dyDescent="0.15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</row>
    <row r="967" spans="1:226" ht="13.5" customHeight="1" x14ac:dyDescent="0.15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</row>
    <row r="968" spans="1:226" ht="13.5" customHeight="1" x14ac:dyDescent="0.15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</row>
    <row r="969" spans="1:226" ht="13.5" customHeight="1" x14ac:dyDescent="0.15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</row>
    <row r="970" spans="1:226" ht="13.5" customHeight="1" x14ac:dyDescent="0.15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</row>
    <row r="971" spans="1:226" ht="13.5" customHeight="1" x14ac:dyDescent="0.15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</row>
    <row r="972" spans="1:226" ht="13.5" customHeight="1" x14ac:dyDescent="0.15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</row>
    <row r="973" spans="1:226" ht="13.5" customHeight="1" x14ac:dyDescent="0.15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</row>
    <row r="974" spans="1:226" ht="13.5" customHeight="1" x14ac:dyDescent="0.15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</row>
    <row r="975" spans="1:226" ht="13.5" customHeight="1" x14ac:dyDescent="0.1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</row>
    <row r="976" spans="1:226" ht="13.5" customHeight="1" x14ac:dyDescent="0.15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</row>
    <row r="977" spans="1:226" ht="13.5" customHeight="1" x14ac:dyDescent="0.15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</row>
    <row r="978" spans="1:226" ht="13.5" customHeight="1" x14ac:dyDescent="0.15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</row>
    <row r="979" spans="1:226" ht="13.5" customHeight="1" x14ac:dyDescent="0.15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</row>
    <row r="980" spans="1:226" ht="13.5" customHeight="1" x14ac:dyDescent="0.15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</row>
    <row r="981" spans="1:226" ht="13.5" customHeight="1" x14ac:dyDescent="0.15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</row>
    <row r="982" spans="1:226" ht="13.5" customHeight="1" x14ac:dyDescent="0.15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</row>
    <row r="983" spans="1:226" ht="13.5" customHeight="1" x14ac:dyDescent="0.15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</row>
    <row r="984" spans="1:226" ht="13.5" customHeight="1" x14ac:dyDescent="0.15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</row>
    <row r="985" spans="1:226" ht="13.5" customHeight="1" x14ac:dyDescent="0.1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</row>
    <row r="986" spans="1:226" ht="13.5" customHeight="1" x14ac:dyDescent="0.15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</row>
    <row r="987" spans="1:226" ht="13.5" customHeight="1" x14ac:dyDescent="0.15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</row>
    <row r="988" spans="1:226" ht="13.5" customHeight="1" x14ac:dyDescent="0.15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</row>
    <row r="989" spans="1:226" ht="13.5" customHeight="1" x14ac:dyDescent="0.15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</row>
    <row r="990" spans="1:226" ht="13.5" customHeight="1" x14ac:dyDescent="0.15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</row>
    <row r="991" spans="1:226" ht="13.5" customHeight="1" x14ac:dyDescent="0.15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</row>
    <row r="992" spans="1:226" ht="13.5" customHeight="1" x14ac:dyDescent="0.15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</row>
    <row r="993" spans="1:226" ht="13.5" customHeight="1" x14ac:dyDescent="0.15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</row>
    <row r="994" spans="1:226" ht="13.5" customHeight="1" x14ac:dyDescent="0.15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</row>
    <row r="995" spans="1:226" ht="13.5" customHeight="1" x14ac:dyDescent="0.1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</row>
    <row r="996" spans="1:226" ht="13.5" customHeight="1" x14ac:dyDescent="0.15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</row>
    <row r="997" spans="1:226" ht="13.5" customHeight="1" x14ac:dyDescent="0.15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</row>
    <row r="998" spans="1:226" ht="13.5" customHeight="1" x14ac:dyDescent="0.15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</row>
    <row r="999" spans="1:226" ht="13.5" customHeight="1" x14ac:dyDescent="0.15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</row>
    <row r="1000" spans="1:226" ht="13.5" customHeight="1" x14ac:dyDescent="0.15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</row>
    <row r="1001" spans="1:226" ht="13.5" customHeight="1" x14ac:dyDescent="0.15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</row>
    <row r="1002" spans="1:226" ht="13.5" customHeight="1" x14ac:dyDescent="0.15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</row>
    <row r="1003" spans="1:226" ht="13.5" customHeight="1" x14ac:dyDescent="0.15">
      <c r="A1003" s="1"/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</row>
    <row r="1004" spans="1:226" ht="13.5" customHeight="1" x14ac:dyDescent="0.15">
      <c r="A1004" s="1"/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</row>
    <row r="1005" spans="1:226" ht="13.5" customHeight="1" x14ac:dyDescent="0.15">
      <c r="A1005" s="1"/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</row>
    <row r="1006" spans="1:226" ht="13.5" customHeight="1" x14ac:dyDescent="0.15">
      <c r="A1006" s="1"/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</row>
    <row r="1007" spans="1:226" ht="13.5" customHeight="1" x14ac:dyDescent="0.15">
      <c r="A1007" s="1"/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</row>
    <row r="1008" spans="1:226" ht="13.5" customHeight="1" x14ac:dyDescent="0.15">
      <c r="A1008" s="1"/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</row>
    <row r="1009" spans="1:226" ht="13.5" customHeight="1" x14ac:dyDescent="0.15">
      <c r="A1009" s="1"/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</row>
    <row r="1010" spans="1:226" ht="13.5" customHeight="1" x14ac:dyDescent="0.15">
      <c r="A1010" s="1"/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</row>
    <row r="1011" spans="1:226" ht="13.5" customHeight="1" x14ac:dyDescent="0.15">
      <c r="A1011" s="1"/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</row>
    <row r="1012" spans="1:226" ht="13.5" customHeight="1" x14ac:dyDescent="0.15">
      <c r="A1012" s="1"/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</row>
    <row r="1013" spans="1:226" ht="13.5" customHeight="1" x14ac:dyDescent="0.15">
      <c r="A1013" s="1"/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</row>
  </sheetData>
  <hyperlinks>
    <hyperlink ref="A1" location="Main!A1" display="Main" xr:uid="{00000000-0004-0000-0100-000000000000}"/>
  </hyperlinks>
  <pageMargins left="0.7" right="0.7" top="0.75" bottom="0.75" header="0.3" footer="0.3"/>
  <ignoredErrors>
    <ignoredError sqref="M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Jameel Brannon</cp:lastModifiedBy>
  <dcterms:modified xsi:type="dcterms:W3CDTF">2026-08-29T04:10:39Z</dcterms:modified>
</cp:coreProperties>
</file>