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" sheetId="1" r:id="rId5"/>
    <sheet state="visible" name="Model" sheetId="2" r:id="rId6"/>
    <sheet state="visible" name="Bonds" sheetId="3" r:id="rId7"/>
  </sheets>
  <definedNames/>
  <calcPr/>
</workbook>
</file>

<file path=xl/sharedStrings.xml><?xml version="1.0" encoding="utf-8"?>
<sst xmlns="http://schemas.openxmlformats.org/spreadsheetml/2006/main" count="120" uniqueCount="105">
  <si>
    <t>Main</t>
  </si>
  <si>
    <t xml:space="preserve">Founded: 1950 by Morris Ross in Pacifica, California </t>
  </si>
  <si>
    <t>IPO: 1985</t>
  </si>
  <si>
    <t>Ticker</t>
  </si>
  <si>
    <t>Clean Price</t>
  </si>
  <si>
    <t>Coupon</t>
  </si>
  <si>
    <t xml:space="preserve">Maturity </t>
  </si>
  <si>
    <t>Time Remaining</t>
  </si>
  <si>
    <t>P</t>
  </si>
  <si>
    <t>Remaining Coupons</t>
  </si>
  <si>
    <t xml:space="preserve">Net Coupon Income </t>
  </si>
  <si>
    <t>Capital Gains</t>
  </si>
  <si>
    <t xml:space="preserve">Total Return </t>
  </si>
  <si>
    <t>IRR</t>
  </si>
  <si>
    <t xml:space="preserve">Remaining </t>
  </si>
  <si>
    <t>ROST</t>
  </si>
  <si>
    <t>CEO: Mr. James G. Conroy</t>
  </si>
  <si>
    <t>S</t>
  </si>
  <si>
    <t>Q226</t>
  </si>
  <si>
    <t xml:space="preserve">CFO </t>
  </si>
  <si>
    <t>MC</t>
  </si>
  <si>
    <t>C</t>
  </si>
  <si>
    <t>LT</t>
  </si>
  <si>
    <t>D</t>
  </si>
  <si>
    <t>Press</t>
  </si>
  <si>
    <t>Note</t>
  </si>
  <si>
    <t>EV</t>
  </si>
  <si>
    <t>$M</t>
  </si>
  <si>
    <t>Current</t>
  </si>
  <si>
    <t xml:space="preserve">Debt Exhibit </t>
  </si>
  <si>
    <t>1.4mm shares repurchased at $319mm ~ avg price $228</t>
  </si>
  <si>
    <t>4.7, 4.8, 5.45 note</t>
  </si>
  <si>
    <t>Q126</t>
  </si>
  <si>
    <t>1.5mm shares repurchased at $319mm ~ avg price $210</t>
  </si>
  <si>
    <t>1.875 note</t>
  </si>
  <si>
    <t>Q425</t>
  </si>
  <si>
    <t>0.875 note</t>
  </si>
  <si>
    <t>1.5mm shares repurchased at $262mm ~ avg price $175</t>
  </si>
  <si>
    <t>Q325</t>
  </si>
  <si>
    <t>1.7mm shares repurchased at $262mm ~ avg price $154</t>
  </si>
  <si>
    <t>Q225</t>
  </si>
  <si>
    <t>1.9mm shares repurchased at $262mm ~ avg price $262</t>
  </si>
  <si>
    <t>Q124</t>
  </si>
  <si>
    <t>Q224</t>
  </si>
  <si>
    <t>Q324</t>
  </si>
  <si>
    <t>Q424</t>
  </si>
  <si>
    <t>Q125</t>
  </si>
  <si>
    <t>Q326</t>
  </si>
  <si>
    <t>Q426</t>
  </si>
  <si>
    <t>Store Count</t>
  </si>
  <si>
    <t>Revenue Per Store</t>
  </si>
  <si>
    <t>SSS</t>
  </si>
  <si>
    <t>n/a</t>
  </si>
  <si>
    <t>Net Sales</t>
  </si>
  <si>
    <t>COGS</t>
  </si>
  <si>
    <t>SG&amp;A</t>
  </si>
  <si>
    <t>Operating Income</t>
  </si>
  <si>
    <t>Interest Income, Net</t>
  </si>
  <si>
    <t>Earnings Before Taxes</t>
  </si>
  <si>
    <t>Taxes</t>
  </si>
  <si>
    <t>Net Income</t>
  </si>
  <si>
    <t>Diluted</t>
  </si>
  <si>
    <t>EPS</t>
  </si>
  <si>
    <t>ROIC</t>
  </si>
  <si>
    <t xml:space="preserve">Growth YY </t>
  </si>
  <si>
    <t>Discount</t>
  </si>
  <si>
    <t>Maturity</t>
  </si>
  <si>
    <t>Gross Margin</t>
  </si>
  <si>
    <t>NPV</t>
  </si>
  <si>
    <t>Operating Margin</t>
  </si>
  <si>
    <t>Shares</t>
  </si>
  <si>
    <t>Estimate</t>
  </si>
  <si>
    <t xml:space="preserve">Cash </t>
  </si>
  <si>
    <t>Upside</t>
  </si>
  <si>
    <t>A/R</t>
  </si>
  <si>
    <t>Merch Inventory</t>
  </si>
  <si>
    <t>Prepaid Expense</t>
  </si>
  <si>
    <t>PPE</t>
  </si>
  <si>
    <t>Op Lease</t>
  </si>
  <si>
    <t>OLTA</t>
  </si>
  <si>
    <t xml:space="preserve">Total Assets </t>
  </si>
  <si>
    <t>A/P</t>
  </si>
  <si>
    <t>Accrued Exp</t>
  </si>
  <si>
    <t>Current Op Lease</t>
  </si>
  <si>
    <t>Acrued Payroll</t>
  </si>
  <si>
    <t>Income Taxes Payable</t>
  </si>
  <si>
    <t>Current Debt</t>
  </si>
  <si>
    <t>LTD</t>
  </si>
  <si>
    <t>NC Op Lease</t>
  </si>
  <si>
    <t>OLTL</t>
  </si>
  <si>
    <t>Deferred Income Taxes</t>
  </si>
  <si>
    <t>Equity</t>
  </si>
  <si>
    <t>Total Liabilities + Equity</t>
  </si>
  <si>
    <t>Total Debt</t>
  </si>
  <si>
    <t xml:space="preserve">Total Cash </t>
  </si>
  <si>
    <t xml:space="preserve">Net Cash </t>
  </si>
  <si>
    <t>DSO</t>
  </si>
  <si>
    <t>DIO</t>
  </si>
  <si>
    <t>DPO</t>
  </si>
  <si>
    <t>CCC</t>
  </si>
  <si>
    <t>CFFO</t>
  </si>
  <si>
    <t>Capex</t>
  </si>
  <si>
    <t xml:space="preserve">Free Cash Flow </t>
  </si>
  <si>
    <t>4Q Moving FCF</t>
  </si>
  <si>
    <t>4Q Moving NI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</si>
</sst>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/dd/yyyy"/>
    <numFmt numFmtId="165" formatCode="m/d/yyyy"/>
    <numFmt numFmtId="166" formatCode="m&quot;/&quot;d"/>
    <numFmt numFmtId="167" formatCode="#,##0.0"/>
  </numFmts>
  <fonts count="8">
    <font>
      <sz val="10.0"/>
      <color rgb="FF000000"/>
      <name val="Arial"/>
      <scheme val="minor"/>
    </font>
    <font>
      <color theme="1"/>
      <name val="Arial"/>
      <scheme val="minor"/>
    </font>
    <font>
      <color rgb="FF6FA8DC"/>
      <name val="Arial"/>
      <scheme val="minor"/>
    </font>
    <font>
      <u/>
      <color rgb="FF0000FF"/>
    </font>
    <font>
      <color rgb="FF1C4587"/>
      <name val="Arial"/>
      <scheme val="minor"/>
    </font>
    <font>
      <u/>
      <color rgb="FF0000FF"/>
    </font>
    <font>
      <u/>
      <color rgb="FF0000FF"/>
    </font>
    <font>
      <i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0" fontId="1" numFmtId="3" xfId="0" applyFont="1" applyNumberFormat="1"/>
    <xf borderId="0" fillId="0" fontId="1" numFmtId="3" xfId="0" applyAlignment="1" applyFont="1" applyNumberFormat="1">
      <alignment horizontal="right"/>
    </xf>
    <xf borderId="0" fillId="0" fontId="2" numFmtId="3" xfId="0" applyFont="1" applyNumberFormat="1"/>
    <xf borderId="0" fillId="0" fontId="3" numFmtId="0" xfId="0" applyAlignment="1" applyFont="1">
      <alignment readingOrder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right"/>
    </xf>
    <xf borderId="0" fillId="0" fontId="1" numFmtId="0" xfId="0" applyAlignment="1" applyFont="1">
      <alignment readingOrder="0"/>
    </xf>
    <xf borderId="0" fillId="0" fontId="4" numFmtId="14" xfId="0" applyAlignment="1" applyFont="1" applyNumberFormat="1">
      <alignment horizontal="center"/>
    </xf>
    <xf borderId="0" fillId="0" fontId="4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3" xfId="0" applyAlignment="1" applyFont="1" applyNumberFormat="1">
      <alignment readingOrder="0"/>
    </xf>
    <xf borderId="0" fillId="0" fontId="4" numFmtId="10" xfId="0" applyAlignment="1" applyFont="1" applyNumberFormat="1">
      <alignment horizontal="center" readingOrder="0"/>
    </xf>
    <xf borderId="0" fillId="0" fontId="4" numFmtId="164" xfId="0" applyAlignment="1" applyFont="1" applyNumberFormat="1">
      <alignment horizontal="center" readingOrder="0"/>
    </xf>
    <xf borderId="0" fillId="0" fontId="2" numFmtId="3" xfId="0" applyAlignment="1" applyFont="1" applyNumberFormat="1">
      <alignment horizontal="right" readingOrder="0"/>
    </xf>
    <xf borderId="0" fillId="0" fontId="1" numFmtId="10" xfId="0" applyAlignment="1" applyFont="1" applyNumberFormat="1">
      <alignment horizontal="center"/>
    </xf>
    <xf borderId="0" fillId="0" fontId="1" numFmtId="3" xfId="0" applyAlignment="1" applyFont="1" applyNumberFormat="1">
      <alignment horizontal="center" readingOrder="0"/>
    </xf>
    <xf borderId="0" fillId="0" fontId="4" numFmtId="165" xfId="0" applyAlignment="1" applyFont="1" applyNumberFormat="1">
      <alignment horizontal="center" readingOrder="0"/>
    </xf>
    <xf borderId="0" fillId="0" fontId="1" numFmtId="166" xfId="0" applyAlignment="1" applyFont="1" applyNumberFormat="1">
      <alignment readingOrder="0"/>
    </xf>
    <xf borderId="0" fillId="0" fontId="1" numFmtId="166" xfId="0" applyFont="1" applyNumberFormat="1"/>
    <xf borderId="0" fillId="0" fontId="1" numFmtId="166" xfId="0" applyAlignment="1" applyFont="1" applyNumberFormat="1">
      <alignment horizontal="right" readingOrder="0"/>
    </xf>
    <xf borderId="0" fillId="0" fontId="1" numFmtId="3" xfId="0" applyAlignment="1" applyFont="1" applyNumberFormat="1">
      <alignment horizontal="center"/>
    </xf>
    <xf borderId="0" fillId="0" fontId="1" numFmtId="164" xfId="0" applyAlignment="1" applyFont="1" applyNumberFormat="1">
      <alignment horizontal="center" readingOrder="0"/>
    </xf>
    <xf borderId="0" fillId="0" fontId="1" numFmtId="166" xfId="0" applyAlignment="1" applyFont="1" applyNumberFormat="1">
      <alignment horizontal="right"/>
    </xf>
    <xf borderId="0" fillId="0" fontId="5" numFmtId="3" xfId="0" applyAlignment="1" applyFont="1" applyNumberFormat="1">
      <alignment readingOrder="0"/>
    </xf>
    <xf borderId="0" fillId="0" fontId="6" numFmtId="0" xfId="0" applyAlignment="1" applyFont="1">
      <alignment horizontal="left" readingOrder="0"/>
    </xf>
    <xf borderId="0" fillId="0" fontId="1" numFmtId="0" xfId="0" applyAlignment="1" applyFont="1">
      <alignment horizontal="right" readingOrder="0"/>
    </xf>
    <xf borderId="0" fillId="0" fontId="4" numFmtId="3" xfId="0" applyAlignment="1" applyFont="1" applyNumberFormat="1">
      <alignment horizontal="right" readingOrder="0"/>
    </xf>
    <xf borderId="0" fillId="0" fontId="1" numFmtId="3" xfId="0" applyAlignment="1" applyFont="1" applyNumberFormat="1">
      <alignment horizontal="right" readingOrder="0"/>
    </xf>
    <xf borderId="0" fillId="0" fontId="1" numFmtId="9" xfId="0" applyFont="1" applyNumberFormat="1"/>
    <xf borderId="0" fillId="0" fontId="1" numFmtId="9" xfId="0" applyAlignment="1" applyFont="1" applyNumberFormat="1">
      <alignment readingOrder="0"/>
    </xf>
    <xf borderId="0" fillId="0" fontId="1" numFmtId="9" xfId="0" applyAlignment="1" applyFont="1" applyNumberFormat="1">
      <alignment horizontal="right" readingOrder="0"/>
    </xf>
    <xf borderId="0" fillId="0" fontId="1" numFmtId="9" xfId="0" applyAlignment="1" applyFont="1" applyNumberFormat="1">
      <alignment horizontal="right"/>
    </xf>
    <xf borderId="0" fillId="0" fontId="4" numFmtId="3" xfId="0" applyAlignment="1" applyFont="1" applyNumberFormat="1">
      <alignment horizontal="right"/>
    </xf>
    <xf borderId="0" fillId="0" fontId="7" numFmtId="3" xfId="0" applyAlignment="1" applyFont="1" applyNumberFormat="1">
      <alignment horizontal="right" readingOrder="0"/>
    </xf>
    <xf borderId="0" fillId="0" fontId="1" numFmtId="167" xfId="0" applyFont="1" applyNumberFormat="1"/>
    <xf borderId="0" fillId="0" fontId="1" numFmtId="167" xfId="0" applyAlignment="1" applyFont="1" applyNumberFormat="1">
      <alignment readingOrder="0"/>
    </xf>
    <xf borderId="0" fillId="0" fontId="1" numFmtId="167" xfId="0" applyAlignment="1" applyFont="1" applyNumberFormat="1">
      <alignment horizontal="right"/>
    </xf>
    <xf borderId="0" fillId="0" fontId="1" numFmtId="3" xfId="0" applyAlignment="1" applyFont="1" applyNumberFormat="1">
      <alignment horizontal="left" readingOrder="0"/>
    </xf>
    <xf borderId="0" fillId="0" fontId="1" numFmtId="10" xfId="0" applyAlignment="1" applyFont="1" applyNumberFormat="1">
      <alignment horizontal="right" readingOrder="0"/>
    </xf>
    <xf borderId="0" fillId="0" fontId="7" numFmtId="9" xfId="0" applyFont="1" applyNumberFormat="1"/>
    <xf borderId="0" fillId="0" fontId="7" numFmtId="9" xfId="0" applyAlignment="1" applyFont="1" applyNumberFormat="1">
      <alignment readingOrder="0"/>
    </xf>
    <xf borderId="0" fillId="0" fontId="7" numFmtId="9" xfId="0" applyAlignment="1" applyFont="1" applyNumberFormat="1">
      <alignment horizontal="right"/>
    </xf>
    <xf borderId="0" fillId="0" fontId="7" numFmtId="0" xfId="0" applyAlignment="1" applyFont="1">
      <alignment horizontal="left" readingOrder="0"/>
    </xf>
    <xf borderId="0" fillId="0" fontId="7" numFmtId="10" xfId="0" applyAlignment="1" applyFont="1" applyNumberFormat="1">
      <alignment horizontal="right" readingOrder="0"/>
    </xf>
    <xf borderId="0" fillId="0" fontId="7" numFmtId="0" xfId="0" applyAlignment="1" applyFont="1">
      <alignment readingOrder="0"/>
    </xf>
    <xf borderId="0" fillId="0" fontId="7" numFmtId="3" xfId="0" applyAlignment="1" applyFont="1" applyNumberFormat="1">
      <alignment horizontal="right"/>
    </xf>
    <xf borderId="0" fillId="0" fontId="1" numFmtId="10" xfId="0" applyAlignment="1" applyFont="1" applyNumberFormat="1">
      <alignment horizontal="right"/>
    </xf>
    <xf borderId="0" fillId="0" fontId="1" numFmtId="3" xfId="0" applyAlignment="1" applyFont="1" applyNumberForma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investors.rossstores.com/static-files/b6516ea9-194e-459e-9f14-0476f430cd76" TargetMode="External"/><Relationship Id="rId2" Type="http://schemas.openxmlformats.org/officeDocument/2006/relationships/hyperlink" Target="https://investors.rossstores.com/news-releases/news-release-details/ross-stores-reports-robust-first-quarter-sales-and-earnings" TargetMode="External"/><Relationship Id="rId3" Type="http://schemas.openxmlformats.org/officeDocument/2006/relationships/hyperlink" Target="http://orts-fourth-quarter-earnings-well-above-guidance/" TargetMode="External"/><Relationship Id="rId4" Type="http://schemas.openxmlformats.org/officeDocument/2006/relationships/hyperlink" Target="https://investors.rossstores.com/news-releases/news-release-details/ross-stores-exceeds-third-quarter-earnings-guidance-raises-full" TargetMode="External"/><Relationship Id="rId5" Type="http://schemas.openxmlformats.org/officeDocument/2006/relationships/hyperlink" Target="https://investors.rossstores.com/news-releases/news-release-details/ross-stores-reports-second-quarter-earnings-5" TargetMode="External"/><Relationship Id="rId6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ec.gov/Archives/edgar/data/745732/000074573220000038/exhibit42.htm" TargetMode="External"/><Relationship Id="rId2" Type="http://schemas.openxmlformats.org/officeDocument/2006/relationships/hyperlink" Target="https://www.sec.gov/Archives/edgar/data/745732/000074573220000087/exhibit42oct.htm" TargetMode="External"/><Relationship Id="rId3" Type="http://schemas.openxmlformats.org/officeDocument/2006/relationships/hyperlink" Target="https://www.sec.gov/Archives/edgar/data/745732/000074573220000087/exhibit42oct.htm" TargetMode="External"/><Relationship Id="rId4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63"/>
    <col customWidth="1" min="2" max="2" width="5.13"/>
    <col customWidth="1" min="10" max="10" width="5.75"/>
    <col customWidth="1" min="11" max="11" width="6.13"/>
    <col customWidth="1" min="12" max="12" width="9.0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7" t="s">
        <v>1</v>
      </c>
      <c r="C2" s="1"/>
      <c r="D2" s="1"/>
      <c r="E2" s="1"/>
      <c r="F2" s="1"/>
      <c r="G2" s="1"/>
      <c r="H2" s="1"/>
      <c r="I2" s="1"/>
      <c r="J2" s="1"/>
      <c r="K2" s="1"/>
      <c r="L2" s="2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7" t="s">
        <v>2</v>
      </c>
      <c r="C3" s="1"/>
      <c r="D3" s="1"/>
      <c r="E3" s="1"/>
      <c r="F3" s="1"/>
      <c r="G3" s="1"/>
      <c r="H3" s="1"/>
      <c r="I3" s="1"/>
      <c r="J3" s="11" t="s">
        <v>8</v>
      </c>
      <c r="K3" s="11">
        <v>248.58</v>
      </c>
      <c r="L3" s="2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1" t="s">
        <v>16</v>
      </c>
      <c r="C4" s="1"/>
      <c r="D4" s="1"/>
      <c r="E4" s="1"/>
      <c r="F4" s="1"/>
      <c r="G4" s="1"/>
      <c r="H4" s="1"/>
      <c r="I4" s="1"/>
      <c r="J4" s="11" t="s">
        <v>17</v>
      </c>
      <c r="K4" s="1">
        <f>Model!L16</f>
        <v>319.45</v>
      </c>
      <c r="L4" s="14" t="s">
        <v>18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1" t="s">
        <v>19</v>
      </c>
      <c r="C5" s="1"/>
      <c r="D5" s="1"/>
      <c r="E5" s="1"/>
      <c r="F5" s="1"/>
      <c r="G5" s="1"/>
      <c r="H5" s="1"/>
      <c r="I5" s="1"/>
      <c r="J5" s="11" t="s">
        <v>20</v>
      </c>
      <c r="K5" s="1">
        <f>K3*K4</f>
        <v>79408.881</v>
      </c>
      <c r="L5" s="2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1"/>
      <c r="H6" s="1"/>
      <c r="I6" s="1"/>
      <c r="J6" s="11" t="s">
        <v>21</v>
      </c>
      <c r="K6" s="1">
        <f>Model!L48</f>
        <v>4288.124</v>
      </c>
      <c r="L6" s="2" t="str">
        <f>L4</f>
        <v>Q226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1"/>
      <c r="H7" s="1"/>
      <c r="I7" s="1"/>
      <c r="J7" s="11" t="s">
        <v>23</v>
      </c>
      <c r="K7" s="1">
        <f>Model!L47</f>
        <v>1018.512</v>
      </c>
      <c r="L7" s="2" t="str">
        <f>L6</f>
        <v>Q226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1" t="s">
        <v>24</v>
      </c>
      <c r="C8" s="11" t="s">
        <v>25</v>
      </c>
      <c r="D8" s="1"/>
      <c r="E8" s="1"/>
      <c r="F8" s="1"/>
      <c r="G8" s="1"/>
      <c r="H8" s="1"/>
      <c r="I8" s="1"/>
      <c r="J8" s="11" t="s">
        <v>26</v>
      </c>
      <c r="K8" s="1">
        <f>K5-K6+K7</f>
        <v>76139.269</v>
      </c>
      <c r="L8" s="2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24" t="s">
        <v>18</v>
      </c>
      <c r="C9" s="11" t="s">
        <v>30</v>
      </c>
      <c r="D9" s="1"/>
      <c r="E9" s="1"/>
      <c r="F9" s="1"/>
      <c r="G9" s="1"/>
      <c r="H9" s="1"/>
      <c r="I9" s="1"/>
      <c r="J9" s="1"/>
      <c r="K9" s="1"/>
      <c r="L9" s="2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24" t="s">
        <v>32</v>
      </c>
      <c r="C10" s="11" t="s">
        <v>33</v>
      </c>
      <c r="D10" s="1"/>
      <c r="E10" s="1"/>
      <c r="F10" s="1"/>
      <c r="G10" s="1"/>
      <c r="H10" s="1"/>
      <c r="I10" s="1"/>
      <c r="J10" s="1"/>
      <c r="K10" s="1"/>
      <c r="L10" s="2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24" t="s">
        <v>35</v>
      </c>
      <c r="C11" s="11" t="s">
        <v>37</v>
      </c>
      <c r="D11" s="1"/>
      <c r="E11" s="1"/>
      <c r="F11" s="1"/>
      <c r="G11" s="1"/>
      <c r="H11" s="1"/>
      <c r="I11" s="1"/>
      <c r="J11" s="1"/>
      <c r="K11" s="1"/>
      <c r="L11" s="2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24" t="s">
        <v>38</v>
      </c>
      <c r="C12" s="11" t="s">
        <v>39</v>
      </c>
      <c r="D12" s="1"/>
      <c r="E12" s="1"/>
      <c r="F12" s="1"/>
      <c r="G12" s="1"/>
      <c r="H12" s="1"/>
      <c r="I12" s="1"/>
      <c r="J12" s="1"/>
      <c r="K12" s="1"/>
      <c r="L12" s="2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24" t="s">
        <v>40</v>
      </c>
      <c r="C13" s="11" t="s">
        <v>41</v>
      </c>
      <c r="D13" s="1"/>
      <c r="E13" s="1"/>
      <c r="F13" s="1"/>
      <c r="G13" s="1"/>
      <c r="H13" s="1"/>
      <c r="I13" s="1"/>
      <c r="J13" s="1"/>
      <c r="K13" s="1"/>
      <c r="L13" s="2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2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2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2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2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2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2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2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2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2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2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2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2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2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2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2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2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2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2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2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2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2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2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2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2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2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2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2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2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2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2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2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2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2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2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2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2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2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2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2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2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2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2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2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2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2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2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2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2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2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2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2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2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2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2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2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2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2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2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2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2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2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2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2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2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2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2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2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2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2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2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2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2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2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2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2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2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2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2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2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2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2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2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2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2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2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2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2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2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2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2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2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2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2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2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2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2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2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2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2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2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2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2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2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2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2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2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2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2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2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2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2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2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2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2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2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2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2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2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2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2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2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2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2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2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2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2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2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2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2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2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2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2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2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2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2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2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2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2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2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2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2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2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2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2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2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2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2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2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2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2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2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2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2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2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2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2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2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2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2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2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2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2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2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2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2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2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2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2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2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2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2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2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2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2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2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2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2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2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2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2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2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2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2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2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2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2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2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2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2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2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2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2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2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2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2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2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2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2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2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2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2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2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2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2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2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2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2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2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2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2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2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2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2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2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2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2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2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2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2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2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2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2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2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2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2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2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2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2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2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2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2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2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2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2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2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2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2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2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2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2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2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2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2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2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2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2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2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2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2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2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2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2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2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2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2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2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2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2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2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2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2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2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2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2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2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2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2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2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2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2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2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2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2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2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2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2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2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2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2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2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2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2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2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2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2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2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2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2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2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2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2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2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2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2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2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2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2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2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2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2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2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2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2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2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2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2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2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2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2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2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2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2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2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2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2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2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2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2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2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2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2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2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2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2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2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2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2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2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2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2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2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2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2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2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2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2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2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2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2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2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2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2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2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2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2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2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2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2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2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2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2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2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2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2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2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2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2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2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2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2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2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2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2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2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2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2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2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2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2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2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2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2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2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2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2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2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2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2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2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2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2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2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2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2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2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2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2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2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2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2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2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2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2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2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2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2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2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2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2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2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2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2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2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2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2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2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2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2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2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2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2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2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2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2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2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2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2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2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2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2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2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2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2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2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2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2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2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2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2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2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2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2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2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2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2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2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2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2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2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2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2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2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2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2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2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2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2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2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2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2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2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2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2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2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2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2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2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2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2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2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2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2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2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2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2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2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2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2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2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2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2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2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2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2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2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2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2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2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2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2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2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2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2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2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2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2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2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2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2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2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2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2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2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2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2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2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2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2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2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2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2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2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2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2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2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2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2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2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2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2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2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2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2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2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2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2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2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2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2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2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2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2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2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2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2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2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2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2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2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2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2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2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2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2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2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2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2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2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2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2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2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2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2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2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2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2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2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2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2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2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2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2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2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2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2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2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2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2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2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2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2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2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2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2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2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2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2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2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2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2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2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2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2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2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2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2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2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2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2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2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2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2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2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2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2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2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2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2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2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2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2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2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2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2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2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2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2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2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2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2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2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2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2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2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2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2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2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2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2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2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2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2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2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2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2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2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2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2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2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2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2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2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2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2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2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2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2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2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2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2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2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2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2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2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2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2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2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2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2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2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2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2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2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2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2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2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2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2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2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2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2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2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2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2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2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2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2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2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2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2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2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2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2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2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2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2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2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2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2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2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2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2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2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2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2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2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2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2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2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2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2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2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2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2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2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2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2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2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2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2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2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2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2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2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2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2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2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2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2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2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2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2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2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2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2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2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2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2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2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2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2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2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2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2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2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2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2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2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2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2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2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2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2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2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2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2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2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2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2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2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2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2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2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2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2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2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2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2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2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2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2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2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2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2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2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2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2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2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2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2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2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2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2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2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2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2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2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2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2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2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2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2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2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2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2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2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2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2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2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2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2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2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2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2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2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2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2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2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2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2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2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2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2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2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2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2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2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2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2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2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2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2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2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2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2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2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2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2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2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2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2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2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2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2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2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2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2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2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2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2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2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2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2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2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2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2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2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2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2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2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2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2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2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2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2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2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2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2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2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2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2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2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2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2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2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2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2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2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2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2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2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2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2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2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2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2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2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2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2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2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2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2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2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2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2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2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2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2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2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2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2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2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2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2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2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2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2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2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2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2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2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2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2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2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2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2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2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2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2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2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2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2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2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2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2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2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2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2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2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2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2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2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2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2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2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2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2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2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2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2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2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2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2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2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2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2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2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2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2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2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2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2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2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2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2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2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2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2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2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2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2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2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2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2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2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2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2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2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2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2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2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2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2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2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2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2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2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2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2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2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2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2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2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2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2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2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2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2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2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2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2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2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2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2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2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2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2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2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2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2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2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2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2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2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2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2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2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2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2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2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2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2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2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2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2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2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2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2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2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2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2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2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2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2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2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2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2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2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hyperlinks>
    <hyperlink r:id="rId1" ref="B9"/>
    <hyperlink r:id="rId2" ref="B10"/>
    <hyperlink r:id="rId3" ref="B11"/>
    <hyperlink r:id="rId4" ref="B12"/>
    <hyperlink r:id="rId5" ref="B13"/>
  </hyperlinks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4.63"/>
    <col customWidth="1" min="2" max="2" width="18.38"/>
    <col customWidth="1" min="3" max="5" width="5.13"/>
    <col customWidth="1" min="6" max="12" width="6.13"/>
    <col customWidth="1" min="13" max="14" width="5.13"/>
    <col customWidth="1" min="15" max="16" width="3.63"/>
    <col customWidth="1" min="17" max="33" width="6.13"/>
    <col customWidth="1" min="34" max="36" width="4.75"/>
    <col customWidth="1" min="37" max="37" width="7.5"/>
    <col customWidth="1" min="38" max="38" width="6.13"/>
    <col customWidth="1" min="39" max="204" width="4.75"/>
  </cols>
  <sheetData>
    <row r="1" ht="13.5" customHeight="1">
      <c r="A1" s="4" t="s">
        <v>0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  <c r="EH1" s="6"/>
      <c r="EI1" s="6"/>
      <c r="EJ1" s="6"/>
      <c r="EK1" s="6"/>
      <c r="EL1" s="6"/>
      <c r="EM1" s="6"/>
      <c r="EN1" s="6"/>
      <c r="EO1" s="6"/>
      <c r="EP1" s="6"/>
      <c r="EQ1" s="6"/>
      <c r="ER1" s="6"/>
      <c r="ES1" s="6"/>
      <c r="ET1" s="6"/>
      <c r="EU1" s="6"/>
      <c r="EV1" s="6"/>
      <c r="EW1" s="6"/>
      <c r="EX1" s="6"/>
      <c r="EY1" s="6"/>
      <c r="EZ1" s="6"/>
      <c r="FA1" s="6"/>
      <c r="FB1" s="6"/>
      <c r="FC1" s="6"/>
      <c r="FD1" s="6"/>
      <c r="FE1" s="6"/>
      <c r="FF1" s="6"/>
      <c r="FG1" s="6"/>
      <c r="FH1" s="6"/>
      <c r="FI1" s="6"/>
      <c r="FJ1" s="6"/>
      <c r="FK1" s="6"/>
      <c r="FL1" s="6"/>
      <c r="FM1" s="6"/>
      <c r="FN1" s="6"/>
      <c r="FO1" s="6"/>
      <c r="FP1" s="6"/>
      <c r="FQ1" s="6"/>
      <c r="FR1" s="6"/>
      <c r="FS1" s="6"/>
      <c r="FT1" s="6"/>
      <c r="FU1" s="6"/>
      <c r="FV1" s="6"/>
      <c r="FW1" s="6"/>
      <c r="FX1" s="6"/>
      <c r="FY1" s="6"/>
      <c r="FZ1" s="6"/>
      <c r="GA1" s="6"/>
      <c r="GB1" s="6"/>
      <c r="GC1" s="6"/>
      <c r="GD1" s="6"/>
      <c r="GE1" s="6"/>
      <c r="GF1" s="6"/>
      <c r="GG1" s="6"/>
      <c r="GH1" s="6"/>
      <c r="GI1" s="6"/>
      <c r="GJ1" s="6"/>
      <c r="GK1" s="6"/>
      <c r="GL1" s="6"/>
      <c r="GM1" s="6"/>
      <c r="GN1" s="6"/>
      <c r="GO1" s="6"/>
      <c r="GP1" s="6"/>
      <c r="GQ1" s="6"/>
      <c r="GR1" s="6"/>
      <c r="GS1" s="6"/>
      <c r="GT1" s="6"/>
      <c r="GU1" s="6"/>
      <c r="GV1" s="6"/>
    </row>
    <row r="2" ht="13.5" customHeight="1">
      <c r="A2" s="18" t="s">
        <v>27</v>
      </c>
      <c r="B2" s="19"/>
      <c r="C2" s="20">
        <v>45416.0</v>
      </c>
      <c r="D2" s="20">
        <v>45507.0</v>
      </c>
      <c r="E2" s="20">
        <v>45598.0</v>
      </c>
      <c r="F2" s="20">
        <v>45689.0</v>
      </c>
      <c r="G2" s="20">
        <v>45780.0</v>
      </c>
      <c r="H2" s="20">
        <v>45871.0</v>
      </c>
      <c r="I2" s="20">
        <v>45962.0</v>
      </c>
      <c r="J2" s="20">
        <v>46053.0</v>
      </c>
      <c r="K2" s="20">
        <v>46144.0</v>
      </c>
      <c r="L2" s="20">
        <v>46235.0</v>
      </c>
      <c r="M2" s="20"/>
      <c r="N2" s="20"/>
      <c r="O2" s="19"/>
      <c r="P2" s="19"/>
      <c r="Q2" s="20">
        <v>43862.0</v>
      </c>
      <c r="R2" s="20">
        <v>44226.0</v>
      </c>
      <c r="S2" s="20">
        <v>44590.0</v>
      </c>
      <c r="T2" s="20">
        <v>44954.0</v>
      </c>
      <c r="U2" s="20">
        <v>45325.0</v>
      </c>
      <c r="V2" s="20">
        <v>45689.0</v>
      </c>
      <c r="W2" s="20">
        <v>46053.0</v>
      </c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3"/>
      <c r="DV2" s="23"/>
      <c r="DW2" s="23"/>
      <c r="DX2" s="23"/>
      <c r="DY2" s="23"/>
      <c r="DZ2" s="23"/>
      <c r="EA2" s="23"/>
      <c r="EB2" s="23"/>
      <c r="EC2" s="23"/>
      <c r="ED2" s="23"/>
      <c r="EE2" s="23"/>
      <c r="EF2" s="23"/>
      <c r="EG2" s="23"/>
      <c r="EH2" s="23"/>
      <c r="EI2" s="23"/>
      <c r="EJ2" s="23"/>
      <c r="EK2" s="23"/>
      <c r="EL2" s="23"/>
      <c r="EM2" s="23"/>
      <c r="EN2" s="23"/>
      <c r="EO2" s="23"/>
      <c r="EP2" s="23"/>
      <c r="EQ2" s="23"/>
      <c r="ER2" s="23"/>
      <c r="ES2" s="23"/>
      <c r="ET2" s="23"/>
      <c r="EU2" s="23"/>
      <c r="EV2" s="23"/>
      <c r="EW2" s="23"/>
      <c r="EX2" s="23"/>
      <c r="EY2" s="23"/>
      <c r="EZ2" s="23"/>
      <c r="FA2" s="23"/>
      <c r="FB2" s="23"/>
      <c r="FC2" s="23"/>
      <c r="FD2" s="23"/>
      <c r="FE2" s="23"/>
      <c r="FF2" s="23"/>
      <c r="FG2" s="23"/>
      <c r="FH2" s="23"/>
      <c r="FI2" s="23"/>
      <c r="FJ2" s="23"/>
      <c r="FK2" s="23"/>
      <c r="FL2" s="23"/>
      <c r="FM2" s="23"/>
      <c r="FN2" s="23"/>
      <c r="FO2" s="23"/>
      <c r="FP2" s="23"/>
      <c r="FQ2" s="23"/>
      <c r="FR2" s="23"/>
      <c r="FS2" s="23"/>
      <c r="FT2" s="23"/>
      <c r="FU2" s="23"/>
      <c r="FV2" s="23"/>
      <c r="FW2" s="23"/>
      <c r="FX2" s="23"/>
      <c r="FY2" s="23"/>
      <c r="FZ2" s="23"/>
      <c r="GA2" s="23"/>
      <c r="GB2" s="23"/>
      <c r="GC2" s="23"/>
      <c r="GD2" s="23"/>
      <c r="GE2" s="23"/>
      <c r="GF2" s="23"/>
      <c r="GG2" s="23"/>
      <c r="GH2" s="23"/>
      <c r="GI2" s="23"/>
      <c r="GJ2" s="23"/>
      <c r="GK2" s="23"/>
      <c r="GL2" s="23"/>
      <c r="GM2" s="23"/>
      <c r="GN2" s="23"/>
      <c r="GO2" s="23"/>
      <c r="GP2" s="23"/>
      <c r="GQ2" s="23"/>
      <c r="GR2" s="23"/>
      <c r="GS2" s="23"/>
      <c r="GT2" s="23"/>
      <c r="GU2" s="23"/>
      <c r="GV2" s="23"/>
    </row>
    <row r="3" ht="13.5" customHeight="1">
      <c r="C3" s="26" t="s">
        <v>42</v>
      </c>
      <c r="D3" s="26" t="s">
        <v>43</v>
      </c>
      <c r="E3" s="26" t="s">
        <v>44</v>
      </c>
      <c r="F3" s="26" t="s">
        <v>45</v>
      </c>
      <c r="G3" s="26" t="s">
        <v>46</v>
      </c>
      <c r="H3" s="26" t="s">
        <v>40</v>
      </c>
      <c r="I3" s="26" t="s">
        <v>38</v>
      </c>
      <c r="J3" s="26" t="s">
        <v>35</v>
      </c>
      <c r="K3" s="26" t="s">
        <v>32</v>
      </c>
      <c r="L3" s="26" t="s">
        <v>18</v>
      </c>
      <c r="M3" s="26" t="s">
        <v>47</v>
      </c>
      <c r="N3" s="26" t="s">
        <v>48</v>
      </c>
      <c r="Q3" s="26">
        <v>2019.0</v>
      </c>
      <c r="R3" s="26">
        <v>2020.0</v>
      </c>
      <c r="S3" s="26">
        <v>2021.0</v>
      </c>
      <c r="T3" s="26">
        <v>2022.0</v>
      </c>
      <c r="U3" s="26">
        <v>2023.0</v>
      </c>
      <c r="V3" s="26">
        <v>2024.0</v>
      </c>
      <c r="W3" s="6">
        <f t="shared" ref="W3:AG3" si="1">V3+1</f>
        <v>2025</v>
      </c>
      <c r="X3" s="6">
        <f t="shared" si="1"/>
        <v>2026</v>
      </c>
      <c r="Y3" s="6">
        <f t="shared" si="1"/>
        <v>2027</v>
      </c>
      <c r="Z3" s="6">
        <f t="shared" si="1"/>
        <v>2028</v>
      </c>
      <c r="AA3" s="6">
        <f t="shared" si="1"/>
        <v>2029</v>
      </c>
      <c r="AB3" s="6">
        <f t="shared" si="1"/>
        <v>2030</v>
      </c>
      <c r="AC3" s="6">
        <f t="shared" si="1"/>
        <v>2031</v>
      </c>
      <c r="AD3" s="6">
        <f t="shared" si="1"/>
        <v>2032</v>
      </c>
      <c r="AE3" s="6">
        <f t="shared" si="1"/>
        <v>2033</v>
      </c>
      <c r="AF3" s="6">
        <f t="shared" si="1"/>
        <v>2034</v>
      </c>
      <c r="AG3" s="6">
        <f t="shared" si="1"/>
        <v>2035</v>
      </c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  <c r="FS3" s="6"/>
      <c r="FT3" s="6"/>
      <c r="FU3" s="6"/>
      <c r="FV3" s="6"/>
      <c r="FW3" s="6"/>
      <c r="FX3" s="6"/>
      <c r="FY3" s="6"/>
      <c r="FZ3" s="6"/>
      <c r="GA3" s="6"/>
      <c r="GB3" s="6"/>
      <c r="GC3" s="6"/>
      <c r="GD3" s="6"/>
      <c r="GE3" s="6"/>
      <c r="GF3" s="6"/>
      <c r="GG3" s="6"/>
      <c r="GH3" s="6"/>
      <c r="GI3" s="6"/>
      <c r="GJ3" s="6"/>
      <c r="GK3" s="6"/>
      <c r="GL3" s="6"/>
      <c r="GM3" s="6"/>
      <c r="GN3" s="6"/>
      <c r="GO3" s="6"/>
      <c r="GP3" s="6"/>
      <c r="GQ3" s="6"/>
      <c r="GR3" s="6"/>
      <c r="GS3" s="6"/>
      <c r="GT3" s="6"/>
      <c r="GU3" s="6"/>
      <c r="GV3" s="6"/>
    </row>
    <row r="4" ht="13.5" customHeight="1">
      <c r="A4" s="1"/>
      <c r="B4" s="11" t="s">
        <v>49</v>
      </c>
      <c r="C4" s="27">
        <v>2127.0</v>
      </c>
      <c r="D4" s="27">
        <v>2148.0</v>
      </c>
      <c r="E4" s="27">
        <v>2192.0</v>
      </c>
      <c r="F4" s="27">
        <v>2186.0</v>
      </c>
      <c r="G4" s="27">
        <v>2205.0</v>
      </c>
      <c r="H4" s="27">
        <v>2233.0</v>
      </c>
      <c r="I4" s="27">
        <v>2273.0</v>
      </c>
      <c r="J4" s="27">
        <v>2267.0</v>
      </c>
      <c r="K4" s="27">
        <v>2282.0</v>
      </c>
      <c r="L4" s="27">
        <v>2328.0</v>
      </c>
      <c r="M4" s="2">
        <f>M8/L5</f>
        <v>2289.411574</v>
      </c>
      <c r="N4" s="28">
        <v>2350.0</v>
      </c>
      <c r="O4" s="1"/>
      <c r="P4" s="1"/>
      <c r="Q4" s="28">
        <v>1805.0</v>
      </c>
      <c r="R4" s="28">
        <v>1859.0</v>
      </c>
      <c r="S4" s="28">
        <v>1923.0</v>
      </c>
      <c r="T4" s="28">
        <v>2015.0</v>
      </c>
      <c r="U4" s="28">
        <v>2109.0</v>
      </c>
      <c r="V4" s="28">
        <v>2186.0</v>
      </c>
      <c r="W4" s="28">
        <v>2267.0</v>
      </c>
      <c r="X4" s="2">
        <f>N4</f>
        <v>2350</v>
      </c>
      <c r="Y4" s="2">
        <f>2450</f>
        <v>2450</v>
      </c>
      <c r="Z4" s="2">
        <f t="shared" ref="Z4:AG4" si="2">(Y4-X4)+Y4</f>
        <v>2550</v>
      </c>
      <c r="AA4" s="2">
        <f t="shared" si="2"/>
        <v>2650</v>
      </c>
      <c r="AB4" s="2">
        <f t="shared" si="2"/>
        <v>2750</v>
      </c>
      <c r="AC4" s="2">
        <f t="shared" si="2"/>
        <v>2850</v>
      </c>
      <c r="AD4" s="2">
        <f t="shared" si="2"/>
        <v>2950</v>
      </c>
      <c r="AE4" s="2">
        <f t="shared" si="2"/>
        <v>3050</v>
      </c>
      <c r="AF4" s="2">
        <f t="shared" si="2"/>
        <v>3150</v>
      </c>
      <c r="AG4" s="2">
        <f t="shared" si="2"/>
        <v>3250</v>
      </c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</row>
    <row r="5" ht="13.5" customHeight="1">
      <c r="A5" s="1"/>
      <c r="B5" s="11" t="s">
        <v>50</v>
      </c>
      <c r="C5" s="28">
        <f t="shared" ref="C5:N5" si="3">C8/C4</f>
        <v>2.28399953</v>
      </c>
      <c r="D5" s="28">
        <f t="shared" si="3"/>
        <v>2.461601024</v>
      </c>
      <c r="E5" s="28">
        <f t="shared" si="3"/>
        <v>2.313573905</v>
      </c>
      <c r="F5" s="28">
        <f t="shared" si="3"/>
        <v>2.704610704</v>
      </c>
      <c r="G5" s="28">
        <f t="shared" si="3"/>
        <v>2.260757823</v>
      </c>
      <c r="H5" s="28">
        <f t="shared" si="3"/>
        <v>2.47610927</v>
      </c>
      <c r="I5" s="28">
        <f t="shared" si="3"/>
        <v>2.464120546</v>
      </c>
      <c r="J5" s="28">
        <f t="shared" si="3"/>
        <v>2.926991619</v>
      </c>
      <c r="K5" s="28">
        <f t="shared" si="3"/>
        <v>2.633863278</v>
      </c>
      <c r="L5" s="28">
        <f t="shared" si="3"/>
        <v>2.691102234</v>
      </c>
      <c r="M5" s="28">
        <f t="shared" si="3"/>
        <v>2.691102234</v>
      </c>
      <c r="N5" s="28">
        <f t="shared" si="3"/>
        <v>3.105974043</v>
      </c>
      <c r="O5" s="1"/>
      <c r="P5" s="1"/>
      <c r="Q5" s="28">
        <f t="shared" ref="Q5:X5" si="4">Q8/Q4</f>
        <v>8.885913019</v>
      </c>
      <c r="R5" s="28">
        <f t="shared" si="4"/>
        <v>6.741024744</v>
      </c>
      <c r="S5" s="28">
        <f t="shared" si="4"/>
        <v>9.836840354</v>
      </c>
      <c r="T5" s="28">
        <f t="shared" si="4"/>
        <v>9.278327047</v>
      </c>
      <c r="U5" s="28">
        <f t="shared" si="4"/>
        <v>9.661897108</v>
      </c>
      <c r="V5" s="28">
        <f t="shared" si="4"/>
        <v>9.665699451</v>
      </c>
      <c r="W5" s="28">
        <f t="shared" si="4"/>
        <v>10.03553551</v>
      </c>
      <c r="X5" s="28">
        <f t="shared" si="4"/>
        <v>10.95125174</v>
      </c>
      <c r="Y5" s="28">
        <f t="shared" ref="Y5:AG5" si="5">X5</f>
        <v>10.95125174</v>
      </c>
      <c r="Z5" s="28">
        <f t="shared" si="5"/>
        <v>10.95125174</v>
      </c>
      <c r="AA5" s="28">
        <f t="shared" si="5"/>
        <v>10.95125174</v>
      </c>
      <c r="AB5" s="28">
        <f t="shared" si="5"/>
        <v>10.95125174</v>
      </c>
      <c r="AC5" s="28">
        <f t="shared" si="5"/>
        <v>10.95125174</v>
      </c>
      <c r="AD5" s="28">
        <f t="shared" si="5"/>
        <v>10.95125174</v>
      </c>
      <c r="AE5" s="28">
        <f t="shared" si="5"/>
        <v>10.95125174</v>
      </c>
      <c r="AF5" s="28">
        <f t="shared" si="5"/>
        <v>10.95125174</v>
      </c>
      <c r="AG5" s="28">
        <f t="shared" si="5"/>
        <v>10.95125174</v>
      </c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</row>
    <row r="6" ht="13.5" customHeight="1">
      <c r="A6" s="1"/>
      <c r="B6" s="11"/>
      <c r="C6" s="28"/>
      <c r="D6" s="28"/>
      <c r="E6" s="28"/>
      <c r="F6" s="2"/>
      <c r="G6" s="28"/>
      <c r="H6" s="28"/>
      <c r="I6" s="28"/>
      <c r="J6" s="2"/>
      <c r="K6" s="28"/>
      <c r="L6" s="2"/>
      <c r="M6" s="2"/>
      <c r="N6" s="2"/>
      <c r="O6" s="1"/>
      <c r="P6" s="1"/>
      <c r="Q6" s="28"/>
      <c r="R6" s="28"/>
      <c r="S6" s="28"/>
      <c r="T6" s="28"/>
      <c r="U6" s="28"/>
      <c r="V6" s="28"/>
      <c r="W6" s="28">
        <f>W4*W5</f>
        <v>22750.559</v>
      </c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</row>
    <row r="7" ht="13.5" customHeight="1">
      <c r="A7" s="29"/>
      <c r="B7" s="30" t="s">
        <v>51</v>
      </c>
      <c r="C7" s="31"/>
      <c r="D7" s="31"/>
      <c r="E7" s="31"/>
      <c r="F7" s="32"/>
      <c r="G7" s="31"/>
      <c r="H7" s="31">
        <v>0.02</v>
      </c>
      <c r="I7" s="31">
        <v>0.07</v>
      </c>
      <c r="J7" s="31">
        <v>0.09</v>
      </c>
      <c r="K7" s="31">
        <v>0.17</v>
      </c>
      <c r="L7" s="31">
        <v>0.1</v>
      </c>
      <c r="M7" s="32"/>
      <c r="N7" s="32"/>
      <c r="O7" s="29"/>
      <c r="P7" s="29"/>
      <c r="Q7" s="31">
        <v>0.03</v>
      </c>
      <c r="R7" s="26" t="s">
        <v>52</v>
      </c>
      <c r="S7" s="31">
        <v>0.13</v>
      </c>
      <c r="T7" s="31">
        <v>-0.04</v>
      </c>
      <c r="U7" s="31">
        <v>0.05</v>
      </c>
      <c r="V7" s="31">
        <v>0.03</v>
      </c>
      <c r="W7" s="31">
        <v>0.05</v>
      </c>
      <c r="X7" s="31">
        <v>0.06</v>
      </c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  <c r="EY7" s="32"/>
      <c r="EZ7" s="32"/>
      <c r="FA7" s="32"/>
      <c r="FB7" s="32"/>
      <c r="FC7" s="32"/>
      <c r="FD7" s="32"/>
      <c r="FE7" s="32"/>
      <c r="FF7" s="32"/>
      <c r="FG7" s="32"/>
      <c r="FH7" s="32"/>
      <c r="FI7" s="32"/>
      <c r="FJ7" s="32"/>
      <c r="FK7" s="32"/>
      <c r="FL7" s="32"/>
      <c r="FM7" s="32"/>
      <c r="FN7" s="32"/>
      <c r="FO7" s="32"/>
      <c r="FP7" s="32"/>
      <c r="FQ7" s="32"/>
      <c r="FR7" s="32"/>
      <c r="FS7" s="32"/>
      <c r="FT7" s="32"/>
      <c r="FU7" s="32"/>
      <c r="FV7" s="32"/>
      <c r="FW7" s="32"/>
      <c r="FX7" s="32"/>
      <c r="FY7" s="32"/>
      <c r="FZ7" s="32"/>
      <c r="GA7" s="32"/>
      <c r="GB7" s="32"/>
      <c r="GC7" s="32"/>
      <c r="GD7" s="32"/>
      <c r="GE7" s="32"/>
      <c r="GF7" s="32"/>
      <c r="GG7" s="32"/>
      <c r="GH7" s="32"/>
      <c r="GI7" s="32"/>
      <c r="GJ7" s="32"/>
      <c r="GK7" s="32"/>
      <c r="GL7" s="32"/>
      <c r="GM7" s="32"/>
      <c r="GN7" s="32"/>
      <c r="GO7" s="32"/>
      <c r="GP7" s="32"/>
      <c r="GQ7" s="32"/>
      <c r="GR7" s="32"/>
      <c r="GS7" s="32"/>
      <c r="GT7" s="32"/>
      <c r="GU7" s="32"/>
      <c r="GV7" s="32"/>
    </row>
    <row r="8" ht="13.5" customHeight="1">
      <c r="A8" s="1"/>
      <c r="B8" s="11" t="s">
        <v>53</v>
      </c>
      <c r="C8" s="27">
        <v>4858.067</v>
      </c>
      <c r="D8" s="27">
        <v>5287.519</v>
      </c>
      <c r="E8" s="27">
        <v>5071.354</v>
      </c>
      <c r="F8" s="33">
        <f t="shared" ref="F8:F10" si="8">V8-sum(C8:E8)</f>
        <v>5912.279</v>
      </c>
      <c r="G8" s="27">
        <v>4984.971</v>
      </c>
      <c r="H8" s="27">
        <v>5529.152</v>
      </c>
      <c r="I8" s="27">
        <v>5600.946</v>
      </c>
      <c r="J8" s="33">
        <f t="shared" ref="J8:J10" si="9">W8-sum(G8:I8)</f>
        <v>6635.49</v>
      </c>
      <c r="K8" s="27">
        <v>6010.476</v>
      </c>
      <c r="L8" s="27">
        <v>6264.886</v>
      </c>
      <c r="M8" s="2">
        <f t="shared" ref="M8:N8" si="6">I8*1.1</f>
        <v>6161.0406</v>
      </c>
      <c r="N8" s="2">
        <f t="shared" si="6"/>
        <v>7299.039</v>
      </c>
      <c r="O8" s="1"/>
      <c r="P8" s="1"/>
      <c r="Q8" s="28">
        <v>16039.073</v>
      </c>
      <c r="R8" s="28">
        <v>12531.565</v>
      </c>
      <c r="S8" s="28">
        <v>18916.244</v>
      </c>
      <c r="T8" s="28">
        <v>18695.829</v>
      </c>
      <c r="U8" s="28">
        <v>20376.941</v>
      </c>
      <c r="V8" s="28">
        <v>21129.219</v>
      </c>
      <c r="W8" s="28">
        <v>22750.559</v>
      </c>
      <c r="X8" s="2">
        <f t="shared" ref="X8:X10" si="11">sum(K8:N8)</f>
        <v>25735.4416</v>
      </c>
      <c r="Y8" s="2">
        <f t="shared" ref="Y8:AG8" si="7">X8*1.12</f>
        <v>28823.69459</v>
      </c>
      <c r="Z8" s="2">
        <f t="shared" si="7"/>
        <v>32282.53794</v>
      </c>
      <c r="AA8" s="2">
        <f t="shared" si="7"/>
        <v>36156.4425</v>
      </c>
      <c r="AB8" s="2">
        <f t="shared" si="7"/>
        <v>40495.2156</v>
      </c>
      <c r="AC8" s="2">
        <f t="shared" si="7"/>
        <v>45354.64147</v>
      </c>
      <c r="AD8" s="2">
        <f t="shared" si="7"/>
        <v>50797.19844</v>
      </c>
      <c r="AE8" s="2">
        <f t="shared" si="7"/>
        <v>56892.86226</v>
      </c>
      <c r="AF8" s="2">
        <f t="shared" si="7"/>
        <v>63720.00573</v>
      </c>
      <c r="AG8" s="2">
        <f t="shared" si="7"/>
        <v>71366.40641</v>
      </c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2"/>
      <c r="GR8" s="2"/>
      <c r="GS8" s="2"/>
      <c r="GT8" s="2"/>
      <c r="GU8" s="2"/>
      <c r="GV8" s="2"/>
    </row>
    <row r="9" ht="13.5" customHeight="1">
      <c r="A9" s="1"/>
      <c r="B9" s="11" t="s">
        <v>54</v>
      </c>
      <c r="C9" s="27">
        <v>3490.672</v>
      </c>
      <c r="D9" s="27">
        <v>3791.929</v>
      </c>
      <c r="E9" s="27">
        <v>3634.283</v>
      </c>
      <c r="F9" s="33">
        <f t="shared" si="8"/>
        <v>4343.622</v>
      </c>
      <c r="G9" s="27">
        <v>3581.366</v>
      </c>
      <c r="H9" s="27">
        <v>4002.167</v>
      </c>
      <c r="I9" s="27">
        <v>4032.446</v>
      </c>
      <c r="J9" s="33">
        <f t="shared" si="9"/>
        <v>4831.277</v>
      </c>
      <c r="K9" s="27">
        <v>4230.589</v>
      </c>
      <c r="L9" s="27">
        <v>4145.215</v>
      </c>
      <c r="M9" s="2">
        <f t="shared" ref="M9:N9" si="10">M$8*(I9/I$8)</f>
        <v>4435.6906</v>
      </c>
      <c r="N9" s="2">
        <f t="shared" si="10"/>
        <v>5314.4047</v>
      </c>
      <c r="O9" s="1"/>
      <c r="P9" s="1"/>
      <c r="Q9" s="28">
        <v>11536.187</v>
      </c>
      <c r="R9" s="28">
        <v>9838.574</v>
      </c>
      <c r="S9" s="28">
        <v>13708.907</v>
      </c>
      <c r="T9" s="28">
        <v>13946.23</v>
      </c>
      <c r="U9" s="28">
        <v>14801.601</v>
      </c>
      <c r="V9" s="28">
        <v>15260.506</v>
      </c>
      <c r="W9" s="28">
        <v>16447.256</v>
      </c>
      <c r="X9" s="2">
        <f t="shared" si="11"/>
        <v>18125.8993</v>
      </c>
      <c r="Y9" s="2">
        <f t="shared" ref="Y9:AG9" si="12">Y$8*(X9/X$8)</f>
        <v>20301.00722</v>
      </c>
      <c r="Z9" s="2">
        <f t="shared" si="12"/>
        <v>22737.12808</v>
      </c>
      <c r="AA9" s="2">
        <f t="shared" si="12"/>
        <v>25465.58345</v>
      </c>
      <c r="AB9" s="2">
        <f t="shared" si="12"/>
        <v>28521.45347</v>
      </c>
      <c r="AC9" s="2">
        <f t="shared" si="12"/>
        <v>31944.02788</v>
      </c>
      <c r="AD9" s="2">
        <f t="shared" si="12"/>
        <v>35777.31123</v>
      </c>
      <c r="AE9" s="2">
        <f t="shared" si="12"/>
        <v>40070.58858</v>
      </c>
      <c r="AF9" s="2">
        <f t="shared" si="12"/>
        <v>44879.0592</v>
      </c>
      <c r="AG9" s="2">
        <f t="shared" si="12"/>
        <v>50264.54631</v>
      </c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  <c r="GK9" s="2"/>
      <c r="GL9" s="2"/>
      <c r="GM9" s="2"/>
      <c r="GN9" s="2"/>
      <c r="GO9" s="2"/>
      <c r="GP9" s="2"/>
      <c r="GQ9" s="2"/>
      <c r="GR9" s="2"/>
      <c r="GS9" s="2"/>
      <c r="GT9" s="2"/>
      <c r="GU9" s="2"/>
      <c r="GV9" s="2"/>
    </row>
    <row r="10" ht="13.5" customHeight="1">
      <c r="A10" s="1"/>
      <c r="B10" s="11" t="s">
        <v>55</v>
      </c>
      <c r="C10" s="27">
        <v>776.282</v>
      </c>
      <c r="D10" s="27">
        <v>836.357</v>
      </c>
      <c r="E10" s="27">
        <v>832.855</v>
      </c>
      <c r="F10" s="33">
        <f t="shared" si="8"/>
        <v>837.633</v>
      </c>
      <c r="G10" s="27">
        <v>797.135</v>
      </c>
      <c r="H10" s="27">
        <v>888.711</v>
      </c>
      <c r="I10" s="27">
        <v>920.002</v>
      </c>
      <c r="J10" s="33">
        <f t="shared" si="9"/>
        <v>990.098</v>
      </c>
      <c r="K10" s="27">
        <v>975.861</v>
      </c>
      <c r="L10" s="27">
        <v>1016.053</v>
      </c>
      <c r="M10" s="2">
        <f t="shared" ref="M10:N10" si="13">M$8*(I10/I$8)</f>
        <v>1012.0022</v>
      </c>
      <c r="N10" s="2">
        <f t="shared" si="13"/>
        <v>1089.1078</v>
      </c>
      <c r="O10" s="1"/>
      <c r="P10" s="1"/>
      <c r="Q10" s="28">
        <v>2356.704</v>
      </c>
      <c r="R10" s="28">
        <v>2503.281</v>
      </c>
      <c r="S10" s="28">
        <v>2874.469</v>
      </c>
      <c r="T10" s="28">
        <v>2759.268</v>
      </c>
      <c r="U10" s="28">
        <v>3267.677</v>
      </c>
      <c r="V10" s="28">
        <v>3283.127</v>
      </c>
      <c r="W10" s="28">
        <v>3595.946</v>
      </c>
      <c r="X10" s="2">
        <f t="shared" si="11"/>
        <v>4093.024</v>
      </c>
      <c r="Y10" s="2">
        <f t="shared" ref="Y10:AG10" si="14">Y$8*(X10/X$8)</f>
        <v>4584.18688</v>
      </c>
      <c r="Z10" s="2">
        <f t="shared" si="14"/>
        <v>5134.289306</v>
      </c>
      <c r="AA10" s="2">
        <f t="shared" si="14"/>
        <v>5750.404022</v>
      </c>
      <c r="AB10" s="2">
        <f t="shared" si="14"/>
        <v>6440.452505</v>
      </c>
      <c r="AC10" s="2">
        <f t="shared" si="14"/>
        <v>7213.306806</v>
      </c>
      <c r="AD10" s="2">
        <f t="shared" si="14"/>
        <v>8078.903622</v>
      </c>
      <c r="AE10" s="2">
        <f t="shared" si="14"/>
        <v>9048.372057</v>
      </c>
      <c r="AF10" s="2">
        <f t="shared" si="14"/>
        <v>10134.1767</v>
      </c>
      <c r="AG10" s="2">
        <f t="shared" si="14"/>
        <v>11350.27791</v>
      </c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  <c r="GL10" s="2"/>
      <c r="GM10" s="2"/>
      <c r="GN10" s="2"/>
      <c r="GO10" s="2"/>
      <c r="GP10" s="2"/>
      <c r="GQ10" s="2"/>
      <c r="GR10" s="2"/>
      <c r="GS10" s="2"/>
      <c r="GT10" s="2"/>
      <c r="GU10" s="2"/>
      <c r="GV10" s="2"/>
    </row>
    <row r="11" ht="13.5" customHeight="1">
      <c r="A11" s="1"/>
      <c r="B11" s="11" t="s">
        <v>56</v>
      </c>
      <c r="C11" s="2">
        <f t="shared" ref="C11:N11" si="15">C8-sum(C9:C10)</f>
        <v>591.113</v>
      </c>
      <c r="D11" s="2">
        <f t="shared" si="15"/>
        <v>659.233</v>
      </c>
      <c r="E11" s="2">
        <f t="shared" si="15"/>
        <v>604.216</v>
      </c>
      <c r="F11" s="2">
        <f t="shared" si="15"/>
        <v>731.024</v>
      </c>
      <c r="G11" s="2">
        <f t="shared" si="15"/>
        <v>606.47</v>
      </c>
      <c r="H11" s="2">
        <f t="shared" si="15"/>
        <v>638.274</v>
      </c>
      <c r="I11" s="2">
        <f t="shared" si="15"/>
        <v>648.498</v>
      </c>
      <c r="J11" s="2">
        <f t="shared" si="15"/>
        <v>814.115</v>
      </c>
      <c r="K11" s="2">
        <f t="shared" si="15"/>
        <v>804.026</v>
      </c>
      <c r="L11" s="2">
        <f t="shared" si="15"/>
        <v>1103.618</v>
      </c>
      <c r="M11" s="2">
        <f t="shared" si="15"/>
        <v>713.3478</v>
      </c>
      <c r="N11" s="2">
        <f t="shared" si="15"/>
        <v>895.5265</v>
      </c>
      <c r="O11" s="1"/>
      <c r="P11" s="1"/>
      <c r="Q11" s="2">
        <f t="shared" ref="Q11:AG11" si="16">Q8-sum(Q9:Q10)</f>
        <v>2146.182</v>
      </c>
      <c r="R11" s="2">
        <f t="shared" si="16"/>
        <v>189.71</v>
      </c>
      <c r="S11" s="2">
        <f t="shared" si="16"/>
        <v>2332.868</v>
      </c>
      <c r="T11" s="2">
        <f t="shared" si="16"/>
        <v>1990.331</v>
      </c>
      <c r="U11" s="2">
        <f t="shared" si="16"/>
        <v>2307.663</v>
      </c>
      <c r="V11" s="2">
        <f t="shared" si="16"/>
        <v>2585.586</v>
      </c>
      <c r="W11" s="2">
        <f t="shared" si="16"/>
        <v>2707.357</v>
      </c>
      <c r="X11" s="2">
        <f t="shared" si="16"/>
        <v>3516.5183</v>
      </c>
      <c r="Y11" s="2">
        <f t="shared" si="16"/>
        <v>3938.500496</v>
      </c>
      <c r="Z11" s="2">
        <f t="shared" si="16"/>
        <v>4411.120556</v>
      </c>
      <c r="AA11" s="2">
        <f t="shared" si="16"/>
        <v>4940.455022</v>
      </c>
      <c r="AB11" s="2">
        <f t="shared" si="16"/>
        <v>5533.309625</v>
      </c>
      <c r="AC11" s="2">
        <f t="shared" si="16"/>
        <v>6197.30678</v>
      </c>
      <c r="AD11" s="2">
        <f t="shared" si="16"/>
        <v>6940.983593</v>
      </c>
      <c r="AE11" s="2">
        <f t="shared" si="16"/>
        <v>7773.901625</v>
      </c>
      <c r="AF11" s="2">
        <f t="shared" si="16"/>
        <v>8706.76982</v>
      </c>
      <c r="AG11" s="2">
        <f t="shared" si="16"/>
        <v>9751.582198</v>
      </c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/>
      <c r="FF11" s="2"/>
      <c r="FG11" s="2"/>
      <c r="FH11" s="2"/>
      <c r="FI11" s="2"/>
      <c r="FJ11" s="2"/>
      <c r="FK11" s="2"/>
      <c r="FL11" s="2"/>
      <c r="FM11" s="2"/>
      <c r="FN11" s="2"/>
      <c r="FO11" s="2"/>
      <c r="FP11" s="2"/>
      <c r="FQ11" s="2"/>
      <c r="FR11" s="2"/>
      <c r="FS11" s="2"/>
      <c r="FT11" s="2"/>
      <c r="FU11" s="2"/>
      <c r="FV11" s="2"/>
      <c r="FW11" s="2"/>
      <c r="FX11" s="2"/>
      <c r="FY11" s="2"/>
      <c r="FZ11" s="2"/>
      <c r="GA11" s="2"/>
      <c r="GB11" s="2"/>
      <c r="GC11" s="2"/>
      <c r="GD11" s="2"/>
      <c r="GE11" s="2"/>
      <c r="GF11" s="2"/>
      <c r="GG11" s="2"/>
      <c r="GH11" s="2"/>
      <c r="GI11" s="2"/>
      <c r="GJ11" s="2"/>
      <c r="GK11" s="2"/>
      <c r="GL11" s="2"/>
      <c r="GM11" s="2"/>
      <c r="GN11" s="2"/>
      <c r="GO11" s="2"/>
      <c r="GP11" s="2"/>
      <c r="GQ11" s="2"/>
      <c r="GR11" s="2"/>
      <c r="GS11" s="2"/>
      <c r="GT11" s="2"/>
      <c r="GU11" s="2"/>
      <c r="GV11" s="2"/>
    </row>
    <row r="12" ht="13.5" customHeight="1">
      <c r="A12" s="1"/>
      <c r="B12" s="11" t="s">
        <v>57</v>
      </c>
      <c r="C12" s="27">
        <v>-45.95</v>
      </c>
      <c r="D12" s="27">
        <v>-43.35</v>
      </c>
      <c r="E12" s="27">
        <v>-42.527</v>
      </c>
      <c r="F12" s="33">
        <f>V12-sum(C12:E12)</f>
        <v>-39.741</v>
      </c>
      <c r="G12" s="27">
        <v>-34.409</v>
      </c>
      <c r="H12" s="27">
        <v>-32.346</v>
      </c>
      <c r="I12" s="27">
        <v>-33.9</v>
      </c>
      <c r="J12" s="33">
        <f>W12-sum(G12:I12)</f>
        <v>-34.145</v>
      </c>
      <c r="K12" s="27">
        <v>-33.449</v>
      </c>
      <c r="L12" s="27">
        <v>-31.144</v>
      </c>
      <c r="M12" s="2">
        <f t="shared" ref="M12:N12" si="17">AVERAGE(I12:L12)</f>
        <v>-33.1595</v>
      </c>
      <c r="N12" s="2">
        <f t="shared" si="17"/>
        <v>-32.974375</v>
      </c>
      <c r="O12" s="1"/>
      <c r="P12" s="1"/>
      <c r="Q12" s="28">
        <v>-18.106</v>
      </c>
      <c r="R12" s="28">
        <v>83.413</v>
      </c>
      <c r="S12" s="28">
        <v>74.328</v>
      </c>
      <c r="T12" s="28">
        <v>2.842</v>
      </c>
      <c r="U12" s="28">
        <v>-164.118</v>
      </c>
      <c r="V12" s="28">
        <v>-171.568</v>
      </c>
      <c r="W12" s="28">
        <v>-134.8</v>
      </c>
      <c r="X12" s="2">
        <f t="shared" ref="X12:AG12" si="18">W25*$AL$18</f>
        <v>-140.075685</v>
      </c>
      <c r="Y12" s="2">
        <f t="shared" si="18"/>
        <v>-141.4764419</v>
      </c>
      <c r="Z12" s="2">
        <f t="shared" si="18"/>
        <v>-142.8912063</v>
      </c>
      <c r="AA12" s="2">
        <f t="shared" si="18"/>
        <v>-144.3201183</v>
      </c>
      <c r="AB12" s="2">
        <f t="shared" si="18"/>
        <v>-145.7633195</v>
      </c>
      <c r="AC12" s="2">
        <f t="shared" si="18"/>
        <v>-147.2209527</v>
      </c>
      <c r="AD12" s="2">
        <f t="shared" si="18"/>
        <v>-148.6931622</v>
      </c>
      <c r="AE12" s="2">
        <f t="shared" si="18"/>
        <v>-150.1800939</v>
      </c>
      <c r="AF12" s="2">
        <f t="shared" si="18"/>
        <v>-151.6818948</v>
      </c>
      <c r="AG12" s="2">
        <f t="shared" si="18"/>
        <v>-153.1987137</v>
      </c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/>
      <c r="FE12" s="2"/>
      <c r="FF12" s="2"/>
      <c r="FG12" s="2"/>
      <c r="FH12" s="2"/>
      <c r="FI12" s="2"/>
      <c r="FJ12" s="2"/>
      <c r="FK12" s="2"/>
      <c r="FL12" s="2"/>
      <c r="FM12" s="2"/>
      <c r="FN12" s="2"/>
      <c r="FO12" s="2"/>
      <c r="FP12" s="2"/>
      <c r="FQ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B12" s="2"/>
      <c r="GC12" s="2"/>
      <c r="GD12" s="2"/>
      <c r="GE12" s="2"/>
      <c r="GF12" s="2"/>
      <c r="GG12" s="2"/>
      <c r="GH12" s="2"/>
      <c r="GI12" s="2"/>
      <c r="GJ12" s="2"/>
      <c r="GK12" s="2"/>
      <c r="GL12" s="2"/>
      <c r="GM12" s="2"/>
      <c r="GN12" s="2"/>
      <c r="GO12" s="2"/>
      <c r="GP12" s="2"/>
      <c r="GQ12" s="2"/>
      <c r="GR12" s="2"/>
      <c r="GS12" s="2"/>
      <c r="GT12" s="2"/>
      <c r="GU12" s="2"/>
      <c r="GV12" s="2"/>
    </row>
    <row r="13" ht="13.5" customHeight="1">
      <c r="A13" s="1"/>
      <c r="B13" s="11" t="s">
        <v>58</v>
      </c>
      <c r="C13" s="2">
        <f t="shared" ref="C13:N13" si="19">C11-C12</f>
        <v>637.063</v>
      </c>
      <c r="D13" s="2">
        <f t="shared" si="19"/>
        <v>702.583</v>
      </c>
      <c r="E13" s="2">
        <f t="shared" si="19"/>
        <v>646.743</v>
      </c>
      <c r="F13" s="2">
        <f t="shared" si="19"/>
        <v>770.765</v>
      </c>
      <c r="G13" s="2">
        <f t="shared" si="19"/>
        <v>640.879</v>
      </c>
      <c r="H13" s="2">
        <f t="shared" si="19"/>
        <v>670.62</v>
      </c>
      <c r="I13" s="2">
        <f t="shared" si="19"/>
        <v>682.398</v>
      </c>
      <c r="J13" s="2">
        <f t="shared" si="19"/>
        <v>848.26</v>
      </c>
      <c r="K13" s="2">
        <f t="shared" si="19"/>
        <v>837.475</v>
      </c>
      <c r="L13" s="2">
        <f t="shared" si="19"/>
        <v>1134.762</v>
      </c>
      <c r="M13" s="2">
        <f t="shared" si="19"/>
        <v>746.5073</v>
      </c>
      <c r="N13" s="2">
        <f t="shared" si="19"/>
        <v>928.500875</v>
      </c>
      <c r="O13" s="1"/>
      <c r="P13" s="1"/>
      <c r="Q13" s="2">
        <f t="shared" ref="Q13:AG13" si="20">Q11-Q12</f>
        <v>2164.288</v>
      </c>
      <c r="R13" s="2">
        <f t="shared" si="20"/>
        <v>106.297</v>
      </c>
      <c r="S13" s="2">
        <f t="shared" si="20"/>
        <v>2258.54</v>
      </c>
      <c r="T13" s="2">
        <f t="shared" si="20"/>
        <v>1987.489</v>
      </c>
      <c r="U13" s="2">
        <f t="shared" si="20"/>
        <v>2471.781</v>
      </c>
      <c r="V13" s="2">
        <f t="shared" si="20"/>
        <v>2757.154</v>
      </c>
      <c r="W13" s="2">
        <f t="shared" si="20"/>
        <v>2842.157</v>
      </c>
      <c r="X13" s="2">
        <f t="shared" si="20"/>
        <v>3656.593985</v>
      </c>
      <c r="Y13" s="2">
        <f t="shared" si="20"/>
        <v>4079.976938</v>
      </c>
      <c r="Z13" s="2">
        <f t="shared" si="20"/>
        <v>4554.011762</v>
      </c>
      <c r="AA13" s="2">
        <f t="shared" si="20"/>
        <v>5084.775141</v>
      </c>
      <c r="AB13" s="2">
        <f t="shared" si="20"/>
        <v>5679.072944</v>
      </c>
      <c r="AC13" s="2">
        <f t="shared" si="20"/>
        <v>6344.527733</v>
      </c>
      <c r="AD13" s="2">
        <f t="shared" si="20"/>
        <v>7089.676756</v>
      </c>
      <c r="AE13" s="2">
        <f t="shared" si="20"/>
        <v>7924.081718</v>
      </c>
      <c r="AF13" s="2">
        <f t="shared" si="20"/>
        <v>8858.451714</v>
      </c>
      <c r="AG13" s="2">
        <f t="shared" si="20"/>
        <v>9904.780912</v>
      </c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/>
      <c r="EX13" s="2"/>
      <c r="EY13" s="2"/>
      <c r="EZ13" s="2"/>
      <c r="FA13" s="2"/>
      <c r="FB13" s="2"/>
      <c r="FC13" s="2"/>
      <c r="FD13" s="2"/>
      <c r="FE13" s="2"/>
      <c r="FF13" s="2"/>
      <c r="FG13" s="2"/>
      <c r="FH13" s="2"/>
      <c r="FI13" s="2"/>
      <c r="FJ13" s="2"/>
      <c r="FK13" s="2"/>
      <c r="FL13" s="2"/>
      <c r="FM13" s="2"/>
      <c r="FN13" s="2"/>
      <c r="FO13" s="2"/>
      <c r="FP13" s="2"/>
      <c r="FQ13" s="2"/>
      <c r="FR13" s="2"/>
      <c r="FS13" s="2"/>
      <c r="FT13" s="2"/>
      <c r="FU13" s="2"/>
      <c r="FV13" s="2"/>
      <c r="FW13" s="2"/>
      <c r="FX13" s="2"/>
      <c r="FY13" s="2"/>
      <c r="FZ13" s="2"/>
      <c r="GA13" s="2"/>
      <c r="GB13" s="2"/>
      <c r="GC13" s="2"/>
      <c r="GD13" s="2"/>
      <c r="GE13" s="2"/>
      <c r="GF13" s="2"/>
      <c r="GG13" s="2"/>
      <c r="GH13" s="2"/>
      <c r="GI13" s="2"/>
      <c r="GJ13" s="2"/>
      <c r="GK13" s="2"/>
      <c r="GL13" s="2"/>
      <c r="GM13" s="2"/>
      <c r="GN13" s="2"/>
      <c r="GO13" s="2"/>
      <c r="GP13" s="2"/>
      <c r="GQ13" s="2"/>
      <c r="GR13" s="2"/>
      <c r="GS13" s="2"/>
      <c r="GT13" s="2"/>
      <c r="GU13" s="2"/>
      <c r="GV13" s="2"/>
    </row>
    <row r="14" ht="13.5" customHeight="1">
      <c r="A14" s="1"/>
      <c r="B14" s="11" t="s">
        <v>59</v>
      </c>
      <c r="C14" s="27">
        <v>149.073</v>
      </c>
      <c r="D14" s="27">
        <v>175.435</v>
      </c>
      <c r="E14" s="27">
        <v>157.935</v>
      </c>
      <c r="F14" s="33">
        <f>V14-sum(C14:E14)</f>
        <v>183.981</v>
      </c>
      <c r="G14" s="27">
        <v>161.63</v>
      </c>
      <c r="H14" s="27">
        <v>162.625</v>
      </c>
      <c r="I14" s="27">
        <v>170.643</v>
      </c>
      <c r="J14" s="33">
        <f>W14-sum(G14:I14)</f>
        <v>202.215</v>
      </c>
      <c r="K14" s="27">
        <v>187.511</v>
      </c>
      <c r="L14" s="27">
        <v>283.463</v>
      </c>
      <c r="M14" s="2">
        <f t="shared" ref="M14:N14" si="21">M13*(L14/L13)</f>
        <v>186.4771633</v>
      </c>
      <c r="N14" s="2">
        <f t="shared" si="21"/>
        <v>231.9390705</v>
      </c>
      <c r="O14" s="1"/>
      <c r="P14" s="1"/>
      <c r="Q14" s="28">
        <v>503.36</v>
      </c>
      <c r="R14" s="28">
        <v>20.915</v>
      </c>
      <c r="S14" s="28">
        <v>535.951</v>
      </c>
      <c r="T14" s="28">
        <v>475.448</v>
      </c>
      <c r="U14" s="28">
        <v>597.261</v>
      </c>
      <c r="V14" s="28">
        <v>666.424</v>
      </c>
      <c r="W14" s="28">
        <v>697.113</v>
      </c>
      <c r="X14" s="2">
        <f>sum(K14:N14)</f>
        <v>889.3902338</v>
      </c>
      <c r="Y14" s="2">
        <f t="shared" ref="Y14:AG14" si="22">Y13*(X14/X13)</f>
        <v>992.369308</v>
      </c>
      <c r="Z14" s="2">
        <f t="shared" si="22"/>
        <v>1107.668394</v>
      </c>
      <c r="AA14" s="2">
        <f t="shared" si="22"/>
        <v>1236.765517</v>
      </c>
      <c r="AB14" s="2">
        <f t="shared" si="22"/>
        <v>1381.316065</v>
      </c>
      <c r="AC14" s="2">
        <f t="shared" si="22"/>
        <v>1543.174065</v>
      </c>
      <c r="AD14" s="2">
        <f t="shared" si="22"/>
        <v>1724.416026</v>
      </c>
      <c r="AE14" s="2">
        <f t="shared" si="22"/>
        <v>1927.367633</v>
      </c>
      <c r="AF14" s="2">
        <f t="shared" si="22"/>
        <v>2154.633649</v>
      </c>
      <c r="AG14" s="2">
        <f t="shared" si="22"/>
        <v>2409.131407</v>
      </c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2"/>
      <c r="EX14" s="2"/>
      <c r="EY14" s="2"/>
      <c r="EZ14" s="2"/>
      <c r="FA14" s="2"/>
      <c r="FB14" s="2"/>
      <c r="FC14" s="2"/>
      <c r="FD14" s="2"/>
      <c r="FE14" s="2"/>
      <c r="FF14" s="2"/>
      <c r="FG14" s="2"/>
      <c r="FH14" s="2"/>
      <c r="FI14" s="2"/>
      <c r="FJ14" s="2"/>
      <c r="FK14" s="2"/>
      <c r="FL14" s="2"/>
      <c r="FM14" s="2"/>
      <c r="FN14" s="2"/>
      <c r="FO14" s="2"/>
      <c r="FP14" s="2"/>
      <c r="FQ14" s="2"/>
      <c r="FR14" s="2"/>
      <c r="FS14" s="2"/>
      <c r="FT14" s="2"/>
      <c r="FU14" s="2"/>
      <c r="FV14" s="2"/>
      <c r="FW14" s="2"/>
      <c r="FX14" s="2"/>
      <c r="FY14" s="2"/>
      <c r="FZ14" s="2"/>
      <c r="GA14" s="2"/>
      <c r="GB14" s="2"/>
      <c r="GC14" s="2"/>
      <c r="GD14" s="2"/>
      <c r="GE14" s="2"/>
      <c r="GF14" s="2"/>
      <c r="GG14" s="2"/>
      <c r="GH14" s="2"/>
      <c r="GI14" s="2"/>
      <c r="GJ14" s="2"/>
      <c r="GK14" s="2"/>
      <c r="GL14" s="2"/>
      <c r="GM14" s="2"/>
      <c r="GN14" s="2"/>
      <c r="GO14" s="2"/>
      <c r="GP14" s="2"/>
      <c r="GQ14" s="2"/>
      <c r="GR14" s="2"/>
      <c r="GS14" s="2"/>
      <c r="GT14" s="2"/>
      <c r="GU14" s="2"/>
      <c r="GV14" s="2"/>
    </row>
    <row r="15" ht="13.5" customHeight="1">
      <c r="A15" s="1"/>
      <c r="B15" s="11" t="s">
        <v>60</v>
      </c>
      <c r="C15" s="2">
        <f t="shared" ref="C15:N15" si="23">C13-C14</f>
        <v>487.99</v>
      </c>
      <c r="D15" s="2">
        <f t="shared" si="23"/>
        <v>527.148</v>
      </c>
      <c r="E15" s="2">
        <f t="shared" si="23"/>
        <v>488.808</v>
      </c>
      <c r="F15" s="2">
        <f t="shared" si="23"/>
        <v>586.784</v>
      </c>
      <c r="G15" s="2">
        <f t="shared" si="23"/>
        <v>479.249</v>
      </c>
      <c r="H15" s="2">
        <f t="shared" si="23"/>
        <v>507.995</v>
      </c>
      <c r="I15" s="2">
        <f t="shared" si="23"/>
        <v>511.755</v>
      </c>
      <c r="J15" s="2">
        <f t="shared" si="23"/>
        <v>646.045</v>
      </c>
      <c r="K15" s="2">
        <f t="shared" si="23"/>
        <v>649.964</v>
      </c>
      <c r="L15" s="2">
        <f t="shared" si="23"/>
        <v>851.299</v>
      </c>
      <c r="M15" s="2">
        <f t="shared" si="23"/>
        <v>560.0301367</v>
      </c>
      <c r="N15" s="2">
        <f t="shared" si="23"/>
        <v>696.5618045</v>
      </c>
      <c r="O15" s="1"/>
      <c r="P15" s="1"/>
      <c r="Q15" s="2">
        <f t="shared" ref="Q15:AG15" si="24">Q13-Q14</f>
        <v>1660.928</v>
      </c>
      <c r="R15" s="2">
        <f t="shared" si="24"/>
        <v>85.382</v>
      </c>
      <c r="S15" s="2">
        <f t="shared" si="24"/>
        <v>1722.589</v>
      </c>
      <c r="T15" s="2">
        <f t="shared" si="24"/>
        <v>1512.041</v>
      </c>
      <c r="U15" s="2">
        <f t="shared" si="24"/>
        <v>1874.52</v>
      </c>
      <c r="V15" s="2">
        <f t="shared" si="24"/>
        <v>2090.73</v>
      </c>
      <c r="W15" s="2">
        <f t="shared" si="24"/>
        <v>2145.044</v>
      </c>
      <c r="X15" s="2">
        <f t="shared" si="24"/>
        <v>2767.203751</v>
      </c>
      <c r="Y15" s="2">
        <f t="shared" si="24"/>
        <v>3087.60763</v>
      </c>
      <c r="Z15" s="2">
        <f t="shared" si="24"/>
        <v>3446.343368</v>
      </c>
      <c r="AA15" s="2">
        <f t="shared" si="24"/>
        <v>3848.009623</v>
      </c>
      <c r="AB15" s="2">
        <f t="shared" si="24"/>
        <v>4297.75688</v>
      </c>
      <c r="AC15" s="2">
        <f t="shared" si="24"/>
        <v>4801.353668</v>
      </c>
      <c r="AD15" s="2">
        <f t="shared" si="24"/>
        <v>5365.26073</v>
      </c>
      <c r="AE15" s="2">
        <f t="shared" si="24"/>
        <v>5996.714086</v>
      </c>
      <c r="AF15" s="2">
        <f t="shared" si="24"/>
        <v>6703.818065</v>
      </c>
      <c r="AG15" s="2">
        <f t="shared" si="24"/>
        <v>7495.649505</v>
      </c>
      <c r="AH15" s="2">
        <f t="shared" ref="AH15:GV15" si="25">AG15*(1+$AL$19)</f>
        <v>7570.606</v>
      </c>
      <c r="AI15" s="2">
        <f t="shared" si="25"/>
        <v>7646.31206</v>
      </c>
      <c r="AJ15" s="2">
        <f t="shared" si="25"/>
        <v>7722.775181</v>
      </c>
      <c r="AK15" s="2">
        <f t="shared" si="25"/>
        <v>7800.002932</v>
      </c>
      <c r="AL15" s="2">
        <f t="shared" si="25"/>
        <v>7878.002962</v>
      </c>
      <c r="AM15" s="2">
        <f t="shared" si="25"/>
        <v>7956.782991</v>
      </c>
      <c r="AN15" s="2">
        <f t="shared" si="25"/>
        <v>8036.350821</v>
      </c>
      <c r="AO15" s="2">
        <f t="shared" si="25"/>
        <v>8116.714329</v>
      </c>
      <c r="AP15" s="2">
        <f t="shared" si="25"/>
        <v>8197.881473</v>
      </c>
      <c r="AQ15" s="2">
        <f t="shared" si="25"/>
        <v>8279.860287</v>
      </c>
      <c r="AR15" s="2">
        <f t="shared" si="25"/>
        <v>8362.65889</v>
      </c>
      <c r="AS15" s="2">
        <f t="shared" si="25"/>
        <v>8446.285479</v>
      </c>
      <c r="AT15" s="2">
        <f t="shared" si="25"/>
        <v>8530.748334</v>
      </c>
      <c r="AU15" s="2">
        <f t="shared" si="25"/>
        <v>8616.055817</v>
      </c>
      <c r="AV15" s="2">
        <f t="shared" si="25"/>
        <v>8702.216376</v>
      </c>
      <c r="AW15" s="2">
        <f t="shared" si="25"/>
        <v>8789.238539</v>
      </c>
      <c r="AX15" s="2">
        <f t="shared" si="25"/>
        <v>8877.130925</v>
      </c>
      <c r="AY15" s="2">
        <f t="shared" si="25"/>
        <v>8965.902234</v>
      </c>
      <c r="AZ15" s="2">
        <f t="shared" si="25"/>
        <v>9055.561256</v>
      </c>
      <c r="BA15" s="2">
        <f t="shared" si="25"/>
        <v>9146.116869</v>
      </c>
      <c r="BB15" s="2">
        <f t="shared" si="25"/>
        <v>9237.578038</v>
      </c>
      <c r="BC15" s="2">
        <f t="shared" si="25"/>
        <v>9329.953818</v>
      </c>
      <c r="BD15" s="2">
        <f t="shared" si="25"/>
        <v>9423.253356</v>
      </c>
      <c r="BE15" s="2">
        <f t="shared" si="25"/>
        <v>9517.48589</v>
      </c>
      <c r="BF15" s="2">
        <f t="shared" si="25"/>
        <v>9612.660749</v>
      </c>
      <c r="BG15" s="2">
        <f t="shared" si="25"/>
        <v>9708.787356</v>
      </c>
      <c r="BH15" s="2">
        <f t="shared" si="25"/>
        <v>9805.87523</v>
      </c>
      <c r="BI15" s="2">
        <f t="shared" si="25"/>
        <v>9903.933982</v>
      </c>
      <c r="BJ15" s="2">
        <f t="shared" si="25"/>
        <v>10002.97332</v>
      </c>
      <c r="BK15" s="2">
        <f t="shared" si="25"/>
        <v>10103.00305</v>
      </c>
      <c r="BL15" s="2">
        <f t="shared" si="25"/>
        <v>10204.03309</v>
      </c>
      <c r="BM15" s="2">
        <f t="shared" si="25"/>
        <v>10306.07342</v>
      </c>
      <c r="BN15" s="2">
        <f t="shared" si="25"/>
        <v>10409.13415</v>
      </c>
      <c r="BO15" s="2">
        <f t="shared" si="25"/>
        <v>10513.22549</v>
      </c>
      <c r="BP15" s="2">
        <f t="shared" si="25"/>
        <v>10618.35775</v>
      </c>
      <c r="BQ15" s="2">
        <f t="shared" si="25"/>
        <v>10724.54132</v>
      </c>
      <c r="BR15" s="2">
        <f t="shared" si="25"/>
        <v>10831.78674</v>
      </c>
      <c r="BS15" s="2">
        <f t="shared" si="25"/>
        <v>10940.10461</v>
      </c>
      <c r="BT15" s="2">
        <f t="shared" si="25"/>
        <v>11049.50565</v>
      </c>
      <c r="BU15" s="2">
        <f t="shared" si="25"/>
        <v>11160.00071</v>
      </c>
      <c r="BV15" s="2">
        <f t="shared" si="25"/>
        <v>11271.60071</v>
      </c>
      <c r="BW15" s="2">
        <f t="shared" si="25"/>
        <v>11384.31672</v>
      </c>
      <c r="BX15" s="2">
        <f t="shared" si="25"/>
        <v>11498.15989</v>
      </c>
      <c r="BY15" s="2">
        <f t="shared" si="25"/>
        <v>11613.14149</v>
      </c>
      <c r="BZ15" s="2">
        <f t="shared" si="25"/>
        <v>11729.2729</v>
      </c>
      <c r="CA15" s="2">
        <f t="shared" si="25"/>
        <v>11846.56563</v>
      </c>
      <c r="CB15" s="2">
        <f t="shared" si="25"/>
        <v>11965.03129</v>
      </c>
      <c r="CC15" s="2">
        <f t="shared" si="25"/>
        <v>12084.6816</v>
      </c>
      <c r="CD15" s="2">
        <f t="shared" si="25"/>
        <v>12205.52842</v>
      </c>
      <c r="CE15" s="2">
        <f t="shared" si="25"/>
        <v>12327.5837</v>
      </c>
      <c r="CF15" s="2">
        <f t="shared" si="25"/>
        <v>12450.85954</v>
      </c>
      <c r="CG15" s="2">
        <f t="shared" si="25"/>
        <v>12575.36813</v>
      </c>
      <c r="CH15" s="2">
        <f t="shared" si="25"/>
        <v>12701.12181</v>
      </c>
      <c r="CI15" s="2">
        <f t="shared" si="25"/>
        <v>12828.13303</v>
      </c>
      <c r="CJ15" s="2">
        <f t="shared" si="25"/>
        <v>12956.41436</v>
      </c>
      <c r="CK15" s="2">
        <f t="shared" si="25"/>
        <v>13085.97851</v>
      </c>
      <c r="CL15" s="2">
        <f t="shared" si="25"/>
        <v>13216.83829</v>
      </c>
      <c r="CM15" s="2">
        <f t="shared" si="25"/>
        <v>13349.00668</v>
      </c>
      <c r="CN15" s="2">
        <f t="shared" si="25"/>
        <v>13482.49674</v>
      </c>
      <c r="CO15" s="2">
        <f t="shared" si="25"/>
        <v>13617.32171</v>
      </c>
      <c r="CP15" s="2">
        <f t="shared" si="25"/>
        <v>13753.49493</v>
      </c>
      <c r="CQ15" s="2">
        <f t="shared" si="25"/>
        <v>13891.02988</v>
      </c>
      <c r="CR15" s="2">
        <f t="shared" si="25"/>
        <v>14029.94017</v>
      </c>
      <c r="CS15" s="2">
        <f t="shared" si="25"/>
        <v>14170.23958</v>
      </c>
      <c r="CT15" s="2">
        <f t="shared" si="25"/>
        <v>14311.94197</v>
      </c>
      <c r="CU15" s="2">
        <f t="shared" si="25"/>
        <v>14455.06139</v>
      </c>
      <c r="CV15" s="2">
        <f t="shared" si="25"/>
        <v>14599.61201</v>
      </c>
      <c r="CW15" s="2">
        <f t="shared" si="25"/>
        <v>14745.60813</v>
      </c>
      <c r="CX15" s="2">
        <f t="shared" si="25"/>
        <v>14893.06421</v>
      </c>
      <c r="CY15" s="2">
        <f t="shared" si="25"/>
        <v>15041.99485</v>
      </c>
      <c r="CZ15" s="2">
        <f t="shared" si="25"/>
        <v>15192.4148</v>
      </c>
      <c r="DA15" s="2">
        <f t="shared" si="25"/>
        <v>15344.33895</v>
      </c>
      <c r="DB15" s="2">
        <f t="shared" si="25"/>
        <v>15497.78233</v>
      </c>
      <c r="DC15" s="2">
        <f t="shared" si="25"/>
        <v>15652.76016</v>
      </c>
      <c r="DD15" s="2">
        <f t="shared" si="25"/>
        <v>15809.28776</v>
      </c>
      <c r="DE15" s="2">
        <f t="shared" si="25"/>
        <v>15967.38064</v>
      </c>
      <c r="DF15" s="2">
        <f t="shared" si="25"/>
        <v>16127.05444</v>
      </c>
      <c r="DG15" s="2">
        <f t="shared" si="25"/>
        <v>16288.32499</v>
      </c>
      <c r="DH15" s="2">
        <f t="shared" si="25"/>
        <v>16451.20824</v>
      </c>
      <c r="DI15" s="2">
        <f t="shared" si="25"/>
        <v>16615.72032</v>
      </c>
      <c r="DJ15" s="2">
        <f t="shared" si="25"/>
        <v>16781.87752</v>
      </c>
      <c r="DK15" s="2">
        <f t="shared" si="25"/>
        <v>16949.6963</v>
      </c>
      <c r="DL15" s="2">
        <f t="shared" si="25"/>
        <v>17119.19326</v>
      </c>
      <c r="DM15" s="2">
        <f t="shared" si="25"/>
        <v>17290.38519</v>
      </c>
      <c r="DN15" s="2">
        <f t="shared" si="25"/>
        <v>17463.28905</v>
      </c>
      <c r="DO15" s="2">
        <f t="shared" si="25"/>
        <v>17637.92194</v>
      </c>
      <c r="DP15" s="2">
        <f t="shared" si="25"/>
        <v>17814.30116</v>
      </c>
      <c r="DQ15" s="2">
        <f t="shared" si="25"/>
        <v>17992.44417</v>
      </c>
      <c r="DR15" s="2">
        <f t="shared" si="25"/>
        <v>18172.36861</v>
      </c>
      <c r="DS15" s="2">
        <f t="shared" si="25"/>
        <v>18354.0923</v>
      </c>
      <c r="DT15" s="2">
        <f t="shared" si="25"/>
        <v>18537.63322</v>
      </c>
      <c r="DU15" s="2">
        <f t="shared" si="25"/>
        <v>18723.00955</v>
      </c>
      <c r="DV15" s="2">
        <f t="shared" si="25"/>
        <v>18910.23965</v>
      </c>
      <c r="DW15" s="2">
        <f t="shared" si="25"/>
        <v>19099.34204</v>
      </c>
      <c r="DX15" s="2">
        <f t="shared" si="25"/>
        <v>19290.33546</v>
      </c>
      <c r="DY15" s="2">
        <f t="shared" si="25"/>
        <v>19483.23882</v>
      </c>
      <c r="DZ15" s="2">
        <f t="shared" si="25"/>
        <v>19678.07121</v>
      </c>
      <c r="EA15" s="2">
        <f t="shared" si="25"/>
        <v>19874.85192</v>
      </c>
      <c r="EB15" s="2">
        <f t="shared" si="25"/>
        <v>20073.60044</v>
      </c>
      <c r="EC15" s="2">
        <f t="shared" si="25"/>
        <v>20274.33644</v>
      </c>
      <c r="ED15" s="2">
        <f t="shared" si="25"/>
        <v>20477.07981</v>
      </c>
      <c r="EE15" s="2">
        <f t="shared" si="25"/>
        <v>20681.8506</v>
      </c>
      <c r="EF15" s="2">
        <f t="shared" si="25"/>
        <v>20888.66911</v>
      </c>
      <c r="EG15" s="2">
        <f t="shared" si="25"/>
        <v>21097.5558</v>
      </c>
      <c r="EH15" s="2">
        <f t="shared" si="25"/>
        <v>21308.53136</v>
      </c>
      <c r="EI15" s="2">
        <f t="shared" si="25"/>
        <v>21521.61667</v>
      </c>
      <c r="EJ15" s="2">
        <f t="shared" si="25"/>
        <v>21736.83284</v>
      </c>
      <c r="EK15" s="2">
        <f t="shared" si="25"/>
        <v>21954.20117</v>
      </c>
      <c r="EL15" s="2">
        <f t="shared" si="25"/>
        <v>22173.74318</v>
      </c>
      <c r="EM15" s="2">
        <f t="shared" si="25"/>
        <v>22395.48061</v>
      </c>
      <c r="EN15" s="2">
        <f t="shared" si="25"/>
        <v>22619.43542</v>
      </c>
      <c r="EO15" s="2">
        <f t="shared" si="25"/>
        <v>22845.62977</v>
      </c>
      <c r="EP15" s="2">
        <f t="shared" si="25"/>
        <v>23074.08607</v>
      </c>
      <c r="EQ15" s="2">
        <f t="shared" si="25"/>
        <v>23304.82693</v>
      </c>
      <c r="ER15" s="2">
        <f t="shared" si="25"/>
        <v>23537.8752</v>
      </c>
      <c r="ES15" s="2">
        <f t="shared" si="25"/>
        <v>23773.25395</v>
      </c>
      <c r="ET15" s="2">
        <f t="shared" si="25"/>
        <v>24010.98649</v>
      </c>
      <c r="EU15" s="2">
        <f t="shared" si="25"/>
        <v>24251.09636</v>
      </c>
      <c r="EV15" s="2">
        <f t="shared" si="25"/>
        <v>24493.60732</v>
      </c>
      <c r="EW15" s="2">
        <f t="shared" si="25"/>
        <v>24738.54339</v>
      </c>
      <c r="EX15" s="2">
        <f t="shared" si="25"/>
        <v>24985.92883</v>
      </c>
      <c r="EY15" s="2">
        <f t="shared" si="25"/>
        <v>25235.78811</v>
      </c>
      <c r="EZ15" s="2">
        <f t="shared" si="25"/>
        <v>25488.146</v>
      </c>
      <c r="FA15" s="2">
        <f t="shared" si="25"/>
        <v>25743.02746</v>
      </c>
      <c r="FB15" s="2">
        <f t="shared" si="25"/>
        <v>26000.45773</v>
      </c>
      <c r="FC15" s="2">
        <f t="shared" si="25"/>
        <v>26260.46231</v>
      </c>
      <c r="FD15" s="2">
        <f t="shared" si="25"/>
        <v>26523.06693</v>
      </c>
      <c r="FE15" s="2">
        <f t="shared" si="25"/>
        <v>26788.2976</v>
      </c>
      <c r="FF15" s="2">
        <f t="shared" si="25"/>
        <v>27056.18058</v>
      </c>
      <c r="FG15" s="2">
        <f t="shared" si="25"/>
        <v>27326.74238</v>
      </c>
      <c r="FH15" s="2">
        <f t="shared" si="25"/>
        <v>27600.00981</v>
      </c>
      <c r="FI15" s="2">
        <f t="shared" si="25"/>
        <v>27876.0099</v>
      </c>
      <c r="FJ15" s="2">
        <f t="shared" si="25"/>
        <v>28154.77</v>
      </c>
      <c r="FK15" s="2">
        <f t="shared" si="25"/>
        <v>28436.3177</v>
      </c>
      <c r="FL15" s="2">
        <f t="shared" si="25"/>
        <v>28720.68088</v>
      </c>
      <c r="FM15" s="2">
        <f t="shared" si="25"/>
        <v>29007.88769</v>
      </c>
      <c r="FN15" s="2">
        <f t="shared" si="25"/>
        <v>29297.96657</v>
      </c>
      <c r="FO15" s="2">
        <f t="shared" si="25"/>
        <v>29590.94623</v>
      </c>
      <c r="FP15" s="2">
        <f t="shared" si="25"/>
        <v>29886.85569</v>
      </c>
      <c r="FQ15" s="2">
        <f t="shared" si="25"/>
        <v>30185.72425</v>
      </c>
      <c r="FR15" s="2">
        <f t="shared" si="25"/>
        <v>30487.58149</v>
      </c>
      <c r="FS15" s="2">
        <f t="shared" si="25"/>
        <v>30792.45731</v>
      </c>
      <c r="FT15" s="2">
        <f t="shared" si="25"/>
        <v>31100.38188</v>
      </c>
      <c r="FU15" s="2">
        <f t="shared" si="25"/>
        <v>31411.3857</v>
      </c>
      <c r="FV15" s="2">
        <f t="shared" si="25"/>
        <v>31725.49956</v>
      </c>
      <c r="FW15" s="2">
        <f t="shared" si="25"/>
        <v>32042.75455</v>
      </c>
      <c r="FX15" s="2">
        <f t="shared" si="25"/>
        <v>32363.1821</v>
      </c>
      <c r="FY15" s="2">
        <f t="shared" si="25"/>
        <v>32686.81392</v>
      </c>
      <c r="FZ15" s="2">
        <f t="shared" si="25"/>
        <v>33013.68206</v>
      </c>
      <c r="GA15" s="2">
        <f t="shared" si="25"/>
        <v>33343.81888</v>
      </c>
      <c r="GB15" s="2">
        <f t="shared" si="25"/>
        <v>33677.25707</v>
      </c>
      <c r="GC15" s="2">
        <f t="shared" si="25"/>
        <v>34014.02964</v>
      </c>
      <c r="GD15" s="2">
        <f t="shared" si="25"/>
        <v>34354.16993</v>
      </c>
      <c r="GE15" s="2">
        <f t="shared" si="25"/>
        <v>34697.71163</v>
      </c>
      <c r="GF15" s="2">
        <f t="shared" si="25"/>
        <v>35044.68875</v>
      </c>
      <c r="GG15" s="2">
        <f t="shared" si="25"/>
        <v>35395.13564</v>
      </c>
      <c r="GH15" s="2">
        <f t="shared" si="25"/>
        <v>35749.08699</v>
      </c>
      <c r="GI15" s="2">
        <f t="shared" si="25"/>
        <v>36106.57786</v>
      </c>
      <c r="GJ15" s="2">
        <f t="shared" si="25"/>
        <v>36467.64364</v>
      </c>
      <c r="GK15" s="2">
        <f t="shared" si="25"/>
        <v>36832.32008</v>
      </c>
      <c r="GL15" s="2">
        <f t="shared" si="25"/>
        <v>37200.64328</v>
      </c>
      <c r="GM15" s="2">
        <f t="shared" si="25"/>
        <v>37572.64971</v>
      </c>
      <c r="GN15" s="2">
        <f t="shared" si="25"/>
        <v>37948.37621</v>
      </c>
      <c r="GO15" s="2">
        <f t="shared" si="25"/>
        <v>38327.85997</v>
      </c>
      <c r="GP15" s="2">
        <f t="shared" si="25"/>
        <v>38711.13857</v>
      </c>
      <c r="GQ15" s="2">
        <f t="shared" si="25"/>
        <v>39098.24996</v>
      </c>
      <c r="GR15" s="2">
        <f t="shared" si="25"/>
        <v>39489.23246</v>
      </c>
      <c r="GS15" s="2">
        <f t="shared" si="25"/>
        <v>39884.12478</v>
      </c>
      <c r="GT15" s="2">
        <f t="shared" si="25"/>
        <v>40282.96603</v>
      </c>
      <c r="GU15" s="2">
        <f t="shared" si="25"/>
        <v>40685.79569</v>
      </c>
      <c r="GV15" s="2">
        <f t="shared" si="25"/>
        <v>41092.65365</v>
      </c>
    </row>
    <row r="16" ht="13.5" customHeight="1">
      <c r="A16" s="1"/>
      <c r="B16" s="11" t="s">
        <v>61</v>
      </c>
      <c r="C16" s="28">
        <v>333.737</v>
      </c>
      <c r="D16" s="28">
        <v>331.511</v>
      </c>
      <c r="E16" s="28">
        <v>329.937</v>
      </c>
      <c r="F16" s="2">
        <f>F15/F17</f>
        <v>329.1261442</v>
      </c>
      <c r="G16" s="28">
        <v>327.005</v>
      </c>
      <c r="H16" s="28">
        <v>324.796</v>
      </c>
      <c r="I16" s="28">
        <v>323.297</v>
      </c>
      <c r="J16" s="2">
        <f>J15/J17</f>
        <v>323.1069548</v>
      </c>
      <c r="K16" s="28">
        <v>321.231</v>
      </c>
      <c r="L16" s="28">
        <v>319.45</v>
      </c>
      <c r="M16" s="2">
        <f t="shared" ref="M16:N16" si="26">L16</f>
        <v>319.45</v>
      </c>
      <c r="N16" s="2">
        <f t="shared" si="26"/>
        <v>319.45</v>
      </c>
      <c r="O16" s="1"/>
      <c r="P16" s="1"/>
      <c r="Q16" s="28">
        <v>361.182</v>
      </c>
      <c r="R16" s="28">
        <v>354.619</v>
      </c>
      <c r="S16" s="34">
        <v>353.734</v>
      </c>
      <c r="T16" s="28">
        <v>345.222</v>
      </c>
      <c r="U16" s="28">
        <v>337.433</v>
      </c>
      <c r="V16" s="28">
        <v>330.984</v>
      </c>
      <c r="W16" s="28">
        <v>324.416</v>
      </c>
      <c r="X16" s="2">
        <f>X15/X17</f>
        <v>320.9522758</v>
      </c>
      <c r="Y16" s="2">
        <f t="shared" ref="Y16:AG16" si="27">X16</f>
        <v>320.9522758</v>
      </c>
      <c r="Z16" s="2">
        <f t="shared" si="27"/>
        <v>320.9522758</v>
      </c>
      <c r="AA16" s="2">
        <f t="shared" si="27"/>
        <v>320.9522758</v>
      </c>
      <c r="AB16" s="2">
        <f t="shared" si="27"/>
        <v>320.9522758</v>
      </c>
      <c r="AC16" s="2">
        <f t="shared" si="27"/>
        <v>320.9522758</v>
      </c>
      <c r="AD16" s="2">
        <f t="shared" si="27"/>
        <v>320.9522758</v>
      </c>
      <c r="AE16" s="2">
        <f t="shared" si="27"/>
        <v>320.9522758</v>
      </c>
      <c r="AF16" s="2">
        <f t="shared" si="27"/>
        <v>320.9522758</v>
      </c>
      <c r="AG16" s="2">
        <f t="shared" si="27"/>
        <v>320.9522758</v>
      </c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/>
      <c r="FE16" s="2"/>
      <c r="FF16" s="2"/>
      <c r="FG16" s="2"/>
      <c r="FH16" s="2"/>
      <c r="FI16" s="2"/>
      <c r="FJ16" s="2"/>
      <c r="FK16" s="2"/>
      <c r="FL16" s="2"/>
      <c r="FM16" s="2"/>
      <c r="FN16" s="2"/>
      <c r="FO16" s="2"/>
      <c r="FP16" s="2"/>
      <c r="FQ16" s="2"/>
      <c r="FR16" s="2"/>
      <c r="FS16" s="2"/>
      <c r="FT16" s="2"/>
      <c r="FU16" s="2"/>
      <c r="FV16" s="2"/>
      <c r="FW16" s="2"/>
      <c r="FX16" s="2"/>
      <c r="FY16" s="2"/>
      <c r="FZ16" s="2"/>
      <c r="GA16" s="2"/>
      <c r="GB16" s="2"/>
      <c r="GC16" s="2"/>
      <c r="GD16" s="2"/>
      <c r="GE16" s="2"/>
      <c r="GF16" s="2"/>
      <c r="GG16" s="2"/>
      <c r="GH16" s="2"/>
      <c r="GI16" s="2"/>
      <c r="GJ16" s="2"/>
      <c r="GK16" s="2"/>
      <c r="GL16" s="2"/>
      <c r="GM16" s="2"/>
      <c r="GN16" s="2"/>
      <c r="GO16" s="2"/>
      <c r="GP16" s="2"/>
      <c r="GQ16" s="2"/>
      <c r="GR16" s="2"/>
      <c r="GS16" s="2"/>
      <c r="GT16" s="2"/>
      <c r="GU16" s="2"/>
      <c r="GV16" s="2"/>
    </row>
    <row r="17" ht="13.5" customHeight="1">
      <c r="A17" s="35"/>
      <c r="B17" s="36" t="s">
        <v>62</v>
      </c>
      <c r="C17" s="37">
        <f t="shared" ref="C17:E17" si="28">C15/C16</f>
        <v>1.462199277</v>
      </c>
      <c r="D17" s="37">
        <f t="shared" si="28"/>
        <v>1.590137281</v>
      </c>
      <c r="E17" s="37">
        <f t="shared" si="28"/>
        <v>1.481519199</v>
      </c>
      <c r="F17" s="2">
        <f>V17-sum(C17:E17)</f>
        <v>1.782854417</v>
      </c>
      <c r="G17" s="37">
        <f t="shared" ref="G17:I17" si="29">G15/G16</f>
        <v>1.465570863</v>
      </c>
      <c r="H17" s="37">
        <f t="shared" si="29"/>
        <v>1.564043276</v>
      </c>
      <c r="I17" s="37">
        <f t="shared" si="29"/>
        <v>1.582925298</v>
      </c>
      <c r="J17" s="2">
        <f>W17-sum(G17:I17)</f>
        <v>1.999477233</v>
      </c>
      <c r="K17" s="37">
        <f t="shared" ref="K17:N17" si="30">K15/K16</f>
        <v>2.02335391</v>
      </c>
      <c r="L17" s="37">
        <f t="shared" si="30"/>
        <v>2.664889654</v>
      </c>
      <c r="M17" s="37">
        <f t="shared" si="30"/>
        <v>1.75310733</v>
      </c>
      <c r="N17" s="37">
        <f t="shared" si="30"/>
        <v>2.180503379</v>
      </c>
      <c r="O17" s="35"/>
      <c r="P17" s="35"/>
      <c r="Q17" s="37">
        <f t="shared" ref="Q17:W17" si="31">Q15/Q16</f>
        <v>4.598590184</v>
      </c>
      <c r="R17" s="37">
        <f t="shared" si="31"/>
        <v>0.2407710811</v>
      </c>
      <c r="S17" s="37">
        <f t="shared" si="31"/>
        <v>4.869729797</v>
      </c>
      <c r="T17" s="37">
        <f t="shared" si="31"/>
        <v>4.37990916</v>
      </c>
      <c r="U17" s="37">
        <f t="shared" si="31"/>
        <v>5.555236151</v>
      </c>
      <c r="V17" s="37">
        <f t="shared" si="31"/>
        <v>6.316710173</v>
      </c>
      <c r="W17" s="37">
        <f t="shared" si="31"/>
        <v>6.61201667</v>
      </c>
      <c r="X17" s="2">
        <f>sum(K17:N17)</f>
        <v>8.621854274</v>
      </c>
      <c r="Y17" s="37">
        <f t="shared" ref="Y17:AG17" si="32">Y15/Y16</f>
        <v>9.620145618</v>
      </c>
      <c r="Z17" s="37">
        <f t="shared" si="32"/>
        <v>10.73786861</v>
      </c>
      <c r="AA17" s="37">
        <f t="shared" si="32"/>
        <v>11.98935142</v>
      </c>
      <c r="AB17" s="37">
        <f t="shared" si="32"/>
        <v>13.39064155</v>
      </c>
      <c r="AC17" s="37">
        <f t="shared" si="32"/>
        <v>14.95971217</v>
      </c>
      <c r="AD17" s="37">
        <f t="shared" si="32"/>
        <v>16.71669321</v>
      </c>
      <c r="AE17" s="37">
        <f t="shared" si="32"/>
        <v>18.68413013</v>
      </c>
      <c r="AF17" s="37">
        <f t="shared" si="32"/>
        <v>20.88727381</v>
      </c>
      <c r="AG17" s="37">
        <f t="shared" si="32"/>
        <v>23.35440522</v>
      </c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37"/>
      <c r="AW17" s="37"/>
      <c r="AX17" s="37"/>
      <c r="AY17" s="37"/>
      <c r="AZ17" s="37"/>
      <c r="BA17" s="37"/>
      <c r="BB17" s="37"/>
      <c r="BC17" s="37"/>
      <c r="BD17" s="37"/>
      <c r="BE17" s="37"/>
      <c r="BF17" s="37"/>
      <c r="BG17" s="37"/>
      <c r="BH17" s="37"/>
      <c r="BI17" s="37"/>
      <c r="BJ17" s="37"/>
      <c r="BK17" s="37"/>
      <c r="BL17" s="37"/>
      <c r="BM17" s="37"/>
      <c r="BN17" s="37"/>
      <c r="BO17" s="37"/>
      <c r="BP17" s="37"/>
      <c r="BQ17" s="37"/>
      <c r="BR17" s="37"/>
      <c r="BS17" s="37"/>
      <c r="BT17" s="37"/>
      <c r="BU17" s="37"/>
      <c r="BV17" s="37"/>
      <c r="BW17" s="37"/>
      <c r="BX17" s="37"/>
      <c r="BY17" s="37"/>
      <c r="BZ17" s="37"/>
      <c r="CA17" s="37"/>
      <c r="CB17" s="37"/>
      <c r="CC17" s="37"/>
      <c r="CD17" s="37"/>
      <c r="CE17" s="37"/>
      <c r="CF17" s="37"/>
      <c r="CG17" s="37"/>
      <c r="CH17" s="37"/>
      <c r="CI17" s="37"/>
      <c r="CJ17" s="37"/>
      <c r="CK17" s="37"/>
      <c r="CL17" s="37"/>
      <c r="CM17" s="37"/>
      <c r="CN17" s="37"/>
      <c r="CO17" s="37"/>
      <c r="CP17" s="37"/>
      <c r="CQ17" s="37"/>
      <c r="CR17" s="37"/>
      <c r="CS17" s="37"/>
      <c r="CT17" s="37"/>
      <c r="CU17" s="37"/>
      <c r="CV17" s="37"/>
      <c r="CW17" s="37"/>
      <c r="CX17" s="37"/>
      <c r="CY17" s="37"/>
      <c r="CZ17" s="37"/>
      <c r="DA17" s="37"/>
      <c r="DB17" s="37"/>
      <c r="DC17" s="37"/>
      <c r="DD17" s="37"/>
      <c r="DE17" s="37"/>
      <c r="DF17" s="37"/>
      <c r="DG17" s="37"/>
      <c r="DH17" s="37"/>
      <c r="DI17" s="37"/>
      <c r="DJ17" s="37"/>
      <c r="DK17" s="37"/>
      <c r="DL17" s="37"/>
      <c r="DM17" s="37"/>
      <c r="DN17" s="37"/>
      <c r="DO17" s="37"/>
      <c r="DP17" s="37"/>
      <c r="DQ17" s="37"/>
      <c r="DR17" s="37"/>
      <c r="DS17" s="37"/>
      <c r="DT17" s="37"/>
      <c r="DU17" s="37"/>
      <c r="DV17" s="37"/>
      <c r="DW17" s="37"/>
      <c r="DX17" s="37"/>
      <c r="DY17" s="37"/>
      <c r="DZ17" s="37"/>
      <c r="EA17" s="37"/>
      <c r="EB17" s="37"/>
      <c r="EC17" s="37"/>
      <c r="ED17" s="37"/>
      <c r="EE17" s="37"/>
      <c r="EF17" s="37"/>
      <c r="EG17" s="37"/>
      <c r="EH17" s="37"/>
      <c r="EI17" s="37"/>
      <c r="EJ17" s="37"/>
      <c r="EK17" s="37"/>
      <c r="EL17" s="37"/>
      <c r="EM17" s="37"/>
      <c r="EN17" s="37"/>
      <c r="EO17" s="37"/>
      <c r="EP17" s="37"/>
      <c r="EQ17" s="37"/>
      <c r="ER17" s="37"/>
      <c r="ES17" s="37"/>
      <c r="ET17" s="37"/>
      <c r="EU17" s="37"/>
      <c r="EV17" s="37"/>
      <c r="EW17" s="37"/>
      <c r="EX17" s="37"/>
      <c r="EY17" s="37"/>
      <c r="EZ17" s="37"/>
      <c r="FA17" s="37"/>
      <c r="FB17" s="37"/>
      <c r="FC17" s="37"/>
      <c r="FD17" s="37"/>
      <c r="FE17" s="37"/>
      <c r="FF17" s="37"/>
      <c r="FG17" s="37"/>
      <c r="FH17" s="37"/>
      <c r="FI17" s="37"/>
      <c r="FJ17" s="37"/>
      <c r="FK17" s="37"/>
      <c r="FL17" s="37"/>
      <c r="FM17" s="37"/>
      <c r="FN17" s="37"/>
      <c r="FO17" s="37"/>
      <c r="FP17" s="37"/>
      <c r="FQ17" s="37"/>
      <c r="FR17" s="37"/>
      <c r="FS17" s="37"/>
      <c r="FT17" s="37"/>
      <c r="FU17" s="37"/>
      <c r="FV17" s="37"/>
      <c r="FW17" s="37"/>
      <c r="FX17" s="37"/>
      <c r="FY17" s="37"/>
      <c r="FZ17" s="37"/>
      <c r="GA17" s="37"/>
      <c r="GB17" s="37"/>
      <c r="GC17" s="37"/>
      <c r="GD17" s="37"/>
      <c r="GE17" s="37"/>
      <c r="GF17" s="37"/>
      <c r="GG17" s="37"/>
      <c r="GH17" s="37"/>
      <c r="GI17" s="37"/>
      <c r="GJ17" s="37"/>
      <c r="GK17" s="37"/>
      <c r="GL17" s="37"/>
      <c r="GM17" s="37"/>
      <c r="GN17" s="37"/>
      <c r="GO17" s="37"/>
      <c r="GP17" s="37"/>
      <c r="GQ17" s="37"/>
      <c r="GR17" s="37"/>
      <c r="GS17" s="37"/>
      <c r="GT17" s="37"/>
      <c r="GU17" s="37"/>
      <c r="GV17" s="37"/>
    </row>
    <row r="18" ht="13.5" customHeight="1">
      <c r="A18" s="1"/>
      <c r="B18" s="1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1"/>
      <c r="P18" s="1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38" t="s">
        <v>63</v>
      </c>
      <c r="AL18" s="39">
        <v>-0.045</v>
      </c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  <c r="FA18" s="2"/>
      <c r="FB18" s="2"/>
      <c r="FC18" s="2"/>
      <c r="FD18" s="2"/>
      <c r="FE18" s="2"/>
      <c r="FF18" s="2"/>
      <c r="FG18" s="2"/>
      <c r="FH18" s="2"/>
      <c r="FI18" s="2"/>
      <c r="FJ18" s="2"/>
      <c r="FK18" s="2"/>
      <c r="FL18" s="2"/>
      <c r="FM18" s="2"/>
      <c r="FN18" s="2"/>
      <c r="FO18" s="2"/>
      <c r="FP18" s="2"/>
      <c r="FQ18" s="2"/>
      <c r="FR18" s="2"/>
      <c r="FS18" s="2"/>
      <c r="FT18" s="2"/>
      <c r="FU18" s="2"/>
      <c r="FV18" s="2"/>
      <c r="FW18" s="2"/>
      <c r="FX18" s="2"/>
      <c r="FY18" s="2"/>
      <c r="FZ18" s="2"/>
      <c r="GA18" s="2"/>
      <c r="GB18" s="2"/>
      <c r="GC18" s="2"/>
      <c r="GD18" s="2"/>
      <c r="GE18" s="2"/>
      <c r="GF18" s="2"/>
      <c r="GG18" s="2"/>
      <c r="GH18" s="2"/>
      <c r="GI18" s="2"/>
      <c r="GJ18" s="2"/>
      <c r="GK18" s="2"/>
      <c r="GL18" s="2"/>
      <c r="GM18" s="2"/>
      <c r="GN18" s="2"/>
      <c r="GO18" s="2"/>
      <c r="GP18" s="2"/>
      <c r="GQ18" s="2"/>
      <c r="GR18" s="2"/>
      <c r="GS18" s="2"/>
      <c r="GT18" s="2"/>
      <c r="GU18" s="2"/>
      <c r="GV18" s="2"/>
    </row>
    <row r="19" ht="13.5" customHeight="1">
      <c r="A19" s="1"/>
      <c r="B19" s="11" t="s">
        <v>64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1"/>
      <c r="P19" s="1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38" t="s">
        <v>65</v>
      </c>
      <c r="AL19" s="39">
        <v>0.01</v>
      </c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  <c r="EM19" s="2"/>
      <c r="EN19" s="2"/>
      <c r="EO19" s="2"/>
      <c r="EP19" s="2"/>
      <c r="EQ19" s="2"/>
      <c r="ER19" s="2"/>
      <c r="ES19" s="2"/>
      <c r="ET19" s="2"/>
      <c r="EU19" s="2"/>
      <c r="EV19" s="2"/>
      <c r="EW19" s="2"/>
      <c r="EX19" s="2"/>
      <c r="EY19" s="2"/>
      <c r="EZ19" s="2"/>
      <c r="FA19" s="2"/>
      <c r="FB19" s="2"/>
      <c r="FC19" s="2"/>
      <c r="FD19" s="2"/>
      <c r="FE19" s="2"/>
      <c r="FF19" s="2"/>
      <c r="FG19" s="2"/>
      <c r="FH19" s="2"/>
      <c r="FI19" s="2"/>
      <c r="FJ19" s="2"/>
      <c r="FK19" s="2"/>
      <c r="FL19" s="2"/>
      <c r="FM19" s="2"/>
      <c r="FN19" s="2"/>
      <c r="FO19" s="2"/>
      <c r="FP19" s="2"/>
      <c r="FQ19" s="2"/>
      <c r="FR19" s="2"/>
      <c r="FS19" s="2"/>
      <c r="FT19" s="2"/>
      <c r="FU19" s="2"/>
      <c r="FV19" s="2"/>
      <c r="FW19" s="2"/>
      <c r="FX19" s="2"/>
      <c r="FY19" s="2"/>
      <c r="FZ19" s="2"/>
      <c r="GA19" s="2"/>
      <c r="GB19" s="2"/>
      <c r="GC19" s="2"/>
      <c r="GD19" s="2"/>
      <c r="GE19" s="2"/>
      <c r="GF19" s="2"/>
      <c r="GG19" s="2"/>
      <c r="GH19" s="2"/>
      <c r="GI19" s="2"/>
      <c r="GJ19" s="2"/>
      <c r="GK19" s="2"/>
      <c r="GL19" s="2"/>
      <c r="GM19" s="2"/>
      <c r="GN19" s="2"/>
      <c r="GO19" s="2"/>
      <c r="GP19" s="2"/>
      <c r="GQ19" s="2"/>
      <c r="GR19" s="2"/>
      <c r="GS19" s="2"/>
      <c r="GT19" s="2"/>
      <c r="GU19" s="2"/>
      <c r="GV19" s="2"/>
    </row>
    <row r="20" ht="13.5" customHeight="1">
      <c r="A20" s="40"/>
      <c r="B20" s="41" t="s">
        <v>53</v>
      </c>
      <c r="C20" s="42"/>
      <c r="D20" s="42"/>
      <c r="E20" s="42"/>
      <c r="F20" s="42"/>
      <c r="G20" s="42">
        <f t="shared" ref="G20:N20" si="33">G8/C8-1</f>
        <v>0.02612232396</v>
      </c>
      <c r="H20" s="42">
        <f t="shared" si="33"/>
        <v>0.04569874832</v>
      </c>
      <c r="I20" s="42">
        <f t="shared" si="33"/>
        <v>0.1044281271</v>
      </c>
      <c r="J20" s="42">
        <f t="shared" si="33"/>
        <v>0.1223235575</v>
      </c>
      <c r="K20" s="42">
        <f t="shared" si="33"/>
        <v>0.2057193512</v>
      </c>
      <c r="L20" s="42">
        <f t="shared" si="33"/>
        <v>0.1330645278</v>
      </c>
      <c r="M20" s="42">
        <f t="shared" si="33"/>
        <v>0.1</v>
      </c>
      <c r="N20" s="42">
        <f t="shared" si="33"/>
        <v>0.1</v>
      </c>
      <c r="O20" s="40"/>
      <c r="P20" s="40"/>
      <c r="Q20" s="42"/>
      <c r="R20" s="42">
        <f t="shared" ref="R20:AG20" si="34">R8/Q8-1</f>
        <v>-0.2186852071</v>
      </c>
      <c r="S20" s="42">
        <f t="shared" si="34"/>
        <v>0.5094877615</v>
      </c>
      <c r="T20" s="42">
        <f t="shared" si="34"/>
        <v>-0.01165215462</v>
      </c>
      <c r="U20" s="42">
        <f t="shared" si="34"/>
        <v>0.08991909372</v>
      </c>
      <c r="V20" s="42">
        <f t="shared" si="34"/>
        <v>0.03691810267</v>
      </c>
      <c r="W20" s="42">
        <f t="shared" si="34"/>
        <v>0.07673449738</v>
      </c>
      <c r="X20" s="42">
        <f t="shared" si="34"/>
        <v>0.131200407</v>
      </c>
      <c r="Y20" s="42">
        <f t="shared" si="34"/>
        <v>0.12</v>
      </c>
      <c r="Z20" s="42">
        <f t="shared" si="34"/>
        <v>0.12</v>
      </c>
      <c r="AA20" s="42">
        <f t="shared" si="34"/>
        <v>0.12</v>
      </c>
      <c r="AB20" s="42">
        <f t="shared" si="34"/>
        <v>0.12</v>
      </c>
      <c r="AC20" s="42">
        <f t="shared" si="34"/>
        <v>0.12</v>
      </c>
      <c r="AD20" s="42">
        <f t="shared" si="34"/>
        <v>0.12</v>
      </c>
      <c r="AE20" s="42">
        <f t="shared" si="34"/>
        <v>0.12</v>
      </c>
      <c r="AF20" s="42">
        <f t="shared" si="34"/>
        <v>0.12</v>
      </c>
      <c r="AG20" s="42">
        <f t="shared" si="34"/>
        <v>0.12</v>
      </c>
      <c r="AH20" s="42"/>
      <c r="AI20" s="42"/>
      <c r="AJ20" s="42"/>
      <c r="AK20" s="43" t="s">
        <v>66</v>
      </c>
      <c r="AL20" s="44">
        <v>0.08</v>
      </c>
      <c r="AM20" s="42"/>
      <c r="AN20" s="42"/>
      <c r="AO20" s="42"/>
      <c r="AP20" s="42"/>
      <c r="AQ20" s="42"/>
      <c r="AR20" s="42"/>
      <c r="AS20" s="42"/>
      <c r="AT20" s="42"/>
      <c r="AU20" s="42"/>
      <c r="AV20" s="42"/>
      <c r="AW20" s="42"/>
      <c r="AX20" s="42"/>
      <c r="AY20" s="42"/>
      <c r="AZ20" s="42"/>
      <c r="BA20" s="42"/>
      <c r="BB20" s="42"/>
      <c r="BC20" s="42"/>
      <c r="BD20" s="42"/>
      <c r="BE20" s="42"/>
      <c r="BF20" s="42"/>
      <c r="BG20" s="42"/>
      <c r="BH20" s="42"/>
      <c r="BI20" s="42"/>
      <c r="BJ20" s="42"/>
      <c r="BK20" s="42"/>
      <c r="BL20" s="42"/>
      <c r="BM20" s="42"/>
      <c r="BN20" s="42"/>
      <c r="BO20" s="42"/>
      <c r="BP20" s="42"/>
      <c r="BQ20" s="42"/>
      <c r="BR20" s="42"/>
      <c r="BS20" s="42"/>
      <c r="BT20" s="42"/>
      <c r="BU20" s="42"/>
      <c r="BV20" s="42"/>
      <c r="BW20" s="42"/>
      <c r="BX20" s="42"/>
      <c r="BY20" s="42"/>
      <c r="BZ20" s="42"/>
      <c r="CA20" s="42"/>
      <c r="CB20" s="42"/>
      <c r="CC20" s="42"/>
      <c r="CD20" s="42"/>
      <c r="CE20" s="42"/>
      <c r="CF20" s="42"/>
      <c r="CG20" s="42"/>
      <c r="CH20" s="42"/>
      <c r="CI20" s="42"/>
      <c r="CJ20" s="42"/>
      <c r="CK20" s="42"/>
      <c r="CL20" s="42"/>
      <c r="CM20" s="42"/>
      <c r="CN20" s="42"/>
      <c r="CO20" s="42"/>
      <c r="CP20" s="42"/>
      <c r="CQ20" s="42"/>
      <c r="CR20" s="42"/>
      <c r="CS20" s="42"/>
      <c r="CT20" s="42"/>
      <c r="CU20" s="42"/>
      <c r="CV20" s="42"/>
      <c r="CW20" s="42"/>
      <c r="CX20" s="42"/>
      <c r="CY20" s="42"/>
      <c r="CZ20" s="42"/>
      <c r="DA20" s="42"/>
      <c r="DB20" s="42"/>
      <c r="DC20" s="42"/>
      <c r="DD20" s="42"/>
      <c r="DE20" s="42"/>
      <c r="DF20" s="42"/>
      <c r="DG20" s="42"/>
      <c r="DH20" s="42"/>
      <c r="DI20" s="42"/>
      <c r="DJ20" s="42"/>
      <c r="DK20" s="42"/>
      <c r="DL20" s="42"/>
      <c r="DM20" s="42"/>
      <c r="DN20" s="42"/>
      <c r="DO20" s="42"/>
      <c r="DP20" s="42"/>
      <c r="DQ20" s="42"/>
      <c r="DR20" s="42"/>
      <c r="DS20" s="42"/>
      <c r="DT20" s="42"/>
      <c r="DU20" s="42"/>
      <c r="DV20" s="42"/>
      <c r="DW20" s="42"/>
      <c r="DX20" s="42"/>
      <c r="DY20" s="42"/>
      <c r="DZ20" s="42"/>
      <c r="EA20" s="42"/>
      <c r="EB20" s="42"/>
      <c r="EC20" s="42"/>
      <c r="ED20" s="42"/>
      <c r="EE20" s="42"/>
      <c r="EF20" s="42"/>
      <c r="EG20" s="42"/>
      <c r="EH20" s="42"/>
      <c r="EI20" s="42"/>
      <c r="EJ20" s="42"/>
      <c r="EK20" s="42"/>
      <c r="EL20" s="42"/>
      <c r="EM20" s="42"/>
      <c r="EN20" s="42"/>
      <c r="EO20" s="42"/>
      <c r="EP20" s="42"/>
      <c r="EQ20" s="42"/>
      <c r="ER20" s="42"/>
      <c r="ES20" s="42"/>
      <c r="ET20" s="42"/>
      <c r="EU20" s="42"/>
      <c r="EV20" s="42"/>
      <c r="EW20" s="42"/>
      <c r="EX20" s="42"/>
      <c r="EY20" s="42"/>
      <c r="EZ20" s="42"/>
      <c r="FA20" s="42"/>
      <c r="FB20" s="42"/>
      <c r="FC20" s="42"/>
      <c r="FD20" s="42"/>
      <c r="FE20" s="42"/>
      <c r="FF20" s="42"/>
      <c r="FG20" s="42"/>
      <c r="FH20" s="42"/>
      <c r="FI20" s="42"/>
      <c r="FJ20" s="42"/>
      <c r="FK20" s="42"/>
      <c r="FL20" s="42"/>
      <c r="FM20" s="42"/>
      <c r="FN20" s="42"/>
      <c r="FO20" s="42"/>
      <c r="FP20" s="42"/>
      <c r="FQ20" s="42"/>
      <c r="FR20" s="42"/>
      <c r="FS20" s="42"/>
      <c r="FT20" s="42"/>
      <c r="FU20" s="42"/>
      <c r="FV20" s="42"/>
      <c r="FW20" s="42"/>
      <c r="FX20" s="42"/>
      <c r="FY20" s="42"/>
      <c r="FZ20" s="42"/>
      <c r="GA20" s="42"/>
      <c r="GB20" s="42"/>
      <c r="GC20" s="42"/>
      <c r="GD20" s="42"/>
      <c r="GE20" s="42"/>
      <c r="GF20" s="42"/>
      <c r="GG20" s="42"/>
      <c r="GH20" s="42"/>
      <c r="GI20" s="42"/>
      <c r="GJ20" s="42"/>
      <c r="GK20" s="42"/>
      <c r="GL20" s="42"/>
      <c r="GM20" s="42"/>
      <c r="GN20" s="42"/>
      <c r="GO20" s="42"/>
      <c r="GP20" s="42"/>
      <c r="GQ20" s="42"/>
      <c r="GR20" s="42"/>
      <c r="GS20" s="42"/>
      <c r="GT20" s="42"/>
      <c r="GU20" s="42"/>
      <c r="GV20" s="42"/>
    </row>
    <row r="21" ht="13.5" customHeight="1">
      <c r="A21" s="40"/>
      <c r="B21" s="45" t="s">
        <v>67</v>
      </c>
      <c r="C21" s="42">
        <f t="shared" ref="C21:N21" si="35">(C8-C9)/C8</f>
        <v>0.2814689464</v>
      </c>
      <c r="D21" s="42">
        <f t="shared" si="35"/>
        <v>0.2828528843</v>
      </c>
      <c r="E21" s="42">
        <f t="shared" si="35"/>
        <v>0.2833702794</v>
      </c>
      <c r="F21" s="42">
        <f t="shared" si="35"/>
        <v>0.2653218835</v>
      </c>
      <c r="G21" s="42">
        <f t="shared" si="35"/>
        <v>0.2815673351</v>
      </c>
      <c r="H21" s="42">
        <f t="shared" si="35"/>
        <v>0.2761698358</v>
      </c>
      <c r="I21" s="42">
        <f t="shared" si="35"/>
        <v>0.2800419786</v>
      </c>
      <c r="J21" s="42">
        <f t="shared" si="35"/>
        <v>0.2719035067</v>
      </c>
      <c r="K21" s="42">
        <f t="shared" si="35"/>
        <v>0.296130789</v>
      </c>
      <c r="L21" s="42">
        <f t="shared" si="35"/>
        <v>0.3383415117</v>
      </c>
      <c r="M21" s="42">
        <f t="shared" si="35"/>
        <v>0.2800419786</v>
      </c>
      <c r="N21" s="42">
        <f t="shared" si="35"/>
        <v>0.2719035067</v>
      </c>
      <c r="O21" s="40"/>
      <c r="P21" s="40"/>
      <c r="Q21" s="42">
        <f t="shared" ref="Q21:AG21" si="36">(Q8-Q9)/Q8</f>
        <v>0.2807447787</v>
      </c>
      <c r="R21" s="42">
        <f t="shared" si="36"/>
        <v>0.214896623</v>
      </c>
      <c r="S21" s="42">
        <f t="shared" si="36"/>
        <v>0.2752838777</v>
      </c>
      <c r="T21" s="42">
        <f t="shared" si="36"/>
        <v>0.2540459158</v>
      </c>
      <c r="U21" s="42">
        <f t="shared" si="36"/>
        <v>0.2736102539</v>
      </c>
      <c r="V21" s="42">
        <f t="shared" si="36"/>
        <v>0.2777534276</v>
      </c>
      <c r="W21" s="42">
        <f t="shared" si="36"/>
        <v>0.2770614559</v>
      </c>
      <c r="X21" s="42">
        <f t="shared" si="36"/>
        <v>0.2956833777</v>
      </c>
      <c r="Y21" s="42">
        <f t="shared" si="36"/>
        <v>0.2956833777</v>
      </c>
      <c r="Z21" s="42">
        <f t="shared" si="36"/>
        <v>0.2956833777</v>
      </c>
      <c r="AA21" s="42">
        <f t="shared" si="36"/>
        <v>0.2956833777</v>
      </c>
      <c r="AB21" s="42">
        <f t="shared" si="36"/>
        <v>0.2956833777</v>
      </c>
      <c r="AC21" s="42">
        <f t="shared" si="36"/>
        <v>0.2956833777</v>
      </c>
      <c r="AD21" s="42">
        <f t="shared" si="36"/>
        <v>0.2956833777</v>
      </c>
      <c r="AE21" s="42">
        <f t="shared" si="36"/>
        <v>0.2956833777</v>
      </c>
      <c r="AF21" s="42">
        <f t="shared" si="36"/>
        <v>0.2956833777</v>
      </c>
      <c r="AG21" s="42">
        <f t="shared" si="36"/>
        <v>0.2956833777</v>
      </c>
      <c r="AH21" s="42"/>
      <c r="AI21" s="42"/>
      <c r="AJ21" s="42"/>
      <c r="AK21" s="43" t="s">
        <v>68</v>
      </c>
      <c r="AL21" s="46">
        <f t="array" ref="AL21">NPV(AL20,X15:GV15)</f>
        <v>80014.69896</v>
      </c>
      <c r="AM21" s="42"/>
      <c r="AN21" s="42"/>
      <c r="AO21" s="42"/>
      <c r="AP21" s="42"/>
      <c r="AQ21" s="42"/>
      <c r="AR21" s="42"/>
      <c r="AS21" s="42"/>
      <c r="AT21" s="42"/>
      <c r="AU21" s="42"/>
      <c r="AV21" s="42"/>
      <c r="AW21" s="42"/>
      <c r="AX21" s="42"/>
      <c r="AY21" s="42"/>
      <c r="AZ21" s="42"/>
      <c r="BA21" s="42"/>
      <c r="BB21" s="42"/>
      <c r="BC21" s="42"/>
      <c r="BD21" s="42"/>
      <c r="BE21" s="42"/>
      <c r="BF21" s="42"/>
      <c r="BG21" s="42"/>
      <c r="BH21" s="42"/>
      <c r="BI21" s="42"/>
      <c r="BJ21" s="42"/>
      <c r="BK21" s="42"/>
      <c r="BL21" s="42"/>
      <c r="BM21" s="42"/>
      <c r="BN21" s="42"/>
      <c r="BO21" s="42"/>
      <c r="BP21" s="42"/>
      <c r="BQ21" s="42"/>
      <c r="BR21" s="42"/>
      <c r="BS21" s="42"/>
      <c r="BT21" s="42"/>
      <c r="BU21" s="42"/>
      <c r="BV21" s="42"/>
      <c r="BW21" s="42"/>
      <c r="BX21" s="42"/>
      <c r="BY21" s="42"/>
      <c r="BZ21" s="42"/>
      <c r="CA21" s="42"/>
      <c r="CB21" s="42"/>
      <c r="CC21" s="42"/>
      <c r="CD21" s="42"/>
      <c r="CE21" s="42"/>
      <c r="CF21" s="42"/>
      <c r="CG21" s="42"/>
      <c r="CH21" s="42"/>
      <c r="CI21" s="42"/>
      <c r="CJ21" s="42"/>
      <c r="CK21" s="42"/>
      <c r="CL21" s="42"/>
      <c r="CM21" s="42"/>
      <c r="CN21" s="42"/>
      <c r="CO21" s="42"/>
      <c r="CP21" s="42"/>
      <c r="CQ21" s="42"/>
      <c r="CR21" s="42"/>
      <c r="CS21" s="42"/>
      <c r="CT21" s="42"/>
      <c r="CU21" s="42"/>
      <c r="CV21" s="42"/>
      <c r="CW21" s="42"/>
      <c r="CX21" s="42"/>
      <c r="CY21" s="42"/>
      <c r="CZ21" s="42"/>
      <c r="DA21" s="42"/>
      <c r="DB21" s="42"/>
      <c r="DC21" s="42"/>
      <c r="DD21" s="42"/>
      <c r="DE21" s="42"/>
      <c r="DF21" s="42"/>
      <c r="DG21" s="42"/>
      <c r="DH21" s="42"/>
      <c r="DI21" s="42"/>
      <c r="DJ21" s="42"/>
      <c r="DK21" s="42"/>
      <c r="DL21" s="42"/>
      <c r="DM21" s="42"/>
      <c r="DN21" s="42"/>
      <c r="DO21" s="42"/>
      <c r="DP21" s="42"/>
      <c r="DQ21" s="42"/>
      <c r="DR21" s="42"/>
      <c r="DS21" s="42"/>
      <c r="DT21" s="42"/>
      <c r="DU21" s="42"/>
      <c r="DV21" s="42"/>
      <c r="DW21" s="42"/>
      <c r="DX21" s="42"/>
      <c r="DY21" s="42"/>
      <c r="DZ21" s="42"/>
      <c r="EA21" s="42"/>
      <c r="EB21" s="42"/>
      <c r="EC21" s="42"/>
      <c r="ED21" s="42"/>
      <c r="EE21" s="42"/>
      <c r="EF21" s="42"/>
      <c r="EG21" s="42"/>
      <c r="EH21" s="42"/>
      <c r="EI21" s="42"/>
      <c r="EJ21" s="42"/>
      <c r="EK21" s="42"/>
      <c r="EL21" s="42"/>
      <c r="EM21" s="42"/>
      <c r="EN21" s="42"/>
      <c r="EO21" s="42"/>
      <c r="EP21" s="42"/>
      <c r="EQ21" s="42"/>
      <c r="ER21" s="42"/>
      <c r="ES21" s="42"/>
      <c r="ET21" s="42"/>
      <c r="EU21" s="42"/>
      <c r="EV21" s="42"/>
      <c r="EW21" s="42"/>
      <c r="EX21" s="42"/>
      <c r="EY21" s="42"/>
      <c r="EZ21" s="42"/>
      <c r="FA21" s="42"/>
      <c r="FB21" s="42"/>
      <c r="FC21" s="42"/>
      <c r="FD21" s="42"/>
      <c r="FE21" s="42"/>
      <c r="FF21" s="42"/>
      <c r="FG21" s="42"/>
      <c r="FH21" s="42"/>
      <c r="FI21" s="42"/>
      <c r="FJ21" s="42"/>
      <c r="FK21" s="42"/>
      <c r="FL21" s="42"/>
      <c r="FM21" s="42"/>
      <c r="FN21" s="42"/>
      <c r="FO21" s="42"/>
      <c r="FP21" s="42"/>
      <c r="FQ21" s="42"/>
      <c r="FR21" s="42"/>
      <c r="FS21" s="42"/>
      <c r="FT21" s="42"/>
      <c r="FU21" s="42"/>
      <c r="FV21" s="42"/>
      <c r="FW21" s="42"/>
      <c r="FX21" s="42"/>
      <c r="FY21" s="42"/>
      <c r="FZ21" s="42"/>
      <c r="GA21" s="42"/>
      <c r="GB21" s="42"/>
      <c r="GC21" s="42"/>
      <c r="GD21" s="42"/>
      <c r="GE21" s="42"/>
      <c r="GF21" s="42"/>
      <c r="GG21" s="42"/>
      <c r="GH21" s="42"/>
      <c r="GI21" s="42"/>
      <c r="GJ21" s="42"/>
      <c r="GK21" s="42"/>
      <c r="GL21" s="42"/>
      <c r="GM21" s="42"/>
      <c r="GN21" s="42"/>
      <c r="GO21" s="42"/>
      <c r="GP21" s="42"/>
      <c r="GQ21" s="42"/>
      <c r="GR21" s="42"/>
      <c r="GS21" s="42"/>
      <c r="GT21" s="42"/>
      <c r="GU21" s="42"/>
      <c r="GV21" s="42"/>
    </row>
    <row r="22" ht="13.5" customHeight="1">
      <c r="A22" s="40"/>
      <c r="B22" s="45" t="s">
        <v>69</v>
      </c>
      <c r="C22" s="42">
        <f t="shared" ref="C22:N22" si="37">C11/C8</f>
        <v>0.1216765845</v>
      </c>
      <c r="D22" s="42">
        <f t="shared" si="37"/>
        <v>0.1246771879</v>
      </c>
      <c r="E22" s="42">
        <f t="shared" si="37"/>
        <v>0.119142935</v>
      </c>
      <c r="F22" s="42">
        <f t="shared" si="37"/>
        <v>0.1236450445</v>
      </c>
      <c r="G22" s="42">
        <f t="shared" si="37"/>
        <v>0.1216596847</v>
      </c>
      <c r="H22" s="42">
        <f t="shared" si="37"/>
        <v>0.115437955</v>
      </c>
      <c r="I22" s="42">
        <f t="shared" si="37"/>
        <v>0.1157836551</v>
      </c>
      <c r="J22" s="42">
        <f t="shared" si="37"/>
        <v>0.1226910145</v>
      </c>
      <c r="K22" s="42">
        <f t="shared" si="37"/>
        <v>0.1337707696</v>
      </c>
      <c r="L22" s="42">
        <f t="shared" si="37"/>
        <v>0.1761593108</v>
      </c>
      <c r="M22" s="42">
        <f t="shared" si="37"/>
        <v>0.1157836551</v>
      </c>
      <c r="N22" s="42">
        <f t="shared" si="37"/>
        <v>0.1226910145</v>
      </c>
      <c r="O22" s="40"/>
      <c r="P22" s="40"/>
      <c r="Q22" s="42">
        <f t="shared" ref="Q22:AG22" si="38">Q11/Q8</f>
        <v>0.1338096036</v>
      </c>
      <c r="R22" s="42">
        <f t="shared" si="38"/>
        <v>0.01513857208</v>
      </c>
      <c r="S22" s="42">
        <f t="shared" si="38"/>
        <v>0.1233261741</v>
      </c>
      <c r="T22" s="42">
        <f t="shared" si="38"/>
        <v>0.1064585582</v>
      </c>
      <c r="U22" s="42">
        <f t="shared" si="38"/>
        <v>0.1132487452</v>
      </c>
      <c r="V22" s="42">
        <f t="shared" si="38"/>
        <v>0.1223701643</v>
      </c>
      <c r="W22" s="42">
        <f t="shared" si="38"/>
        <v>0.1190017793</v>
      </c>
      <c r="X22" s="42">
        <f t="shared" si="38"/>
        <v>0.1366410709</v>
      </c>
      <c r="Y22" s="42">
        <f t="shared" si="38"/>
        <v>0.1366410709</v>
      </c>
      <c r="Z22" s="42">
        <f t="shared" si="38"/>
        <v>0.1366410709</v>
      </c>
      <c r="AA22" s="42">
        <f t="shared" si="38"/>
        <v>0.1366410709</v>
      </c>
      <c r="AB22" s="42">
        <f t="shared" si="38"/>
        <v>0.1366410709</v>
      </c>
      <c r="AC22" s="42">
        <f t="shared" si="38"/>
        <v>0.1366410709</v>
      </c>
      <c r="AD22" s="42">
        <f t="shared" si="38"/>
        <v>0.1366410709</v>
      </c>
      <c r="AE22" s="42">
        <f t="shared" si="38"/>
        <v>0.1366410709</v>
      </c>
      <c r="AF22" s="42">
        <f t="shared" si="38"/>
        <v>0.1366410709</v>
      </c>
      <c r="AG22" s="42">
        <f t="shared" si="38"/>
        <v>0.1366410709</v>
      </c>
      <c r="AH22" s="42"/>
      <c r="AI22" s="42"/>
      <c r="AJ22" s="42"/>
      <c r="AK22" s="43" t="s">
        <v>70</v>
      </c>
      <c r="AL22" s="46">
        <f>Main!K4</f>
        <v>319.45</v>
      </c>
      <c r="AM22" s="42"/>
      <c r="AN22" s="42"/>
      <c r="AO22" s="42"/>
      <c r="AP22" s="42"/>
      <c r="AQ22" s="42"/>
      <c r="AR22" s="42"/>
      <c r="AS22" s="42"/>
      <c r="AT22" s="42"/>
      <c r="AU22" s="42"/>
      <c r="AV22" s="42"/>
      <c r="AW22" s="42"/>
      <c r="AX22" s="42"/>
      <c r="AY22" s="42"/>
      <c r="AZ22" s="42"/>
      <c r="BA22" s="42"/>
      <c r="BB22" s="42"/>
      <c r="BC22" s="42"/>
      <c r="BD22" s="42"/>
      <c r="BE22" s="42"/>
      <c r="BF22" s="42"/>
      <c r="BG22" s="42"/>
      <c r="BH22" s="42"/>
      <c r="BI22" s="42"/>
      <c r="BJ22" s="42"/>
      <c r="BK22" s="42"/>
      <c r="BL22" s="42"/>
      <c r="BM22" s="42"/>
      <c r="BN22" s="42"/>
      <c r="BO22" s="42"/>
      <c r="BP22" s="42"/>
      <c r="BQ22" s="42"/>
      <c r="BR22" s="42"/>
      <c r="BS22" s="42"/>
      <c r="BT22" s="42"/>
      <c r="BU22" s="42"/>
      <c r="BV22" s="42"/>
      <c r="BW22" s="42"/>
      <c r="BX22" s="42"/>
      <c r="BY22" s="42"/>
      <c r="BZ22" s="42"/>
      <c r="CA22" s="42"/>
      <c r="CB22" s="42"/>
      <c r="CC22" s="42"/>
      <c r="CD22" s="42"/>
      <c r="CE22" s="42"/>
      <c r="CF22" s="42"/>
      <c r="CG22" s="42"/>
      <c r="CH22" s="42"/>
      <c r="CI22" s="42"/>
      <c r="CJ22" s="42"/>
      <c r="CK22" s="42"/>
      <c r="CL22" s="42"/>
      <c r="CM22" s="42"/>
      <c r="CN22" s="42"/>
      <c r="CO22" s="42"/>
      <c r="CP22" s="42"/>
      <c r="CQ22" s="42"/>
      <c r="CR22" s="42"/>
      <c r="CS22" s="42"/>
      <c r="CT22" s="42"/>
      <c r="CU22" s="42"/>
      <c r="CV22" s="42"/>
      <c r="CW22" s="42"/>
      <c r="CX22" s="42"/>
      <c r="CY22" s="42"/>
      <c r="CZ22" s="42"/>
      <c r="DA22" s="42"/>
      <c r="DB22" s="42"/>
      <c r="DC22" s="42"/>
      <c r="DD22" s="42"/>
      <c r="DE22" s="42"/>
      <c r="DF22" s="42"/>
      <c r="DG22" s="42"/>
      <c r="DH22" s="42"/>
      <c r="DI22" s="42"/>
      <c r="DJ22" s="42"/>
      <c r="DK22" s="42"/>
      <c r="DL22" s="42"/>
      <c r="DM22" s="42"/>
      <c r="DN22" s="42"/>
      <c r="DO22" s="42"/>
      <c r="DP22" s="42"/>
      <c r="DQ22" s="42"/>
      <c r="DR22" s="42"/>
      <c r="DS22" s="42"/>
      <c r="DT22" s="42"/>
      <c r="DU22" s="42"/>
      <c r="DV22" s="42"/>
      <c r="DW22" s="42"/>
      <c r="DX22" s="42"/>
      <c r="DY22" s="42"/>
      <c r="DZ22" s="42"/>
      <c r="EA22" s="42"/>
      <c r="EB22" s="42"/>
      <c r="EC22" s="42"/>
      <c r="ED22" s="42"/>
      <c r="EE22" s="42"/>
      <c r="EF22" s="42"/>
      <c r="EG22" s="42"/>
      <c r="EH22" s="42"/>
      <c r="EI22" s="42"/>
      <c r="EJ22" s="42"/>
      <c r="EK22" s="42"/>
      <c r="EL22" s="42"/>
      <c r="EM22" s="42"/>
      <c r="EN22" s="42"/>
      <c r="EO22" s="42"/>
      <c r="EP22" s="42"/>
      <c r="EQ22" s="42"/>
      <c r="ER22" s="42"/>
      <c r="ES22" s="42"/>
      <c r="ET22" s="42"/>
      <c r="EU22" s="42"/>
      <c r="EV22" s="42"/>
      <c r="EW22" s="42"/>
      <c r="EX22" s="42"/>
      <c r="EY22" s="42"/>
      <c r="EZ22" s="42"/>
      <c r="FA22" s="42"/>
      <c r="FB22" s="42"/>
      <c r="FC22" s="42"/>
      <c r="FD22" s="42"/>
      <c r="FE22" s="42"/>
      <c r="FF22" s="42"/>
      <c r="FG22" s="42"/>
      <c r="FH22" s="42"/>
      <c r="FI22" s="42"/>
      <c r="FJ22" s="42"/>
      <c r="FK22" s="42"/>
      <c r="FL22" s="42"/>
      <c r="FM22" s="42"/>
      <c r="FN22" s="42"/>
      <c r="FO22" s="42"/>
      <c r="FP22" s="42"/>
      <c r="FQ22" s="42"/>
      <c r="FR22" s="42"/>
      <c r="FS22" s="42"/>
      <c r="FT22" s="42"/>
      <c r="FU22" s="42"/>
      <c r="FV22" s="42"/>
      <c r="FW22" s="42"/>
      <c r="FX22" s="42"/>
      <c r="FY22" s="42"/>
      <c r="FZ22" s="42"/>
      <c r="GA22" s="42"/>
      <c r="GB22" s="42"/>
      <c r="GC22" s="42"/>
      <c r="GD22" s="42"/>
      <c r="GE22" s="42"/>
      <c r="GF22" s="42"/>
      <c r="GG22" s="42"/>
      <c r="GH22" s="42"/>
      <c r="GI22" s="42"/>
      <c r="GJ22" s="42"/>
      <c r="GK22" s="42"/>
      <c r="GL22" s="42"/>
      <c r="GM22" s="42"/>
      <c r="GN22" s="42"/>
      <c r="GO22" s="42"/>
      <c r="GP22" s="42"/>
      <c r="GQ22" s="42"/>
      <c r="GR22" s="42"/>
      <c r="GS22" s="42"/>
      <c r="GT22" s="42"/>
      <c r="GU22" s="42"/>
      <c r="GV22" s="42"/>
    </row>
    <row r="23" ht="13.5" customHeight="1">
      <c r="A23" s="40"/>
      <c r="B23" s="40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0"/>
      <c r="P23" s="40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3" t="s">
        <v>71</v>
      </c>
      <c r="AL23" s="46">
        <f>AL21/AL22</f>
        <v>250.4764406</v>
      </c>
      <c r="AM23" s="42"/>
      <c r="AN23" s="42"/>
      <c r="AO23" s="42"/>
      <c r="AP23" s="42"/>
      <c r="AQ23" s="42"/>
      <c r="AR23" s="42"/>
      <c r="AS23" s="42"/>
      <c r="AT23" s="42"/>
      <c r="AU23" s="42"/>
      <c r="AV23" s="42"/>
      <c r="AW23" s="42"/>
      <c r="AX23" s="42"/>
      <c r="AY23" s="42"/>
      <c r="AZ23" s="42"/>
      <c r="BA23" s="42"/>
      <c r="BB23" s="42"/>
      <c r="BC23" s="42"/>
      <c r="BD23" s="42"/>
      <c r="BE23" s="42"/>
      <c r="BF23" s="42"/>
      <c r="BG23" s="42"/>
      <c r="BH23" s="42"/>
      <c r="BI23" s="42"/>
      <c r="BJ23" s="42"/>
      <c r="BK23" s="42"/>
      <c r="BL23" s="42"/>
      <c r="BM23" s="42"/>
      <c r="BN23" s="42"/>
      <c r="BO23" s="42"/>
      <c r="BP23" s="42"/>
      <c r="BQ23" s="42"/>
      <c r="BR23" s="42"/>
      <c r="BS23" s="42"/>
      <c r="BT23" s="42"/>
      <c r="BU23" s="42"/>
      <c r="BV23" s="42"/>
      <c r="BW23" s="42"/>
      <c r="BX23" s="42"/>
      <c r="BY23" s="42"/>
      <c r="BZ23" s="42"/>
      <c r="CA23" s="42"/>
      <c r="CB23" s="42"/>
      <c r="CC23" s="42"/>
      <c r="CD23" s="42"/>
      <c r="CE23" s="42"/>
      <c r="CF23" s="42"/>
      <c r="CG23" s="42"/>
      <c r="CH23" s="42"/>
      <c r="CI23" s="42"/>
      <c r="CJ23" s="42"/>
      <c r="CK23" s="42"/>
      <c r="CL23" s="42"/>
      <c r="CM23" s="42"/>
      <c r="CN23" s="42"/>
      <c r="CO23" s="42"/>
      <c r="CP23" s="42"/>
      <c r="CQ23" s="42"/>
      <c r="CR23" s="42"/>
      <c r="CS23" s="42"/>
      <c r="CT23" s="42"/>
      <c r="CU23" s="42"/>
      <c r="CV23" s="42"/>
      <c r="CW23" s="42"/>
      <c r="CX23" s="42"/>
      <c r="CY23" s="42"/>
      <c r="CZ23" s="42"/>
      <c r="DA23" s="42"/>
      <c r="DB23" s="42"/>
      <c r="DC23" s="42"/>
      <c r="DD23" s="42"/>
      <c r="DE23" s="42"/>
      <c r="DF23" s="42"/>
      <c r="DG23" s="42"/>
      <c r="DH23" s="42"/>
      <c r="DI23" s="42"/>
      <c r="DJ23" s="42"/>
      <c r="DK23" s="42"/>
      <c r="DL23" s="42"/>
      <c r="DM23" s="42"/>
      <c r="DN23" s="42"/>
      <c r="DO23" s="42"/>
      <c r="DP23" s="42"/>
      <c r="DQ23" s="42"/>
      <c r="DR23" s="42"/>
      <c r="DS23" s="42"/>
      <c r="DT23" s="42"/>
      <c r="DU23" s="42"/>
      <c r="DV23" s="42"/>
      <c r="DW23" s="42"/>
      <c r="DX23" s="42"/>
      <c r="DY23" s="42"/>
      <c r="DZ23" s="42"/>
      <c r="EA23" s="42"/>
      <c r="EB23" s="42"/>
      <c r="EC23" s="42"/>
      <c r="ED23" s="42"/>
      <c r="EE23" s="42"/>
      <c r="EF23" s="42"/>
      <c r="EG23" s="42"/>
      <c r="EH23" s="42"/>
      <c r="EI23" s="42"/>
      <c r="EJ23" s="42"/>
      <c r="EK23" s="42"/>
      <c r="EL23" s="42"/>
      <c r="EM23" s="42"/>
      <c r="EN23" s="42"/>
      <c r="EO23" s="42"/>
      <c r="EP23" s="42"/>
      <c r="EQ23" s="42"/>
      <c r="ER23" s="42"/>
      <c r="ES23" s="42"/>
      <c r="ET23" s="42"/>
      <c r="EU23" s="42"/>
      <c r="EV23" s="42"/>
      <c r="EW23" s="42"/>
      <c r="EX23" s="42"/>
      <c r="EY23" s="42"/>
      <c r="EZ23" s="42"/>
      <c r="FA23" s="42"/>
      <c r="FB23" s="42"/>
      <c r="FC23" s="42"/>
      <c r="FD23" s="42"/>
      <c r="FE23" s="42"/>
      <c r="FF23" s="42"/>
      <c r="FG23" s="42"/>
      <c r="FH23" s="42"/>
      <c r="FI23" s="42"/>
      <c r="FJ23" s="42"/>
      <c r="FK23" s="42"/>
      <c r="FL23" s="42"/>
      <c r="FM23" s="42"/>
      <c r="FN23" s="42"/>
      <c r="FO23" s="42"/>
      <c r="FP23" s="42"/>
      <c r="FQ23" s="42"/>
      <c r="FR23" s="42"/>
      <c r="FS23" s="42"/>
      <c r="FT23" s="42"/>
      <c r="FU23" s="42"/>
      <c r="FV23" s="42"/>
      <c r="FW23" s="42"/>
      <c r="FX23" s="42"/>
      <c r="FY23" s="42"/>
      <c r="FZ23" s="42"/>
      <c r="GA23" s="42"/>
      <c r="GB23" s="42"/>
      <c r="GC23" s="42"/>
      <c r="GD23" s="42"/>
      <c r="GE23" s="42"/>
      <c r="GF23" s="42"/>
      <c r="GG23" s="42"/>
      <c r="GH23" s="42"/>
      <c r="GI23" s="42"/>
      <c r="GJ23" s="42"/>
      <c r="GK23" s="42"/>
      <c r="GL23" s="42"/>
      <c r="GM23" s="42"/>
      <c r="GN23" s="42"/>
      <c r="GO23" s="42"/>
      <c r="GP23" s="42"/>
      <c r="GQ23" s="42"/>
      <c r="GR23" s="42"/>
      <c r="GS23" s="42"/>
      <c r="GT23" s="42"/>
      <c r="GU23" s="42"/>
      <c r="GV23" s="42"/>
    </row>
    <row r="24" ht="13.5" customHeight="1">
      <c r="A24" s="1"/>
      <c r="B24" s="1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2"/>
      <c r="N24" s="2"/>
      <c r="O24" s="1"/>
      <c r="P24" s="1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38" t="s">
        <v>28</v>
      </c>
      <c r="AL24" s="2">
        <f>Main!K3</f>
        <v>248.58</v>
      </c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  <c r="GG24" s="2"/>
      <c r="GH24" s="2"/>
      <c r="GI24" s="2"/>
      <c r="GJ24" s="2"/>
      <c r="GK24" s="2"/>
      <c r="GL24" s="2"/>
      <c r="GM24" s="2"/>
      <c r="GN24" s="2"/>
      <c r="GO24" s="2"/>
      <c r="GP24" s="2"/>
      <c r="GQ24" s="2"/>
      <c r="GR24" s="2"/>
      <c r="GS24" s="2"/>
      <c r="GT24" s="2"/>
      <c r="GU24" s="2"/>
      <c r="GV24" s="2"/>
    </row>
    <row r="25" ht="13.5" customHeight="1">
      <c r="A25" s="1"/>
      <c r="B25" s="11" t="s">
        <v>72</v>
      </c>
      <c r="C25" s="33"/>
      <c r="D25" s="33"/>
      <c r="E25" s="33"/>
      <c r="F25" s="27">
        <v>4730.744</v>
      </c>
      <c r="G25" s="27">
        <v>3783.413</v>
      </c>
      <c r="H25" s="27">
        <v>3847.016</v>
      </c>
      <c r="I25" s="27">
        <v>4061.173</v>
      </c>
      <c r="J25" s="27">
        <v>4594.392</v>
      </c>
      <c r="K25" s="27">
        <v>4130.98</v>
      </c>
      <c r="L25" s="27">
        <v>4288.124</v>
      </c>
      <c r="M25" s="2"/>
      <c r="N25" s="2"/>
      <c r="O25" s="1"/>
      <c r="P25" s="1"/>
      <c r="Q25" s="2"/>
      <c r="R25" s="2"/>
      <c r="S25" s="2"/>
      <c r="T25" s="2"/>
      <c r="U25" s="2"/>
      <c r="V25" s="2"/>
      <c r="W25" s="2">
        <f>K49</f>
        <v>3112.793</v>
      </c>
      <c r="X25" s="2">
        <f t="shared" ref="X25:AG25" si="39">W25*1.01</f>
        <v>3143.92093</v>
      </c>
      <c r="Y25" s="2">
        <f t="shared" si="39"/>
        <v>3175.360139</v>
      </c>
      <c r="Z25" s="2">
        <f t="shared" si="39"/>
        <v>3207.113741</v>
      </c>
      <c r="AA25" s="2">
        <f t="shared" si="39"/>
        <v>3239.184878</v>
      </c>
      <c r="AB25" s="2">
        <f t="shared" si="39"/>
        <v>3271.576727</v>
      </c>
      <c r="AC25" s="2">
        <f t="shared" si="39"/>
        <v>3304.292494</v>
      </c>
      <c r="AD25" s="2">
        <f t="shared" si="39"/>
        <v>3337.335419</v>
      </c>
      <c r="AE25" s="2">
        <f t="shared" si="39"/>
        <v>3370.708773</v>
      </c>
      <c r="AF25" s="2">
        <f t="shared" si="39"/>
        <v>3404.415861</v>
      </c>
      <c r="AG25" s="2">
        <f t="shared" si="39"/>
        <v>3438.46002</v>
      </c>
      <c r="AH25" s="2"/>
      <c r="AI25" s="2"/>
      <c r="AJ25" s="2"/>
      <c r="AK25" s="38" t="s">
        <v>73</v>
      </c>
      <c r="AL25" s="47">
        <f>AL23/AL24-1</f>
        <v>0.007629095739</v>
      </c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  <c r="EJ25" s="2"/>
      <c r="EK25" s="2"/>
      <c r="EL25" s="2"/>
      <c r="EM25" s="2"/>
      <c r="EN25" s="2"/>
      <c r="EO25" s="2"/>
      <c r="EP25" s="2"/>
      <c r="EQ25" s="2"/>
      <c r="ER25" s="2"/>
      <c r="ES25" s="2"/>
      <c r="ET25" s="2"/>
      <c r="EU25" s="2"/>
      <c r="EV25" s="2"/>
      <c r="EW25" s="2"/>
      <c r="EX25" s="2"/>
      <c r="EY25" s="2"/>
      <c r="EZ25" s="2"/>
      <c r="FA25" s="2"/>
      <c r="FB25" s="2"/>
      <c r="FC25" s="2"/>
      <c r="FD25" s="2"/>
      <c r="FE25" s="2"/>
      <c r="FF25" s="2"/>
      <c r="FG25" s="2"/>
      <c r="FH25" s="2"/>
      <c r="FI25" s="2"/>
      <c r="FJ25" s="2"/>
      <c r="FK25" s="2"/>
      <c r="FL25" s="2"/>
      <c r="FM25" s="2"/>
      <c r="FN25" s="2"/>
      <c r="FO25" s="2"/>
      <c r="FP25" s="2"/>
      <c r="FQ25" s="2"/>
      <c r="FR25" s="2"/>
      <c r="FS25" s="2"/>
      <c r="FT25" s="2"/>
      <c r="FU25" s="2"/>
      <c r="FV25" s="2"/>
      <c r="FW25" s="2"/>
      <c r="FX25" s="2"/>
      <c r="FY25" s="2"/>
      <c r="FZ25" s="2"/>
      <c r="GA25" s="2"/>
      <c r="GB25" s="2"/>
      <c r="GC25" s="2"/>
      <c r="GD25" s="2"/>
      <c r="GE25" s="2"/>
      <c r="GF25" s="2"/>
      <c r="GG25" s="2"/>
      <c r="GH25" s="2"/>
      <c r="GI25" s="2"/>
      <c r="GJ25" s="2"/>
      <c r="GK25" s="2"/>
      <c r="GL25" s="2"/>
      <c r="GM25" s="2"/>
      <c r="GN25" s="2"/>
      <c r="GO25" s="2"/>
      <c r="GP25" s="2"/>
      <c r="GQ25" s="2"/>
      <c r="GR25" s="2"/>
      <c r="GS25" s="2"/>
      <c r="GT25" s="2"/>
      <c r="GU25" s="2"/>
      <c r="GV25" s="2"/>
    </row>
    <row r="26" ht="13.5" customHeight="1">
      <c r="A26" s="1"/>
      <c r="B26" s="11" t="s">
        <v>74</v>
      </c>
      <c r="C26" s="33"/>
      <c r="D26" s="33"/>
      <c r="E26" s="33"/>
      <c r="F26" s="27">
        <v>144.482</v>
      </c>
      <c r="G26" s="27">
        <v>181.004</v>
      </c>
      <c r="H26" s="27">
        <v>210.52</v>
      </c>
      <c r="I26" s="27">
        <v>203.891</v>
      </c>
      <c r="J26" s="27">
        <v>181.301</v>
      </c>
      <c r="K26" s="27">
        <v>212.54</v>
      </c>
      <c r="L26" s="27">
        <v>248.14</v>
      </c>
      <c r="M26" s="2"/>
      <c r="N26" s="2"/>
      <c r="O26" s="1"/>
      <c r="P26" s="1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48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Q26" s="2"/>
      <c r="GR26" s="2"/>
      <c r="GS26" s="2"/>
      <c r="GT26" s="2"/>
      <c r="GU26" s="2"/>
      <c r="GV26" s="2"/>
    </row>
    <row r="27" ht="13.5" customHeight="1">
      <c r="A27" s="1"/>
      <c r="B27" s="11" t="s">
        <v>75</v>
      </c>
      <c r="C27" s="33"/>
      <c r="D27" s="33"/>
      <c r="E27" s="33"/>
      <c r="F27" s="27">
        <v>2444.513</v>
      </c>
      <c r="G27" s="27">
        <v>2669.849</v>
      </c>
      <c r="H27" s="27">
        <v>2608.485</v>
      </c>
      <c r="I27" s="27">
        <v>3128.971</v>
      </c>
      <c r="J27" s="27">
        <v>2630.97</v>
      </c>
      <c r="K27" s="27">
        <v>2976.958</v>
      </c>
      <c r="L27" s="27">
        <v>3087.37</v>
      </c>
      <c r="M27" s="2"/>
      <c r="N27" s="2"/>
      <c r="O27" s="1"/>
      <c r="P27" s="1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48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  <c r="FA27" s="2"/>
      <c r="FB27" s="2"/>
      <c r="FC27" s="2"/>
      <c r="FD27" s="2"/>
      <c r="FE27" s="2"/>
      <c r="FF27" s="2"/>
      <c r="FG27" s="2"/>
      <c r="FH27" s="2"/>
      <c r="FI27" s="2"/>
      <c r="FJ27" s="2"/>
      <c r="FK27" s="2"/>
      <c r="FL27" s="2"/>
      <c r="FM27" s="2"/>
      <c r="FN27" s="2"/>
      <c r="FO27" s="2"/>
      <c r="FP27" s="2"/>
      <c r="FQ27" s="2"/>
      <c r="FR27" s="2"/>
      <c r="FS27" s="2"/>
      <c r="FT27" s="2"/>
      <c r="FU27" s="2"/>
      <c r="FV27" s="2"/>
      <c r="FW27" s="2"/>
      <c r="FX27" s="2"/>
      <c r="FY27" s="2"/>
      <c r="FZ27" s="2"/>
      <c r="GA27" s="2"/>
      <c r="GB27" s="2"/>
      <c r="GC27" s="2"/>
      <c r="GD27" s="2"/>
      <c r="GE27" s="2"/>
      <c r="GF27" s="2"/>
      <c r="GG27" s="2"/>
      <c r="GH27" s="2"/>
      <c r="GI27" s="2"/>
      <c r="GJ27" s="2"/>
      <c r="GK27" s="2"/>
      <c r="GL27" s="2"/>
      <c r="GM27" s="2"/>
      <c r="GN27" s="2"/>
      <c r="GO27" s="2"/>
      <c r="GP27" s="2"/>
      <c r="GQ27" s="2"/>
      <c r="GR27" s="2"/>
      <c r="GS27" s="2"/>
      <c r="GT27" s="2"/>
      <c r="GU27" s="2"/>
      <c r="GV27" s="2"/>
    </row>
    <row r="28" ht="13.5" customHeight="1">
      <c r="A28" s="1"/>
      <c r="B28" s="11" t="s">
        <v>76</v>
      </c>
      <c r="C28" s="33"/>
      <c r="D28" s="33"/>
      <c r="E28" s="33"/>
      <c r="F28" s="27">
        <v>218.957</v>
      </c>
      <c r="G28" s="27">
        <v>240.837</v>
      </c>
      <c r="H28" s="27">
        <v>259.815</v>
      </c>
      <c r="I28" s="27">
        <v>235.617</v>
      </c>
      <c r="J28" s="27">
        <v>233.434</v>
      </c>
      <c r="K28" s="27">
        <v>252.941</v>
      </c>
      <c r="L28" s="27">
        <v>252.726</v>
      </c>
      <c r="M28" s="2"/>
      <c r="N28" s="2"/>
      <c r="O28" s="1"/>
      <c r="P28" s="1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48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/>
      <c r="FR28" s="2"/>
      <c r="FS28" s="2"/>
      <c r="FT28" s="2"/>
      <c r="FU28" s="2"/>
      <c r="FV28" s="2"/>
      <c r="FW28" s="2"/>
      <c r="FX28" s="2"/>
      <c r="FY28" s="2"/>
      <c r="FZ28" s="2"/>
      <c r="GA28" s="2"/>
      <c r="GB28" s="2"/>
      <c r="GC28" s="2"/>
      <c r="GD28" s="2"/>
      <c r="GE28" s="2"/>
      <c r="GF28" s="2"/>
      <c r="GG28" s="2"/>
      <c r="GH28" s="2"/>
      <c r="GI28" s="2"/>
      <c r="GJ28" s="2"/>
      <c r="GK28" s="2"/>
      <c r="GL28" s="2"/>
      <c r="GM28" s="2"/>
      <c r="GN28" s="2"/>
      <c r="GO28" s="2"/>
      <c r="GP28" s="2"/>
      <c r="GQ28" s="2"/>
      <c r="GR28" s="2"/>
      <c r="GS28" s="2"/>
      <c r="GT28" s="2"/>
      <c r="GU28" s="2"/>
      <c r="GV28" s="2"/>
    </row>
    <row r="29" ht="13.5" customHeight="1">
      <c r="A29" s="1"/>
      <c r="B29" s="11" t="s">
        <v>77</v>
      </c>
      <c r="C29" s="33"/>
      <c r="D29" s="33"/>
      <c r="E29" s="33"/>
      <c r="F29" s="27">
        <v>3792.403</v>
      </c>
      <c r="G29" s="27">
        <v>3827.541</v>
      </c>
      <c r="H29" s="27">
        <v>3906.34</v>
      </c>
      <c r="I29" s="27">
        <v>3987.247</v>
      </c>
      <c r="J29" s="27">
        <v>4088.76</v>
      </c>
      <c r="K29" s="27">
        <v>4147.666</v>
      </c>
      <c r="L29" s="27">
        <v>4257.806</v>
      </c>
      <c r="M29" s="2"/>
      <c r="N29" s="2"/>
      <c r="O29" s="1"/>
      <c r="P29" s="1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/>
      <c r="EZ29" s="2"/>
      <c r="FA29" s="2"/>
      <c r="FB29" s="2"/>
      <c r="FC29" s="2"/>
      <c r="FD29" s="2"/>
      <c r="FE29" s="2"/>
      <c r="FF29" s="2"/>
      <c r="FG29" s="2"/>
      <c r="FH29" s="2"/>
      <c r="FI29" s="2"/>
      <c r="FJ29" s="2"/>
      <c r="FK29" s="2"/>
      <c r="FL29" s="2"/>
      <c r="FM29" s="2"/>
      <c r="FN29" s="2"/>
      <c r="FO29" s="2"/>
      <c r="FP29" s="2"/>
      <c r="FQ29" s="2"/>
      <c r="FR29" s="2"/>
      <c r="FS29" s="2"/>
      <c r="FT29" s="2"/>
      <c r="FU29" s="2"/>
      <c r="FV29" s="2"/>
      <c r="FW29" s="2"/>
      <c r="FX29" s="2"/>
      <c r="FY29" s="2"/>
      <c r="FZ29" s="2"/>
      <c r="GA29" s="2"/>
      <c r="GB29" s="2"/>
      <c r="GC29" s="2"/>
      <c r="GD29" s="2"/>
      <c r="GE29" s="2"/>
      <c r="GF29" s="2"/>
      <c r="GG29" s="2"/>
      <c r="GH29" s="2"/>
      <c r="GI29" s="2"/>
      <c r="GJ29" s="2"/>
      <c r="GK29" s="2"/>
      <c r="GL29" s="2"/>
      <c r="GM29" s="2"/>
      <c r="GN29" s="2"/>
      <c r="GO29" s="2"/>
      <c r="GP29" s="2"/>
      <c r="GQ29" s="2"/>
      <c r="GR29" s="2"/>
      <c r="GS29" s="2"/>
      <c r="GT29" s="2"/>
      <c r="GU29" s="2"/>
      <c r="GV29" s="2"/>
    </row>
    <row r="30" ht="13.5" customHeight="1">
      <c r="A30" s="1"/>
      <c r="B30" s="11" t="s">
        <v>78</v>
      </c>
      <c r="C30" s="33"/>
      <c r="D30" s="33"/>
      <c r="E30" s="33"/>
      <c r="F30" s="27">
        <v>3294.858</v>
      </c>
      <c r="G30" s="27">
        <v>3325.849</v>
      </c>
      <c r="H30" s="27">
        <v>3374.582</v>
      </c>
      <c r="I30" s="27">
        <v>3498.077</v>
      </c>
      <c r="J30" s="27">
        <v>3519.61</v>
      </c>
      <c r="K30" s="27">
        <v>3531.945</v>
      </c>
      <c r="L30" s="27">
        <v>3545.351</v>
      </c>
      <c r="M30" s="2"/>
      <c r="N30" s="2"/>
      <c r="O30" s="1"/>
      <c r="P30" s="1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/>
      <c r="FR30" s="2"/>
      <c r="FS30" s="2"/>
      <c r="FT30" s="2"/>
      <c r="FU30" s="2"/>
      <c r="FV30" s="2"/>
      <c r="FW30" s="2"/>
      <c r="FX30" s="2"/>
      <c r="FY30" s="2"/>
      <c r="FZ30" s="2"/>
      <c r="GA30" s="2"/>
      <c r="GB30" s="2"/>
      <c r="GC30" s="2"/>
      <c r="GD30" s="2"/>
      <c r="GE30" s="2"/>
      <c r="GF30" s="2"/>
      <c r="GG30" s="2"/>
      <c r="GH30" s="2"/>
      <c r="GI30" s="2"/>
      <c r="GJ30" s="2"/>
      <c r="GK30" s="2"/>
      <c r="GL30" s="2"/>
      <c r="GM30" s="2"/>
      <c r="GN30" s="2"/>
      <c r="GO30" s="2"/>
      <c r="GP30" s="2"/>
      <c r="GQ30" s="2"/>
      <c r="GR30" s="2"/>
      <c r="GS30" s="2"/>
      <c r="GT30" s="2"/>
      <c r="GU30" s="2"/>
      <c r="GV30" s="2"/>
    </row>
    <row r="31" ht="13.5" customHeight="1">
      <c r="A31" s="1"/>
      <c r="B31" s="11" t="s">
        <v>79</v>
      </c>
      <c r="C31" s="33"/>
      <c r="D31" s="33"/>
      <c r="E31" s="33"/>
      <c r="F31" s="27">
        <v>279.375</v>
      </c>
      <c r="G31" s="27">
        <v>276.123</v>
      </c>
      <c r="H31" s="27">
        <v>288.761</v>
      </c>
      <c r="I31" s="27">
        <v>299.99</v>
      </c>
      <c r="J31" s="27">
        <v>300.27</v>
      </c>
      <c r="K31" s="27">
        <v>301.542</v>
      </c>
      <c r="L31" s="27">
        <v>302.763</v>
      </c>
      <c r="M31" s="2"/>
      <c r="N31" s="2"/>
      <c r="O31" s="1"/>
      <c r="P31" s="1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  <c r="FA31" s="2"/>
      <c r="FB31" s="2"/>
      <c r="FC31" s="2"/>
      <c r="FD31" s="2"/>
      <c r="FE31" s="2"/>
      <c r="FF31" s="2"/>
      <c r="FG31" s="2"/>
      <c r="FH31" s="2"/>
      <c r="FI31" s="2"/>
      <c r="FJ31" s="2"/>
      <c r="FK31" s="2"/>
      <c r="FL31" s="2"/>
      <c r="FM31" s="2"/>
      <c r="FN31" s="2"/>
      <c r="FO31" s="2"/>
      <c r="FP31" s="2"/>
      <c r="FQ31" s="2"/>
      <c r="FR31" s="2"/>
      <c r="FS31" s="2"/>
      <c r="FT31" s="2"/>
      <c r="FU31" s="2"/>
      <c r="FV31" s="2"/>
      <c r="FW31" s="2"/>
      <c r="FX31" s="2"/>
      <c r="FY31" s="2"/>
      <c r="FZ31" s="2"/>
      <c r="GA31" s="2"/>
      <c r="GB31" s="2"/>
      <c r="GC31" s="2"/>
      <c r="GD31" s="2"/>
      <c r="GE31" s="2"/>
      <c r="GF31" s="2"/>
      <c r="GG31" s="2"/>
      <c r="GH31" s="2"/>
      <c r="GI31" s="2"/>
      <c r="GJ31" s="2"/>
      <c r="GK31" s="2"/>
      <c r="GL31" s="2"/>
      <c r="GM31" s="2"/>
      <c r="GN31" s="2"/>
      <c r="GO31" s="2"/>
      <c r="GP31" s="2"/>
      <c r="GQ31" s="2"/>
      <c r="GR31" s="2"/>
      <c r="GS31" s="2"/>
      <c r="GT31" s="2"/>
      <c r="GU31" s="2"/>
      <c r="GV31" s="2"/>
    </row>
    <row r="32" ht="13.5" customHeight="1">
      <c r="A32" s="1"/>
      <c r="B32" s="11" t="s">
        <v>80</v>
      </c>
      <c r="C32" s="2"/>
      <c r="D32" s="2"/>
      <c r="E32" s="2"/>
      <c r="F32" s="2">
        <f t="shared" ref="F32:L32" si="40">sum(F25:F31)</f>
        <v>14905.332</v>
      </c>
      <c r="G32" s="2">
        <f t="shared" si="40"/>
        <v>14304.616</v>
      </c>
      <c r="H32" s="2">
        <f t="shared" si="40"/>
        <v>14495.519</v>
      </c>
      <c r="I32" s="2">
        <f t="shared" si="40"/>
        <v>15414.966</v>
      </c>
      <c r="J32" s="2">
        <f t="shared" si="40"/>
        <v>15548.737</v>
      </c>
      <c r="K32" s="2">
        <f t="shared" si="40"/>
        <v>15554.572</v>
      </c>
      <c r="L32" s="2">
        <f t="shared" si="40"/>
        <v>15982.28</v>
      </c>
      <c r="M32" s="2"/>
      <c r="N32" s="2"/>
      <c r="O32" s="1"/>
      <c r="P32" s="1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/>
      <c r="FR32" s="2"/>
      <c r="FS32" s="2"/>
      <c r="FT32" s="2"/>
      <c r="FU32" s="2"/>
      <c r="FV32" s="2"/>
      <c r="FW32" s="2"/>
      <c r="FX32" s="2"/>
      <c r="FY32" s="2"/>
      <c r="FZ32" s="2"/>
      <c r="GA32" s="2"/>
      <c r="GB32" s="2"/>
      <c r="GC32" s="2"/>
      <c r="GD32" s="2"/>
      <c r="GE32" s="2"/>
      <c r="GF32" s="2"/>
      <c r="GG32" s="2"/>
      <c r="GH32" s="2"/>
      <c r="GI32" s="2"/>
      <c r="GJ32" s="2"/>
      <c r="GK32" s="2"/>
      <c r="GL32" s="2"/>
      <c r="GM32" s="2"/>
      <c r="GN32" s="2"/>
      <c r="GO32" s="2"/>
      <c r="GP32" s="2"/>
      <c r="GQ32" s="2"/>
      <c r="GR32" s="2"/>
      <c r="GS32" s="2"/>
      <c r="GT32" s="2"/>
      <c r="GU32" s="2"/>
      <c r="GV32" s="2"/>
    </row>
    <row r="33" ht="13.5" customHeight="1">
      <c r="A33" s="1"/>
      <c r="B33" s="1"/>
      <c r="C33" s="2"/>
      <c r="D33" s="2"/>
      <c r="E33" s="2"/>
      <c r="G33" s="2"/>
      <c r="K33" s="2"/>
      <c r="L33" s="2"/>
      <c r="M33" s="2"/>
      <c r="N33" s="2"/>
      <c r="O33" s="1"/>
      <c r="P33" s="1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2"/>
      <c r="EX33" s="2"/>
      <c r="EY33" s="2"/>
      <c r="EZ33" s="2"/>
      <c r="FA33" s="2"/>
      <c r="FB33" s="2"/>
      <c r="FC33" s="2"/>
      <c r="FD33" s="2"/>
      <c r="FE33" s="2"/>
      <c r="FF33" s="2"/>
      <c r="FG33" s="2"/>
      <c r="FH33" s="2"/>
      <c r="FI33" s="2"/>
      <c r="FJ33" s="2"/>
      <c r="FK33" s="2"/>
      <c r="FL33" s="2"/>
      <c r="FM33" s="2"/>
      <c r="FN33" s="2"/>
      <c r="FO33" s="2"/>
      <c r="FP33" s="2"/>
      <c r="FQ33" s="2"/>
      <c r="FR33" s="2"/>
      <c r="FS33" s="2"/>
      <c r="FT33" s="2"/>
      <c r="FU33" s="2"/>
      <c r="FV33" s="2"/>
      <c r="FW33" s="2"/>
      <c r="FX33" s="2"/>
      <c r="FY33" s="2"/>
      <c r="FZ33" s="2"/>
      <c r="GA33" s="2"/>
      <c r="GB33" s="2"/>
      <c r="GC33" s="2"/>
      <c r="GD33" s="2"/>
      <c r="GE33" s="2"/>
      <c r="GF33" s="2"/>
      <c r="GG33" s="2"/>
      <c r="GH33" s="2"/>
      <c r="GI33" s="2"/>
      <c r="GJ33" s="2"/>
      <c r="GK33" s="2"/>
      <c r="GL33" s="2"/>
      <c r="GM33" s="2"/>
      <c r="GN33" s="2"/>
      <c r="GO33" s="2"/>
      <c r="GP33" s="2"/>
      <c r="GQ33" s="2"/>
      <c r="GR33" s="2"/>
      <c r="GS33" s="2"/>
      <c r="GT33" s="2"/>
      <c r="GU33" s="2"/>
      <c r="GV33" s="2"/>
    </row>
    <row r="34" ht="13.5" customHeight="1">
      <c r="A34" s="1"/>
      <c r="B34" s="11" t="s">
        <v>81</v>
      </c>
      <c r="C34" s="33"/>
      <c r="D34" s="33"/>
      <c r="E34" s="33"/>
      <c r="F34" s="27">
        <v>2126.317</v>
      </c>
      <c r="G34" s="27">
        <v>2163.954</v>
      </c>
      <c r="H34" s="27">
        <v>2205.613</v>
      </c>
      <c r="I34" s="27">
        <v>2645.234</v>
      </c>
      <c r="J34" s="27">
        <v>2386.418</v>
      </c>
      <c r="K34" s="27">
        <v>2653.741</v>
      </c>
      <c r="L34" s="27">
        <v>2621.74</v>
      </c>
      <c r="M34" s="2"/>
      <c r="N34" s="2"/>
      <c r="O34" s="1"/>
      <c r="P34" s="1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/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"/>
      <c r="FU34" s="2"/>
      <c r="FV34" s="2"/>
      <c r="FW34" s="2"/>
      <c r="FX34" s="2"/>
      <c r="FY34" s="2"/>
      <c r="FZ34" s="2"/>
      <c r="GA34" s="2"/>
      <c r="GB34" s="2"/>
      <c r="GC34" s="2"/>
      <c r="GD34" s="2"/>
      <c r="GE34" s="2"/>
      <c r="GF34" s="2"/>
      <c r="GG34" s="2"/>
      <c r="GH34" s="2"/>
      <c r="GI34" s="2"/>
      <c r="GJ34" s="2"/>
      <c r="GK34" s="2"/>
      <c r="GL34" s="2"/>
      <c r="GM34" s="2"/>
      <c r="GN34" s="2"/>
      <c r="GO34" s="2"/>
      <c r="GP34" s="2"/>
      <c r="GQ34" s="2"/>
      <c r="GR34" s="2"/>
      <c r="GS34" s="2"/>
      <c r="GT34" s="2"/>
      <c r="GU34" s="2"/>
      <c r="GV34" s="2"/>
    </row>
    <row r="35" ht="13.5" customHeight="1">
      <c r="A35" s="1"/>
      <c r="B35" s="11" t="s">
        <v>82</v>
      </c>
      <c r="C35" s="33"/>
      <c r="D35" s="33"/>
      <c r="E35" s="33"/>
      <c r="F35" s="27">
        <v>626.49</v>
      </c>
      <c r="G35" s="27">
        <v>616.008</v>
      </c>
      <c r="H35" s="27">
        <v>655.218</v>
      </c>
      <c r="I35" s="27">
        <v>689.539</v>
      </c>
      <c r="J35" s="27">
        <v>666.978</v>
      </c>
      <c r="K35" s="27">
        <v>696.511</v>
      </c>
      <c r="L35" s="27">
        <v>744.284</v>
      </c>
      <c r="M35" s="2"/>
      <c r="N35" s="2"/>
      <c r="O35" s="1"/>
      <c r="P35" s="1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</row>
    <row r="36" ht="13.5" customHeight="1">
      <c r="A36" s="1"/>
      <c r="B36" s="11" t="s">
        <v>83</v>
      </c>
      <c r="C36" s="33"/>
      <c r="D36" s="33"/>
      <c r="E36" s="33"/>
      <c r="F36" s="27">
        <v>703.337</v>
      </c>
      <c r="G36" s="27">
        <v>702.025</v>
      </c>
      <c r="H36" s="27">
        <v>716.162</v>
      </c>
      <c r="I36" s="27">
        <v>723.512</v>
      </c>
      <c r="J36" s="27">
        <v>727.855</v>
      </c>
      <c r="K36" s="27">
        <v>735.528</v>
      </c>
      <c r="L36" s="27">
        <v>752.302</v>
      </c>
      <c r="M36" s="2"/>
      <c r="N36" s="2"/>
      <c r="O36" s="1"/>
      <c r="P36" s="1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</row>
    <row r="37" ht="13.5" customHeight="1">
      <c r="A37" s="1"/>
      <c r="B37" s="11" t="s">
        <v>84</v>
      </c>
      <c r="C37" s="33"/>
      <c r="D37" s="33"/>
      <c r="E37" s="33"/>
      <c r="F37" s="27">
        <v>462.284</v>
      </c>
      <c r="G37" s="27">
        <v>274.877</v>
      </c>
      <c r="H37" s="27">
        <v>315.893</v>
      </c>
      <c r="I37" s="27">
        <v>438.989</v>
      </c>
      <c r="J37" s="27">
        <v>484.407</v>
      </c>
      <c r="K37" s="27">
        <v>376.76</v>
      </c>
      <c r="L37" s="27">
        <v>440.837</v>
      </c>
      <c r="M37" s="2"/>
      <c r="N37" s="2"/>
      <c r="O37" s="1"/>
      <c r="P37" s="1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</row>
    <row r="38" ht="13.5" customHeight="1">
      <c r="A38" s="1"/>
      <c r="B38" s="11" t="s">
        <v>85</v>
      </c>
      <c r="C38" s="33"/>
      <c r="D38" s="33"/>
      <c r="E38" s="33"/>
      <c r="F38" s="27">
        <v>43.666</v>
      </c>
      <c r="G38" s="27">
        <v>180.083</v>
      </c>
      <c r="H38" s="27">
        <v>0.0</v>
      </c>
      <c r="I38" s="27">
        <v>23.08</v>
      </c>
      <c r="J38" s="27">
        <v>61.779</v>
      </c>
      <c r="K38" s="27">
        <v>210.971</v>
      </c>
      <c r="L38" s="27">
        <v>84.916</v>
      </c>
      <c r="M38" s="2"/>
      <c r="N38" s="2"/>
      <c r="O38" s="11"/>
      <c r="P38" s="1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</row>
    <row r="39" ht="13.5" customHeight="1">
      <c r="A39" s="1"/>
      <c r="B39" s="11" t="s">
        <v>86</v>
      </c>
      <c r="C39" s="33"/>
      <c r="D39" s="33"/>
      <c r="E39" s="33"/>
      <c r="F39" s="27">
        <v>699.731</v>
      </c>
      <c r="G39" s="27">
        <v>498.812</v>
      </c>
      <c r="H39" s="27">
        <v>499.122</v>
      </c>
      <c r="I39" s="27">
        <v>499.432</v>
      </c>
      <c r="J39" s="27">
        <v>499.743</v>
      </c>
      <c r="K39" s="27">
        <v>241.344</v>
      </c>
      <c r="L39" s="27">
        <v>241.459</v>
      </c>
      <c r="M39" s="2"/>
      <c r="N39" s="2"/>
      <c r="O39" s="11"/>
      <c r="P39" s="1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</row>
    <row r="40" ht="13.5" customHeight="1">
      <c r="A40" s="1"/>
      <c r="B40" s="11" t="s">
        <v>87</v>
      </c>
      <c r="C40" s="33"/>
      <c r="D40" s="33"/>
      <c r="E40" s="33"/>
      <c r="F40" s="27">
        <v>1515.08</v>
      </c>
      <c r="G40" s="27">
        <v>1016.897</v>
      </c>
      <c r="H40" s="27">
        <v>1017.218</v>
      </c>
      <c r="I40" s="27">
        <v>1017.54</v>
      </c>
      <c r="J40" s="27">
        <v>1017.863</v>
      </c>
      <c r="K40" s="27">
        <v>776.843</v>
      </c>
      <c r="L40" s="27">
        <v>777.053</v>
      </c>
      <c r="M40" s="2"/>
      <c r="N40" s="2"/>
      <c r="O40" s="11"/>
      <c r="P40" s="1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</row>
    <row r="41" ht="13.5" customHeight="1">
      <c r="A41" s="1"/>
      <c r="B41" s="11" t="s">
        <v>88</v>
      </c>
      <c r="C41" s="33"/>
      <c r="D41" s="33"/>
      <c r="E41" s="33"/>
      <c r="F41" s="27">
        <v>2764.281</v>
      </c>
      <c r="G41" s="27">
        <v>2797.935</v>
      </c>
      <c r="H41" s="27">
        <v>2835.481</v>
      </c>
      <c r="I41" s="27">
        <v>2948.105</v>
      </c>
      <c r="J41" s="27">
        <v>2966.877</v>
      </c>
      <c r="K41" s="27">
        <v>2969.435</v>
      </c>
      <c r="L41" s="27">
        <v>2968.337</v>
      </c>
      <c r="M41" s="2"/>
      <c r="N41" s="2"/>
      <c r="O41" s="1"/>
      <c r="P41" s="1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</row>
    <row r="42" ht="13.5" customHeight="1">
      <c r="A42" s="1"/>
      <c r="B42" s="11" t="s">
        <v>89</v>
      </c>
      <c r="C42" s="33"/>
      <c r="D42" s="33"/>
      <c r="E42" s="33"/>
      <c r="F42" s="27">
        <v>267.911</v>
      </c>
      <c r="G42" s="27">
        <v>268.698</v>
      </c>
      <c r="H42" s="27">
        <v>279.258</v>
      </c>
      <c r="I42" s="27">
        <v>295.257</v>
      </c>
      <c r="J42" s="27">
        <v>287.947</v>
      </c>
      <c r="K42" s="27">
        <v>292.944</v>
      </c>
      <c r="L42" s="27">
        <v>295.611</v>
      </c>
      <c r="M42" s="2"/>
      <c r="N42" s="2"/>
      <c r="O42" s="1"/>
      <c r="P42" s="1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</row>
    <row r="43" ht="13.5" customHeight="1">
      <c r="A43" s="1"/>
      <c r="B43" s="11" t="s">
        <v>90</v>
      </c>
      <c r="C43" s="33"/>
      <c r="D43" s="33"/>
      <c r="E43" s="33"/>
      <c r="F43" s="27">
        <v>187.04</v>
      </c>
      <c r="G43" s="27">
        <v>209.249</v>
      </c>
      <c r="H43" s="27">
        <v>238.985</v>
      </c>
      <c r="I43" s="27">
        <v>250.276</v>
      </c>
      <c r="J43" s="27">
        <v>261.427</v>
      </c>
      <c r="K43" s="27">
        <v>295.492</v>
      </c>
      <c r="L43" s="27">
        <v>312.611</v>
      </c>
      <c r="M43" s="2"/>
      <c r="N43" s="2"/>
      <c r="O43" s="1"/>
      <c r="P43" s="1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</row>
    <row r="44" ht="13.5" customHeight="1">
      <c r="A44" s="1"/>
      <c r="B44" s="11" t="s">
        <v>91</v>
      </c>
      <c r="C44" s="33"/>
      <c r="D44" s="33"/>
      <c r="E44" s="33"/>
      <c r="F44" s="27">
        <v>5509.195</v>
      </c>
      <c r="G44" s="27">
        <v>5576.078</v>
      </c>
      <c r="H44" s="27">
        <v>5732.569</v>
      </c>
      <c r="I44" s="27">
        <v>5884.002</v>
      </c>
      <c r="J44" s="27">
        <v>6187.443</v>
      </c>
      <c r="K44" s="27">
        <v>6305.003</v>
      </c>
      <c r="L44" s="27">
        <v>6743.184</v>
      </c>
      <c r="M44" s="2"/>
      <c r="N44" s="2"/>
      <c r="O44" s="1"/>
      <c r="P44" s="1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2"/>
      <c r="GD44" s="2"/>
      <c r="GE44" s="2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</row>
    <row r="45" ht="13.5" customHeight="1">
      <c r="A45" s="1"/>
      <c r="B45" s="11" t="s">
        <v>92</v>
      </c>
      <c r="C45" s="2"/>
      <c r="D45" s="2"/>
      <c r="E45" s="2"/>
      <c r="F45" s="2">
        <f t="shared" ref="F45:L45" si="41">sum(F34:F44)</f>
        <v>14905.332</v>
      </c>
      <c r="G45" s="2">
        <f t="shared" si="41"/>
        <v>14304.616</v>
      </c>
      <c r="H45" s="2">
        <f t="shared" si="41"/>
        <v>14495.519</v>
      </c>
      <c r="I45" s="2">
        <f t="shared" si="41"/>
        <v>15414.966</v>
      </c>
      <c r="J45" s="2">
        <f t="shared" si="41"/>
        <v>15548.737</v>
      </c>
      <c r="K45" s="2">
        <f t="shared" si="41"/>
        <v>15554.572</v>
      </c>
      <c r="L45" s="2">
        <f t="shared" si="41"/>
        <v>15982.334</v>
      </c>
      <c r="M45" s="2"/>
      <c r="N45" s="2"/>
      <c r="O45" s="1"/>
      <c r="P45" s="1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</row>
    <row r="46" ht="13.5" customHeight="1">
      <c r="A46" s="1"/>
      <c r="B46" s="1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1"/>
      <c r="P46" s="1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</row>
    <row r="47" ht="13.5" customHeight="1">
      <c r="A47" s="1"/>
      <c r="B47" s="11" t="s">
        <v>93</v>
      </c>
      <c r="C47" s="2"/>
      <c r="D47" s="2"/>
      <c r="E47" s="2"/>
      <c r="F47" s="2">
        <f t="shared" ref="F47:L47" si="42">F39+F40</f>
        <v>2214.811</v>
      </c>
      <c r="G47" s="2">
        <f t="shared" si="42"/>
        <v>1515.709</v>
      </c>
      <c r="H47" s="2">
        <f t="shared" si="42"/>
        <v>1516.34</v>
      </c>
      <c r="I47" s="2">
        <f t="shared" si="42"/>
        <v>1516.972</v>
      </c>
      <c r="J47" s="2">
        <f t="shared" si="42"/>
        <v>1517.606</v>
      </c>
      <c r="K47" s="2">
        <f t="shared" si="42"/>
        <v>1018.187</v>
      </c>
      <c r="L47" s="2">
        <f t="shared" si="42"/>
        <v>1018.512</v>
      </c>
      <c r="M47" s="2"/>
      <c r="N47" s="2"/>
      <c r="O47" s="1"/>
      <c r="P47" s="1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</row>
    <row r="48" ht="13.5" customHeight="1">
      <c r="A48" s="1"/>
      <c r="B48" s="11" t="s">
        <v>94</v>
      </c>
      <c r="C48" s="2"/>
      <c r="D48" s="2"/>
      <c r="E48" s="2"/>
      <c r="F48" s="2">
        <f t="shared" ref="F48:L48" si="43">F25</f>
        <v>4730.744</v>
      </c>
      <c r="G48" s="2">
        <f t="shared" si="43"/>
        <v>3783.413</v>
      </c>
      <c r="H48" s="2">
        <f t="shared" si="43"/>
        <v>3847.016</v>
      </c>
      <c r="I48" s="2">
        <f t="shared" si="43"/>
        <v>4061.173</v>
      </c>
      <c r="J48" s="2">
        <f t="shared" si="43"/>
        <v>4594.392</v>
      </c>
      <c r="K48" s="2">
        <f t="shared" si="43"/>
        <v>4130.98</v>
      </c>
      <c r="L48" s="2">
        <f t="shared" si="43"/>
        <v>4288.124</v>
      </c>
      <c r="M48" s="2"/>
      <c r="N48" s="2"/>
      <c r="O48" s="1"/>
      <c r="P48" s="1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/>
      <c r="FR48" s="2"/>
      <c r="FS48" s="2"/>
      <c r="FT48" s="2"/>
      <c r="FU48" s="2"/>
      <c r="FV48" s="2"/>
      <c r="FW48" s="2"/>
      <c r="FX48" s="2"/>
      <c r="FY48" s="2"/>
      <c r="FZ48" s="2"/>
      <c r="GA48" s="2"/>
      <c r="GB48" s="2"/>
      <c r="GC48" s="2"/>
      <c r="GD48" s="2"/>
      <c r="GE48" s="2"/>
      <c r="GF48" s="2"/>
      <c r="GG48" s="2"/>
      <c r="GH48" s="2"/>
      <c r="GI48" s="2"/>
      <c r="GJ48" s="2"/>
      <c r="GK48" s="2"/>
      <c r="GL48" s="2"/>
      <c r="GM48" s="2"/>
      <c r="GN48" s="2"/>
      <c r="GO48" s="2"/>
      <c r="GP48" s="2"/>
      <c r="GQ48" s="2"/>
      <c r="GR48" s="2"/>
      <c r="GS48" s="2"/>
      <c r="GT48" s="2"/>
      <c r="GU48" s="2"/>
      <c r="GV48" s="2"/>
    </row>
    <row r="49" ht="13.5" customHeight="1">
      <c r="A49" s="1"/>
      <c r="B49" s="11" t="s">
        <v>95</v>
      </c>
      <c r="C49" s="2"/>
      <c r="D49" s="2"/>
      <c r="E49" s="2"/>
      <c r="F49" s="2">
        <f t="shared" ref="F49:L49" si="44">F48-F47</f>
        <v>2515.933</v>
      </c>
      <c r="G49" s="2">
        <f t="shared" si="44"/>
        <v>2267.704</v>
      </c>
      <c r="H49" s="2">
        <f t="shared" si="44"/>
        <v>2330.676</v>
      </c>
      <c r="I49" s="2">
        <f t="shared" si="44"/>
        <v>2544.201</v>
      </c>
      <c r="J49" s="2">
        <f t="shared" si="44"/>
        <v>3076.786</v>
      </c>
      <c r="K49" s="2">
        <f t="shared" si="44"/>
        <v>3112.793</v>
      </c>
      <c r="L49" s="2">
        <f t="shared" si="44"/>
        <v>3269.612</v>
      </c>
      <c r="M49" s="2"/>
      <c r="N49" s="2"/>
      <c r="O49" s="1"/>
      <c r="P49" s="1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  <c r="FA49" s="2"/>
      <c r="FB49" s="2"/>
      <c r="FC49" s="2"/>
      <c r="FD49" s="2"/>
      <c r="FE49" s="2"/>
      <c r="FF49" s="2"/>
      <c r="FG49" s="2"/>
      <c r="FH49" s="2"/>
      <c r="FI49" s="2"/>
      <c r="FJ49" s="2"/>
      <c r="FK49" s="2"/>
      <c r="FL49" s="2"/>
      <c r="FM49" s="2"/>
      <c r="FN49" s="2"/>
      <c r="FO49" s="2"/>
      <c r="FP49" s="2"/>
      <c r="FQ49" s="2"/>
      <c r="FR49" s="2"/>
      <c r="FS49" s="2"/>
      <c r="FT49" s="2"/>
      <c r="FU49" s="2"/>
      <c r="FV49" s="2"/>
      <c r="FW49" s="2"/>
      <c r="FX49" s="2"/>
      <c r="FY49" s="2"/>
      <c r="FZ49" s="2"/>
      <c r="GA49" s="2"/>
      <c r="GB49" s="2"/>
      <c r="GC49" s="2"/>
      <c r="GD49" s="2"/>
      <c r="GE49" s="2"/>
      <c r="GF49" s="2"/>
      <c r="GG49" s="2"/>
      <c r="GH49" s="2"/>
      <c r="GI49" s="2"/>
      <c r="GJ49" s="2"/>
      <c r="GK49" s="2"/>
      <c r="GL49" s="2"/>
      <c r="GM49" s="2"/>
      <c r="GN49" s="2"/>
      <c r="GO49" s="2"/>
      <c r="GP49" s="2"/>
      <c r="GQ49" s="2"/>
      <c r="GR49" s="2"/>
      <c r="GS49" s="2"/>
      <c r="GT49" s="2"/>
      <c r="GU49" s="2"/>
      <c r="GV49" s="2"/>
    </row>
    <row r="50" ht="13.5" customHeight="1">
      <c r="A50" s="1"/>
      <c r="B50" s="11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1"/>
      <c r="P50" s="1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2"/>
      <c r="EQ50" s="2"/>
      <c r="ER50" s="2"/>
      <c r="ES50" s="2"/>
      <c r="ET50" s="2"/>
      <c r="EU50" s="2"/>
      <c r="EV50" s="2"/>
      <c r="EW50" s="2"/>
      <c r="EX50" s="2"/>
      <c r="EY50" s="2"/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2"/>
      <c r="FT50" s="2"/>
      <c r="FU50" s="2"/>
      <c r="FV50" s="2"/>
      <c r="FW50" s="2"/>
      <c r="FX50" s="2"/>
      <c r="FY50" s="2"/>
      <c r="FZ50" s="2"/>
      <c r="GA50" s="2"/>
      <c r="GB50" s="2"/>
      <c r="GC50" s="2"/>
      <c r="GD50" s="2"/>
      <c r="GE50" s="2"/>
      <c r="GF50" s="2"/>
      <c r="GG50" s="2"/>
      <c r="GH50" s="2"/>
      <c r="GI50" s="2"/>
      <c r="GJ50" s="2"/>
      <c r="GK50" s="2"/>
      <c r="GL50" s="2"/>
      <c r="GM50" s="2"/>
      <c r="GN50" s="2"/>
      <c r="GO50" s="2"/>
      <c r="GP50" s="2"/>
      <c r="GQ50" s="2"/>
      <c r="GR50" s="2"/>
      <c r="GS50" s="2"/>
      <c r="GT50" s="2"/>
      <c r="GU50" s="2"/>
      <c r="GV50" s="2"/>
    </row>
    <row r="51" ht="13.5" customHeight="1">
      <c r="A51" s="1"/>
      <c r="B51" s="11" t="s">
        <v>96</v>
      </c>
      <c r="C51" s="2"/>
      <c r="D51" s="2"/>
      <c r="E51" s="2"/>
      <c r="F51" s="2">
        <f t="shared" ref="F51:L51" si="45">(F26/F8) * 90</f>
        <v>2.199385381</v>
      </c>
      <c r="G51" s="2">
        <f t="shared" si="45"/>
        <v>3.267894638</v>
      </c>
      <c r="H51" s="2">
        <f t="shared" si="45"/>
        <v>3.426709919</v>
      </c>
      <c r="I51" s="2">
        <f t="shared" si="45"/>
        <v>3.276266188</v>
      </c>
      <c r="J51" s="2">
        <f t="shared" si="45"/>
        <v>2.45906331</v>
      </c>
      <c r="K51" s="2">
        <f t="shared" si="45"/>
        <v>3.182543279</v>
      </c>
      <c r="L51" s="2">
        <f t="shared" si="45"/>
        <v>3.564725679</v>
      </c>
      <c r="M51" s="2"/>
      <c r="N51" s="2"/>
      <c r="O51" s="1"/>
      <c r="P51" s="1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  <c r="EJ51" s="2"/>
      <c r="EK51" s="2"/>
      <c r="EL51" s="2"/>
      <c r="EM51" s="2"/>
      <c r="EN51" s="2"/>
      <c r="EO51" s="2"/>
      <c r="EP51" s="2"/>
      <c r="EQ51" s="2"/>
      <c r="ER51" s="2"/>
      <c r="ES51" s="2"/>
      <c r="ET51" s="2"/>
      <c r="EU51" s="2"/>
      <c r="EV51" s="2"/>
      <c r="EW51" s="2"/>
      <c r="EX51" s="2"/>
      <c r="EY51" s="2"/>
      <c r="EZ51" s="2"/>
      <c r="FA51" s="2"/>
      <c r="FB51" s="2"/>
      <c r="FC51" s="2"/>
      <c r="FD51" s="2"/>
      <c r="FE51" s="2"/>
      <c r="FF51" s="2"/>
      <c r="FG51" s="2"/>
      <c r="FH51" s="2"/>
      <c r="FI51" s="2"/>
      <c r="FJ51" s="2"/>
      <c r="FK51" s="2"/>
      <c r="FL51" s="2"/>
      <c r="FM51" s="2"/>
      <c r="FN51" s="2"/>
      <c r="FO51" s="2"/>
      <c r="FP51" s="2"/>
      <c r="FQ51" s="2"/>
      <c r="FR51" s="2"/>
      <c r="FS51" s="2"/>
      <c r="FT51" s="2"/>
      <c r="FU51" s="2"/>
      <c r="FV51" s="2"/>
      <c r="FW51" s="2"/>
      <c r="FX51" s="2"/>
      <c r="FY51" s="2"/>
      <c r="FZ51" s="2"/>
      <c r="GA51" s="2"/>
      <c r="GB51" s="2"/>
      <c r="GC51" s="2"/>
      <c r="GD51" s="2"/>
      <c r="GE51" s="2"/>
      <c r="GF51" s="2"/>
      <c r="GG51" s="2"/>
      <c r="GH51" s="2"/>
      <c r="GI51" s="2"/>
      <c r="GJ51" s="2"/>
      <c r="GK51" s="2"/>
      <c r="GL51" s="2"/>
      <c r="GM51" s="2"/>
      <c r="GN51" s="2"/>
      <c r="GO51" s="2"/>
      <c r="GP51" s="2"/>
      <c r="GQ51" s="2"/>
      <c r="GR51" s="2"/>
      <c r="GS51" s="2"/>
      <c r="GT51" s="2"/>
      <c r="GU51" s="2"/>
      <c r="GV51" s="2"/>
    </row>
    <row r="52" ht="13.5" customHeight="1">
      <c r="A52" s="1"/>
      <c r="B52" s="11" t="s">
        <v>97</v>
      </c>
      <c r="C52" s="2"/>
      <c r="D52" s="2"/>
      <c r="E52" s="2"/>
      <c r="F52" s="2">
        <f t="shared" ref="F52:L52" si="46">(F27/F9) * 90</f>
        <v>50.65039499</v>
      </c>
      <c r="G52" s="2">
        <f t="shared" si="46"/>
        <v>67.09350845</v>
      </c>
      <c r="H52" s="2">
        <f t="shared" si="46"/>
        <v>58.65913391</v>
      </c>
      <c r="I52" s="2">
        <f t="shared" si="46"/>
        <v>69.83537783</v>
      </c>
      <c r="J52" s="2">
        <f t="shared" si="46"/>
        <v>49.01132765</v>
      </c>
      <c r="K52" s="2">
        <f t="shared" si="46"/>
        <v>63.33071352</v>
      </c>
      <c r="L52" s="2">
        <f t="shared" si="46"/>
        <v>67.0323011</v>
      </c>
      <c r="M52" s="2"/>
      <c r="N52" s="2"/>
      <c r="O52" s="1"/>
      <c r="P52" s="1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2"/>
      <c r="EA52" s="2"/>
      <c r="EB52" s="2"/>
      <c r="EC52" s="2"/>
      <c r="ED52" s="2"/>
      <c r="EE52" s="2"/>
      <c r="EF52" s="2"/>
      <c r="EG52" s="2"/>
      <c r="EH52" s="2"/>
      <c r="EI52" s="2"/>
      <c r="EJ52" s="2"/>
      <c r="EK52" s="2"/>
      <c r="EL52" s="2"/>
      <c r="EM52" s="2"/>
      <c r="EN52" s="2"/>
      <c r="EO52" s="2"/>
      <c r="EP52" s="2"/>
      <c r="EQ52" s="2"/>
      <c r="ER52" s="2"/>
      <c r="ES52" s="2"/>
      <c r="ET52" s="2"/>
      <c r="EU52" s="2"/>
      <c r="EV52" s="2"/>
      <c r="EW52" s="2"/>
      <c r="EX52" s="2"/>
      <c r="EY52" s="2"/>
      <c r="EZ52" s="2"/>
      <c r="FA52" s="2"/>
      <c r="FB52" s="2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/>
      <c r="FR52" s="2"/>
      <c r="FS52" s="2"/>
      <c r="FT52" s="2"/>
      <c r="FU52" s="2"/>
      <c r="FV52" s="2"/>
      <c r="FW52" s="2"/>
      <c r="FX52" s="2"/>
      <c r="FY52" s="2"/>
      <c r="FZ52" s="2"/>
      <c r="GA52" s="2"/>
      <c r="GB52" s="2"/>
      <c r="GC52" s="2"/>
      <c r="GD52" s="2"/>
      <c r="GE52" s="2"/>
      <c r="GF52" s="2"/>
      <c r="GG52" s="2"/>
      <c r="GH52" s="2"/>
      <c r="GI52" s="2"/>
      <c r="GJ52" s="2"/>
      <c r="GK52" s="2"/>
      <c r="GL52" s="2"/>
      <c r="GM52" s="2"/>
      <c r="GN52" s="2"/>
      <c r="GO52" s="2"/>
      <c r="GP52" s="2"/>
      <c r="GQ52" s="2"/>
      <c r="GR52" s="2"/>
      <c r="GS52" s="2"/>
      <c r="GT52" s="2"/>
      <c r="GU52" s="2"/>
      <c r="GV52" s="2"/>
    </row>
    <row r="53" ht="13.5" customHeight="1">
      <c r="A53" s="1"/>
      <c r="B53" s="11" t="s">
        <v>98</v>
      </c>
      <c r="C53" s="2"/>
      <c r="D53" s="2"/>
      <c r="E53" s="2"/>
      <c r="F53" s="2">
        <f t="shared" ref="F53:L53" si="47">(F34/F9) * 90</f>
        <v>44.05736273</v>
      </c>
      <c r="G53" s="2">
        <f t="shared" si="47"/>
        <v>54.38032862</v>
      </c>
      <c r="H53" s="2">
        <f t="shared" si="47"/>
        <v>49.59942201</v>
      </c>
      <c r="I53" s="2">
        <f t="shared" si="47"/>
        <v>59.0388712</v>
      </c>
      <c r="J53" s="2">
        <f t="shared" si="47"/>
        <v>44.45566255</v>
      </c>
      <c r="K53" s="2">
        <f t="shared" si="47"/>
        <v>56.45471352</v>
      </c>
      <c r="L53" s="2">
        <f t="shared" si="47"/>
        <v>56.92264454</v>
      </c>
      <c r="M53" s="2"/>
      <c r="N53" s="2"/>
      <c r="O53" s="1"/>
      <c r="P53" s="1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  <c r="EF53" s="2"/>
      <c r="EG53" s="2"/>
      <c r="EH53" s="2"/>
      <c r="EI53" s="2"/>
      <c r="EJ53" s="2"/>
      <c r="EK53" s="2"/>
      <c r="EL53" s="2"/>
      <c r="EM53" s="2"/>
      <c r="EN53" s="2"/>
      <c r="EO53" s="2"/>
      <c r="EP53" s="2"/>
      <c r="EQ53" s="2"/>
      <c r="ER53" s="2"/>
      <c r="ES53" s="2"/>
      <c r="ET53" s="2"/>
      <c r="EU53" s="2"/>
      <c r="EV53" s="2"/>
      <c r="EW53" s="2"/>
      <c r="EX53" s="2"/>
      <c r="EY53" s="2"/>
      <c r="EZ53" s="2"/>
      <c r="FA53" s="2"/>
      <c r="FB53" s="2"/>
      <c r="FC53" s="2"/>
      <c r="FD53" s="2"/>
      <c r="FE53" s="2"/>
      <c r="FF53" s="2"/>
      <c r="FG53" s="2"/>
      <c r="FH53" s="2"/>
      <c r="FI53" s="2"/>
      <c r="FJ53" s="2"/>
      <c r="FK53" s="2"/>
      <c r="FL53" s="2"/>
      <c r="FM53" s="2"/>
      <c r="FN53" s="2"/>
      <c r="FO53" s="2"/>
      <c r="FP53" s="2"/>
      <c r="FQ53" s="2"/>
      <c r="FR53" s="2"/>
      <c r="FS53" s="2"/>
      <c r="FT53" s="2"/>
      <c r="FU53" s="2"/>
      <c r="FV53" s="2"/>
      <c r="FW53" s="2"/>
      <c r="FX53" s="2"/>
      <c r="FY53" s="2"/>
      <c r="FZ53" s="2"/>
      <c r="GA53" s="2"/>
      <c r="GB53" s="2"/>
      <c r="GC53" s="2"/>
      <c r="GD53" s="2"/>
      <c r="GE53" s="2"/>
      <c r="GF53" s="2"/>
      <c r="GG53" s="2"/>
      <c r="GH53" s="2"/>
      <c r="GI53" s="2"/>
      <c r="GJ53" s="2"/>
      <c r="GK53" s="2"/>
      <c r="GL53" s="2"/>
      <c r="GM53" s="2"/>
      <c r="GN53" s="2"/>
      <c r="GO53" s="2"/>
      <c r="GP53" s="2"/>
      <c r="GQ53" s="2"/>
      <c r="GR53" s="2"/>
      <c r="GS53" s="2"/>
      <c r="GT53" s="2"/>
      <c r="GU53" s="2"/>
      <c r="GV53" s="2"/>
    </row>
    <row r="54" ht="13.5" customHeight="1">
      <c r="A54" s="1"/>
      <c r="B54" s="11" t="s">
        <v>99</v>
      </c>
      <c r="C54" s="2"/>
      <c r="D54" s="2"/>
      <c r="E54" s="2"/>
      <c r="F54" s="2">
        <f t="shared" ref="F54:L54" si="48">F51+F52-F53</f>
        <v>8.792417647</v>
      </c>
      <c r="G54" s="2">
        <f t="shared" si="48"/>
        <v>15.98107447</v>
      </c>
      <c r="H54" s="2">
        <f t="shared" si="48"/>
        <v>12.48642182</v>
      </c>
      <c r="I54" s="2">
        <f t="shared" si="48"/>
        <v>14.07277282</v>
      </c>
      <c r="J54" s="2">
        <f t="shared" si="48"/>
        <v>7.014728406</v>
      </c>
      <c r="K54" s="2">
        <f t="shared" si="48"/>
        <v>10.05854329</v>
      </c>
      <c r="L54" s="2">
        <f t="shared" si="48"/>
        <v>13.67438223</v>
      </c>
      <c r="M54" s="2"/>
      <c r="N54" s="2"/>
      <c r="O54" s="1"/>
      <c r="P54" s="1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  <c r="ED54" s="2"/>
      <c r="EE54" s="2"/>
      <c r="EF54" s="2"/>
      <c r="EG54" s="2"/>
      <c r="EH54" s="2"/>
      <c r="EI54" s="2"/>
      <c r="EJ54" s="2"/>
      <c r="EK54" s="2"/>
      <c r="EL54" s="2"/>
      <c r="EM54" s="2"/>
      <c r="EN54" s="2"/>
      <c r="EO54" s="2"/>
      <c r="EP54" s="2"/>
      <c r="EQ54" s="2"/>
      <c r="ER54" s="2"/>
      <c r="ES54" s="2"/>
      <c r="ET54" s="2"/>
      <c r="EU54" s="2"/>
      <c r="EV54" s="2"/>
      <c r="EW54" s="2"/>
      <c r="EX54" s="2"/>
      <c r="EY54" s="2"/>
      <c r="EZ54" s="2"/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/>
      <c r="FR54" s="2"/>
      <c r="FS54" s="2"/>
      <c r="FT54" s="2"/>
      <c r="FU54" s="2"/>
      <c r="FV54" s="2"/>
      <c r="FW54" s="2"/>
      <c r="FX54" s="2"/>
      <c r="FY54" s="2"/>
      <c r="FZ54" s="2"/>
      <c r="GA54" s="2"/>
      <c r="GB54" s="2"/>
      <c r="GC54" s="2"/>
      <c r="GD54" s="2"/>
      <c r="GE54" s="2"/>
      <c r="GF54" s="2"/>
      <c r="GG54" s="2"/>
      <c r="GH54" s="2"/>
      <c r="GI54" s="2"/>
      <c r="GJ54" s="2"/>
      <c r="GK54" s="2"/>
      <c r="GL54" s="2"/>
      <c r="GM54" s="2"/>
      <c r="GN54" s="2"/>
      <c r="GO54" s="2"/>
      <c r="GP54" s="2"/>
      <c r="GQ54" s="2"/>
      <c r="GR54" s="2"/>
      <c r="GS54" s="2"/>
      <c r="GT54" s="2"/>
      <c r="GU54" s="2"/>
      <c r="GV54" s="2"/>
    </row>
    <row r="55" ht="13.5" customHeight="1">
      <c r="A55" s="1"/>
      <c r="B55" s="1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1"/>
      <c r="P55" s="1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2"/>
      <c r="EA55" s="2"/>
      <c r="EB55" s="2"/>
      <c r="EC55" s="2"/>
      <c r="ED55" s="2"/>
      <c r="EE55" s="2"/>
      <c r="EF55" s="2"/>
      <c r="EG55" s="2"/>
      <c r="EH55" s="2"/>
      <c r="EI55" s="2"/>
      <c r="EJ55" s="2"/>
      <c r="EK55" s="2"/>
      <c r="EL55" s="2"/>
      <c r="EM55" s="2"/>
      <c r="EN55" s="2"/>
      <c r="EO55" s="2"/>
      <c r="EP55" s="2"/>
      <c r="EQ55" s="2"/>
      <c r="ER55" s="2"/>
      <c r="ES55" s="2"/>
      <c r="ET55" s="2"/>
      <c r="EU55" s="2"/>
      <c r="EV55" s="2"/>
      <c r="EW55" s="2"/>
      <c r="EX55" s="2"/>
      <c r="EY55" s="2"/>
      <c r="EZ55" s="2"/>
      <c r="FA55" s="2"/>
      <c r="FB55" s="2"/>
      <c r="FC55" s="2"/>
      <c r="FD55" s="2"/>
      <c r="FE55" s="2"/>
      <c r="FF55" s="2"/>
      <c r="FG55" s="2"/>
      <c r="FH55" s="2"/>
      <c r="FI55" s="2"/>
      <c r="FJ55" s="2"/>
      <c r="FK55" s="2"/>
      <c r="FL55" s="2"/>
      <c r="FM55" s="2"/>
      <c r="FN55" s="2"/>
      <c r="FO55" s="2"/>
      <c r="FP55" s="2"/>
      <c r="FQ55" s="2"/>
      <c r="FR55" s="2"/>
      <c r="FS55" s="2"/>
      <c r="FT55" s="2"/>
      <c r="FU55" s="2"/>
      <c r="FV55" s="2"/>
      <c r="FW55" s="2"/>
      <c r="FX55" s="2"/>
      <c r="FY55" s="2"/>
      <c r="FZ55" s="2"/>
      <c r="GA55" s="2"/>
      <c r="GB55" s="2"/>
      <c r="GC55" s="2"/>
      <c r="GD55" s="2"/>
      <c r="GE55" s="2"/>
      <c r="GF55" s="2"/>
      <c r="GG55" s="2"/>
      <c r="GH55" s="2"/>
      <c r="GI55" s="2"/>
      <c r="GJ55" s="2"/>
      <c r="GK55" s="2"/>
      <c r="GL55" s="2"/>
      <c r="GM55" s="2"/>
      <c r="GN55" s="2"/>
      <c r="GO55" s="2"/>
      <c r="GP55" s="2"/>
      <c r="GQ55" s="2"/>
      <c r="GR55" s="2"/>
      <c r="GS55" s="2"/>
      <c r="GT55" s="2"/>
      <c r="GU55" s="2"/>
      <c r="GV55" s="2"/>
    </row>
    <row r="56" ht="13.5" customHeight="1">
      <c r="A56" s="1"/>
      <c r="B56" s="1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1"/>
      <c r="P56" s="1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  <c r="ED56" s="2"/>
      <c r="EE56" s="2"/>
      <c r="EF56" s="2"/>
      <c r="EG56" s="2"/>
      <c r="EH56" s="2"/>
      <c r="EI56" s="2"/>
      <c r="EJ56" s="2"/>
      <c r="EK56" s="2"/>
      <c r="EL56" s="2"/>
      <c r="EM56" s="2"/>
      <c r="EN56" s="2"/>
      <c r="EO56" s="2"/>
      <c r="EP56" s="2"/>
      <c r="EQ56" s="2"/>
      <c r="ER56" s="2"/>
      <c r="ES56" s="2"/>
      <c r="ET56" s="2"/>
      <c r="EU56" s="2"/>
      <c r="EV56" s="2"/>
      <c r="EW56" s="2"/>
      <c r="EX56" s="2"/>
      <c r="EY56" s="2"/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/>
      <c r="FR56" s="2"/>
      <c r="FS56" s="2"/>
      <c r="FT56" s="2"/>
      <c r="FU56" s="2"/>
      <c r="FV56" s="2"/>
      <c r="FW56" s="2"/>
      <c r="FX56" s="2"/>
      <c r="FY56" s="2"/>
      <c r="FZ56" s="2"/>
      <c r="GA56" s="2"/>
      <c r="GB56" s="2"/>
      <c r="GC56" s="2"/>
      <c r="GD56" s="2"/>
      <c r="GE56" s="2"/>
      <c r="GF56" s="2"/>
      <c r="GG56" s="2"/>
      <c r="GH56" s="2"/>
      <c r="GI56" s="2"/>
      <c r="GJ56" s="2"/>
      <c r="GK56" s="2"/>
      <c r="GL56" s="2"/>
      <c r="GM56" s="2"/>
      <c r="GN56" s="2"/>
      <c r="GO56" s="2"/>
      <c r="GP56" s="2"/>
      <c r="GQ56" s="2"/>
      <c r="GR56" s="2"/>
      <c r="GS56" s="2"/>
      <c r="GT56" s="2"/>
      <c r="GU56" s="2"/>
      <c r="GV56" s="2"/>
    </row>
    <row r="57" ht="13.5" customHeight="1">
      <c r="A57" s="1"/>
      <c r="B57" s="1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1"/>
      <c r="P57" s="1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2"/>
      <c r="EA57" s="2"/>
      <c r="EB57" s="2"/>
      <c r="EC57" s="2"/>
      <c r="ED57" s="2"/>
      <c r="EE57" s="2"/>
      <c r="EF57" s="2"/>
      <c r="EG57" s="2"/>
      <c r="EH57" s="2"/>
      <c r="EI57" s="2"/>
      <c r="EJ57" s="2"/>
      <c r="EK57" s="2"/>
      <c r="EL57" s="2"/>
      <c r="EM57" s="2"/>
      <c r="EN57" s="2"/>
      <c r="EO57" s="2"/>
      <c r="EP57" s="2"/>
      <c r="EQ57" s="2"/>
      <c r="ER57" s="2"/>
      <c r="ES57" s="2"/>
      <c r="ET57" s="2"/>
      <c r="EU57" s="2"/>
      <c r="EV57" s="2"/>
      <c r="EW57" s="2"/>
      <c r="EX57" s="2"/>
      <c r="EY57" s="2"/>
      <c r="EZ57" s="2"/>
      <c r="FA57" s="2"/>
      <c r="FB57" s="2"/>
      <c r="FC57" s="2"/>
      <c r="FD57" s="2"/>
      <c r="FE57" s="2"/>
      <c r="FF57" s="2"/>
      <c r="FG57" s="2"/>
      <c r="FH57" s="2"/>
      <c r="FI57" s="2"/>
      <c r="FJ57" s="2"/>
      <c r="FK57" s="2"/>
      <c r="FL57" s="2"/>
      <c r="FM57" s="2"/>
      <c r="FN57" s="2"/>
      <c r="FO57" s="2"/>
      <c r="FP57" s="2"/>
      <c r="FQ57" s="2"/>
      <c r="FR57" s="2"/>
      <c r="FS57" s="2"/>
      <c r="FT57" s="2"/>
      <c r="FU57" s="2"/>
      <c r="FV57" s="2"/>
      <c r="FW57" s="2"/>
      <c r="FX57" s="2"/>
      <c r="FY57" s="2"/>
      <c r="FZ57" s="2"/>
      <c r="GA57" s="2"/>
      <c r="GB57" s="2"/>
      <c r="GC57" s="2"/>
      <c r="GD57" s="2"/>
      <c r="GE57" s="2"/>
      <c r="GF57" s="2"/>
      <c r="GG57" s="2"/>
      <c r="GH57" s="2"/>
      <c r="GI57" s="2"/>
      <c r="GJ57" s="2"/>
      <c r="GK57" s="2"/>
      <c r="GL57" s="2"/>
      <c r="GM57" s="2"/>
      <c r="GN57" s="2"/>
      <c r="GO57" s="2"/>
      <c r="GP57" s="2"/>
      <c r="GQ57" s="2"/>
      <c r="GR57" s="2"/>
      <c r="GS57" s="2"/>
      <c r="GT57" s="2"/>
      <c r="GU57" s="2"/>
      <c r="GV57" s="2"/>
    </row>
    <row r="58" ht="13.5" customHeight="1">
      <c r="A58" s="1"/>
      <c r="B58" s="11" t="s">
        <v>100</v>
      </c>
      <c r="C58" s="28">
        <v>368.921</v>
      </c>
      <c r="D58" s="2">
        <f>961.042-C58</f>
        <v>592.121</v>
      </c>
      <c r="E58" s="2">
        <f>1474.431-sum(C58:D58)</f>
        <v>513.389</v>
      </c>
      <c r="F58" s="2">
        <f>2356.988-sum(C58:E58)</f>
        <v>882.557</v>
      </c>
      <c r="G58" s="28">
        <v>409.715</v>
      </c>
      <c r="H58" s="2">
        <f>1078.077-G58</f>
        <v>668.362</v>
      </c>
      <c r="I58" s="2">
        <f>1905.165-sum(G58:H58)</f>
        <v>827.088</v>
      </c>
      <c r="J58" s="2">
        <f>3026.883-sum(G58:I58)</f>
        <v>1121.718</v>
      </c>
      <c r="K58" s="28">
        <v>836.009</v>
      </c>
      <c r="L58" s="28">
        <f>1711.767-K58</f>
        <v>875.758</v>
      </c>
      <c r="M58" s="2"/>
      <c r="N58" s="2"/>
      <c r="O58" s="1"/>
      <c r="P58" s="1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2"/>
      <c r="EE58" s="2"/>
      <c r="EF58" s="2"/>
      <c r="EG58" s="2"/>
      <c r="EH58" s="2"/>
      <c r="EI58" s="2"/>
      <c r="EJ58" s="2"/>
      <c r="EK58" s="2"/>
      <c r="EL58" s="2"/>
      <c r="EM58" s="2"/>
      <c r="EN58" s="2"/>
      <c r="EO58" s="2"/>
      <c r="EP58" s="2"/>
      <c r="EQ58" s="2"/>
      <c r="ER58" s="2"/>
      <c r="ES58" s="2"/>
      <c r="ET58" s="2"/>
      <c r="EU58" s="2"/>
      <c r="EV58" s="2"/>
      <c r="EW58" s="2"/>
      <c r="EX58" s="2"/>
      <c r="EY58" s="2"/>
      <c r="EZ58" s="2"/>
      <c r="FA58" s="2"/>
      <c r="FB58" s="2"/>
      <c r="FC58" s="2"/>
      <c r="FD58" s="2"/>
      <c r="FE58" s="2"/>
      <c r="FF58" s="2"/>
      <c r="FG58" s="2"/>
      <c r="FH58" s="2"/>
      <c r="FI58" s="2"/>
      <c r="FJ58" s="2"/>
      <c r="FK58" s="2"/>
      <c r="FL58" s="2"/>
      <c r="FM58" s="2"/>
      <c r="FN58" s="2"/>
      <c r="FO58" s="2"/>
      <c r="FP58" s="2"/>
      <c r="FQ58" s="2"/>
      <c r="FR58" s="2"/>
      <c r="FS58" s="2"/>
      <c r="FT58" s="2"/>
      <c r="FU58" s="2"/>
      <c r="FV58" s="2"/>
      <c r="FW58" s="2"/>
      <c r="FX58" s="2"/>
      <c r="FY58" s="2"/>
      <c r="FZ58" s="2"/>
      <c r="GA58" s="2"/>
      <c r="GB58" s="2"/>
      <c r="GC58" s="2"/>
      <c r="GD58" s="2"/>
      <c r="GE58" s="2"/>
      <c r="GF58" s="2"/>
      <c r="GG58" s="2"/>
      <c r="GH58" s="2"/>
      <c r="GI58" s="2"/>
      <c r="GJ58" s="2"/>
      <c r="GK58" s="2"/>
      <c r="GL58" s="2"/>
      <c r="GM58" s="2"/>
      <c r="GN58" s="2"/>
      <c r="GO58" s="2"/>
      <c r="GP58" s="2"/>
      <c r="GQ58" s="2"/>
      <c r="GR58" s="2"/>
      <c r="GS58" s="2"/>
      <c r="GT58" s="2"/>
      <c r="GU58" s="2"/>
      <c r="GV58" s="2"/>
    </row>
    <row r="59" ht="13.5" customHeight="1">
      <c r="A59" s="1"/>
      <c r="B59" s="11" t="s">
        <v>101</v>
      </c>
      <c r="C59" s="28">
        <v>-136.249</v>
      </c>
      <c r="D59" s="2">
        <f>-333.735-C59</f>
        <v>-197.486</v>
      </c>
      <c r="E59" s="28">
        <f>-514.122-sum(C59:D59)</f>
        <v>-180.387</v>
      </c>
      <c r="F59" s="28">
        <f>-720.104-sum(C59:E59)</f>
        <v>-205.982</v>
      </c>
      <c r="G59" s="28">
        <v>-207.378</v>
      </c>
      <c r="H59" s="2">
        <f>-409.105-G59</f>
        <v>-201.727</v>
      </c>
      <c r="I59" s="2">
        <f>618.366-sum(G59:H59)</f>
        <v>1027.471</v>
      </c>
      <c r="J59" s="2">
        <f>-819.275-sum(G59:I59)</f>
        <v>-1437.641</v>
      </c>
      <c r="K59" s="28">
        <v>-208.954</v>
      </c>
      <c r="L59" s="28">
        <f>-460.217-K59</f>
        <v>-251.263</v>
      </c>
      <c r="M59" s="2"/>
      <c r="N59" s="2"/>
      <c r="O59" s="1"/>
      <c r="P59" s="1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  <c r="ED59" s="2"/>
      <c r="EE59" s="2"/>
      <c r="EF59" s="2"/>
      <c r="EG59" s="2"/>
      <c r="EH59" s="2"/>
      <c r="EI59" s="2"/>
      <c r="EJ59" s="2"/>
      <c r="EK59" s="2"/>
      <c r="EL59" s="2"/>
      <c r="EM59" s="2"/>
      <c r="EN59" s="2"/>
      <c r="EO59" s="2"/>
      <c r="EP59" s="2"/>
      <c r="EQ59" s="2"/>
      <c r="ER59" s="2"/>
      <c r="ES59" s="2"/>
      <c r="ET59" s="2"/>
      <c r="EU59" s="2"/>
      <c r="EV59" s="2"/>
      <c r="EW59" s="2"/>
      <c r="EX59" s="2"/>
      <c r="EY59" s="2"/>
      <c r="EZ59" s="2"/>
      <c r="FA59" s="2"/>
      <c r="FB59" s="2"/>
      <c r="FC59" s="2"/>
      <c r="FD59" s="2"/>
      <c r="FE59" s="2"/>
      <c r="FF59" s="2"/>
      <c r="FG59" s="2"/>
      <c r="FH59" s="2"/>
      <c r="FI59" s="2"/>
      <c r="FJ59" s="2"/>
      <c r="FK59" s="2"/>
      <c r="FL59" s="2"/>
      <c r="FM59" s="2"/>
      <c r="FN59" s="2"/>
      <c r="FO59" s="2"/>
      <c r="FP59" s="2"/>
      <c r="FQ59" s="2"/>
      <c r="FR59" s="2"/>
      <c r="FS59" s="2"/>
      <c r="FT59" s="2"/>
      <c r="FU59" s="2"/>
      <c r="FV59" s="2"/>
      <c r="FW59" s="2"/>
      <c r="FX59" s="2"/>
      <c r="FY59" s="2"/>
      <c r="FZ59" s="2"/>
      <c r="GA59" s="2"/>
      <c r="GB59" s="2"/>
      <c r="GC59" s="2"/>
      <c r="GD59" s="2"/>
      <c r="GE59" s="2"/>
      <c r="GF59" s="2"/>
      <c r="GG59" s="2"/>
      <c r="GH59" s="2"/>
      <c r="GI59" s="2"/>
      <c r="GJ59" s="2"/>
      <c r="GK59" s="2"/>
      <c r="GL59" s="2"/>
      <c r="GM59" s="2"/>
      <c r="GN59" s="2"/>
      <c r="GO59" s="2"/>
      <c r="GP59" s="2"/>
      <c r="GQ59" s="2"/>
      <c r="GR59" s="2"/>
      <c r="GS59" s="2"/>
      <c r="GT59" s="2"/>
      <c r="GU59" s="2"/>
      <c r="GV59" s="2"/>
    </row>
    <row r="60" ht="13.5" customHeight="1">
      <c r="A60" s="1"/>
      <c r="B60" s="11" t="s">
        <v>102</v>
      </c>
      <c r="C60" s="2">
        <f t="shared" ref="C60:L60" si="49">C58+C59</f>
        <v>232.672</v>
      </c>
      <c r="D60" s="2">
        <f t="shared" si="49"/>
        <v>394.635</v>
      </c>
      <c r="E60" s="2">
        <f t="shared" si="49"/>
        <v>333.002</v>
      </c>
      <c r="F60" s="2">
        <f t="shared" si="49"/>
        <v>676.575</v>
      </c>
      <c r="G60" s="2">
        <f t="shared" si="49"/>
        <v>202.337</v>
      </c>
      <c r="H60" s="2">
        <f t="shared" si="49"/>
        <v>466.635</v>
      </c>
      <c r="I60" s="2">
        <f t="shared" si="49"/>
        <v>1854.559</v>
      </c>
      <c r="J60" s="2">
        <f t="shared" si="49"/>
        <v>-315.923</v>
      </c>
      <c r="K60" s="2">
        <f t="shared" si="49"/>
        <v>627.055</v>
      </c>
      <c r="L60" s="2">
        <f t="shared" si="49"/>
        <v>624.495</v>
      </c>
      <c r="M60" s="2"/>
      <c r="N60" s="2"/>
      <c r="O60" s="1"/>
      <c r="P60" s="1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2"/>
      <c r="EA60" s="2"/>
      <c r="EB60" s="2"/>
      <c r="EC60" s="2"/>
      <c r="ED60" s="2"/>
      <c r="EE60" s="2"/>
      <c r="EF60" s="2"/>
      <c r="EG60" s="2"/>
      <c r="EH60" s="2"/>
      <c r="EI60" s="2"/>
      <c r="EJ60" s="2"/>
      <c r="EK60" s="2"/>
      <c r="EL60" s="2"/>
      <c r="EM60" s="2"/>
      <c r="EN60" s="2"/>
      <c r="EO60" s="2"/>
      <c r="EP60" s="2"/>
      <c r="EQ60" s="2"/>
      <c r="ER60" s="2"/>
      <c r="ES60" s="2"/>
      <c r="ET60" s="2"/>
      <c r="EU60" s="2"/>
      <c r="EV60" s="2"/>
      <c r="EW60" s="2"/>
      <c r="EX60" s="2"/>
      <c r="EY60" s="2"/>
      <c r="EZ60" s="2"/>
      <c r="FA60" s="2"/>
      <c r="FB60" s="2"/>
      <c r="FC60" s="2"/>
      <c r="FD60" s="2"/>
      <c r="FE60" s="2"/>
      <c r="FF60" s="2"/>
      <c r="FG60" s="2"/>
      <c r="FH60" s="2"/>
      <c r="FI60" s="2"/>
      <c r="FJ60" s="2"/>
      <c r="FK60" s="2"/>
      <c r="FL60" s="2"/>
      <c r="FM60" s="2"/>
      <c r="FN60" s="2"/>
      <c r="FO60" s="2"/>
      <c r="FP60" s="2"/>
      <c r="FQ60" s="2"/>
      <c r="FR60" s="2"/>
      <c r="FS60" s="2"/>
      <c r="FT60" s="2"/>
      <c r="FU60" s="2"/>
      <c r="FV60" s="2"/>
      <c r="FW60" s="2"/>
      <c r="FX60" s="2"/>
      <c r="FY60" s="2"/>
      <c r="FZ60" s="2"/>
      <c r="GA60" s="2"/>
      <c r="GB60" s="2"/>
      <c r="GC60" s="2"/>
      <c r="GD60" s="2"/>
      <c r="GE60" s="2"/>
      <c r="GF60" s="2"/>
      <c r="GG60" s="2"/>
      <c r="GH60" s="2"/>
      <c r="GI60" s="2"/>
      <c r="GJ60" s="2"/>
      <c r="GK60" s="2"/>
      <c r="GL60" s="2"/>
      <c r="GM60" s="2"/>
      <c r="GN60" s="2"/>
      <c r="GO60" s="2"/>
      <c r="GP60" s="2"/>
      <c r="GQ60" s="2"/>
      <c r="GR60" s="2"/>
      <c r="GS60" s="2"/>
      <c r="GT60" s="2"/>
      <c r="GU60" s="2"/>
      <c r="GV60" s="2"/>
    </row>
    <row r="61" ht="13.5" customHeight="1">
      <c r="A61" s="1"/>
      <c r="B61" s="11" t="s">
        <v>60</v>
      </c>
      <c r="C61" s="2">
        <f t="shared" ref="C61:L61" si="50">C15</f>
        <v>487.99</v>
      </c>
      <c r="D61" s="2">
        <f t="shared" si="50"/>
        <v>527.148</v>
      </c>
      <c r="E61" s="2">
        <f t="shared" si="50"/>
        <v>488.808</v>
      </c>
      <c r="F61" s="2">
        <f t="shared" si="50"/>
        <v>586.784</v>
      </c>
      <c r="G61" s="2">
        <f t="shared" si="50"/>
        <v>479.249</v>
      </c>
      <c r="H61" s="2">
        <f t="shared" si="50"/>
        <v>507.995</v>
      </c>
      <c r="I61" s="2">
        <f t="shared" si="50"/>
        <v>511.755</v>
      </c>
      <c r="J61" s="2">
        <f t="shared" si="50"/>
        <v>646.045</v>
      </c>
      <c r="K61" s="2">
        <f t="shared" si="50"/>
        <v>649.964</v>
      </c>
      <c r="L61" s="2">
        <f t="shared" si="50"/>
        <v>851.299</v>
      </c>
      <c r="M61" s="2"/>
      <c r="N61" s="2"/>
      <c r="O61" s="1"/>
      <c r="P61" s="1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  <c r="DZ61" s="2"/>
      <c r="EA61" s="2"/>
      <c r="EB61" s="2"/>
      <c r="EC61" s="2"/>
      <c r="ED61" s="2"/>
      <c r="EE61" s="2"/>
      <c r="EF61" s="2"/>
      <c r="EG61" s="2"/>
      <c r="EH61" s="2"/>
      <c r="EI61" s="2"/>
      <c r="EJ61" s="2"/>
      <c r="EK61" s="2"/>
      <c r="EL61" s="2"/>
      <c r="EM61" s="2"/>
      <c r="EN61" s="2"/>
      <c r="EO61" s="2"/>
      <c r="EP61" s="2"/>
      <c r="EQ61" s="2"/>
      <c r="ER61" s="2"/>
      <c r="ES61" s="2"/>
      <c r="ET61" s="2"/>
      <c r="EU61" s="2"/>
      <c r="EV61" s="2"/>
      <c r="EW61" s="2"/>
      <c r="EX61" s="2"/>
      <c r="EY61" s="2"/>
      <c r="EZ61" s="2"/>
      <c r="FA61" s="2"/>
      <c r="FB61" s="2"/>
      <c r="FC61" s="2"/>
      <c r="FD61" s="2"/>
      <c r="FE61" s="2"/>
      <c r="FF61" s="2"/>
      <c r="FG61" s="2"/>
      <c r="FH61" s="2"/>
      <c r="FI61" s="2"/>
      <c r="FJ61" s="2"/>
      <c r="FK61" s="2"/>
      <c r="FL61" s="2"/>
      <c r="FM61" s="2"/>
      <c r="FN61" s="2"/>
      <c r="FO61" s="2"/>
      <c r="FP61" s="2"/>
      <c r="FQ61" s="2"/>
      <c r="FR61" s="2"/>
      <c r="FS61" s="2"/>
      <c r="FT61" s="2"/>
      <c r="FU61" s="2"/>
      <c r="FV61" s="2"/>
      <c r="FW61" s="2"/>
      <c r="FX61" s="2"/>
      <c r="FY61" s="2"/>
      <c r="FZ61" s="2"/>
      <c r="GA61" s="2"/>
      <c r="GB61" s="2"/>
      <c r="GC61" s="2"/>
      <c r="GD61" s="2"/>
      <c r="GE61" s="2"/>
      <c r="GF61" s="2"/>
      <c r="GG61" s="2"/>
      <c r="GH61" s="2"/>
      <c r="GI61" s="2"/>
      <c r="GJ61" s="2"/>
      <c r="GK61" s="2"/>
      <c r="GL61" s="2"/>
      <c r="GM61" s="2"/>
      <c r="GN61" s="2"/>
      <c r="GO61" s="2"/>
      <c r="GP61" s="2"/>
      <c r="GQ61" s="2"/>
      <c r="GR61" s="2"/>
      <c r="GS61" s="2"/>
      <c r="GT61" s="2"/>
      <c r="GU61" s="2"/>
      <c r="GV61" s="2"/>
    </row>
    <row r="62" ht="13.5" customHeight="1">
      <c r="A62" s="1"/>
      <c r="B62" s="1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1"/>
      <c r="P62" s="1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  <c r="DZ62" s="2"/>
      <c r="EA62" s="2"/>
      <c r="EB62" s="2"/>
      <c r="EC62" s="2"/>
      <c r="ED62" s="2"/>
      <c r="EE62" s="2"/>
      <c r="EF62" s="2"/>
      <c r="EG62" s="2"/>
      <c r="EH62" s="2"/>
      <c r="EI62" s="2"/>
      <c r="EJ62" s="2"/>
      <c r="EK62" s="2"/>
      <c r="EL62" s="2"/>
      <c r="EM62" s="2"/>
      <c r="EN62" s="2"/>
      <c r="EO62" s="2"/>
      <c r="EP62" s="2"/>
      <c r="EQ62" s="2"/>
      <c r="ER62" s="2"/>
      <c r="ES62" s="2"/>
      <c r="ET62" s="2"/>
      <c r="EU62" s="2"/>
      <c r="EV62" s="2"/>
      <c r="EW62" s="2"/>
      <c r="EX62" s="2"/>
      <c r="EY62" s="2"/>
      <c r="EZ62" s="2"/>
      <c r="FA62" s="2"/>
      <c r="FB62" s="2"/>
      <c r="FC62" s="2"/>
      <c r="FD62" s="2"/>
      <c r="FE62" s="2"/>
      <c r="FF62" s="2"/>
      <c r="FG62" s="2"/>
      <c r="FH62" s="2"/>
      <c r="FI62" s="2"/>
      <c r="FJ62" s="2"/>
      <c r="FK62" s="2"/>
      <c r="FL62" s="2"/>
      <c r="FM62" s="2"/>
      <c r="FN62" s="2"/>
      <c r="FO62" s="2"/>
      <c r="FP62" s="2"/>
      <c r="FQ62" s="2"/>
      <c r="FR62" s="2"/>
      <c r="FS62" s="2"/>
      <c r="FT62" s="2"/>
      <c r="FU62" s="2"/>
      <c r="FV62" s="2"/>
      <c r="FW62" s="2"/>
      <c r="FX62" s="2"/>
      <c r="FY62" s="2"/>
      <c r="FZ62" s="2"/>
      <c r="GA62" s="2"/>
      <c r="GB62" s="2"/>
      <c r="GC62" s="2"/>
      <c r="GD62" s="2"/>
      <c r="GE62" s="2"/>
      <c r="GF62" s="2"/>
      <c r="GG62" s="2"/>
      <c r="GH62" s="2"/>
      <c r="GI62" s="2"/>
      <c r="GJ62" s="2"/>
      <c r="GK62" s="2"/>
      <c r="GL62" s="2"/>
      <c r="GM62" s="2"/>
      <c r="GN62" s="2"/>
      <c r="GO62" s="2"/>
      <c r="GP62" s="2"/>
      <c r="GQ62" s="2"/>
      <c r="GR62" s="2"/>
      <c r="GS62" s="2"/>
      <c r="GT62" s="2"/>
      <c r="GU62" s="2"/>
      <c r="GV62" s="2"/>
    </row>
    <row r="63" ht="13.5" customHeight="1">
      <c r="A63" s="1"/>
      <c r="B63" s="1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1"/>
      <c r="P63" s="1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/>
      <c r="ED63" s="2"/>
      <c r="EE63" s="2"/>
      <c r="EF63" s="2"/>
      <c r="EG63" s="2"/>
      <c r="EH63" s="2"/>
      <c r="EI63" s="2"/>
      <c r="EJ63" s="2"/>
      <c r="EK63" s="2"/>
      <c r="EL63" s="2"/>
      <c r="EM63" s="2"/>
      <c r="EN63" s="2"/>
      <c r="EO63" s="2"/>
      <c r="EP63" s="2"/>
      <c r="EQ63" s="2"/>
      <c r="ER63" s="2"/>
      <c r="ES63" s="2"/>
      <c r="ET63" s="2"/>
      <c r="EU63" s="2"/>
      <c r="EV63" s="2"/>
      <c r="EW63" s="2"/>
      <c r="EX63" s="2"/>
      <c r="EY63" s="2"/>
      <c r="EZ63" s="2"/>
      <c r="FA63" s="2"/>
      <c r="FB63" s="2"/>
      <c r="FC63" s="2"/>
      <c r="FD63" s="2"/>
      <c r="FE63" s="2"/>
      <c r="FF63" s="2"/>
      <c r="FG63" s="2"/>
      <c r="FH63" s="2"/>
      <c r="FI63" s="2"/>
      <c r="FJ63" s="2"/>
      <c r="FK63" s="2"/>
      <c r="FL63" s="2"/>
      <c r="FM63" s="2"/>
      <c r="FN63" s="2"/>
      <c r="FO63" s="2"/>
      <c r="FP63" s="2"/>
      <c r="FQ63" s="2"/>
      <c r="FR63" s="2"/>
      <c r="FS63" s="2"/>
      <c r="FT63" s="2"/>
      <c r="FU63" s="2"/>
      <c r="FV63" s="2"/>
      <c r="FW63" s="2"/>
      <c r="FX63" s="2"/>
      <c r="FY63" s="2"/>
      <c r="FZ63" s="2"/>
      <c r="GA63" s="2"/>
      <c r="GB63" s="2"/>
      <c r="GC63" s="2"/>
      <c r="GD63" s="2"/>
      <c r="GE63" s="2"/>
      <c r="GF63" s="2"/>
      <c r="GG63" s="2"/>
      <c r="GH63" s="2"/>
      <c r="GI63" s="2"/>
      <c r="GJ63" s="2"/>
      <c r="GK63" s="2"/>
      <c r="GL63" s="2"/>
      <c r="GM63" s="2"/>
      <c r="GN63" s="2"/>
      <c r="GO63" s="2"/>
      <c r="GP63" s="2"/>
      <c r="GQ63" s="2"/>
      <c r="GR63" s="2"/>
      <c r="GS63" s="2"/>
      <c r="GT63" s="2"/>
      <c r="GU63" s="2"/>
      <c r="GV63" s="2"/>
    </row>
    <row r="64" ht="13.5" customHeight="1">
      <c r="A64" s="1"/>
      <c r="B64" s="11" t="s">
        <v>103</v>
      </c>
      <c r="C64" s="2"/>
      <c r="D64" s="2"/>
      <c r="E64" s="2"/>
      <c r="F64" s="2">
        <f t="shared" ref="F64:L64" si="51">sum(C60:F60)</f>
        <v>1636.884</v>
      </c>
      <c r="G64" s="2">
        <f t="shared" si="51"/>
        <v>1606.549</v>
      </c>
      <c r="H64" s="2">
        <f t="shared" si="51"/>
        <v>1678.549</v>
      </c>
      <c r="I64" s="2">
        <f t="shared" si="51"/>
        <v>3200.106</v>
      </c>
      <c r="J64" s="2">
        <f t="shared" si="51"/>
        <v>2207.608</v>
      </c>
      <c r="K64" s="2">
        <f t="shared" si="51"/>
        <v>2632.326</v>
      </c>
      <c r="L64" s="2">
        <f t="shared" si="51"/>
        <v>2790.186</v>
      </c>
      <c r="M64" s="2"/>
      <c r="N64" s="2"/>
      <c r="O64" s="1"/>
      <c r="P64" s="1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  <c r="EE64" s="2"/>
      <c r="EF64" s="2"/>
      <c r="EG64" s="2"/>
      <c r="EH64" s="2"/>
      <c r="EI64" s="2"/>
      <c r="EJ64" s="2"/>
      <c r="EK64" s="2"/>
      <c r="EL64" s="2"/>
      <c r="EM64" s="2"/>
      <c r="EN64" s="2"/>
      <c r="EO64" s="2"/>
      <c r="EP64" s="2"/>
      <c r="EQ64" s="2"/>
      <c r="ER64" s="2"/>
      <c r="ES64" s="2"/>
      <c r="ET64" s="2"/>
      <c r="EU64" s="2"/>
      <c r="EV64" s="2"/>
      <c r="EW64" s="2"/>
      <c r="EX64" s="2"/>
      <c r="EY64" s="2"/>
      <c r="EZ64" s="2"/>
      <c r="FA64" s="2"/>
      <c r="FB64" s="2"/>
      <c r="FC64" s="2"/>
      <c r="FD64" s="2"/>
      <c r="FE64" s="2"/>
      <c r="FF64" s="2"/>
      <c r="FG64" s="2"/>
      <c r="FH64" s="2"/>
      <c r="FI64" s="2"/>
      <c r="FJ64" s="2"/>
      <c r="FK64" s="2"/>
      <c r="FL64" s="2"/>
      <c r="FM64" s="2"/>
      <c r="FN64" s="2"/>
      <c r="FO64" s="2"/>
      <c r="FP64" s="2"/>
      <c r="FQ64" s="2"/>
      <c r="FR64" s="2"/>
      <c r="FS64" s="2"/>
      <c r="FT64" s="2"/>
      <c r="FU64" s="2"/>
      <c r="FV64" s="2"/>
      <c r="FW64" s="2"/>
      <c r="FX64" s="2"/>
      <c r="FY64" s="2"/>
      <c r="FZ64" s="2"/>
      <c r="GA64" s="2"/>
      <c r="GB64" s="2"/>
      <c r="GC64" s="2"/>
      <c r="GD64" s="2"/>
      <c r="GE64" s="2"/>
      <c r="GF64" s="2"/>
      <c r="GG64" s="2"/>
      <c r="GH64" s="2"/>
      <c r="GI64" s="2"/>
      <c r="GJ64" s="2"/>
      <c r="GK64" s="2"/>
      <c r="GL64" s="2"/>
      <c r="GM64" s="2"/>
      <c r="GN64" s="2"/>
      <c r="GO64" s="2"/>
      <c r="GP64" s="2"/>
      <c r="GQ64" s="2"/>
      <c r="GR64" s="2"/>
      <c r="GS64" s="2"/>
      <c r="GT64" s="2"/>
      <c r="GU64" s="2"/>
      <c r="GV64" s="2"/>
    </row>
    <row r="65" ht="13.5" customHeight="1">
      <c r="A65" s="1"/>
      <c r="B65" s="11" t="s">
        <v>104</v>
      </c>
      <c r="C65" s="2"/>
      <c r="D65" s="2"/>
      <c r="E65" s="2"/>
      <c r="F65" s="2">
        <f t="shared" ref="F65:L65" si="52">sum(C61:F61)</f>
        <v>2090.73</v>
      </c>
      <c r="G65" s="2">
        <f t="shared" si="52"/>
        <v>2081.989</v>
      </c>
      <c r="H65" s="2">
        <f t="shared" si="52"/>
        <v>2062.836</v>
      </c>
      <c r="I65" s="2">
        <f t="shared" si="52"/>
        <v>2085.783</v>
      </c>
      <c r="J65" s="2">
        <f t="shared" si="52"/>
        <v>2145.044</v>
      </c>
      <c r="K65" s="2">
        <f t="shared" si="52"/>
        <v>2315.759</v>
      </c>
      <c r="L65" s="2">
        <f t="shared" si="52"/>
        <v>2659.063</v>
      </c>
      <c r="M65" s="2"/>
      <c r="N65" s="2"/>
      <c r="O65" s="1"/>
      <c r="P65" s="1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2"/>
      <c r="EF65" s="2"/>
      <c r="EG65" s="2"/>
      <c r="EH65" s="2"/>
      <c r="EI65" s="2"/>
      <c r="EJ65" s="2"/>
      <c r="EK65" s="2"/>
      <c r="EL65" s="2"/>
      <c r="EM65" s="2"/>
      <c r="EN65" s="2"/>
      <c r="EO65" s="2"/>
      <c r="EP65" s="2"/>
      <c r="EQ65" s="2"/>
      <c r="ER65" s="2"/>
      <c r="ES65" s="2"/>
      <c r="ET65" s="2"/>
      <c r="EU65" s="2"/>
      <c r="EV65" s="2"/>
      <c r="EW65" s="2"/>
      <c r="EX65" s="2"/>
      <c r="EY65" s="2"/>
      <c r="EZ65" s="2"/>
      <c r="FA65" s="2"/>
      <c r="FB65" s="2"/>
      <c r="FC65" s="2"/>
      <c r="FD65" s="2"/>
      <c r="FE65" s="2"/>
      <c r="FF65" s="2"/>
      <c r="FG65" s="2"/>
      <c r="FH65" s="2"/>
      <c r="FI65" s="2"/>
      <c r="FJ65" s="2"/>
      <c r="FK65" s="2"/>
      <c r="FL65" s="2"/>
      <c r="FM65" s="2"/>
      <c r="FN65" s="2"/>
      <c r="FO65" s="2"/>
      <c r="FP65" s="2"/>
      <c r="FQ65" s="2"/>
      <c r="FR65" s="2"/>
      <c r="FS65" s="2"/>
      <c r="FT65" s="2"/>
      <c r="FU65" s="2"/>
      <c r="FV65" s="2"/>
      <c r="FW65" s="2"/>
      <c r="FX65" s="2"/>
      <c r="FY65" s="2"/>
      <c r="FZ65" s="2"/>
      <c r="GA65" s="2"/>
      <c r="GB65" s="2"/>
      <c r="GC65" s="2"/>
      <c r="GD65" s="2"/>
      <c r="GE65" s="2"/>
      <c r="GF65" s="2"/>
      <c r="GG65" s="2"/>
      <c r="GH65" s="2"/>
      <c r="GI65" s="2"/>
      <c r="GJ65" s="2"/>
      <c r="GK65" s="2"/>
      <c r="GL65" s="2"/>
      <c r="GM65" s="2"/>
      <c r="GN65" s="2"/>
      <c r="GO65" s="2"/>
      <c r="GP65" s="2"/>
      <c r="GQ65" s="2"/>
      <c r="GR65" s="2"/>
      <c r="GS65" s="2"/>
      <c r="GT65" s="2"/>
      <c r="GU65" s="2"/>
      <c r="GV65" s="2"/>
    </row>
    <row r="66" ht="13.5" customHeight="1">
      <c r="A66" s="1"/>
      <c r="B66" s="1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1"/>
      <c r="P66" s="1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  <c r="DZ66" s="2"/>
      <c r="EA66" s="2"/>
      <c r="EB66" s="2"/>
      <c r="EC66" s="2"/>
      <c r="ED66" s="2"/>
      <c r="EE66" s="2"/>
      <c r="EF66" s="2"/>
      <c r="EG66" s="2"/>
      <c r="EH66" s="2"/>
      <c r="EI66" s="2"/>
      <c r="EJ66" s="2"/>
      <c r="EK66" s="2"/>
      <c r="EL66" s="2"/>
      <c r="EM66" s="2"/>
      <c r="EN66" s="2"/>
      <c r="EO66" s="2"/>
      <c r="EP66" s="2"/>
      <c r="EQ66" s="2"/>
      <c r="ER66" s="2"/>
      <c r="ES66" s="2"/>
      <c r="ET66" s="2"/>
      <c r="EU66" s="2"/>
      <c r="EV66" s="2"/>
      <c r="EW66" s="2"/>
      <c r="EX66" s="2"/>
      <c r="EY66" s="2"/>
      <c r="EZ66" s="2"/>
      <c r="FA66" s="2"/>
      <c r="FB66" s="2"/>
      <c r="FC66" s="2"/>
      <c r="FD66" s="2"/>
      <c r="FE66" s="2"/>
      <c r="FF66" s="2"/>
      <c r="FG66" s="2"/>
      <c r="FH66" s="2"/>
      <c r="FI66" s="2"/>
      <c r="FJ66" s="2"/>
      <c r="FK66" s="2"/>
      <c r="FL66" s="2"/>
      <c r="FM66" s="2"/>
      <c r="FN66" s="2"/>
      <c r="FO66" s="2"/>
      <c r="FP66" s="2"/>
      <c r="FQ66" s="2"/>
      <c r="FR66" s="2"/>
      <c r="FS66" s="2"/>
      <c r="FT66" s="2"/>
      <c r="FU66" s="2"/>
      <c r="FV66" s="2"/>
      <c r="FW66" s="2"/>
      <c r="FX66" s="2"/>
      <c r="FY66" s="2"/>
      <c r="FZ66" s="2"/>
      <c r="GA66" s="2"/>
      <c r="GB66" s="2"/>
      <c r="GC66" s="2"/>
      <c r="GD66" s="2"/>
      <c r="GE66" s="2"/>
      <c r="GF66" s="2"/>
      <c r="GG66" s="2"/>
      <c r="GH66" s="2"/>
      <c r="GI66" s="2"/>
      <c r="GJ66" s="2"/>
      <c r="GK66" s="2"/>
      <c r="GL66" s="2"/>
      <c r="GM66" s="2"/>
      <c r="GN66" s="2"/>
      <c r="GO66" s="2"/>
      <c r="GP66" s="2"/>
      <c r="GQ66" s="2"/>
      <c r="GR66" s="2"/>
      <c r="GS66" s="2"/>
      <c r="GT66" s="2"/>
      <c r="GU66" s="2"/>
      <c r="GV66" s="2"/>
    </row>
    <row r="67" ht="13.5" customHeight="1">
      <c r="A67" s="1"/>
      <c r="B67" s="1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1"/>
      <c r="P67" s="1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  <c r="DY67" s="2"/>
      <c r="DZ67" s="2"/>
      <c r="EA67" s="2"/>
      <c r="EB67" s="2"/>
      <c r="EC67" s="2"/>
      <c r="ED67" s="2"/>
      <c r="EE67" s="2"/>
      <c r="EF67" s="2"/>
      <c r="EG67" s="2"/>
      <c r="EH67" s="2"/>
      <c r="EI67" s="2"/>
      <c r="EJ67" s="2"/>
      <c r="EK67" s="2"/>
      <c r="EL67" s="2"/>
      <c r="EM67" s="2"/>
      <c r="EN67" s="2"/>
      <c r="EO67" s="2"/>
      <c r="EP67" s="2"/>
      <c r="EQ67" s="2"/>
      <c r="ER67" s="2"/>
      <c r="ES67" s="2"/>
      <c r="ET67" s="2"/>
      <c r="EU67" s="2"/>
      <c r="EV67" s="2"/>
      <c r="EW67" s="2"/>
      <c r="EX67" s="2"/>
      <c r="EY67" s="2"/>
      <c r="EZ67" s="2"/>
      <c r="FA67" s="2"/>
      <c r="FB67" s="2"/>
      <c r="FC67" s="2"/>
      <c r="FD67" s="2"/>
      <c r="FE67" s="2"/>
      <c r="FF67" s="2"/>
      <c r="FG67" s="2"/>
      <c r="FH67" s="2"/>
      <c r="FI67" s="2"/>
      <c r="FJ67" s="2"/>
      <c r="FK67" s="2"/>
      <c r="FL67" s="2"/>
      <c r="FM67" s="2"/>
      <c r="FN67" s="2"/>
      <c r="FO67" s="2"/>
      <c r="FP67" s="2"/>
      <c r="FQ67" s="2"/>
      <c r="FR67" s="2"/>
      <c r="FS67" s="2"/>
      <c r="FT67" s="2"/>
      <c r="FU67" s="2"/>
      <c r="FV67" s="2"/>
      <c r="FW67" s="2"/>
      <c r="FX67" s="2"/>
      <c r="FY67" s="2"/>
      <c r="FZ67" s="2"/>
      <c r="GA67" s="2"/>
      <c r="GB67" s="2"/>
      <c r="GC67" s="2"/>
      <c r="GD67" s="2"/>
      <c r="GE67" s="2"/>
      <c r="GF67" s="2"/>
      <c r="GG67" s="2"/>
      <c r="GH67" s="2"/>
      <c r="GI67" s="2"/>
      <c r="GJ67" s="2"/>
      <c r="GK67" s="2"/>
      <c r="GL67" s="2"/>
      <c r="GM67" s="2"/>
      <c r="GN67" s="2"/>
      <c r="GO67" s="2"/>
      <c r="GP67" s="2"/>
      <c r="GQ67" s="2"/>
      <c r="GR67" s="2"/>
      <c r="GS67" s="2"/>
      <c r="GT67" s="2"/>
      <c r="GU67" s="2"/>
      <c r="GV67" s="2"/>
    </row>
    <row r="68" ht="13.5" customHeight="1">
      <c r="A68" s="1"/>
      <c r="B68" s="1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1"/>
      <c r="P68" s="1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  <c r="DW68" s="2"/>
      <c r="DX68" s="2"/>
      <c r="DY68" s="2"/>
      <c r="DZ68" s="2"/>
      <c r="EA68" s="2"/>
      <c r="EB68" s="2"/>
      <c r="EC68" s="2"/>
      <c r="ED68" s="2"/>
      <c r="EE68" s="2"/>
      <c r="EF68" s="2"/>
      <c r="EG68" s="2"/>
      <c r="EH68" s="2"/>
      <c r="EI68" s="2"/>
      <c r="EJ68" s="2"/>
      <c r="EK68" s="2"/>
      <c r="EL68" s="2"/>
      <c r="EM68" s="2"/>
      <c r="EN68" s="2"/>
      <c r="EO68" s="2"/>
      <c r="EP68" s="2"/>
      <c r="EQ68" s="2"/>
      <c r="ER68" s="2"/>
      <c r="ES68" s="2"/>
      <c r="ET68" s="2"/>
      <c r="EU68" s="2"/>
      <c r="EV68" s="2"/>
      <c r="EW68" s="2"/>
      <c r="EX68" s="2"/>
      <c r="EY68" s="2"/>
      <c r="EZ68" s="2"/>
      <c r="FA68" s="2"/>
      <c r="FB68" s="2"/>
      <c r="FC68" s="2"/>
      <c r="FD68" s="2"/>
      <c r="FE68" s="2"/>
      <c r="FF68" s="2"/>
      <c r="FG68" s="2"/>
      <c r="FH68" s="2"/>
      <c r="FI68" s="2"/>
      <c r="FJ68" s="2"/>
      <c r="FK68" s="2"/>
      <c r="FL68" s="2"/>
      <c r="FM68" s="2"/>
      <c r="FN68" s="2"/>
      <c r="FO68" s="2"/>
      <c r="FP68" s="2"/>
      <c r="FQ68" s="2"/>
      <c r="FR68" s="2"/>
      <c r="FS68" s="2"/>
      <c r="FT68" s="2"/>
      <c r="FU68" s="2"/>
      <c r="FV68" s="2"/>
      <c r="FW68" s="2"/>
      <c r="FX68" s="2"/>
      <c r="FY68" s="2"/>
      <c r="FZ68" s="2"/>
      <c r="GA68" s="2"/>
      <c r="GB68" s="2"/>
      <c r="GC68" s="2"/>
      <c r="GD68" s="2"/>
      <c r="GE68" s="2"/>
      <c r="GF68" s="2"/>
      <c r="GG68" s="2"/>
      <c r="GH68" s="2"/>
      <c r="GI68" s="2"/>
      <c r="GJ68" s="2"/>
      <c r="GK68" s="2"/>
      <c r="GL68" s="2"/>
      <c r="GM68" s="2"/>
      <c r="GN68" s="2"/>
      <c r="GO68" s="2"/>
      <c r="GP68" s="2"/>
      <c r="GQ68" s="2"/>
      <c r="GR68" s="2"/>
      <c r="GS68" s="2"/>
      <c r="GT68" s="2"/>
      <c r="GU68" s="2"/>
      <c r="GV68" s="2"/>
    </row>
    <row r="69" ht="13.5" customHeight="1">
      <c r="A69" s="1"/>
      <c r="B69" s="1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1"/>
      <c r="P69" s="1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2"/>
      <c r="DX69" s="2"/>
      <c r="DY69" s="2"/>
      <c r="DZ69" s="2"/>
      <c r="EA69" s="2"/>
      <c r="EB69" s="2"/>
      <c r="EC69" s="2"/>
      <c r="ED69" s="2"/>
      <c r="EE69" s="2"/>
      <c r="EF69" s="2"/>
      <c r="EG69" s="2"/>
      <c r="EH69" s="2"/>
      <c r="EI69" s="2"/>
      <c r="EJ69" s="2"/>
      <c r="EK69" s="2"/>
      <c r="EL69" s="2"/>
      <c r="EM69" s="2"/>
      <c r="EN69" s="2"/>
      <c r="EO69" s="2"/>
      <c r="EP69" s="2"/>
      <c r="EQ69" s="2"/>
      <c r="ER69" s="2"/>
      <c r="ES69" s="2"/>
      <c r="ET69" s="2"/>
      <c r="EU69" s="2"/>
      <c r="EV69" s="2"/>
      <c r="EW69" s="2"/>
      <c r="EX69" s="2"/>
      <c r="EY69" s="2"/>
      <c r="EZ69" s="2"/>
      <c r="FA69" s="2"/>
      <c r="FB69" s="2"/>
      <c r="FC69" s="2"/>
      <c r="FD69" s="2"/>
      <c r="FE69" s="2"/>
      <c r="FF69" s="2"/>
      <c r="FG69" s="2"/>
      <c r="FH69" s="2"/>
      <c r="FI69" s="2"/>
      <c r="FJ69" s="2"/>
      <c r="FK69" s="2"/>
      <c r="FL69" s="2"/>
      <c r="FM69" s="2"/>
      <c r="FN69" s="2"/>
      <c r="FO69" s="2"/>
      <c r="FP69" s="2"/>
      <c r="FQ69" s="2"/>
      <c r="FR69" s="2"/>
      <c r="FS69" s="2"/>
      <c r="FT69" s="2"/>
      <c r="FU69" s="2"/>
      <c r="FV69" s="2"/>
      <c r="FW69" s="2"/>
      <c r="FX69" s="2"/>
      <c r="FY69" s="2"/>
      <c r="FZ69" s="2"/>
      <c r="GA69" s="2"/>
      <c r="GB69" s="2"/>
      <c r="GC69" s="2"/>
      <c r="GD69" s="2"/>
      <c r="GE69" s="2"/>
      <c r="GF69" s="2"/>
      <c r="GG69" s="2"/>
      <c r="GH69" s="2"/>
      <c r="GI69" s="2"/>
      <c r="GJ69" s="2"/>
      <c r="GK69" s="2"/>
      <c r="GL69" s="2"/>
      <c r="GM69" s="2"/>
      <c r="GN69" s="2"/>
      <c r="GO69" s="2"/>
      <c r="GP69" s="2"/>
      <c r="GQ69" s="2"/>
      <c r="GR69" s="2"/>
      <c r="GS69" s="2"/>
      <c r="GT69" s="2"/>
      <c r="GU69" s="2"/>
      <c r="GV69" s="2"/>
    </row>
    <row r="70" ht="13.5" customHeight="1">
      <c r="A70" s="1"/>
      <c r="B70" s="1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1"/>
      <c r="P70" s="1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  <c r="DZ70" s="2"/>
      <c r="EA70" s="2"/>
      <c r="EB70" s="2"/>
      <c r="EC70" s="2"/>
      <c r="ED70" s="2"/>
      <c r="EE70" s="2"/>
      <c r="EF70" s="2"/>
      <c r="EG70" s="2"/>
      <c r="EH70" s="2"/>
      <c r="EI70" s="2"/>
      <c r="EJ70" s="2"/>
      <c r="EK70" s="2"/>
      <c r="EL70" s="2"/>
      <c r="EM70" s="2"/>
      <c r="EN70" s="2"/>
      <c r="EO70" s="2"/>
      <c r="EP70" s="2"/>
      <c r="EQ70" s="2"/>
      <c r="ER70" s="2"/>
      <c r="ES70" s="2"/>
      <c r="ET70" s="2"/>
      <c r="EU70" s="2"/>
      <c r="EV70" s="2"/>
      <c r="EW70" s="2"/>
      <c r="EX70" s="2"/>
      <c r="EY70" s="2"/>
      <c r="EZ70" s="2"/>
      <c r="FA70" s="2"/>
      <c r="FB70" s="2"/>
      <c r="FC70" s="2"/>
      <c r="FD70" s="2"/>
      <c r="FE70" s="2"/>
      <c r="FF70" s="2"/>
      <c r="FG70" s="2"/>
      <c r="FH70" s="2"/>
      <c r="FI70" s="2"/>
      <c r="FJ70" s="2"/>
      <c r="FK70" s="2"/>
      <c r="FL70" s="2"/>
      <c r="FM70" s="2"/>
      <c r="FN70" s="2"/>
      <c r="FO70" s="2"/>
      <c r="FP70" s="2"/>
      <c r="FQ70" s="2"/>
      <c r="FR70" s="2"/>
      <c r="FS70" s="2"/>
      <c r="FT70" s="2"/>
      <c r="FU70" s="2"/>
      <c r="FV70" s="2"/>
      <c r="FW70" s="2"/>
      <c r="FX70" s="2"/>
      <c r="FY70" s="2"/>
      <c r="FZ70" s="2"/>
      <c r="GA70" s="2"/>
      <c r="GB70" s="2"/>
      <c r="GC70" s="2"/>
      <c r="GD70" s="2"/>
      <c r="GE70" s="2"/>
      <c r="GF70" s="2"/>
      <c r="GG70" s="2"/>
      <c r="GH70" s="2"/>
      <c r="GI70" s="2"/>
      <c r="GJ70" s="2"/>
      <c r="GK70" s="2"/>
      <c r="GL70" s="2"/>
      <c r="GM70" s="2"/>
      <c r="GN70" s="2"/>
      <c r="GO70" s="2"/>
      <c r="GP70" s="2"/>
      <c r="GQ70" s="2"/>
      <c r="GR70" s="2"/>
      <c r="GS70" s="2"/>
      <c r="GT70" s="2"/>
      <c r="GU70" s="2"/>
      <c r="GV70" s="2"/>
    </row>
    <row r="71" ht="13.5" customHeight="1">
      <c r="A71" s="1"/>
      <c r="B71" s="1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1"/>
      <c r="P71" s="1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  <c r="DY71" s="2"/>
      <c r="DZ71" s="2"/>
      <c r="EA71" s="2"/>
      <c r="EB71" s="2"/>
      <c r="EC71" s="2"/>
      <c r="ED71" s="2"/>
      <c r="EE71" s="2"/>
      <c r="EF71" s="2"/>
      <c r="EG71" s="2"/>
      <c r="EH71" s="2"/>
      <c r="EI71" s="2"/>
      <c r="EJ71" s="2"/>
      <c r="EK71" s="2"/>
      <c r="EL71" s="2"/>
      <c r="EM71" s="2"/>
      <c r="EN71" s="2"/>
      <c r="EO71" s="2"/>
      <c r="EP71" s="2"/>
      <c r="EQ71" s="2"/>
      <c r="ER71" s="2"/>
      <c r="ES71" s="2"/>
      <c r="ET71" s="2"/>
      <c r="EU71" s="2"/>
      <c r="EV71" s="2"/>
      <c r="EW71" s="2"/>
      <c r="EX71" s="2"/>
      <c r="EY71" s="2"/>
      <c r="EZ71" s="2"/>
      <c r="FA71" s="2"/>
      <c r="FB71" s="2"/>
      <c r="FC71" s="2"/>
      <c r="FD71" s="2"/>
      <c r="FE71" s="2"/>
      <c r="FF71" s="2"/>
      <c r="FG71" s="2"/>
      <c r="FH71" s="2"/>
      <c r="FI71" s="2"/>
      <c r="FJ71" s="2"/>
      <c r="FK71" s="2"/>
      <c r="FL71" s="2"/>
      <c r="FM71" s="2"/>
      <c r="FN71" s="2"/>
      <c r="FO71" s="2"/>
      <c r="FP71" s="2"/>
      <c r="FQ71" s="2"/>
      <c r="FR71" s="2"/>
      <c r="FS71" s="2"/>
      <c r="FT71" s="2"/>
      <c r="FU71" s="2"/>
      <c r="FV71" s="2"/>
      <c r="FW71" s="2"/>
      <c r="FX71" s="2"/>
      <c r="FY71" s="2"/>
      <c r="FZ71" s="2"/>
      <c r="GA71" s="2"/>
      <c r="GB71" s="2"/>
      <c r="GC71" s="2"/>
      <c r="GD71" s="2"/>
      <c r="GE71" s="2"/>
      <c r="GF71" s="2"/>
      <c r="GG71" s="2"/>
      <c r="GH71" s="2"/>
      <c r="GI71" s="2"/>
      <c r="GJ71" s="2"/>
      <c r="GK71" s="2"/>
      <c r="GL71" s="2"/>
      <c r="GM71" s="2"/>
      <c r="GN71" s="2"/>
      <c r="GO71" s="2"/>
      <c r="GP71" s="2"/>
      <c r="GQ71" s="2"/>
      <c r="GR71" s="2"/>
      <c r="GS71" s="2"/>
      <c r="GT71" s="2"/>
      <c r="GU71" s="2"/>
      <c r="GV71" s="2"/>
    </row>
    <row r="72" ht="13.5" customHeight="1">
      <c r="A72" s="1"/>
      <c r="B72" s="1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1"/>
      <c r="P72" s="1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  <c r="DZ72" s="2"/>
      <c r="EA72" s="2"/>
      <c r="EB72" s="2"/>
      <c r="EC72" s="2"/>
      <c r="ED72" s="2"/>
      <c r="EE72" s="2"/>
      <c r="EF72" s="2"/>
      <c r="EG72" s="2"/>
      <c r="EH72" s="2"/>
      <c r="EI72" s="2"/>
      <c r="EJ72" s="2"/>
      <c r="EK72" s="2"/>
      <c r="EL72" s="2"/>
      <c r="EM72" s="2"/>
      <c r="EN72" s="2"/>
      <c r="EO72" s="2"/>
      <c r="EP72" s="2"/>
      <c r="EQ72" s="2"/>
      <c r="ER72" s="2"/>
      <c r="ES72" s="2"/>
      <c r="ET72" s="2"/>
      <c r="EU72" s="2"/>
      <c r="EV72" s="2"/>
      <c r="EW72" s="2"/>
      <c r="EX72" s="2"/>
      <c r="EY72" s="2"/>
      <c r="EZ72" s="2"/>
      <c r="FA72" s="2"/>
      <c r="FB72" s="2"/>
      <c r="FC72" s="2"/>
      <c r="FD72" s="2"/>
      <c r="FE72" s="2"/>
      <c r="FF72" s="2"/>
      <c r="FG72" s="2"/>
      <c r="FH72" s="2"/>
      <c r="FI72" s="2"/>
      <c r="FJ72" s="2"/>
      <c r="FK72" s="2"/>
      <c r="FL72" s="2"/>
      <c r="FM72" s="2"/>
      <c r="FN72" s="2"/>
      <c r="FO72" s="2"/>
      <c r="FP72" s="2"/>
      <c r="FQ72" s="2"/>
      <c r="FR72" s="2"/>
      <c r="FS72" s="2"/>
      <c r="FT72" s="2"/>
      <c r="FU72" s="2"/>
      <c r="FV72" s="2"/>
      <c r="FW72" s="2"/>
      <c r="FX72" s="2"/>
      <c r="FY72" s="2"/>
      <c r="FZ72" s="2"/>
      <c r="GA72" s="2"/>
      <c r="GB72" s="2"/>
      <c r="GC72" s="2"/>
      <c r="GD72" s="2"/>
      <c r="GE72" s="2"/>
      <c r="GF72" s="2"/>
      <c r="GG72" s="2"/>
      <c r="GH72" s="2"/>
      <c r="GI72" s="2"/>
      <c r="GJ72" s="2"/>
      <c r="GK72" s="2"/>
      <c r="GL72" s="2"/>
      <c r="GM72" s="2"/>
      <c r="GN72" s="2"/>
      <c r="GO72" s="2"/>
      <c r="GP72" s="2"/>
      <c r="GQ72" s="2"/>
      <c r="GR72" s="2"/>
      <c r="GS72" s="2"/>
      <c r="GT72" s="2"/>
      <c r="GU72" s="2"/>
      <c r="GV72" s="2"/>
    </row>
    <row r="73" ht="13.5" customHeight="1">
      <c r="A73" s="1"/>
      <c r="B73" s="1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1"/>
      <c r="P73" s="1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2"/>
      <c r="EA73" s="2"/>
      <c r="EB73" s="2"/>
      <c r="EC73" s="2"/>
      <c r="ED73" s="2"/>
      <c r="EE73" s="2"/>
      <c r="EF73" s="2"/>
      <c r="EG73" s="2"/>
      <c r="EH73" s="2"/>
      <c r="EI73" s="2"/>
      <c r="EJ73" s="2"/>
      <c r="EK73" s="2"/>
      <c r="EL73" s="2"/>
      <c r="EM73" s="2"/>
      <c r="EN73" s="2"/>
      <c r="EO73" s="2"/>
      <c r="EP73" s="2"/>
      <c r="EQ73" s="2"/>
      <c r="ER73" s="2"/>
      <c r="ES73" s="2"/>
      <c r="ET73" s="2"/>
      <c r="EU73" s="2"/>
      <c r="EV73" s="2"/>
      <c r="EW73" s="2"/>
      <c r="EX73" s="2"/>
      <c r="EY73" s="2"/>
      <c r="EZ73" s="2"/>
      <c r="FA73" s="2"/>
      <c r="FB73" s="2"/>
      <c r="FC73" s="2"/>
      <c r="FD73" s="2"/>
      <c r="FE73" s="2"/>
      <c r="FF73" s="2"/>
      <c r="FG73" s="2"/>
      <c r="FH73" s="2"/>
      <c r="FI73" s="2"/>
      <c r="FJ73" s="2"/>
      <c r="FK73" s="2"/>
      <c r="FL73" s="2"/>
      <c r="FM73" s="2"/>
      <c r="FN73" s="2"/>
      <c r="FO73" s="2"/>
      <c r="FP73" s="2"/>
      <c r="FQ73" s="2"/>
      <c r="FR73" s="2"/>
      <c r="FS73" s="2"/>
      <c r="FT73" s="2"/>
      <c r="FU73" s="2"/>
      <c r="FV73" s="2"/>
      <c r="FW73" s="2"/>
      <c r="FX73" s="2"/>
      <c r="FY73" s="2"/>
      <c r="FZ73" s="2"/>
      <c r="GA73" s="2"/>
      <c r="GB73" s="2"/>
      <c r="GC73" s="2"/>
      <c r="GD73" s="2"/>
      <c r="GE73" s="2"/>
      <c r="GF73" s="2"/>
      <c r="GG73" s="2"/>
      <c r="GH73" s="2"/>
      <c r="GI73" s="2"/>
      <c r="GJ73" s="2"/>
      <c r="GK73" s="2"/>
      <c r="GL73" s="2"/>
      <c r="GM73" s="2"/>
      <c r="GN73" s="2"/>
      <c r="GO73" s="2"/>
      <c r="GP73" s="2"/>
      <c r="GQ73" s="2"/>
      <c r="GR73" s="2"/>
      <c r="GS73" s="2"/>
      <c r="GT73" s="2"/>
      <c r="GU73" s="2"/>
      <c r="GV73" s="2"/>
    </row>
    <row r="74" ht="13.5" customHeight="1">
      <c r="A74" s="1"/>
      <c r="B74" s="1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1"/>
      <c r="P74" s="1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/>
      <c r="DZ74" s="2"/>
      <c r="EA74" s="2"/>
      <c r="EB74" s="2"/>
      <c r="EC74" s="2"/>
      <c r="ED74" s="2"/>
      <c r="EE74" s="2"/>
      <c r="EF74" s="2"/>
      <c r="EG74" s="2"/>
      <c r="EH74" s="2"/>
      <c r="EI74" s="2"/>
      <c r="EJ74" s="2"/>
      <c r="EK74" s="2"/>
      <c r="EL74" s="2"/>
      <c r="EM74" s="2"/>
      <c r="EN74" s="2"/>
      <c r="EO74" s="2"/>
      <c r="EP74" s="2"/>
      <c r="EQ74" s="2"/>
      <c r="ER74" s="2"/>
      <c r="ES74" s="2"/>
      <c r="ET74" s="2"/>
      <c r="EU74" s="2"/>
      <c r="EV74" s="2"/>
      <c r="EW74" s="2"/>
      <c r="EX74" s="2"/>
      <c r="EY74" s="2"/>
      <c r="EZ74" s="2"/>
      <c r="FA74" s="2"/>
      <c r="FB74" s="2"/>
      <c r="FC74" s="2"/>
      <c r="FD74" s="2"/>
      <c r="FE74" s="2"/>
      <c r="FF74" s="2"/>
      <c r="FG74" s="2"/>
      <c r="FH74" s="2"/>
      <c r="FI74" s="2"/>
      <c r="FJ74" s="2"/>
      <c r="FK74" s="2"/>
      <c r="FL74" s="2"/>
      <c r="FM74" s="2"/>
      <c r="FN74" s="2"/>
      <c r="FO74" s="2"/>
      <c r="FP74" s="2"/>
      <c r="FQ74" s="2"/>
      <c r="FR74" s="2"/>
      <c r="FS74" s="2"/>
      <c r="FT74" s="2"/>
      <c r="FU74" s="2"/>
      <c r="FV74" s="2"/>
      <c r="FW74" s="2"/>
      <c r="FX74" s="2"/>
      <c r="FY74" s="2"/>
      <c r="FZ74" s="2"/>
      <c r="GA74" s="2"/>
      <c r="GB74" s="2"/>
      <c r="GC74" s="2"/>
      <c r="GD74" s="2"/>
      <c r="GE74" s="2"/>
      <c r="GF74" s="2"/>
      <c r="GG74" s="2"/>
      <c r="GH74" s="2"/>
      <c r="GI74" s="2"/>
      <c r="GJ74" s="2"/>
      <c r="GK74" s="2"/>
      <c r="GL74" s="2"/>
      <c r="GM74" s="2"/>
      <c r="GN74" s="2"/>
      <c r="GO74" s="2"/>
      <c r="GP74" s="2"/>
      <c r="GQ74" s="2"/>
      <c r="GR74" s="2"/>
      <c r="GS74" s="2"/>
      <c r="GT74" s="2"/>
      <c r="GU74" s="2"/>
      <c r="GV74" s="2"/>
    </row>
    <row r="75" ht="13.5" customHeight="1">
      <c r="A75" s="1"/>
      <c r="B75" s="1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1"/>
      <c r="P75" s="1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  <c r="DT75" s="2"/>
      <c r="DU75" s="2"/>
      <c r="DV75" s="2"/>
      <c r="DW75" s="2"/>
      <c r="DX75" s="2"/>
      <c r="DY75" s="2"/>
      <c r="DZ75" s="2"/>
      <c r="EA75" s="2"/>
      <c r="EB75" s="2"/>
      <c r="EC75" s="2"/>
      <c r="ED75" s="2"/>
      <c r="EE75" s="2"/>
      <c r="EF75" s="2"/>
      <c r="EG75" s="2"/>
      <c r="EH75" s="2"/>
      <c r="EI75" s="2"/>
      <c r="EJ75" s="2"/>
      <c r="EK75" s="2"/>
      <c r="EL75" s="2"/>
      <c r="EM75" s="2"/>
      <c r="EN75" s="2"/>
      <c r="EO75" s="2"/>
      <c r="EP75" s="2"/>
      <c r="EQ75" s="2"/>
      <c r="ER75" s="2"/>
      <c r="ES75" s="2"/>
      <c r="ET75" s="2"/>
      <c r="EU75" s="2"/>
      <c r="EV75" s="2"/>
      <c r="EW75" s="2"/>
      <c r="EX75" s="2"/>
      <c r="EY75" s="2"/>
      <c r="EZ75" s="2"/>
      <c r="FA75" s="2"/>
      <c r="FB75" s="2"/>
      <c r="FC75" s="2"/>
      <c r="FD75" s="2"/>
      <c r="FE75" s="2"/>
      <c r="FF75" s="2"/>
      <c r="FG75" s="2"/>
      <c r="FH75" s="2"/>
      <c r="FI75" s="2"/>
      <c r="FJ75" s="2"/>
      <c r="FK75" s="2"/>
      <c r="FL75" s="2"/>
      <c r="FM75" s="2"/>
      <c r="FN75" s="2"/>
      <c r="FO75" s="2"/>
      <c r="FP75" s="2"/>
      <c r="FQ75" s="2"/>
      <c r="FR75" s="2"/>
      <c r="FS75" s="2"/>
      <c r="FT75" s="2"/>
      <c r="FU75" s="2"/>
      <c r="FV75" s="2"/>
      <c r="FW75" s="2"/>
      <c r="FX75" s="2"/>
      <c r="FY75" s="2"/>
      <c r="FZ75" s="2"/>
      <c r="GA75" s="2"/>
      <c r="GB75" s="2"/>
      <c r="GC75" s="2"/>
      <c r="GD75" s="2"/>
      <c r="GE75" s="2"/>
      <c r="GF75" s="2"/>
      <c r="GG75" s="2"/>
      <c r="GH75" s="2"/>
      <c r="GI75" s="2"/>
      <c r="GJ75" s="2"/>
      <c r="GK75" s="2"/>
      <c r="GL75" s="2"/>
      <c r="GM75" s="2"/>
      <c r="GN75" s="2"/>
      <c r="GO75" s="2"/>
      <c r="GP75" s="2"/>
      <c r="GQ75" s="2"/>
      <c r="GR75" s="2"/>
      <c r="GS75" s="2"/>
      <c r="GT75" s="2"/>
      <c r="GU75" s="2"/>
      <c r="GV75" s="2"/>
    </row>
    <row r="76" ht="13.5" customHeight="1">
      <c r="A76" s="1"/>
      <c r="B76" s="1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1"/>
      <c r="P76" s="1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  <c r="DW76" s="2"/>
      <c r="DX76" s="2"/>
      <c r="DY76" s="2"/>
      <c r="DZ76" s="2"/>
      <c r="EA76" s="2"/>
      <c r="EB76" s="2"/>
      <c r="EC76" s="2"/>
      <c r="ED76" s="2"/>
      <c r="EE76" s="2"/>
      <c r="EF76" s="2"/>
      <c r="EG76" s="2"/>
      <c r="EH76" s="2"/>
      <c r="EI76" s="2"/>
      <c r="EJ76" s="2"/>
      <c r="EK76" s="2"/>
      <c r="EL76" s="2"/>
      <c r="EM76" s="2"/>
      <c r="EN76" s="2"/>
      <c r="EO76" s="2"/>
      <c r="EP76" s="2"/>
      <c r="EQ76" s="2"/>
      <c r="ER76" s="2"/>
      <c r="ES76" s="2"/>
      <c r="ET76" s="2"/>
      <c r="EU76" s="2"/>
      <c r="EV76" s="2"/>
      <c r="EW76" s="2"/>
      <c r="EX76" s="2"/>
      <c r="EY76" s="2"/>
      <c r="EZ76" s="2"/>
      <c r="FA76" s="2"/>
      <c r="FB76" s="2"/>
      <c r="FC76" s="2"/>
      <c r="FD76" s="2"/>
      <c r="FE76" s="2"/>
      <c r="FF76" s="2"/>
      <c r="FG76" s="2"/>
      <c r="FH76" s="2"/>
      <c r="FI76" s="2"/>
      <c r="FJ76" s="2"/>
      <c r="FK76" s="2"/>
      <c r="FL76" s="2"/>
      <c r="FM76" s="2"/>
      <c r="FN76" s="2"/>
      <c r="FO76" s="2"/>
      <c r="FP76" s="2"/>
      <c r="FQ76" s="2"/>
      <c r="FR76" s="2"/>
      <c r="FS76" s="2"/>
      <c r="FT76" s="2"/>
      <c r="FU76" s="2"/>
      <c r="FV76" s="2"/>
      <c r="FW76" s="2"/>
      <c r="FX76" s="2"/>
      <c r="FY76" s="2"/>
      <c r="FZ76" s="2"/>
      <c r="GA76" s="2"/>
      <c r="GB76" s="2"/>
      <c r="GC76" s="2"/>
      <c r="GD76" s="2"/>
      <c r="GE76" s="2"/>
      <c r="GF76" s="2"/>
      <c r="GG76" s="2"/>
      <c r="GH76" s="2"/>
      <c r="GI76" s="2"/>
      <c r="GJ76" s="2"/>
      <c r="GK76" s="2"/>
      <c r="GL76" s="2"/>
      <c r="GM76" s="2"/>
      <c r="GN76" s="2"/>
      <c r="GO76" s="2"/>
      <c r="GP76" s="2"/>
      <c r="GQ76" s="2"/>
      <c r="GR76" s="2"/>
      <c r="GS76" s="2"/>
      <c r="GT76" s="2"/>
      <c r="GU76" s="2"/>
      <c r="GV76" s="2"/>
    </row>
    <row r="77" ht="13.5" customHeight="1">
      <c r="A77" s="1"/>
      <c r="B77" s="1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1"/>
      <c r="P77" s="1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2"/>
      <c r="DX77" s="2"/>
      <c r="DY77" s="2"/>
      <c r="DZ77" s="2"/>
      <c r="EA77" s="2"/>
      <c r="EB77" s="2"/>
      <c r="EC77" s="2"/>
      <c r="ED77" s="2"/>
      <c r="EE77" s="2"/>
      <c r="EF77" s="2"/>
      <c r="EG77" s="2"/>
      <c r="EH77" s="2"/>
      <c r="EI77" s="2"/>
      <c r="EJ77" s="2"/>
      <c r="EK77" s="2"/>
      <c r="EL77" s="2"/>
      <c r="EM77" s="2"/>
      <c r="EN77" s="2"/>
      <c r="EO77" s="2"/>
      <c r="EP77" s="2"/>
      <c r="EQ77" s="2"/>
      <c r="ER77" s="2"/>
      <c r="ES77" s="2"/>
      <c r="ET77" s="2"/>
      <c r="EU77" s="2"/>
      <c r="EV77" s="2"/>
      <c r="EW77" s="2"/>
      <c r="EX77" s="2"/>
      <c r="EY77" s="2"/>
      <c r="EZ77" s="2"/>
      <c r="FA77" s="2"/>
      <c r="FB77" s="2"/>
      <c r="FC77" s="2"/>
      <c r="FD77" s="2"/>
      <c r="FE77" s="2"/>
      <c r="FF77" s="2"/>
      <c r="FG77" s="2"/>
      <c r="FH77" s="2"/>
      <c r="FI77" s="2"/>
      <c r="FJ77" s="2"/>
      <c r="FK77" s="2"/>
      <c r="FL77" s="2"/>
      <c r="FM77" s="2"/>
      <c r="FN77" s="2"/>
      <c r="FO77" s="2"/>
      <c r="FP77" s="2"/>
      <c r="FQ77" s="2"/>
      <c r="FR77" s="2"/>
      <c r="FS77" s="2"/>
      <c r="FT77" s="2"/>
      <c r="FU77" s="2"/>
      <c r="FV77" s="2"/>
      <c r="FW77" s="2"/>
      <c r="FX77" s="2"/>
      <c r="FY77" s="2"/>
      <c r="FZ77" s="2"/>
      <c r="GA77" s="2"/>
      <c r="GB77" s="2"/>
      <c r="GC77" s="2"/>
      <c r="GD77" s="2"/>
      <c r="GE77" s="2"/>
      <c r="GF77" s="2"/>
      <c r="GG77" s="2"/>
      <c r="GH77" s="2"/>
      <c r="GI77" s="2"/>
      <c r="GJ77" s="2"/>
      <c r="GK77" s="2"/>
      <c r="GL77" s="2"/>
      <c r="GM77" s="2"/>
      <c r="GN77" s="2"/>
      <c r="GO77" s="2"/>
      <c r="GP77" s="2"/>
      <c r="GQ77" s="2"/>
      <c r="GR77" s="2"/>
      <c r="GS77" s="2"/>
      <c r="GT77" s="2"/>
      <c r="GU77" s="2"/>
      <c r="GV77" s="2"/>
    </row>
    <row r="78" ht="13.5" customHeight="1">
      <c r="A78" s="1"/>
      <c r="B78" s="1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1"/>
      <c r="P78" s="1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/>
      <c r="DW78" s="2"/>
      <c r="DX78" s="2"/>
      <c r="DY78" s="2"/>
      <c r="DZ78" s="2"/>
      <c r="EA78" s="2"/>
      <c r="EB78" s="2"/>
      <c r="EC78" s="2"/>
      <c r="ED78" s="2"/>
      <c r="EE78" s="2"/>
      <c r="EF78" s="2"/>
      <c r="EG78" s="2"/>
      <c r="EH78" s="2"/>
      <c r="EI78" s="2"/>
      <c r="EJ78" s="2"/>
      <c r="EK78" s="2"/>
      <c r="EL78" s="2"/>
      <c r="EM78" s="2"/>
      <c r="EN78" s="2"/>
      <c r="EO78" s="2"/>
      <c r="EP78" s="2"/>
      <c r="EQ78" s="2"/>
      <c r="ER78" s="2"/>
      <c r="ES78" s="2"/>
      <c r="ET78" s="2"/>
      <c r="EU78" s="2"/>
      <c r="EV78" s="2"/>
      <c r="EW78" s="2"/>
      <c r="EX78" s="2"/>
      <c r="EY78" s="2"/>
      <c r="EZ78" s="2"/>
      <c r="FA78" s="2"/>
      <c r="FB78" s="2"/>
      <c r="FC78" s="2"/>
      <c r="FD78" s="2"/>
      <c r="FE78" s="2"/>
      <c r="FF78" s="2"/>
      <c r="FG78" s="2"/>
      <c r="FH78" s="2"/>
      <c r="FI78" s="2"/>
      <c r="FJ78" s="2"/>
      <c r="FK78" s="2"/>
      <c r="FL78" s="2"/>
      <c r="FM78" s="2"/>
      <c r="FN78" s="2"/>
      <c r="FO78" s="2"/>
      <c r="FP78" s="2"/>
      <c r="FQ78" s="2"/>
      <c r="FR78" s="2"/>
      <c r="FS78" s="2"/>
      <c r="FT78" s="2"/>
      <c r="FU78" s="2"/>
      <c r="FV78" s="2"/>
      <c r="FW78" s="2"/>
      <c r="FX78" s="2"/>
      <c r="FY78" s="2"/>
      <c r="FZ78" s="2"/>
      <c r="GA78" s="2"/>
      <c r="GB78" s="2"/>
      <c r="GC78" s="2"/>
      <c r="GD78" s="2"/>
      <c r="GE78" s="2"/>
      <c r="GF78" s="2"/>
      <c r="GG78" s="2"/>
      <c r="GH78" s="2"/>
      <c r="GI78" s="2"/>
      <c r="GJ78" s="2"/>
      <c r="GK78" s="2"/>
      <c r="GL78" s="2"/>
      <c r="GM78" s="2"/>
      <c r="GN78" s="2"/>
      <c r="GO78" s="2"/>
      <c r="GP78" s="2"/>
      <c r="GQ78" s="2"/>
      <c r="GR78" s="2"/>
      <c r="GS78" s="2"/>
      <c r="GT78" s="2"/>
      <c r="GU78" s="2"/>
      <c r="GV78" s="2"/>
    </row>
    <row r="79" ht="13.5" customHeight="1">
      <c r="A79" s="1"/>
      <c r="B79" s="1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1"/>
      <c r="P79" s="1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2"/>
      <c r="DV79" s="2"/>
      <c r="DW79" s="2"/>
      <c r="DX79" s="2"/>
      <c r="DY79" s="2"/>
      <c r="DZ79" s="2"/>
      <c r="EA79" s="2"/>
      <c r="EB79" s="2"/>
      <c r="EC79" s="2"/>
      <c r="ED79" s="2"/>
      <c r="EE79" s="2"/>
      <c r="EF79" s="2"/>
      <c r="EG79" s="2"/>
      <c r="EH79" s="2"/>
      <c r="EI79" s="2"/>
      <c r="EJ79" s="2"/>
      <c r="EK79" s="2"/>
      <c r="EL79" s="2"/>
      <c r="EM79" s="2"/>
      <c r="EN79" s="2"/>
      <c r="EO79" s="2"/>
      <c r="EP79" s="2"/>
      <c r="EQ79" s="2"/>
      <c r="ER79" s="2"/>
      <c r="ES79" s="2"/>
      <c r="ET79" s="2"/>
      <c r="EU79" s="2"/>
      <c r="EV79" s="2"/>
      <c r="EW79" s="2"/>
      <c r="EX79" s="2"/>
      <c r="EY79" s="2"/>
      <c r="EZ79" s="2"/>
      <c r="FA79" s="2"/>
      <c r="FB79" s="2"/>
      <c r="FC79" s="2"/>
      <c r="FD79" s="2"/>
      <c r="FE79" s="2"/>
      <c r="FF79" s="2"/>
      <c r="FG79" s="2"/>
      <c r="FH79" s="2"/>
      <c r="FI79" s="2"/>
      <c r="FJ79" s="2"/>
      <c r="FK79" s="2"/>
      <c r="FL79" s="2"/>
      <c r="FM79" s="2"/>
      <c r="FN79" s="2"/>
      <c r="FO79" s="2"/>
      <c r="FP79" s="2"/>
      <c r="FQ79" s="2"/>
      <c r="FR79" s="2"/>
      <c r="FS79" s="2"/>
      <c r="FT79" s="2"/>
      <c r="FU79" s="2"/>
      <c r="FV79" s="2"/>
      <c r="FW79" s="2"/>
      <c r="FX79" s="2"/>
      <c r="FY79" s="2"/>
      <c r="FZ79" s="2"/>
      <c r="GA79" s="2"/>
      <c r="GB79" s="2"/>
      <c r="GC79" s="2"/>
      <c r="GD79" s="2"/>
      <c r="GE79" s="2"/>
      <c r="GF79" s="2"/>
      <c r="GG79" s="2"/>
      <c r="GH79" s="2"/>
      <c r="GI79" s="2"/>
      <c r="GJ79" s="2"/>
      <c r="GK79" s="2"/>
      <c r="GL79" s="2"/>
      <c r="GM79" s="2"/>
      <c r="GN79" s="2"/>
      <c r="GO79" s="2"/>
      <c r="GP79" s="2"/>
      <c r="GQ79" s="2"/>
      <c r="GR79" s="2"/>
      <c r="GS79" s="2"/>
      <c r="GT79" s="2"/>
      <c r="GU79" s="2"/>
      <c r="GV79" s="2"/>
    </row>
    <row r="80" ht="13.5" customHeight="1">
      <c r="A80" s="1"/>
      <c r="B80" s="1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1"/>
      <c r="P80" s="1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  <c r="DU80" s="2"/>
      <c r="DV80" s="2"/>
      <c r="DW80" s="2"/>
      <c r="DX80" s="2"/>
      <c r="DY80" s="2"/>
      <c r="DZ80" s="2"/>
      <c r="EA80" s="2"/>
      <c r="EB80" s="2"/>
      <c r="EC80" s="2"/>
      <c r="ED80" s="2"/>
      <c r="EE80" s="2"/>
      <c r="EF80" s="2"/>
      <c r="EG80" s="2"/>
      <c r="EH80" s="2"/>
      <c r="EI80" s="2"/>
      <c r="EJ80" s="2"/>
      <c r="EK80" s="2"/>
      <c r="EL80" s="2"/>
      <c r="EM80" s="2"/>
      <c r="EN80" s="2"/>
      <c r="EO80" s="2"/>
      <c r="EP80" s="2"/>
      <c r="EQ80" s="2"/>
      <c r="ER80" s="2"/>
      <c r="ES80" s="2"/>
      <c r="ET80" s="2"/>
      <c r="EU80" s="2"/>
      <c r="EV80" s="2"/>
      <c r="EW80" s="2"/>
      <c r="EX80" s="2"/>
      <c r="EY80" s="2"/>
      <c r="EZ80" s="2"/>
      <c r="FA80" s="2"/>
      <c r="FB80" s="2"/>
      <c r="FC80" s="2"/>
      <c r="FD80" s="2"/>
      <c r="FE80" s="2"/>
      <c r="FF80" s="2"/>
      <c r="FG80" s="2"/>
      <c r="FH80" s="2"/>
      <c r="FI80" s="2"/>
      <c r="FJ80" s="2"/>
      <c r="FK80" s="2"/>
      <c r="FL80" s="2"/>
      <c r="FM80" s="2"/>
      <c r="FN80" s="2"/>
      <c r="FO80" s="2"/>
      <c r="FP80" s="2"/>
      <c r="FQ80" s="2"/>
      <c r="FR80" s="2"/>
      <c r="FS80" s="2"/>
      <c r="FT80" s="2"/>
      <c r="FU80" s="2"/>
      <c r="FV80" s="2"/>
      <c r="FW80" s="2"/>
      <c r="FX80" s="2"/>
      <c r="FY80" s="2"/>
      <c r="FZ80" s="2"/>
      <c r="GA80" s="2"/>
      <c r="GB80" s="2"/>
      <c r="GC80" s="2"/>
      <c r="GD80" s="2"/>
      <c r="GE80" s="2"/>
      <c r="GF80" s="2"/>
      <c r="GG80" s="2"/>
      <c r="GH80" s="2"/>
      <c r="GI80" s="2"/>
      <c r="GJ80" s="2"/>
      <c r="GK80" s="2"/>
      <c r="GL80" s="2"/>
      <c r="GM80" s="2"/>
      <c r="GN80" s="2"/>
      <c r="GO80" s="2"/>
      <c r="GP80" s="2"/>
      <c r="GQ80" s="2"/>
      <c r="GR80" s="2"/>
      <c r="GS80" s="2"/>
      <c r="GT80" s="2"/>
      <c r="GU80" s="2"/>
      <c r="GV80" s="2"/>
    </row>
    <row r="81" ht="13.5" customHeight="1">
      <c r="A81" s="1"/>
      <c r="B81" s="1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1"/>
      <c r="P81" s="1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  <c r="DU81" s="2"/>
      <c r="DV81" s="2"/>
      <c r="DW81" s="2"/>
      <c r="DX81" s="2"/>
      <c r="DY81" s="2"/>
      <c r="DZ81" s="2"/>
      <c r="EA81" s="2"/>
      <c r="EB81" s="2"/>
      <c r="EC81" s="2"/>
      <c r="ED81" s="2"/>
      <c r="EE81" s="2"/>
      <c r="EF81" s="2"/>
      <c r="EG81" s="2"/>
      <c r="EH81" s="2"/>
      <c r="EI81" s="2"/>
      <c r="EJ81" s="2"/>
      <c r="EK81" s="2"/>
      <c r="EL81" s="2"/>
      <c r="EM81" s="2"/>
      <c r="EN81" s="2"/>
      <c r="EO81" s="2"/>
      <c r="EP81" s="2"/>
      <c r="EQ81" s="2"/>
      <c r="ER81" s="2"/>
      <c r="ES81" s="2"/>
      <c r="ET81" s="2"/>
      <c r="EU81" s="2"/>
      <c r="EV81" s="2"/>
      <c r="EW81" s="2"/>
      <c r="EX81" s="2"/>
      <c r="EY81" s="2"/>
      <c r="EZ81" s="2"/>
      <c r="FA81" s="2"/>
      <c r="FB81" s="2"/>
      <c r="FC81" s="2"/>
      <c r="FD81" s="2"/>
      <c r="FE81" s="2"/>
      <c r="FF81" s="2"/>
      <c r="FG81" s="2"/>
      <c r="FH81" s="2"/>
      <c r="FI81" s="2"/>
      <c r="FJ81" s="2"/>
      <c r="FK81" s="2"/>
      <c r="FL81" s="2"/>
      <c r="FM81" s="2"/>
      <c r="FN81" s="2"/>
      <c r="FO81" s="2"/>
      <c r="FP81" s="2"/>
      <c r="FQ81" s="2"/>
      <c r="FR81" s="2"/>
      <c r="FS81" s="2"/>
      <c r="FT81" s="2"/>
      <c r="FU81" s="2"/>
      <c r="FV81" s="2"/>
      <c r="FW81" s="2"/>
      <c r="FX81" s="2"/>
      <c r="FY81" s="2"/>
      <c r="FZ81" s="2"/>
      <c r="GA81" s="2"/>
      <c r="GB81" s="2"/>
      <c r="GC81" s="2"/>
      <c r="GD81" s="2"/>
      <c r="GE81" s="2"/>
      <c r="GF81" s="2"/>
      <c r="GG81" s="2"/>
      <c r="GH81" s="2"/>
      <c r="GI81" s="2"/>
      <c r="GJ81" s="2"/>
      <c r="GK81" s="2"/>
      <c r="GL81" s="2"/>
      <c r="GM81" s="2"/>
      <c r="GN81" s="2"/>
      <c r="GO81" s="2"/>
      <c r="GP81" s="2"/>
      <c r="GQ81" s="2"/>
      <c r="GR81" s="2"/>
      <c r="GS81" s="2"/>
      <c r="GT81" s="2"/>
      <c r="GU81" s="2"/>
      <c r="GV81" s="2"/>
    </row>
    <row r="82" ht="13.5" customHeight="1">
      <c r="A82" s="1"/>
      <c r="B82" s="1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1"/>
      <c r="P82" s="1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2"/>
      <c r="DV82" s="2"/>
      <c r="DW82" s="2"/>
      <c r="DX82" s="2"/>
      <c r="DY82" s="2"/>
      <c r="DZ82" s="2"/>
      <c r="EA82" s="2"/>
      <c r="EB82" s="2"/>
      <c r="EC82" s="2"/>
      <c r="ED82" s="2"/>
      <c r="EE82" s="2"/>
      <c r="EF82" s="2"/>
      <c r="EG82" s="2"/>
      <c r="EH82" s="2"/>
      <c r="EI82" s="2"/>
      <c r="EJ82" s="2"/>
      <c r="EK82" s="2"/>
      <c r="EL82" s="2"/>
      <c r="EM82" s="2"/>
      <c r="EN82" s="2"/>
      <c r="EO82" s="2"/>
      <c r="EP82" s="2"/>
      <c r="EQ82" s="2"/>
      <c r="ER82" s="2"/>
      <c r="ES82" s="2"/>
      <c r="ET82" s="2"/>
      <c r="EU82" s="2"/>
      <c r="EV82" s="2"/>
      <c r="EW82" s="2"/>
      <c r="EX82" s="2"/>
      <c r="EY82" s="2"/>
      <c r="EZ82" s="2"/>
      <c r="FA82" s="2"/>
      <c r="FB82" s="2"/>
      <c r="FC82" s="2"/>
      <c r="FD82" s="2"/>
      <c r="FE82" s="2"/>
      <c r="FF82" s="2"/>
      <c r="FG82" s="2"/>
      <c r="FH82" s="2"/>
      <c r="FI82" s="2"/>
      <c r="FJ82" s="2"/>
      <c r="FK82" s="2"/>
      <c r="FL82" s="2"/>
      <c r="FM82" s="2"/>
      <c r="FN82" s="2"/>
      <c r="FO82" s="2"/>
      <c r="FP82" s="2"/>
      <c r="FQ82" s="2"/>
      <c r="FR82" s="2"/>
      <c r="FS82" s="2"/>
      <c r="FT82" s="2"/>
      <c r="FU82" s="2"/>
      <c r="FV82" s="2"/>
      <c r="FW82" s="2"/>
      <c r="FX82" s="2"/>
      <c r="FY82" s="2"/>
      <c r="FZ82" s="2"/>
      <c r="GA82" s="2"/>
      <c r="GB82" s="2"/>
      <c r="GC82" s="2"/>
      <c r="GD82" s="2"/>
      <c r="GE82" s="2"/>
      <c r="GF82" s="2"/>
      <c r="GG82" s="2"/>
      <c r="GH82" s="2"/>
      <c r="GI82" s="2"/>
      <c r="GJ82" s="2"/>
      <c r="GK82" s="2"/>
      <c r="GL82" s="2"/>
      <c r="GM82" s="2"/>
      <c r="GN82" s="2"/>
      <c r="GO82" s="2"/>
      <c r="GP82" s="2"/>
      <c r="GQ82" s="2"/>
      <c r="GR82" s="2"/>
      <c r="GS82" s="2"/>
      <c r="GT82" s="2"/>
      <c r="GU82" s="2"/>
      <c r="GV82" s="2"/>
    </row>
    <row r="83" ht="13.5" customHeight="1">
      <c r="A83" s="1"/>
      <c r="B83" s="1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1"/>
      <c r="P83" s="1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  <c r="DY83" s="2"/>
      <c r="DZ83" s="2"/>
      <c r="EA83" s="2"/>
      <c r="EB83" s="2"/>
      <c r="EC83" s="2"/>
      <c r="ED83" s="2"/>
      <c r="EE83" s="2"/>
      <c r="EF83" s="2"/>
      <c r="EG83" s="2"/>
      <c r="EH83" s="2"/>
      <c r="EI83" s="2"/>
      <c r="EJ83" s="2"/>
      <c r="EK83" s="2"/>
      <c r="EL83" s="2"/>
      <c r="EM83" s="2"/>
      <c r="EN83" s="2"/>
      <c r="EO83" s="2"/>
      <c r="EP83" s="2"/>
      <c r="EQ83" s="2"/>
      <c r="ER83" s="2"/>
      <c r="ES83" s="2"/>
      <c r="ET83" s="2"/>
      <c r="EU83" s="2"/>
      <c r="EV83" s="2"/>
      <c r="EW83" s="2"/>
      <c r="EX83" s="2"/>
      <c r="EY83" s="2"/>
      <c r="EZ83" s="2"/>
      <c r="FA83" s="2"/>
      <c r="FB83" s="2"/>
      <c r="FC83" s="2"/>
      <c r="FD83" s="2"/>
      <c r="FE83" s="2"/>
      <c r="FF83" s="2"/>
      <c r="FG83" s="2"/>
      <c r="FH83" s="2"/>
      <c r="FI83" s="2"/>
      <c r="FJ83" s="2"/>
      <c r="FK83" s="2"/>
      <c r="FL83" s="2"/>
      <c r="FM83" s="2"/>
      <c r="FN83" s="2"/>
      <c r="FO83" s="2"/>
      <c r="FP83" s="2"/>
      <c r="FQ83" s="2"/>
      <c r="FR83" s="2"/>
      <c r="FS83" s="2"/>
      <c r="FT83" s="2"/>
      <c r="FU83" s="2"/>
      <c r="FV83" s="2"/>
      <c r="FW83" s="2"/>
      <c r="FX83" s="2"/>
      <c r="FY83" s="2"/>
      <c r="FZ83" s="2"/>
      <c r="GA83" s="2"/>
      <c r="GB83" s="2"/>
      <c r="GC83" s="2"/>
      <c r="GD83" s="2"/>
      <c r="GE83" s="2"/>
      <c r="GF83" s="2"/>
      <c r="GG83" s="2"/>
      <c r="GH83" s="2"/>
      <c r="GI83" s="2"/>
      <c r="GJ83" s="2"/>
      <c r="GK83" s="2"/>
      <c r="GL83" s="2"/>
      <c r="GM83" s="2"/>
      <c r="GN83" s="2"/>
      <c r="GO83" s="2"/>
      <c r="GP83" s="2"/>
      <c r="GQ83" s="2"/>
      <c r="GR83" s="2"/>
      <c r="GS83" s="2"/>
      <c r="GT83" s="2"/>
      <c r="GU83" s="2"/>
      <c r="GV83" s="2"/>
    </row>
    <row r="84" ht="13.5" customHeight="1">
      <c r="A84" s="1"/>
      <c r="B84" s="1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1"/>
      <c r="P84" s="1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2"/>
      <c r="DV84" s="2"/>
      <c r="DW84" s="2"/>
      <c r="DX84" s="2"/>
      <c r="DY84" s="2"/>
      <c r="DZ84" s="2"/>
      <c r="EA84" s="2"/>
      <c r="EB84" s="2"/>
      <c r="EC84" s="2"/>
      <c r="ED84" s="2"/>
      <c r="EE84" s="2"/>
      <c r="EF84" s="2"/>
      <c r="EG84" s="2"/>
      <c r="EH84" s="2"/>
      <c r="EI84" s="2"/>
      <c r="EJ84" s="2"/>
      <c r="EK84" s="2"/>
      <c r="EL84" s="2"/>
      <c r="EM84" s="2"/>
      <c r="EN84" s="2"/>
      <c r="EO84" s="2"/>
      <c r="EP84" s="2"/>
      <c r="EQ84" s="2"/>
      <c r="ER84" s="2"/>
      <c r="ES84" s="2"/>
      <c r="ET84" s="2"/>
      <c r="EU84" s="2"/>
      <c r="EV84" s="2"/>
      <c r="EW84" s="2"/>
      <c r="EX84" s="2"/>
      <c r="EY84" s="2"/>
      <c r="EZ84" s="2"/>
      <c r="FA84" s="2"/>
      <c r="FB84" s="2"/>
      <c r="FC84" s="2"/>
      <c r="FD84" s="2"/>
      <c r="FE84" s="2"/>
      <c r="FF84" s="2"/>
      <c r="FG84" s="2"/>
      <c r="FH84" s="2"/>
      <c r="FI84" s="2"/>
      <c r="FJ84" s="2"/>
      <c r="FK84" s="2"/>
      <c r="FL84" s="2"/>
      <c r="FM84" s="2"/>
      <c r="FN84" s="2"/>
      <c r="FO84" s="2"/>
      <c r="FP84" s="2"/>
      <c r="FQ84" s="2"/>
      <c r="FR84" s="2"/>
      <c r="FS84" s="2"/>
      <c r="FT84" s="2"/>
      <c r="FU84" s="2"/>
      <c r="FV84" s="2"/>
      <c r="FW84" s="2"/>
      <c r="FX84" s="2"/>
      <c r="FY84" s="2"/>
      <c r="FZ84" s="2"/>
      <c r="GA84" s="2"/>
      <c r="GB84" s="2"/>
      <c r="GC84" s="2"/>
      <c r="GD84" s="2"/>
      <c r="GE84" s="2"/>
      <c r="GF84" s="2"/>
      <c r="GG84" s="2"/>
      <c r="GH84" s="2"/>
      <c r="GI84" s="2"/>
      <c r="GJ84" s="2"/>
      <c r="GK84" s="2"/>
      <c r="GL84" s="2"/>
      <c r="GM84" s="2"/>
      <c r="GN84" s="2"/>
      <c r="GO84" s="2"/>
      <c r="GP84" s="2"/>
      <c r="GQ84" s="2"/>
      <c r="GR84" s="2"/>
      <c r="GS84" s="2"/>
      <c r="GT84" s="2"/>
      <c r="GU84" s="2"/>
      <c r="GV84" s="2"/>
    </row>
    <row r="85" ht="13.5" customHeight="1">
      <c r="A85" s="1"/>
      <c r="B85" s="1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1"/>
      <c r="P85" s="1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2"/>
      <c r="DV85" s="2"/>
      <c r="DW85" s="2"/>
      <c r="DX85" s="2"/>
      <c r="DY85" s="2"/>
      <c r="DZ85" s="2"/>
      <c r="EA85" s="2"/>
      <c r="EB85" s="2"/>
      <c r="EC85" s="2"/>
      <c r="ED85" s="2"/>
      <c r="EE85" s="2"/>
      <c r="EF85" s="2"/>
      <c r="EG85" s="2"/>
      <c r="EH85" s="2"/>
      <c r="EI85" s="2"/>
      <c r="EJ85" s="2"/>
      <c r="EK85" s="2"/>
      <c r="EL85" s="2"/>
      <c r="EM85" s="2"/>
      <c r="EN85" s="2"/>
      <c r="EO85" s="2"/>
      <c r="EP85" s="2"/>
      <c r="EQ85" s="2"/>
      <c r="ER85" s="2"/>
      <c r="ES85" s="2"/>
      <c r="ET85" s="2"/>
      <c r="EU85" s="2"/>
      <c r="EV85" s="2"/>
      <c r="EW85" s="2"/>
      <c r="EX85" s="2"/>
      <c r="EY85" s="2"/>
      <c r="EZ85" s="2"/>
      <c r="FA85" s="2"/>
      <c r="FB85" s="2"/>
      <c r="FC85" s="2"/>
      <c r="FD85" s="2"/>
      <c r="FE85" s="2"/>
      <c r="FF85" s="2"/>
      <c r="FG85" s="2"/>
      <c r="FH85" s="2"/>
      <c r="FI85" s="2"/>
      <c r="FJ85" s="2"/>
      <c r="FK85" s="2"/>
      <c r="FL85" s="2"/>
      <c r="FM85" s="2"/>
      <c r="FN85" s="2"/>
      <c r="FO85" s="2"/>
      <c r="FP85" s="2"/>
      <c r="FQ85" s="2"/>
      <c r="FR85" s="2"/>
      <c r="FS85" s="2"/>
      <c r="FT85" s="2"/>
      <c r="FU85" s="2"/>
      <c r="FV85" s="2"/>
      <c r="FW85" s="2"/>
      <c r="FX85" s="2"/>
      <c r="FY85" s="2"/>
      <c r="FZ85" s="2"/>
      <c r="GA85" s="2"/>
      <c r="GB85" s="2"/>
      <c r="GC85" s="2"/>
      <c r="GD85" s="2"/>
      <c r="GE85" s="2"/>
      <c r="GF85" s="2"/>
      <c r="GG85" s="2"/>
      <c r="GH85" s="2"/>
      <c r="GI85" s="2"/>
      <c r="GJ85" s="2"/>
      <c r="GK85" s="2"/>
      <c r="GL85" s="2"/>
      <c r="GM85" s="2"/>
      <c r="GN85" s="2"/>
      <c r="GO85" s="2"/>
      <c r="GP85" s="2"/>
      <c r="GQ85" s="2"/>
      <c r="GR85" s="2"/>
      <c r="GS85" s="2"/>
      <c r="GT85" s="2"/>
      <c r="GU85" s="2"/>
      <c r="GV85" s="2"/>
    </row>
    <row r="86" ht="13.5" customHeight="1">
      <c r="A86" s="1"/>
      <c r="B86" s="1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1"/>
      <c r="P86" s="1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2"/>
      <c r="DV86" s="2"/>
      <c r="DW86" s="2"/>
      <c r="DX86" s="2"/>
      <c r="DY86" s="2"/>
      <c r="DZ86" s="2"/>
      <c r="EA86" s="2"/>
      <c r="EB86" s="2"/>
      <c r="EC86" s="2"/>
      <c r="ED86" s="2"/>
      <c r="EE86" s="2"/>
      <c r="EF86" s="2"/>
      <c r="EG86" s="2"/>
      <c r="EH86" s="2"/>
      <c r="EI86" s="2"/>
      <c r="EJ86" s="2"/>
      <c r="EK86" s="2"/>
      <c r="EL86" s="2"/>
      <c r="EM86" s="2"/>
      <c r="EN86" s="2"/>
      <c r="EO86" s="2"/>
      <c r="EP86" s="2"/>
      <c r="EQ86" s="2"/>
      <c r="ER86" s="2"/>
      <c r="ES86" s="2"/>
      <c r="ET86" s="2"/>
      <c r="EU86" s="2"/>
      <c r="EV86" s="2"/>
      <c r="EW86" s="2"/>
      <c r="EX86" s="2"/>
      <c r="EY86" s="2"/>
      <c r="EZ86" s="2"/>
      <c r="FA86" s="2"/>
      <c r="FB86" s="2"/>
      <c r="FC86" s="2"/>
      <c r="FD86" s="2"/>
      <c r="FE86" s="2"/>
      <c r="FF86" s="2"/>
      <c r="FG86" s="2"/>
      <c r="FH86" s="2"/>
      <c r="FI86" s="2"/>
      <c r="FJ86" s="2"/>
      <c r="FK86" s="2"/>
      <c r="FL86" s="2"/>
      <c r="FM86" s="2"/>
      <c r="FN86" s="2"/>
      <c r="FO86" s="2"/>
      <c r="FP86" s="2"/>
      <c r="FQ86" s="2"/>
      <c r="FR86" s="2"/>
      <c r="FS86" s="2"/>
      <c r="FT86" s="2"/>
      <c r="FU86" s="2"/>
      <c r="FV86" s="2"/>
      <c r="FW86" s="2"/>
      <c r="FX86" s="2"/>
      <c r="FY86" s="2"/>
      <c r="FZ86" s="2"/>
      <c r="GA86" s="2"/>
      <c r="GB86" s="2"/>
      <c r="GC86" s="2"/>
      <c r="GD86" s="2"/>
      <c r="GE86" s="2"/>
      <c r="GF86" s="2"/>
      <c r="GG86" s="2"/>
      <c r="GH86" s="2"/>
      <c r="GI86" s="2"/>
      <c r="GJ86" s="2"/>
      <c r="GK86" s="2"/>
      <c r="GL86" s="2"/>
      <c r="GM86" s="2"/>
      <c r="GN86" s="2"/>
      <c r="GO86" s="2"/>
      <c r="GP86" s="2"/>
      <c r="GQ86" s="2"/>
      <c r="GR86" s="2"/>
      <c r="GS86" s="2"/>
      <c r="GT86" s="2"/>
      <c r="GU86" s="2"/>
      <c r="GV86" s="2"/>
    </row>
    <row r="87" ht="13.5" customHeight="1">
      <c r="A87" s="1"/>
      <c r="B87" s="1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1"/>
      <c r="P87" s="1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  <c r="DT87" s="2"/>
      <c r="DU87" s="2"/>
      <c r="DV87" s="2"/>
      <c r="DW87" s="2"/>
      <c r="DX87" s="2"/>
      <c r="DY87" s="2"/>
      <c r="DZ87" s="2"/>
      <c r="EA87" s="2"/>
      <c r="EB87" s="2"/>
      <c r="EC87" s="2"/>
      <c r="ED87" s="2"/>
      <c r="EE87" s="2"/>
      <c r="EF87" s="2"/>
      <c r="EG87" s="2"/>
      <c r="EH87" s="2"/>
      <c r="EI87" s="2"/>
      <c r="EJ87" s="2"/>
      <c r="EK87" s="2"/>
      <c r="EL87" s="2"/>
      <c r="EM87" s="2"/>
      <c r="EN87" s="2"/>
      <c r="EO87" s="2"/>
      <c r="EP87" s="2"/>
      <c r="EQ87" s="2"/>
      <c r="ER87" s="2"/>
      <c r="ES87" s="2"/>
      <c r="ET87" s="2"/>
      <c r="EU87" s="2"/>
      <c r="EV87" s="2"/>
      <c r="EW87" s="2"/>
      <c r="EX87" s="2"/>
      <c r="EY87" s="2"/>
      <c r="EZ87" s="2"/>
      <c r="FA87" s="2"/>
      <c r="FB87" s="2"/>
      <c r="FC87" s="2"/>
      <c r="FD87" s="2"/>
      <c r="FE87" s="2"/>
      <c r="FF87" s="2"/>
      <c r="FG87" s="2"/>
      <c r="FH87" s="2"/>
      <c r="FI87" s="2"/>
      <c r="FJ87" s="2"/>
      <c r="FK87" s="2"/>
      <c r="FL87" s="2"/>
      <c r="FM87" s="2"/>
      <c r="FN87" s="2"/>
      <c r="FO87" s="2"/>
      <c r="FP87" s="2"/>
      <c r="FQ87" s="2"/>
      <c r="FR87" s="2"/>
      <c r="FS87" s="2"/>
      <c r="FT87" s="2"/>
      <c r="FU87" s="2"/>
      <c r="FV87" s="2"/>
      <c r="FW87" s="2"/>
      <c r="FX87" s="2"/>
      <c r="FY87" s="2"/>
      <c r="FZ87" s="2"/>
      <c r="GA87" s="2"/>
      <c r="GB87" s="2"/>
      <c r="GC87" s="2"/>
      <c r="GD87" s="2"/>
      <c r="GE87" s="2"/>
      <c r="GF87" s="2"/>
      <c r="GG87" s="2"/>
      <c r="GH87" s="2"/>
      <c r="GI87" s="2"/>
      <c r="GJ87" s="2"/>
      <c r="GK87" s="2"/>
      <c r="GL87" s="2"/>
      <c r="GM87" s="2"/>
      <c r="GN87" s="2"/>
      <c r="GO87" s="2"/>
      <c r="GP87" s="2"/>
      <c r="GQ87" s="2"/>
      <c r="GR87" s="2"/>
      <c r="GS87" s="2"/>
      <c r="GT87" s="2"/>
      <c r="GU87" s="2"/>
      <c r="GV87" s="2"/>
    </row>
    <row r="88" ht="13.5" customHeight="1">
      <c r="A88" s="1"/>
      <c r="B88" s="1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1"/>
      <c r="P88" s="1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/>
      <c r="DV88" s="2"/>
      <c r="DW88" s="2"/>
      <c r="DX88" s="2"/>
      <c r="DY88" s="2"/>
      <c r="DZ88" s="2"/>
      <c r="EA88" s="2"/>
      <c r="EB88" s="2"/>
      <c r="EC88" s="2"/>
      <c r="ED88" s="2"/>
      <c r="EE88" s="2"/>
      <c r="EF88" s="2"/>
      <c r="EG88" s="2"/>
      <c r="EH88" s="2"/>
      <c r="EI88" s="2"/>
      <c r="EJ88" s="2"/>
      <c r="EK88" s="2"/>
      <c r="EL88" s="2"/>
      <c r="EM88" s="2"/>
      <c r="EN88" s="2"/>
      <c r="EO88" s="2"/>
      <c r="EP88" s="2"/>
      <c r="EQ88" s="2"/>
      <c r="ER88" s="2"/>
      <c r="ES88" s="2"/>
      <c r="ET88" s="2"/>
      <c r="EU88" s="2"/>
      <c r="EV88" s="2"/>
      <c r="EW88" s="2"/>
      <c r="EX88" s="2"/>
      <c r="EY88" s="2"/>
      <c r="EZ88" s="2"/>
      <c r="FA88" s="2"/>
      <c r="FB88" s="2"/>
      <c r="FC88" s="2"/>
      <c r="FD88" s="2"/>
      <c r="FE88" s="2"/>
      <c r="FF88" s="2"/>
      <c r="FG88" s="2"/>
      <c r="FH88" s="2"/>
      <c r="FI88" s="2"/>
      <c r="FJ88" s="2"/>
      <c r="FK88" s="2"/>
      <c r="FL88" s="2"/>
      <c r="FM88" s="2"/>
      <c r="FN88" s="2"/>
      <c r="FO88" s="2"/>
      <c r="FP88" s="2"/>
      <c r="FQ88" s="2"/>
      <c r="FR88" s="2"/>
      <c r="FS88" s="2"/>
      <c r="FT88" s="2"/>
      <c r="FU88" s="2"/>
      <c r="FV88" s="2"/>
      <c r="FW88" s="2"/>
      <c r="FX88" s="2"/>
      <c r="FY88" s="2"/>
      <c r="FZ88" s="2"/>
      <c r="GA88" s="2"/>
      <c r="GB88" s="2"/>
      <c r="GC88" s="2"/>
      <c r="GD88" s="2"/>
      <c r="GE88" s="2"/>
      <c r="GF88" s="2"/>
      <c r="GG88" s="2"/>
      <c r="GH88" s="2"/>
      <c r="GI88" s="2"/>
      <c r="GJ88" s="2"/>
      <c r="GK88" s="2"/>
      <c r="GL88" s="2"/>
      <c r="GM88" s="2"/>
      <c r="GN88" s="2"/>
      <c r="GO88" s="2"/>
      <c r="GP88" s="2"/>
      <c r="GQ88" s="2"/>
      <c r="GR88" s="2"/>
      <c r="GS88" s="2"/>
      <c r="GT88" s="2"/>
      <c r="GU88" s="2"/>
      <c r="GV88" s="2"/>
    </row>
    <row r="89" ht="13.5" customHeight="1">
      <c r="A89" s="1"/>
      <c r="B89" s="1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1"/>
      <c r="P89" s="1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/>
      <c r="DU89" s="2"/>
      <c r="DV89" s="2"/>
      <c r="DW89" s="2"/>
      <c r="DX89" s="2"/>
      <c r="DY89" s="2"/>
      <c r="DZ89" s="2"/>
      <c r="EA89" s="2"/>
      <c r="EB89" s="2"/>
      <c r="EC89" s="2"/>
      <c r="ED89" s="2"/>
      <c r="EE89" s="2"/>
      <c r="EF89" s="2"/>
      <c r="EG89" s="2"/>
      <c r="EH89" s="2"/>
      <c r="EI89" s="2"/>
      <c r="EJ89" s="2"/>
      <c r="EK89" s="2"/>
      <c r="EL89" s="2"/>
      <c r="EM89" s="2"/>
      <c r="EN89" s="2"/>
      <c r="EO89" s="2"/>
      <c r="EP89" s="2"/>
      <c r="EQ89" s="2"/>
      <c r="ER89" s="2"/>
      <c r="ES89" s="2"/>
      <c r="ET89" s="2"/>
      <c r="EU89" s="2"/>
      <c r="EV89" s="2"/>
      <c r="EW89" s="2"/>
      <c r="EX89" s="2"/>
      <c r="EY89" s="2"/>
      <c r="EZ89" s="2"/>
      <c r="FA89" s="2"/>
      <c r="FB89" s="2"/>
      <c r="FC89" s="2"/>
      <c r="FD89" s="2"/>
      <c r="FE89" s="2"/>
      <c r="FF89" s="2"/>
      <c r="FG89" s="2"/>
      <c r="FH89" s="2"/>
      <c r="FI89" s="2"/>
      <c r="FJ89" s="2"/>
      <c r="FK89" s="2"/>
      <c r="FL89" s="2"/>
      <c r="FM89" s="2"/>
      <c r="FN89" s="2"/>
      <c r="FO89" s="2"/>
      <c r="FP89" s="2"/>
      <c r="FQ89" s="2"/>
      <c r="FR89" s="2"/>
      <c r="FS89" s="2"/>
      <c r="FT89" s="2"/>
      <c r="FU89" s="2"/>
      <c r="FV89" s="2"/>
      <c r="FW89" s="2"/>
      <c r="FX89" s="2"/>
      <c r="FY89" s="2"/>
      <c r="FZ89" s="2"/>
      <c r="GA89" s="2"/>
      <c r="GB89" s="2"/>
      <c r="GC89" s="2"/>
      <c r="GD89" s="2"/>
      <c r="GE89" s="2"/>
      <c r="GF89" s="2"/>
      <c r="GG89" s="2"/>
      <c r="GH89" s="2"/>
      <c r="GI89" s="2"/>
      <c r="GJ89" s="2"/>
      <c r="GK89" s="2"/>
      <c r="GL89" s="2"/>
      <c r="GM89" s="2"/>
      <c r="GN89" s="2"/>
      <c r="GO89" s="2"/>
      <c r="GP89" s="2"/>
      <c r="GQ89" s="2"/>
      <c r="GR89" s="2"/>
      <c r="GS89" s="2"/>
      <c r="GT89" s="2"/>
      <c r="GU89" s="2"/>
      <c r="GV89" s="2"/>
    </row>
    <row r="90" ht="13.5" customHeight="1">
      <c r="A90" s="1"/>
      <c r="B90" s="1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1"/>
      <c r="P90" s="1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  <c r="DT90" s="2"/>
      <c r="DU90" s="2"/>
      <c r="DV90" s="2"/>
      <c r="DW90" s="2"/>
      <c r="DX90" s="2"/>
      <c r="DY90" s="2"/>
      <c r="DZ90" s="2"/>
      <c r="EA90" s="2"/>
      <c r="EB90" s="2"/>
      <c r="EC90" s="2"/>
      <c r="ED90" s="2"/>
      <c r="EE90" s="2"/>
      <c r="EF90" s="2"/>
      <c r="EG90" s="2"/>
      <c r="EH90" s="2"/>
      <c r="EI90" s="2"/>
      <c r="EJ90" s="2"/>
      <c r="EK90" s="2"/>
      <c r="EL90" s="2"/>
      <c r="EM90" s="2"/>
      <c r="EN90" s="2"/>
      <c r="EO90" s="2"/>
      <c r="EP90" s="2"/>
      <c r="EQ90" s="2"/>
      <c r="ER90" s="2"/>
      <c r="ES90" s="2"/>
      <c r="ET90" s="2"/>
      <c r="EU90" s="2"/>
      <c r="EV90" s="2"/>
      <c r="EW90" s="2"/>
      <c r="EX90" s="2"/>
      <c r="EY90" s="2"/>
      <c r="EZ90" s="2"/>
      <c r="FA90" s="2"/>
      <c r="FB90" s="2"/>
      <c r="FC90" s="2"/>
      <c r="FD90" s="2"/>
      <c r="FE90" s="2"/>
      <c r="FF90" s="2"/>
      <c r="FG90" s="2"/>
      <c r="FH90" s="2"/>
      <c r="FI90" s="2"/>
      <c r="FJ90" s="2"/>
      <c r="FK90" s="2"/>
      <c r="FL90" s="2"/>
      <c r="FM90" s="2"/>
      <c r="FN90" s="2"/>
      <c r="FO90" s="2"/>
      <c r="FP90" s="2"/>
      <c r="FQ90" s="2"/>
      <c r="FR90" s="2"/>
      <c r="FS90" s="2"/>
      <c r="FT90" s="2"/>
      <c r="FU90" s="2"/>
      <c r="FV90" s="2"/>
      <c r="FW90" s="2"/>
      <c r="FX90" s="2"/>
      <c r="FY90" s="2"/>
      <c r="FZ90" s="2"/>
      <c r="GA90" s="2"/>
      <c r="GB90" s="2"/>
      <c r="GC90" s="2"/>
      <c r="GD90" s="2"/>
      <c r="GE90" s="2"/>
      <c r="GF90" s="2"/>
      <c r="GG90" s="2"/>
      <c r="GH90" s="2"/>
      <c r="GI90" s="2"/>
      <c r="GJ90" s="2"/>
      <c r="GK90" s="2"/>
      <c r="GL90" s="2"/>
      <c r="GM90" s="2"/>
      <c r="GN90" s="2"/>
      <c r="GO90" s="2"/>
      <c r="GP90" s="2"/>
      <c r="GQ90" s="2"/>
      <c r="GR90" s="2"/>
      <c r="GS90" s="2"/>
      <c r="GT90" s="2"/>
      <c r="GU90" s="2"/>
      <c r="GV90" s="2"/>
    </row>
    <row r="91" ht="13.5" customHeight="1">
      <c r="A91" s="1"/>
      <c r="B91" s="1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1"/>
      <c r="P91" s="1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  <c r="DU91" s="2"/>
      <c r="DV91" s="2"/>
      <c r="DW91" s="2"/>
      <c r="DX91" s="2"/>
      <c r="DY91" s="2"/>
      <c r="DZ91" s="2"/>
      <c r="EA91" s="2"/>
      <c r="EB91" s="2"/>
      <c r="EC91" s="2"/>
      <c r="ED91" s="2"/>
      <c r="EE91" s="2"/>
      <c r="EF91" s="2"/>
      <c r="EG91" s="2"/>
      <c r="EH91" s="2"/>
      <c r="EI91" s="2"/>
      <c r="EJ91" s="2"/>
      <c r="EK91" s="2"/>
      <c r="EL91" s="2"/>
      <c r="EM91" s="2"/>
      <c r="EN91" s="2"/>
      <c r="EO91" s="2"/>
      <c r="EP91" s="2"/>
      <c r="EQ91" s="2"/>
      <c r="ER91" s="2"/>
      <c r="ES91" s="2"/>
      <c r="ET91" s="2"/>
      <c r="EU91" s="2"/>
      <c r="EV91" s="2"/>
      <c r="EW91" s="2"/>
      <c r="EX91" s="2"/>
      <c r="EY91" s="2"/>
      <c r="EZ91" s="2"/>
      <c r="FA91" s="2"/>
      <c r="FB91" s="2"/>
      <c r="FC91" s="2"/>
      <c r="FD91" s="2"/>
      <c r="FE91" s="2"/>
      <c r="FF91" s="2"/>
      <c r="FG91" s="2"/>
      <c r="FH91" s="2"/>
      <c r="FI91" s="2"/>
      <c r="FJ91" s="2"/>
      <c r="FK91" s="2"/>
      <c r="FL91" s="2"/>
      <c r="FM91" s="2"/>
      <c r="FN91" s="2"/>
      <c r="FO91" s="2"/>
      <c r="FP91" s="2"/>
      <c r="FQ91" s="2"/>
      <c r="FR91" s="2"/>
      <c r="FS91" s="2"/>
      <c r="FT91" s="2"/>
      <c r="FU91" s="2"/>
      <c r="FV91" s="2"/>
      <c r="FW91" s="2"/>
      <c r="FX91" s="2"/>
      <c r="FY91" s="2"/>
      <c r="FZ91" s="2"/>
      <c r="GA91" s="2"/>
      <c r="GB91" s="2"/>
      <c r="GC91" s="2"/>
      <c r="GD91" s="2"/>
      <c r="GE91" s="2"/>
      <c r="GF91" s="2"/>
      <c r="GG91" s="2"/>
      <c r="GH91" s="2"/>
      <c r="GI91" s="2"/>
      <c r="GJ91" s="2"/>
      <c r="GK91" s="2"/>
      <c r="GL91" s="2"/>
      <c r="GM91" s="2"/>
      <c r="GN91" s="2"/>
      <c r="GO91" s="2"/>
      <c r="GP91" s="2"/>
      <c r="GQ91" s="2"/>
      <c r="GR91" s="2"/>
      <c r="GS91" s="2"/>
      <c r="GT91" s="2"/>
      <c r="GU91" s="2"/>
      <c r="GV91" s="2"/>
    </row>
    <row r="92" ht="13.5" customHeight="1">
      <c r="A92" s="1"/>
      <c r="B92" s="1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1"/>
      <c r="P92" s="1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  <c r="DP92" s="2"/>
      <c r="DQ92" s="2"/>
      <c r="DR92" s="2"/>
      <c r="DS92" s="2"/>
      <c r="DT92" s="2"/>
      <c r="DU92" s="2"/>
      <c r="DV92" s="2"/>
      <c r="DW92" s="2"/>
      <c r="DX92" s="2"/>
      <c r="DY92" s="2"/>
      <c r="DZ92" s="2"/>
      <c r="EA92" s="2"/>
      <c r="EB92" s="2"/>
      <c r="EC92" s="2"/>
      <c r="ED92" s="2"/>
      <c r="EE92" s="2"/>
      <c r="EF92" s="2"/>
      <c r="EG92" s="2"/>
      <c r="EH92" s="2"/>
      <c r="EI92" s="2"/>
      <c r="EJ92" s="2"/>
      <c r="EK92" s="2"/>
      <c r="EL92" s="2"/>
      <c r="EM92" s="2"/>
      <c r="EN92" s="2"/>
      <c r="EO92" s="2"/>
      <c r="EP92" s="2"/>
      <c r="EQ92" s="2"/>
      <c r="ER92" s="2"/>
      <c r="ES92" s="2"/>
      <c r="ET92" s="2"/>
      <c r="EU92" s="2"/>
      <c r="EV92" s="2"/>
      <c r="EW92" s="2"/>
      <c r="EX92" s="2"/>
      <c r="EY92" s="2"/>
      <c r="EZ92" s="2"/>
      <c r="FA92" s="2"/>
      <c r="FB92" s="2"/>
      <c r="FC92" s="2"/>
      <c r="FD92" s="2"/>
      <c r="FE92" s="2"/>
      <c r="FF92" s="2"/>
      <c r="FG92" s="2"/>
      <c r="FH92" s="2"/>
      <c r="FI92" s="2"/>
      <c r="FJ92" s="2"/>
      <c r="FK92" s="2"/>
      <c r="FL92" s="2"/>
      <c r="FM92" s="2"/>
      <c r="FN92" s="2"/>
      <c r="FO92" s="2"/>
      <c r="FP92" s="2"/>
      <c r="FQ92" s="2"/>
      <c r="FR92" s="2"/>
      <c r="FS92" s="2"/>
      <c r="FT92" s="2"/>
      <c r="FU92" s="2"/>
      <c r="FV92" s="2"/>
      <c r="FW92" s="2"/>
      <c r="FX92" s="2"/>
      <c r="FY92" s="2"/>
      <c r="FZ92" s="2"/>
      <c r="GA92" s="2"/>
      <c r="GB92" s="2"/>
      <c r="GC92" s="2"/>
      <c r="GD92" s="2"/>
      <c r="GE92" s="2"/>
      <c r="GF92" s="2"/>
      <c r="GG92" s="2"/>
      <c r="GH92" s="2"/>
      <c r="GI92" s="2"/>
      <c r="GJ92" s="2"/>
      <c r="GK92" s="2"/>
      <c r="GL92" s="2"/>
      <c r="GM92" s="2"/>
      <c r="GN92" s="2"/>
      <c r="GO92" s="2"/>
      <c r="GP92" s="2"/>
      <c r="GQ92" s="2"/>
      <c r="GR92" s="2"/>
      <c r="GS92" s="2"/>
      <c r="GT92" s="2"/>
      <c r="GU92" s="2"/>
      <c r="GV92" s="2"/>
    </row>
    <row r="93" ht="13.5" customHeight="1">
      <c r="A93" s="1"/>
      <c r="B93" s="1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1"/>
      <c r="P93" s="1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  <c r="DP93" s="2"/>
      <c r="DQ93" s="2"/>
      <c r="DR93" s="2"/>
      <c r="DS93" s="2"/>
      <c r="DT93" s="2"/>
      <c r="DU93" s="2"/>
      <c r="DV93" s="2"/>
      <c r="DW93" s="2"/>
      <c r="DX93" s="2"/>
      <c r="DY93" s="2"/>
      <c r="DZ93" s="2"/>
      <c r="EA93" s="2"/>
      <c r="EB93" s="2"/>
      <c r="EC93" s="2"/>
      <c r="ED93" s="2"/>
      <c r="EE93" s="2"/>
      <c r="EF93" s="2"/>
      <c r="EG93" s="2"/>
      <c r="EH93" s="2"/>
      <c r="EI93" s="2"/>
      <c r="EJ93" s="2"/>
      <c r="EK93" s="2"/>
      <c r="EL93" s="2"/>
      <c r="EM93" s="2"/>
      <c r="EN93" s="2"/>
      <c r="EO93" s="2"/>
      <c r="EP93" s="2"/>
      <c r="EQ93" s="2"/>
      <c r="ER93" s="2"/>
      <c r="ES93" s="2"/>
      <c r="ET93" s="2"/>
      <c r="EU93" s="2"/>
      <c r="EV93" s="2"/>
      <c r="EW93" s="2"/>
      <c r="EX93" s="2"/>
      <c r="EY93" s="2"/>
      <c r="EZ93" s="2"/>
      <c r="FA93" s="2"/>
      <c r="FB93" s="2"/>
      <c r="FC93" s="2"/>
      <c r="FD93" s="2"/>
      <c r="FE93" s="2"/>
      <c r="FF93" s="2"/>
      <c r="FG93" s="2"/>
      <c r="FH93" s="2"/>
      <c r="FI93" s="2"/>
      <c r="FJ93" s="2"/>
      <c r="FK93" s="2"/>
      <c r="FL93" s="2"/>
      <c r="FM93" s="2"/>
      <c r="FN93" s="2"/>
      <c r="FO93" s="2"/>
      <c r="FP93" s="2"/>
      <c r="FQ93" s="2"/>
      <c r="FR93" s="2"/>
      <c r="FS93" s="2"/>
      <c r="FT93" s="2"/>
      <c r="FU93" s="2"/>
      <c r="FV93" s="2"/>
      <c r="FW93" s="2"/>
      <c r="FX93" s="2"/>
      <c r="FY93" s="2"/>
      <c r="FZ93" s="2"/>
      <c r="GA93" s="2"/>
      <c r="GB93" s="2"/>
      <c r="GC93" s="2"/>
      <c r="GD93" s="2"/>
      <c r="GE93" s="2"/>
      <c r="GF93" s="2"/>
      <c r="GG93" s="2"/>
      <c r="GH93" s="2"/>
      <c r="GI93" s="2"/>
      <c r="GJ93" s="2"/>
      <c r="GK93" s="2"/>
      <c r="GL93" s="2"/>
      <c r="GM93" s="2"/>
      <c r="GN93" s="2"/>
      <c r="GO93" s="2"/>
      <c r="GP93" s="2"/>
      <c r="GQ93" s="2"/>
      <c r="GR93" s="2"/>
      <c r="GS93" s="2"/>
      <c r="GT93" s="2"/>
      <c r="GU93" s="2"/>
      <c r="GV93" s="2"/>
    </row>
    <row r="94" ht="13.5" customHeight="1">
      <c r="A94" s="1"/>
      <c r="B94" s="1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1"/>
      <c r="P94" s="1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  <c r="DP94" s="2"/>
      <c r="DQ94" s="2"/>
      <c r="DR94" s="2"/>
      <c r="DS94" s="2"/>
      <c r="DT94" s="2"/>
      <c r="DU94" s="2"/>
      <c r="DV94" s="2"/>
      <c r="DW94" s="2"/>
      <c r="DX94" s="2"/>
      <c r="DY94" s="2"/>
      <c r="DZ94" s="2"/>
      <c r="EA94" s="2"/>
      <c r="EB94" s="2"/>
      <c r="EC94" s="2"/>
      <c r="ED94" s="2"/>
      <c r="EE94" s="2"/>
      <c r="EF94" s="2"/>
      <c r="EG94" s="2"/>
      <c r="EH94" s="2"/>
      <c r="EI94" s="2"/>
      <c r="EJ94" s="2"/>
      <c r="EK94" s="2"/>
      <c r="EL94" s="2"/>
      <c r="EM94" s="2"/>
      <c r="EN94" s="2"/>
      <c r="EO94" s="2"/>
      <c r="EP94" s="2"/>
      <c r="EQ94" s="2"/>
      <c r="ER94" s="2"/>
      <c r="ES94" s="2"/>
      <c r="ET94" s="2"/>
      <c r="EU94" s="2"/>
      <c r="EV94" s="2"/>
      <c r="EW94" s="2"/>
      <c r="EX94" s="2"/>
      <c r="EY94" s="2"/>
      <c r="EZ94" s="2"/>
      <c r="FA94" s="2"/>
      <c r="FB94" s="2"/>
      <c r="FC94" s="2"/>
      <c r="FD94" s="2"/>
      <c r="FE94" s="2"/>
      <c r="FF94" s="2"/>
      <c r="FG94" s="2"/>
      <c r="FH94" s="2"/>
      <c r="FI94" s="2"/>
      <c r="FJ94" s="2"/>
      <c r="FK94" s="2"/>
      <c r="FL94" s="2"/>
      <c r="FM94" s="2"/>
      <c r="FN94" s="2"/>
      <c r="FO94" s="2"/>
      <c r="FP94" s="2"/>
      <c r="FQ94" s="2"/>
      <c r="FR94" s="2"/>
      <c r="FS94" s="2"/>
      <c r="FT94" s="2"/>
      <c r="FU94" s="2"/>
      <c r="FV94" s="2"/>
      <c r="FW94" s="2"/>
      <c r="FX94" s="2"/>
      <c r="FY94" s="2"/>
      <c r="FZ94" s="2"/>
      <c r="GA94" s="2"/>
      <c r="GB94" s="2"/>
      <c r="GC94" s="2"/>
      <c r="GD94" s="2"/>
      <c r="GE94" s="2"/>
      <c r="GF94" s="2"/>
      <c r="GG94" s="2"/>
      <c r="GH94" s="2"/>
      <c r="GI94" s="2"/>
      <c r="GJ94" s="2"/>
      <c r="GK94" s="2"/>
      <c r="GL94" s="2"/>
      <c r="GM94" s="2"/>
      <c r="GN94" s="2"/>
      <c r="GO94" s="2"/>
      <c r="GP94" s="2"/>
      <c r="GQ94" s="2"/>
      <c r="GR94" s="2"/>
      <c r="GS94" s="2"/>
      <c r="GT94" s="2"/>
      <c r="GU94" s="2"/>
      <c r="GV94" s="2"/>
    </row>
    <row r="95" ht="13.5" customHeight="1">
      <c r="A95" s="1"/>
      <c r="B95" s="1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1"/>
      <c r="P95" s="1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  <c r="DP95" s="2"/>
      <c r="DQ95" s="2"/>
      <c r="DR95" s="2"/>
      <c r="DS95" s="2"/>
      <c r="DT95" s="2"/>
      <c r="DU95" s="2"/>
      <c r="DV95" s="2"/>
      <c r="DW95" s="2"/>
      <c r="DX95" s="2"/>
      <c r="DY95" s="2"/>
      <c r="DZ95" s="2"/>
      <c r="EA95" s="2"/>
      <c r="EB95" s="2"/>
      <c r="EC95" s="2"/>
      <c r="ED95" s="2"/>
      <c r="EE95" s="2"/>
      <c r="EF95" s="2"/>
      <c r="EG95" s="2"/>
      <c r="EH95" s="2"/>
      <c r="EI95" s="2"/>
      <c r="EJ95" s="2"/>
      <c r="EK95" s="2"/>
      <c r="EL95" s="2"/>
      <c r="EM95" s="2"/>
      <c r="EN95" s="2"/>
      <c r="EO95" s="2"/>
      <c r="EP95" s="2"/>
      <c r="EQ95" s="2"/>
      <c r="ER95" s="2"/>
      <c r="ES95" s="2"/>
      <c r="ET95" s="2"/>
      <c r="EU95" s="2"/>
      <c r="EV95" s="2"/>
      <c r="EW95" s="2"/>
      <c r="EX95" s="2"/>
      <c r="EY95" s="2"/>
      <c r="EZ95" s="2"/>
      <c r="FA95" s="2"/>
      <c r="FB95" s="2"/>
      <c r="FC95" s="2"/>
      <c r="FD95" s="2"/>
      <c r="FE95" s="2"/>
      <c r="FF95" s="2"/>
      <c r="FG95" s="2"/>
      <c r="FH95" s="2"/>
      <c r="FI95" s="2"/>
      <c r="FJ95" s="2"/>
      <c r="FK95" s="2"/>
      <c r="FL95" s="2"/>
      <c r="FM95" s="2"/>
      <c r="FN95" s="2"/>
      <c r="FO95" s="2"/>
      <c r="FP95" s="2"/>
      <c r="FQ95" s="2"/>
      <c r="FR95" s="2"/>
      <c r="FS95" s="2"/>
      <c r="FT95" s="2"/>
      <c r="FU95" s="2"/>
      <c r="FV95" s="2"/>
      <c r="FW95" s="2"/>
      <c r="FX95" s="2"/>
      <c r="FY95" s="2"/>
      <c r="FZ95" s="2"/>
      <c r="GA95" s="2"/>
      <c r="GB95" s="2"/>
      <c r="GC95" s="2"/>
      <c r="GD95" s="2"/>
      <c r="GE95" s="2"/>
      <c r="GF95" s="2"/>
      <c r="GG95" s="2"/>
      <c r="GH95" s="2"/>
      <c r="GI95" s="2"/>
      <c r="GJ95" s="2"/>
      <c r="GK95" s="2"/>
      <c r="GL95" s="2"/>
      <c r="GM95" s="2"/>
      <c r="GN95" s="2"/>
      <c r="GO95" s="2"/>
      <c r="GP95" s="2"/>
      <c r="GQ95" s="2"/>
      <c r="GR95" s="2"/>
      <c r="GS95" s="2"/>
      <c r="GT95" s="2"/>
      <c r="GU95" s="2"/>
      <c r="GV95" s="2"/>
    </row>
    <row r="96" ht="13.5" customHeight="1">
      <c r="A96" s="1"/>
      <c r="B96" s="1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1"/>
      <c r="P96" s="1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2"/>
      <c r="DR96" s="2"/>
      <c r="DS96" s="2"/>
      <c r="DT96" s="2"/>
      <c r="DU96" s="2"/>
      <c r="DV96" s="2"/>
      <c r="DW96" s="2"/>
      <c r="DX96" s="2"/>
      <c r="DY96" s="2"/>
      <c r="DZ96" s="2"/>
      <c r="EA96" s="2"/>
      <c r="EB96" s="2"/>
      <c r="EC96" s="2"/>
      <c r="ED96" s="2"/>
      <c r="EE96" s="2"/>
      <c r="EF96" s="2"/>
      <c r="EG96" s="2"/>
      <c r="EH96" s="2"/>
      <c r="EI96" s="2"/>
      <c r="EJ96" s="2"/>
      <c r="EK96" s="2"/>
      <c r="EL96" s="2"/>
      <c r="EM96" s="2"/>
      <c r="EN96" s="2"/>
      <c r="EO96" s="2"/>
      <c r="EP96" s="2"/>
      <c r="EQ96" s="2"/>
      <c r="ER96" s="2"/>
      <c r="ES96" s="2"/>
      <c r="ET96" s="2"/>
      <c r="EU96" s="2"/>
      <c r="EV96" s="2"/>
      <c r="EW96" s="2"/>
      <c r="EX96" s="2"/>
      <c r="EY96" s="2"/>
      <c r="EZ96" s="2"/>
      <c r="FA96" s="2"/>
      <c r="FB96" s="2"/>
      <c r="FC96" s="2"/>
      <c r="FD96" s="2"/>
      <c r="FE96" s="2"/>
      <c r="FF96" s="2"/>
      <c r="FG96" s="2"/>
      <c r="FH96" s="2"/>
      <c r="FI96" s="2"/>
      <c r="FJ96" s="2"/>
      <c r="FK96" s="2"/>
      <c r="FL96" s="2"/>
      <c r="FM96" s="2"/>
      <c r="FN96" s="2"/>
      <c r="FO96" s="2"/>
      <c r="FP96" s="2"/>
      <c r="FQ96" s="2"/>
      <c r="FR96" s="2"/>
      <c r="FS96" s="2"/>
      <c r="FT96" s="2"/>
      <c r="FU96" s="2"/>
      <c r="FV96" s="2"/>
      <c r="FW96" s="2"/>
      <c r="FX96" s="2"/>
      <c r="FY96" s="2"/>
      <c r="FZ96" s="2"/>
      <c r="GA96" s="2"/>
      <c r="GB96" s="2"/>
      <c r="GC96" s="2"/>
      <c r="GD96" s="2"/>
      <c r="GE96" s="2"/>
      <c r="GF96" s="2"/>
      <c r="GG96" s="2"/>
      <c r="GH96" s="2"/>
      <c r="GI96" s="2"/>
      <c r="GJ96" s="2"/>
      <c r="GK96" s="2"/>
      <c r="GL96" s="2"/>
      <c r="GM96" s="2"/>
      <c r="GN96" s="2"/>
      <c r="GO96" s="2"/>
      <c r="GP96" s="2"/>
      <c r="GQ96" s="2"/>
      <c r="GR96" s="2"/>
      <c r="GS96" s="2"/>
      <c r="GT96" s="2"/>
      <c r="GU96" s="2"/>
      <c r="GV96" s="2"/>
    </row>
    <row r="97" ht="13.5" customHeight="1">
      <c r="A97" s="1"/>
      <c r="B97" s="1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1"/>
      <c r="P97" s="1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  <c r="DP97" s="2"/>
      <c r="DQ97" s="2"/>
      <c r="DR97" s="2"/>
      <c r="DS97" s="2"/>
      <c r="DT97" s="2"/>
      <c r="DU97" s="2"/>
      <c r="DV97" s="2"/>
      <c r="DW97" s="2"/>
      <c r="DX97" s="2"/>
      <c r="DY97" s="2"/>
      <c r="DZ97" s="2"/>
      <c r="EA97" s="2"/>
      <c r="EB97" s="2"/>
      <c r="EC97" s="2"/>
      <c r="ED97" s="2"/>
      <c r="EE97" s="2"/>
      <c r="EF97" s="2"/>
      <c r="EG97" s="2"/>
      <c r="EH97" s="2"/>
      <c r="EI97" s="2"/>
      <c r="EJ97" s="2"/>
      <c r="EK97" s="2"/>
      <c r="EL97" s="2"/>
      <c r="EM97" s="2"/>
      <c r="EN97" s="2"/>
      <c r="EO97" s="2"/>
      <c r="EP97" s="2"/>
      <c r="EQ97" s="2"/>
      <c r="ER97" s="2"/>
      <c r="ES97" s="2"/>
      <c r="ET97" s="2"/>
      <c r="EU97" s="2"/>
      <c r="EV97" s="2"/>
      <c r="EW97" s="2"/>
      <c r="EX97" s="2"/>
      <c r="EY97" s="2"/>
      <c r="EZ97" s="2"/>
      <c r="FA97" s="2"/>
      <c r="FB97" s="2"/>
      <c r="FC97" s="2"/>
      <c r="FD97" s="2"/>
      <c r="FE97" s="2"/>
      <c r="FF97" s="2"/>
      <c r="FG97" s="2"/>
      <c r="FH97" s="2"/>
      <c r="FI97" s="2"/>
      <c r="FJ97" s="2"/>
      <c r="FK97" s="2"/>
      <c r="FL97" s="2"/>
      <c r="FM97" s="2"/>
      <c r="FN97" s="2"/>
      <c r="FO97" s="2"/>
      <c r="FP97" s="2"/>
      <c r="FQ97" s="2"/>
      <c r="FR97" s="2"/>
      <c r="FS97" s="2"/>
      <c r="FT97" s="2"/>
      <c r="FU97" s="2"/>
      <c r="FV97" s="2"/>
      <c r="FW97" s="2"/>
      <c r="FX97" s="2"/>
      <c r="FY97" s="2"/>
      <c r="FZ97" s="2"/>
      <c r="GA97" s="2"/>
      <c r="GB97" s="2"/>
      <c r="GC97" s="2"/>
      <c r="GD97" s="2"/>
      <c r="GE97" s="2"/>
      <c r="GF97" s="2"/>
      <c r="GG97" s="2"/>
      <c r="GH97" s="2"/>
      <c r="GI97" s="2"/>
      <c r="GJ97" s="2"/>
      <c r="GK97" s="2"/>
      <c r="GL97" s="2"/>
      <c r="GM97" s="2"/>
      <c r="GN97" s="2"/>
      <c r="GO97" s="2"/>
      <c r="GP97" s="2"/>
      <c r="GQ97" s="2"/>
      <c r="GR97" s="2"/>
      <c r="GS97" s="2"/>
      <c r="GT97" s="2"/>
      <c r="GU97" s="2"/>
      <c r="GV97" s="2"/>
    </row>
    <row r="98" ht="13.5" customHeight="1">
      <c r="A98" s="1"/>
      <c r="B98" s="1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1"/>
      <c r="P98" s="1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  <c r="DT98" s="2"/>
      <c r="DU98" s="2"/>
      <c r="DV98" s="2"/>
      <c r="DW98" s="2"/>
      <c r="DX98" s="2"/>
      <c r="DY98" s="2"/>
      <c r="DZ98" s="2"/>
      <c r="EA98" s="2"/>
      <c r="EB98" s="2"/>
      <c r="EC98" s="2"/>
      <c r="ED98" s="2"/>
      <c r="EE98" s="2"/>
      <c r="EF98" s="2"/>
      <c r="EG98" s="2"/>
      <c r="EH98" s="2"/>
      <c r="EI98" s="2"/>
      <c r="EJ98" s="2"/>
      <c r="EK98" s="2"/>
      <c r="EL98" s="2"/>
      <c r="EM98" s="2"/>
      <c r="EN98" s="2"/>
      <c r="EO98" s="2"/>
      <c r="EP98" s="2"/>
      <c r="EQ98" s="2"/>
      <c r="ER98" s="2"/>
      <c r="ES98" s="2"/>
      <c r="ET98" s="2"/>
      <c r="EU98" s="2"/>
      <c r="EV98" s="2"/>
      <c r="EW98" s="2"/>
      <c r="EX98" s="2"/>
      <c r="EY98" s="2"/>
      <c r="EZ98" s="2"/>
      <c r="FA98" s="2"/>
      <c r="FB98" s="2"/>
      <c r="FC98" s="2"/>
      <c r="FD98" s="2"/>
      <c r="FE98" s="2"/>
      <c r="FF98" s="2"/>
      <c r="FG98" s="2"/>
      <c r="FH98" s="2"/>
      <c r="FI98" s="2"/>
      <c r="FJ98" s="2"/>
      <c r="FK98" s="2"/>
      <c r="FL98" s="2"/>
      <c r="FM98" s="2"/>
      <c r="FN98" s="2"/>
      <c r="FO98" s="2"/>
      <c r="FP98" s="2"/>
      <c r="FQ98" s="2"/>
      <c r="FR98" s="2"/>
      <c r="FS98" s="2"/>
      <c r="FT98" s="2"/>
      <c r="FU98" s="2"/>
      <c r="FV98" s="2"/>
      <c r="FW98" s="2"/>
      <c r="FX98" s="2"/>
      <c r="FY98" s="2"/>
      <c r="FZ98" s="2"/>
      <c r="GA98" s="2"/>
      <c r="GB98" s="2"/>
      <c r="GC98" s="2"/>
      <c r="GD98" s="2"/>
      <c r="GE98" s="2"/>
      <c r="GF98" s="2"/>
      <c r="GG98" s="2"/>
      <c r="GH98" s="2"/>
      <c r="GI98" s="2"/>
      <c r="GJ98" s="2"/>
      <c r="GK98" s="2"/>
      <c r="GL98" s="2"/>
      <c r="GM98" s="2"/>
      <c r="GN98" s="2"/>
      <c r="GO98" s="2"/>
      <c r="GP98" s="2"/>
      <c r="GQ98" s="2"/>
      <c r="GR98" s="2"/>
      <c r="GS98" s="2"/>
      <c r="GT98" s="2"/>
      <c r="GU98" s="2"/>
      <c r="GV98" s="2"/>
    </row>
    <row r="99" ht="13.5" customHeight="1">
      <c r="A99" s="1"/>
      <c r="B99" s="1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1"/>
      <c r="P99" s="1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2"/>
      <c r="DR99" s="2"/>
      <c r="DS99" s="2"/>
      <c r="DT99" s="2"/>
      <c r="DU99" s="2"/>
      <c r="DV99" s="2"/>
      <c r="DW99" s="2"/>
      <c r="DX99" s="2"/>
      <c r="DY99" s="2"/>
      <c r="DZ99" s="2"/>
      <c r="EA99" s="2"/>
      <c r="EB99" s="2"/>
      <c r="EC99" s="2"/>
      <c r="ED99" s="2"/>
      <c r="EE99" s="2"/>
      <c r="EF99" s="2"/>
      <c r="EG99" s="2"/>
      <c r="EH99" s="2"/>
      <c r="EI99" s="2"/>
      <c r="EJ99" s="2"/>
      <c r="EK99" s="2"/>
      <c r="EL99" s="2"/>
      <c r="EM99" s="2"/>
      <c r="EN99" s="2"/>
      <c r="EO99" s="2"/>
      <c r="EP99" s="2"/>
      <c r="EQ99" s="2"/>
      <c r="ER99" s="2"/>
      <c r="ES99" s="2"/>
      <c r="ET99" s="2"/>
      <c r="EU99" s="2"/>
      <c r="EV99" s="2"/>
      <c r="EW99" s="2"/>
      <c r="EX99" s="2"/>
      <c r="EY99" s="2"/>
      <c r="EZ99" s="2"/>
      <c r="FA99" s="2"/>
      <c r="FB99" s="2"/>
      <c r="FC99" s="2"/>
      <c r="FD99" s="2"/>
      <c r="FE99" s="2"/>
      <c r="FF99" s="2"/>
      <c r="FG99" s="2"/>
      <c r="FH99" s="2"/>
      <c r="FI99" s="2"/>
      <c r="FJ99" s="2"/>
      <c r="FK99" s="2"/>
      <c r="FL99" s="2"/>
      <c r="FM99" s="2"/>
      <c r="FN99" s="2"/>
      <c r="FO99" s="2"/>
      <c r="FP99" s="2"/>
      <c r="FQ99" s="2"/>
      <c r="FR99" s="2"/>
      <c r="FS99" s="2"/>
      <c r="FT99" s="2"/>
      <c r="FU99" s="2"/>
      <c r="FV99" s="2"/>
      <c r="FW99" s="2"/>
      <c r="FX99" s="2"/>
      <c r="FY99" s="2"/>
      <c r="FZ99" s="2"/>
      <c r="GA99" s="2"/>
      <c r="GB99" s="2"/>
      <c r="GC99" s="2"/>
      <c r="GD99" s="2"/>
      <c r="GE99" s="2"/>
      <c r="GF99" s="2"/>
      <c r="GG99" s="2"/>
      <c r="GH99" s="2"/>
      <c r="GI99" s="2"/>
      <c r="GJ99" s="2"/>
      <c r="GK99" s="2"/>
      <c r="GL99" s="2"/>
      <c r="GM99" s="2"/>
      <c r="GN99" s="2"/>
      <c r="GO99" s="2"/>
      <c r="GP99" s="2"/>
      <c r="GQ99" s="2"/>
      <c r="GR99" s="2"/>
      <c r="GS99" s="2"/>
      <c r="GT99" s="2"/>
      <c r="GU99" s="2"/>
      <c r="GV99" s="2"/>
    </row>
    <row r="100" ht="13.5" customHeight="1">
      <c r="A100" s="1"/>
      <c r="B100" s="1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1"/>
      <c r="P100" s="1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  <c r="DP100" s="2"/>
      <c r="DQ100" s="2"/>
      <c r="DR100" s="2"/>
      <c r="DS100" s="2"/>
      <c r="DT100" s="2"/>
      <c r="DU100" s="2"/>
      <c r="DV100" s="2"/>
      <c r="DW100" s="2"/>
      <c r="DX100" s="2"/>
      <c r="DY100" s="2"/>
      <c r="DZ100" s="2"/>
      <c r="EA100" s="2"/>
      <c r="EB100" s="2"/>
      <c r="EC100" s="2"/>
      <c r="ED100" s="2"/>
      <c r="EE100" s="2"/>
      <c r="EF100" s="2"/>
      <c r="EG100" s="2"/>
      <c r="EH100" s="2"/>
      <c r="EI100" s="2"/>
      <c r="EJ100" s="2"/>
      <c r="EK100" s="2"/>
      <c r="EL100" s="2"/>
      <c r="EM100" s="2"/>
      <c r="EN100" s="2"/>
      <c r="EO100" s="2"/>
      <c r="EP100" s="2"/>
      <c r="EQ100" s="2"/>
      <c r="ER100" s="2"/>
      <c r="ES100" s="2"/>
      <c r="ET100" s="2"/>
      <c r="EU100" s="2"/>
      <c r="EV100" s="2"/>
      <c r="EW100" s="2"/>
      <c r="EX100" s="2"/>
      <c r="EY100" s="2"/>
      <c r="EZ100" s="2"/>
      <c r="FA100" s="2"/>
      <c r="FB100" s="2"/>
      <c r="FC100" s="2"/>
      <c r="FD100" s="2"/>
      <c r="FE100" s="2"/>
      <c r="FF100" s="2"/>
      <c r="FG100" s="2"/>
      <c r="FH100" s="2"/>
      <c r="FI100" s="2"/>
      <c r="FJ100" s="2"/>
      <c r="FK100" s="2"/>
      <c r="FL100" s="2"/>
      <c r="FM100" s="2"/>
      <c r="FN100" s="2"/>
      <c r="FO100" s="2"/>
      <c r="FP100" s="2"/>
      <c r="FQ100" s="2"/>
      <c r="FR100" s="2"/>
      <c r="FS100" s="2"/>
      <c r="FT100" s="2"/>
      <c r="FU100" s="2"/>
      <c r="FV100" s="2"/>
      <c r="FW100" s="2"/>
      <c r="FX100" s="2"/>
      <c r="FY100" s="2"/>
      <c r="FZ100" s="2"/>
      <c r="GA100" s="2"/>
      <c r="GB100" s="2"/>
      <c r="GC100" s="2"/>
      <c r="GD100" s="2"/>
      <c r="GE100" s="2"/>
      <c r="GF100" s="2"/>
      <c r="GG100" s="2"/>
      <c r="GH100" s="2"/>
      <c r="GI100" s="2"/>
      <c r="GJ100" s="2"/>
      <c r="GK100" s="2"/>
      <c r="GL100" s="2"/>
      <c r="GM100" s="2"/>
      <c r="GN100" s="2"/>
      <c r="GO100" s="2"/>
      <c r="GP100" s="2"/>
      <c r="GQ100" s="2"/>
      <c r="GR100" s="2"/>
      <c r="GS100" s="2"/>
      <c r="GT100" s="2"/>
      <c r="GU100" s="2"/>
      <c r="GV100" s="2"/>
    </row>
    <row r="101" ht="13.5" customHeight="1">
      <c r="A101" s="1"/>
      <c r="B101" s="1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1"/>
      <c r="P101" s="1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/>
      <c r="DV101" s="2"/>
      <c r="DW101" s="2"/>
      <c r="DX101" s="2"/>
      <c r="DY101" s="2"/>
      <c r="DZ101" s="2"/>
      <c r="EA101" s="2"/>
      <c r="EB101" s="2"/>
      <c r="EC101" s="2"/>
      <c r="ED101" s="2"/>
      <c r="EE101" s="2"/>
      <c r="EF101" s="2"/>
      <c r="EG101" s="2"/>
      <c r="EH101" s="2"/>
      <c r="EI101" s="2"/>
      <c r="EJ101" s="2"/>
      <c r="EK101" s="2"/>
      <c r="EL101" s="2"/>
      <c r="EM101" s="2"/>
      <c r="EN101" s="2"/>
      <c r="EO101" s="2"/>
      <c r="EP101" s="2"/>
      <c r="EQ101" s="2"/>
      <c r="ER101" s="2"/>
      <c r="ES101" s="2"/>
      <c r="ET101" s="2"/>
      <c r="EU101" s="2"/>
      <c r="EV101" s="2"/>
      <c r="EW101" s="2"/>
      <c r="EX101" s="2"/>
      <c r="EY101" s="2"/>
      <c r="EZ101" s="2"/>
      <c r="FA101" s="2"/>
      <c r="FB101" s="2"/>
      <c r="FC101" s="2"/>
      <c r="FD101" s="2"/>
      <c r="FE101" s="2"/>
      <c r="FF101" s="2"/>
      <c r="FG101" s="2"/>
      <c r="FH101" s="2"/>
      <c r="FI101" s="2"/>
      <c r="FJ101" s="2"/>
      <c r="FK101" s="2"/>
      <c r="FL101" s="2"/>
      <c r="FM101" s="2"/>
      <c r="FN101" s="2"/>
      <c r="FO101" s="2"/>
      <c r="FP101" s="2"/>
      <c r="FQ101" s="2"/>
      <c r="FR101" s="2"/>
      <c r="FS101" s="2"/>
      <c r="FT101" s="2"/>
      <c r="FU101" s="2"/>
      <c r="FV101" s="2"/>
      <c r="FW101" s="2"/>
      <c r="FX101" s="2"/>
      <c r="FY101" s="2"/>
      <c r="FZ101" s="2"/>
      <c r="GA101" s="2"/>
      <c r="GB101" s="2"/>
      <c r="GC101" s="2"/>
      <c r="GD101" s="2"/>
      <c r="GE101" s="2"/>
      <c r="GF101" s="2"/>
      <c r="GG101" s="2"/>
      <c r="GH101" s="2"/>
      <c r="GI101" s="2"/>
      <c r="GJ101" s="2"/>
      <c r="GK101" s="2"/>
      <c r="GL101" s="2"/>
      <c r="GM101" s="2"/>
      <c r="GN101" s="2"/>
      <c r="GO101" s="2"/>
      <c r="GP101" s="2"/>
      <c r="GQ101" s="2"/>
      <c r="GR101" s="2"/>
      <c r="GS101" s="2"/>
      <c r="GT101" s="2"/>
      <c r="GU101" s="2"/>
      <c r="GV101" s="2"/>
    </row>
    <row r="102" ht="13.5" customHeight="1">
      <c r="A102" s="1"/>
      <c r="B102" s="1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1"/>
      <c r="P102" s="1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  <c r="DP102" s="2"/>
      <c r="DQ102" s="2"/>
      <c r="DR102" s="2"/>
      <c r="DS102" s="2"/>
      <c r="DT102" s="2"/>
      <c r="DU102" s="2"/>
      <c r="DV102" s="2"/>
      <c r="DW102" s="2"/>
      <c r="DX102" s="2"/>
      <c r="DY102" s="2"/>
      <c r="DZ102" s="2"/>
      <c r="EA102" s="2"/>
      <c r="EB102" s="2"/>
      <c r="EC102" s="2"/>
      <c r="ED102" s="2"/>
      <c r="EE102" s="2"/>
      <c r="EF102" s="2"/>
      <c r="EG102" s="2"/>
      <c r="EH102" s="2"/>
      <c r="EI102" s="2"/>
      <c r="EJ102" s="2"/>
      <c r="EK102" s="2"/>
      <c r="EL102" s="2"/>
      <c r="EM102" s="2"/>
      <c r="EN102" s="2"/>
      <c r="EO102" s="2"/>
      <c r="EP102" s="2"/>
      <c r="EQ102" s="2"/>
      <c r="ER102" s="2"/>
      <c r="ES102" s="2"/>
      <c r="ET102" s="2"/>
      <c r="EU102" s="2"/>
      <c r="EV102" s="2"/>
      <c r="EW102" s="2"/>
      <c r="EX102" s="2"/>
      <c r="EY102" s="2"/>
      <c r="EZ102" s="2"/>
      <c r="FA102" s="2"/>
      <c r="FB102" s="2"/>
      <c r="FC102" s="2"/>
      <c r="FD102" s="2"/>
      <c r="FE102" s="2"/>
      <c r="FF102" s="2"/>
      <c r="FG102" s="2"/>
      <c r="FH102" s="2"/>
      <c r="FI102" s="2"/>
      <c r="FJ102" s="2"/>
      <c r="FK102" s="2"/>
      <c r="FL102" s="2"/>
      <c r="FM102" s="2"/>
      <c r="FN102" s="2"/>
      <c r="FO102" s="2"/>
      <c r="FP102" s="2"/>
      <c r="FQ102" s="2"/>
      <c r="FR102" s="2"/>
      <c r="FS102" s="2"/>
      <c r="FT102" s="2"/>
      <c r="FU102" s="2"/>
      <c r="FV102" s="2"/>
      <c r="FW102" s="2"/>
      <c r="FX102" s="2"/>
      <c r="FY102" s="2"/>
      <c r="FZ102" s="2"/>
      <c r="GA102" s="2"/>
      <c r="GB102" s="2"/>
      <c r="GC102" s="2"/>
      <c r="GD102" s="2"/>
      <c r="GE102" s="2"/>
      <c r="GF102" s="2"/>
      <c r="GG102" s="2"/>
      <c r="GH102" s="2"/>
      <c r="GI102" s="2"/>
      <c r="GJ102" s="2"/>
      <c r="GK102" s="2"/>
      <c r="GL102" s="2"/>
      <c r="GM102" s="2"/>
      <c r="GN102" s="2"/>
      <c r="GO102" s="2"/>
      <c r="GP102" s="2"/>
      <c r="GQ102" s="2"/>
      <c r="GR102" s="2"/>
      <c r="GS102" s="2"/>
      <c r="GT102" s="2"/>
      <c r="GU102" s="2"/>
      <c r="GV102" s="2"/>
    </row>
    <row r="103" ht="13.5" customHeight="1">
      <c r="A103" s="1"/>
      <c r="B103" s="1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1"/>
      <c r="P103" s="1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  <c r="DP103" s="2"/>
      <c r="DQ103" s="2"/>
      <c r="DR103" s="2"/>
      <c r="DS103" s="2"/>
      <c r="DT103" s="2"/>
      <c r="DU103" s="2"/>
      <c r="DV103" s="2"/>
      <c r="DW103" s="2"/>
      <c r="DX103" s="2"/>
      <c r="DY103" s="2"/>
      <c r="DZ103" s="2"/>
      <c r="EA103" s="2"/>
      <c r="EB103" s="2"/>
      <c r="EC103" s="2"/>
      <c r="ED103" s="2"/>
      <c r="EE103" s="2"/>
      <c r="EF103" s="2"/>
      <c r="EG103" s="2"/>
      <c r="EH103" s="2"/>
      <c r="EI103" s="2"/>
      <c r="EJ103" s="2"/>
      <c r="EK103" s="2"/>
      <c r="EL103" s="2"/>
      <c r="EM103" s="2"/>
      <c r="EN103" s="2"/>
      <c r="EO103" s="2"/>
      <c r="EP103" s="2"/>
      <c r="EQ103" s="2"/>
      <c r="ER103" s="2"/>
      <c r="ES103" s="2"/>
      <c r="ET103" s="2"/>
      <c r="EU103" s="2"/>
      <c r="EV103" s="2"/>
      <c r="EW103" s="2"/>
      <c r="EX103" s="2"/>
      <c r="EY103" s="2"/>
      <c r="EZ103" s="2"/>
      <c r="FA103" s="2"/>
      <c r="FB103" s="2"/>
      <c r="FC103" s="2"/>
      <c r="FD103" s="2"/>
      <c r="FE103" s="2"/>
      <c r="FF103" s="2"/>
      <c r="FG103" s="2"/>
      <c r="FH103" s="2"/>
      <c r="FI103" s="2"/>
      <c r="FJ103" s="2"/>
      <c r="FK103" s="2"/>
      <c r="FL103" s="2"/>
      <c r="FM103" s="2"/>
      <c r="FN103" s="2"/>
      <c r="FO103" s="2"/>
      <c r="FP103" s="2"/>
      <c r="FQ103" s="2"/>
      <c r="FR103" s="2"/>
      <c r="FS103" s="2"/>
      <c r="FT103" s="2"/>
      <c r="FU103" s="2"/>
      <c r="FV103" s="2"/>
      <c r="FW103" s="2"/>
      <c r="FX103" s="2"/>
      <c r="FY103" s="2"/>
      <c r="FZ103" s="2"/>
      <c r="GA103" s="2"/>
      <c r="GB103" s="2"/>
      <c r="GC103" s="2"/>
      <c r="GD103" s="2"/>
      <c r="GE103" s="2"/>
      <c r="GF103" s="2"/>
      <c r="GG103" s="2"/>
      <c r="GH103" s="2"/>
      <c r="GI103" s="2"/>
      <c r="GJ103" s="2"/>
      <c r="GK103" s="2"/>
      <c r="GL103" s="2"/>
      <c r="GM103" s="2"/>
      <c r="GN103" s="2"/>
      <c r="GO103" s="2"/>
      <c r="GP103" s="2"/>
      <c r="GQ103" s="2"/>
      <c r="GR103" s="2"/>
      <c r="GS103" s="2"/>
      <c r="GT103" s="2"/>
      <c r="GU103" s="2"/>
      <c r="GV103" s="2"/>
    </row>
    <row r="104" ht="13.5" customHeight="1">
      <c r="A104" s="1"/>
      <c r="B104" s="1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1"/>
      <c r="P104" s="1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  <c r="DP104" s="2"/>
      <c r="DQ104" s="2"/>
      <c r="DR104" s="2"/>
      <c r="DS104" s="2"/>
      <c r="DT104" s="2"/>
      <c r="DU104" s="2"/>
      <c r="DV104" s="2"/>
      <c r="DW104" s="2"/>
      <c r="DX104" s="2"/>
      <c r="DY104" s="2"/>
      <c r="DZ104" s="2"/>
      <c r="EA104" s="2"/>
      <c r="EB104" s="2"/>
      <c r="EC104" s="2"/>
      <c r="ED104" s="2"/>
      <c r="EE104" s="2"/>
      <c r="EF104" s="2"/>
      <c r="EG104" s="2"/>
      <c r="EH104" s="2"/>
      <c r="EI104" s="2"/>
      <c r="EJ104" s="2"/>
      <c r="EK104" s="2"/>
      <c r="EL104" s="2"/>
      <c r="EM104" s="2"/>
      <c r="EN104" s="2"/>
      <c r="EO104" s="2"/>
      <c r="EP104" s="2"/>
      <c r="EQ104" s="2"/>
      <c r="ER104" s="2"/>
      <c r="ES104" s="2"/>
      <c r="ET104" s="2"/>
      <c r="EU104" s="2"/>
      <c r="EV104" s="2"/>
      <c r="EW104" s="2"/>
      <c r="EX104" s="2"/>
      <c r="EY104" s="2"/>
      <c r="EZ104" s="2"/>
      <c r="FA104" s="2"/>
      <c r="FB104" s="2"/>
      <c r="FC104" s="2"/>
      <c r="FD104" s="2"/>
      <c r="FE104" s="2"/>
      <c r="FF104" s="2"/>
      <c r="FG104" s="2"/>
      <c r="FH104" s="2"/>
      <c r="FI104" s="2"/>
      <c r="FJ104" s="2"/>
      <c r="FK104" s="2"/>
      <c r="FL104" s="2"/>
      <c r="FM104" s="2"/>
      <c r="FN104" s="2"/>
      <c r="FO104" s="2"/>
      <c r="FP104" s="2"/>
      <c r="FQ104" s="2"/>
      <c r="FR104" s="2"/>
      <c r="FS104" s="2"/>
      <c r="FT104" s="2"/>
      <c r="FU104" s="2"/>
      <c r="FV104" s="2"/>
      <c r="FW104" s="2"/>
      <c r="FX104" s="2"/>
      <c r="FY104" s="2"/>
      <c r="FZ104" s="2"/>
      <c r="GA104" s="2"/>
      <c r="GB104" s="2"/>
      <c r="GC104" s="2"/>
      <c r="GD104" s="2"/>
      <c r="GE104" s="2"/>
      <c r="GF104" s="2"/>
      <c r="GG104" s="2"/>
      <c r="GH104" s="2"/>
      <c r="GI104" s="2"/>
      <c r="GJ104" s="2"/>
      <c r="GK104" s="2"/>
      <c r="GL104" s="2"/>
      <c r="GM104" s="2"/>
      <c r="GN104" s="2"/>
      <c r="GO104" s="2"/>
      <c r="GP104" s="2"/>
      <c r="GQ104" s="2"/>
      <c r="GR104" s="2"/>
      <c r="GS104" s="2"/>
      <c r="GT104" s="2"/>
      <c r="GU104" s="2"/>
      <c r="GV104" s="2"/>
    </row>
    <row r="105" ht="13.5" customHeight="1">
      <c r="A105" s="1"/>
      <c r="B105" s="1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1"/>
      <c r="P105" s="1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  <c r="DP105" s="2"/>
      <c r="DQ105" s="2"/>
      <c r="DR105" s="2"/>
      <c r="DS105" s="2"/>
      <c r="DT105" s="2"/>
      <c r="DU105" s="2"/>
      <c r="DV105" s="2"/>
      <c r="DW105" s="2"/>
      <c r="DX105" s="2"/>
      <c r="DY105" s="2"/>
      <c r="DZ105" s="2"/>
      <c r="EA105" s="2"/>
      <c r="EB105" s="2"/>
      <c r="EC105" s="2"/>
      <c r="ED105" s="2"/>
      <c r="EE105" s="2"/>
      <c r="EF105" s="2"/>
      <c r="EG105" s="2"/>
      <c r="EH105" s="2"/>
      <c r="EI105" s="2"/>
      <c r="EJ105" s="2"/>
      <c r="EK105" s="2"/>
      <c r="EL105" s="2"/>
      <c r="EM105" s="2"/>
      <c r="EN105" s="2"/>
      <c r="EO105" s="2"/>
      <c r="EP105" s="2"/>
      <c r="EQ105" s="2"/>
      <c r="ER105" s="2"/>
      <c r="ES105" s="2"/>
      <c r="ET105" s="2"/>
      <c r="EU105" s="2"/>
      <c r="EV105" s="2"/>
      <c r="EW105" s="2"/>
      <c r="EX105" s="2"/>
      <c r="EY105" s="2"/>
      <c r="EZ105" s="2"/>
      <c r="FA105" s="2"/>
      <c r="FB105" s="2"/>
      <c r="FC105" s="2"/>
      <c r="FD105" s="2"/>
      <c r="FE105" s="2"/>
      <c r="FF105" s="2"/>
      <c r="FG105" s="2"/>
      <c r="FH105" s="2"/>
      <c r="FI105" s="2"/>
      <c r="FJ105" s="2"/>
      <c r="FK105" s="2"/>
      <c r="FL105" s="2"/>
      <c r="FM105" s="2"/>
      <c r="FN105" s="2"/>
      <c r="FO105" s="2"/>
      <c r="FP105" s="2"/>
      <c r="FQ105" s="2"/>
      <c r="FR105" s="2"/>
      <c r="FS105" s="2"/>
      <c r="FT105" s="2"/>
      <c r="FU105" s="2"/>
      <c r="FV105" s="2"/>
      <c r="FW105" s="2"/>
      <c r="FX105" s="2"/>
      <c r="FY105" s="2"/>
      <c r="FZ105" s="2"/>
      <c r="GA105" s="2"/>
      <c r="GB105" s="2"/>
      <c r="GC105" s="2"/>
      <c r="GD105" s="2"/>
      <c r="GE105" s="2"/>
      <c r="GF105" s="2"/>
      <c r="GG105" s="2"/>
      <c r="GH105" s="2"/>
      <c r="GI105" s="2"/>
      <c r="GJ105" s="2"/>
      <c r="GK105" s="2"/>
      <c r="GL105" s="2"/>
      <c r="GM105" s="2"/>
      <c r="GN105" s="2"/>
      <c r="GO105" s="2"/>
      <c r="GP105" s="2"/>
      <c r="GQ105" s="2"/>
      <c r="GR105" s="2"/>
      <c r="GS105" s="2"/>
      <c r="GT105" s="2"/>
      <c r="GU105" s="2"/>
      <c r="GV105" s="2"/>
    </row>
    <row r="106" ht="13.5" customHeight="1">
      <c r="A106" s="1"/>
      <c r="B106" s="1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1"/>
      <c r="P106" s="1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  <c r="DP106" s="2"/>
      <c r="DQ106" s="2"/>
      <c r="DR106" s="2"/>
      <c r="DS106" s="2"/>
      <c r="DT106" s="2"/>
      <c r="DU106" s="2"/>
      <c r="DV106" s="2"/>
      <c r="DW106" s="2"/>
      <c r="DX106" s="2"/>
      <c r="DY106" s="2"/>
      <c r="DZ106" s="2"/>
      <c r="EA106" s="2"/>
      <c r="EB106" s="2"/>
      <c r="EC106" s="2"/>
      <c r="ED106" s="2"/>
      <c r="EE106" s="2"/>
      <c r="EF106" s="2"/>
      <c r="EG106" s="2"/>
      <c r="EH106" s="2"/>
      <c r="EI106" s="2"/>
      <c r="EJ106" s="2"/>
      <c r="EK106" s="2"/>
      <c r="EL106" s="2"/>
      <c r="EM106" s="2"/>
      <c r="EN106" s="2"/>
      <c r="EO106" s="2"/>
      <c r="EP106" s="2"/>
      <c r="EQ106" s="2"/>
      <c r="ER106" s="2"/>
      <c r="ES106" s="2"/>
      <c r="ET106" s="2"/>
      <c r="EU106" s="2"/>
      <c r="EV106" s="2"/>
      <c r="EW106" s="2"/>
      <c r="EX106" s="2"/>
      <c r="EY106" s="2"/>
      <c r="EZ106" s="2"/>
      <c r="FA106" s="2"/>
      <c r="FB106" s="2"/>
      <c r="FC106" s="2"/>
      <c r="FD106" s="2"/>
      <c r="FE106" s="2"/>
      <c r="FF106" s="2"/>
      <c r="FG106" s="2"/>
      <c r="FH106" s="2"/>
      <c r="FI106" s="2"/>
      <c r="FJ106" s="2"/>
      <c r="FK106" s="2"/>
      <c r="FL106" s="2"/>
      <c r="FM106" s="2"/>
      <c r="FN106" s="2"/>
      <c r="FO106" s="2"/>
      <c r="FP106" s="2"/>
      <c r="FQ106" s="2"/>
      <c r="FR106" s="2"/>
      <c r="FS106" s="2"/>
      <c r="FT106" s="2"/>
      <c r="FU106" s="2"/>
      <c r="FV106" s="2"/>
      <c r="FW106" s="2"/>
      <c r="FX106" s="2"/>
      <c r="FY106" s="2"/>
      <c r="FZ106" s="2"/>
      <c r="GA106" s="2"/>
      <c r="GB106" s="2"/>
      <c r="GC106" s="2"/>
      <c r="GD106" s="2"/>
      <c r="GE106" s="2"/>
      <c r="GF106" s="2"/>
      <c r="GG106" s="2"/>
      <c r="GH106" s="2"/>
      <c r="GI106" s="2"/>
      <c r="GJ106" s="2"/>
      <c r="GK106" s="2"/>
      <c r="GL106" s="2"/>
      <c r="GM106" s="2"/>
      <c r="GN106" s="2"/>
      <c r="GO106" s="2"/>
      <c r="GP106" s="2"/>
      <c r="GQ106" s="2"/>
      <c r="GR106" s="2"/>
      <c r="GS106" s="2"/>
      <c r="GT106" s="2"/>
      <c r="GU106" s="2"/>
      <c r="GV106" s="2"/>
    </row>
    <row r="107" ht="13.5" customHeight="1">
      <c r="A107" s="1"/>
      <c r="B107" s="1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1"/>
      <c r="P107" s="1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  <c r="DP107" s="2"/>
      <c r="DQ107" s="2"/>
      <c r="DR107" s="2"/>
      <c r="DS107" s="2"/>
      <c r="DT107" s="2"/>
      <c r="DU107" s="2"/>
      <c r="DV107" s="2"/>
      <c r="DW107" s="2"/>
      <c r="DX107" s="2"/>
      <c r="DY107" s="2"/>
      <c r="DZ107" s="2"/>
      <c r="EA107" s="2"/>
      <c r="EB107" s="2"/>
      <c r="EC107" s="2"/>
      <c r="ED107" s="2"/>
      <c r="EE107" s="2"/>
      <c r="EF107" s="2"/>
      <c r="EG107" s="2"/>
      <c r="EH107" s="2"/>
      <c r="EI107" s="2"/>
      <c r="EJ107" s="2"/>
      <c r="EK107" s="2"/>
      <c r="EL107" s="2"/>
      <c r="EM107" s="2"/>
      <c r="EN107" s="2"/>
      <c r="EO107" s="2"/>
      <c r="EP107" s="2"/>
      <c r="EQ107" s="2"/>
      <c r="ER107" s="2"/>
      <c r="ES107" s="2"/>
      <c r="ET107" s="2"/>
      <c r="EU107" s="2"/>
      <c r="EV107" s="2"/>
      <c r="EW107" s="2"/>
      <c r="EX107" s="2"/>
      <c r="EY107" s="2"/>
      <c r="EZ107" s="2"/>
      <c r="FA107" s="2"/>
      <c r="FB107" s="2"/>
      <c r="FC107" s="2"/>
      <c r="FD107" s="2"/>
      <c r="FE107" s="2"/>
      <c r="FF107" s="2"/>
      <c r="FG107" s="2"/>
      <c r="FH107" s="2"/>
      <c r="FI107" s="2"/>
      <c r="FJ107" s="2"/>
      <c r="FK107" s="2"/>
      <c r="FL107" s="2"/>
      <c r="FM107" s="2"/>
      <c r="FN107" s="2"/>
      <c r="FO107" s="2"/>
      <c r="FP107" s="2"/>
      <c r="FQ107" s="2"/>
      <c r="FR107" s="2"/>
      <c r="FS107" s="2"/>
      <c r="FT107" s="2"/>
      <c r="FU107" s="2"/>
      <c r="FV107" s="2"/>
      <c r="FW107" s="2"/>
      <c r="FX107" s="2"/>
      <c r="FY107" s="2"/>
      <c r="FZ107" s="2"/>
      <c r="GA107" s="2"/>
      <c r="GB107" s="2"/>
      <c r="GC107" s="2"/>
      <c r="GD107" s="2"/>
      <c r="GE107" s="2"/>
      <c r="GF107" s="2"/>
      <c r="GG107" s="2"/>
      <c r="GH107" s="2"/>
      <c r="GI107" s="2"/>
      <c r="GJ107" s="2"/>
      <c r="GK107" s="2"/>
      <c r="GL107" s="2"/>
      <c r="GM107" s="2"/>
      <c r="GN107" s="2"/>
      <c r="GO107" s="2"/>
      <c r="GP107" s="2"/>
      <c r="GQ107" s="2"/>
      <c r="GR107" s="2"/>
      <c r="GS107" s="2"/>
      <c r="GT107" s="2"/>
      <c r="GU107" s="2"/>
      <c r="GV107" s="2"/>
    </row>
    <row r="108" ht="13.5" customHeight="1">
      <c r="A108" s="1"/>
      <c r="B108" s="1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1"/>
      <c r="P108" s="1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  <c r="DP108" s="2"/>
      <c r="DQ108" s="2"/>
      <c r="DR108" s="2"/>
      <c r="DS108" s="2"/>
      <c r="DT108" s="2"/>
      <c r="DU108" s="2"/>
      <c r="DV108" s="2"/>
      <c r="DW108" s="2"/>
      <c r="DX108" s="2"/>
      <c r="DY108" s="2"/>
      <c r="DZ108" s="2"/>
      <c r="EA108" s="2"/>
      <c r="EB108" s="2"/>
      <c r="EC108" s="2"/>
      <c r="ED108" s="2"/>
      <c r="EE108" s="2"/>
      <c r="EF108" s="2"/>
      <c r="EG108" s="2"/>
      <c r="EH108" s="2"/>
      <c r="EI108" s="2"/>
      <c r="EJ108" s="2"/>
      <c r="EK108" s="2"/>
      <c r="EL108" s="2"/>
      <c r="EM108" s="2"/>
      <c r="EN108" s="2"/>
      <c r="EO108" s="2"/>
      <c r="EP108" s="2"/>
      <c r="EQ108" s="2"/>
      <c r="ER108" s="2"/>
      <c r="ES108" s="2"/>
      <c r="ET108" s="2"/>
      <c r="EU108" s="2"/>
      <c r="EV108" s="2"/>
      <c r="EW108" s="2"/>
      <c r="EX108" s="2"/>
      <c r="EY108" s="2"/>
      <c r="EZ108" s="2"/>
      <c r="FA108" s="2"/>
      <c r="FB108" s="2"/>
      <c r="FC108" s="2"/>
      <c r="FD108" s="2"/>
      <c r="FE108" s="2"/>
      <c r="FF108" s="2"/>
      <c r="FG108" s="2"/>
      <c r="FH108" s="2"/>
      <c r="FI108" s="2"/>
      <c r="FJ108" s="2"/>
      <c r="FK108" s="2"/>
      <c r="FL108" s="2"/>
      <c r="FM108" s="2"/>
      <c r="FN108" s="2"/>
      <c r="FO108" s="2"/>
      <c r="FP108" s="2"/>
      <c r="FQ108" s="2"/>
      <c r="FR108" s="2"/>
      <c r="FS108" s="2"/>
      <c r="FT108" s="2"/>
      <c r="FU108" s="2"/>
      <c r="FV108" s="2"/>
      <c r="FW108" s="2"/>
      <c r="FX108" s="2"/>
      <c r="FY108" s="2"/>
      <c r="FZ108" s="2"/>
      <c r="GA108" s="2"/>
      <c r="GB108" s="2"/>
      <c r="GC108" s="2"/>
      <c r="GD108" s="2"/>
      <c r="GE108" s="2"/>
      <c r="GF108" s="2"/>
      <c r="GG108" s="2"/>
      <c r="GH108" s="2"/>
      <c r="GI108" s="2"/>
      <c r="GJ108" s="2"/>
      <c r="GK108" s="2"/>
      <c r="GL108" s="2"/>
      <c r="GM108" s="2"/>
      <c r="GN108" s="2"/>
      <c r="GO108" s="2"/>
      <c r="GP108" s="2"/>
      <c r="GQ108" s="2"/>
      <c r="GR108" s="2"/>
      <c r="GS108" s="2"/>
      <c r="GT108" s="2"/>
      <c r="GU108" s="2"/>
      <c r="GV108" s="2"/>
    </row>
    <row r="109" ht="13.5" customHeight="1">
      <c r="A109" s="1"/>
      <c r="B109" s="1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1"/>
      <c r="P109" s="1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  <c r="DP109" s="2"/>
      <c r="DQ109" s="2"/>
      <c r="DR109" s="2"/>
      <c r="DS109" s="2"/>
      <c r="DT109" s="2"/>
      <c r="DU109" s="2"/>
      <c r="DV109" s="2"/>
      <c r="DW109" s="2"/>
      <c r="DX109" s="2"/>
      <c r="DY109" s="2"/>
      <c r="DZ109" s="2"/>
      <c r="EA109" s="2"/>
      <c r="EB109" s="2"/>
      <c r="EC109" s="2"/>
      <c r="ED109" s="2"/>
      <c r="EE109" s="2"/>
      <c r="EF109" s="2"/>
      <c r="EG109" s="2"/>
      <c r="EH109" s="2"/>
      <c r="EI109" s="2"/>
      <c r="EJ109" s="2"/>
      <c r="EK109" s="2"/>
      <c r="EL109" s="2"/>
      <c r="EM109" s="2"/>
      <c r="EN109" s="2"/>
      <c r="EO109" s="2"/>
      <c r="EP109" s="2"/>
      <c r="EQ109" s="2"/>
      <c r="ER109" s="2"/>
      <c r="ES109" s="2"/>
      <c r="ET109" s="2"/>
      <c r="EU109" s="2"/>
      <c r="EV109" s="2"/>
      <c r="EW109" s="2"/>
      <c r="EX109" s="2"/>
      <c r="EY109" s="2"/>
      <c r="EZ109" s="2"/>
      <c r="FA109" s="2"/>
      <c r="FB109" s="2"/>
      <c r="FC109" s="2"/>
      <c r="FD109" s="2"/>
      <c r="FE109" s="2"/>
      <c r="FF109" s="2"/>
      <c r="FG109" s="2"/>
      <c r="FH109" s="2"/>
      <c r="FI109" s="2"/>
      <c r="FJ109" s="2"/>
      <c r="FK109" s="2"/>
      <c r="FL109" s="2"/>
      <c r="FM109" s="2"/>
      <c r="FN109" s="2"/>
      <c r="FO109" s="2"/>
      <c r="FP109" s="2"/>
      <c r="FQ109" s="2"/>
      <c r="FR109" s="2"/>
      <c r="FS109" s="2"/>
      <c r="FT109" s="2"/>
      <c r="FU109" s="2"/>
      <c r="FV109" s="2"/>
      <c r="FW109" s="2"/>
      <c r="FX109" s="2"/>
      <c r="FY109" s="2"/>
      <c r="FZ109" s="2"/>
      <c r="GA109" s="2"/>
      <c r="GB109" s="2"/>
      <c r="GC109" s="2"/>
      <c r="GD109" s="2"/>
      <c r="GE109" s="2"/>
      <c r="GF109" s="2"/>
      <c r="GG109" s="2"/>
      <c r="GH109" s="2"/>
      <c r="GI109" s="2"/>
      <c r="GJ109" s="2"/>
      <c r="GK109" s="2"/>
      <c r="GL109" s="2"/>
      <c r="GM109" s="2"/>
      <c r="GN109" s="2"/>
      <c r="GO109" s="2"/>
      <c r="GP109" s="2"/>
      <c r="GQ109" s="2"/>
      <c r="GR109" s="2"/>
      <c r="GS109" s="2"/>
      <c r="GT109" s="2"/>
      <c r="GU109" s="2"/>
      <c r="GV109" s="2"/>
    </row>
    <row r="110" ht="13.5" customHeight="1">
      <c r="A110" s="1"/>
      <c r="B110" s="1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1"/>
      <c r="P110" s="1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  <c r="DU110" s="2"/>
      <c r="DV110" s="2"/>
      <c r="DW110" s="2"/>
      <c r="DX110" s="2"/>
      <c r="DY110" s="2"/>
      <c r="DZ110" s="2"/>
      <c r="EA110" s="2"/>
      <c r="EB110" s="2"/>
      <c r="EC110" s="2"/>
      <c r="ED110" s="2"/>
      <c r="EE110" s="2"/>
      <c r="EF110" s="2"/>
      <c r="EG110" s="2"/>
      <c r="EH110" s="2"/>
      <c r="EI110" s="2"/>
      <c r="EJ110" s="2"/>
      <c r="EK110" s="2"/>
      <c r="EL110" s="2"/>
      <c r="EM110" s="2"/>
      <c r="EN110" s="2"/>
      <c r="EO110" s="2"/>
      <c r="EP110" s="2"/>
      <c r="EQ110" s="2"/>
      <c r="ER110" s="2"/>
      <c r="ES110" s="2"/>
      <c r="ET110" s="2"/>
      <c r="EU110" s="2"/>
      <c r="EV110" s="2"/>
      <c r="EW110" s="2"/>
      <c r="EX110" s="2"/>
      <c r="EY110" s="2"/>
      <c r="EZ110" s="2"/>
      <c r="FA110" s="2"/>
      <c r="FB110" s="2"/>
      <c r="FC110" s="2"/>
      <c r="FD110" s="2"/>
      <c r="FE110" s="2"/>
      <c r="FF110" s="2"/>
      <c r="FG110" s="2"/>
      <c r="FH110" s="2"/>
      <c r="FI110" s="2"/>
      <c r="FJ110" s="2"/>
      <c r="FK110" s="2"/>
      <c r="FL110" s="2"/>
      <c r="FM110" s="2"/>
      <c r="FN110" s="2"/>
      <c r="FO110" s="2"/>
      <c r="FP110" s="2"/>
      <c r="FQ110" s="2"/>
      <c r="FR110" s="2"/>
      <c r="FS110" s="2"/>
      <c r="FT110" s="2"/>
      <c r="FU110" s="2"/>
      <c r="FV110" s="2"/>
      <c r="FW110" s="2"/>
      <c r="FX110" s="2"/>
      <c r="FY110" s="2"/>
      <c r="FZ110" s="2"/>
      <c r="GA110" s="2"/>
      <c r="GB110" s="2"/>
      <c r="GC110" s="2"/>
      <c r="GD110" s="2"/>
      <c r="GE110" s="2"/>
      <c r="GF110" s="2"/>
      <c r="GG110" s="2"/>
      <c r="GH110" s="2"/>
      <c r="GI110" s="2"/>
      <c r="GJ110" s="2"/>
      <c r="GK110" s="2"/>
      <c r="GL110" s="2"/>
      <c r="GM110" s="2"/>
      <c r="GN110" s="2"/>
      <c r="GO110" s="2"/>
      <c r="GP110" s="2"/>
      <c r="GQ110" s="2"/>
      <c r="GR110" s="2"/>
      <c r="GS110" s="2"/>
      <c r="GT110" s="2"/>
      <c r="GU110" s="2"/>
      <c r="GV110" s="2"/>
    </row>
    <row r="111" ht="13.5" customHeight="1">
      <c r="A111" s="1"/>
      <c r="B111" s="1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1"/>
      <c r="P111" s="1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  <c r="DP111" s="2"/>
      <c r="DQ111" s="2"/>
      <c r="DR111" s="2"/>
      <c r="DS111" s="2"/>
      <c r="DT111" s="2"/>
      <c r="DU111" s="2"/>
      <c r="DV111" s="2"/>
      <c r="DW111" s="2"/>
      <c r="DX111" s="2"/>
      <c r="DY111" s="2"/>
      <c r="DZ111" s="2"/>
      <c r="EA111" s="2"/>
      <c r="EB111" s="2"/>
      <c r="EC111" s="2"/>
      <c r="ED111" s="2"/>
      <c r="EE111" s="2"/>
      <c r="EF111" s="2"/>
      <c r="EG111" s="2"/>
      <c r="EH111" s="2"/>
      <c r="EI111" s="2"/>
      <c r="EJ111" s="2"/>
      <c r="EK111" s="2"/>
      <c r="EL111" s="2"/>
      <c r="EM111" s="2"/>
      <c r="EN111" s="2"/>
      <c r="EO111" s="2"/>
      <c r="EP111" s="2"/>
      <c r="EQ111" s="2"/>
      <c r="ER111" s="2"/>
      <c r="ES111" s="2"/>
      <c r="ET111" s="2"/>
      <c r="EU111" s="2"/>
      <c r="EV111" s="2"/>
      <c r="EW111" s="2"/>
      <c r="EX111" s="2"/>
      <c r="EY111" s="2"/>
      <c r="EZ111" s="2"/>
      <c r="FA111" s="2"/>
      <c r="FB111" s="2"/>
      <c r="FC111" s="2"/>
      <c r="FD111" s="2"/>
      <c r="FE111" s="2"/>
      <c r="FF111" s="2"/>
      <c r="FG111" s="2"/>
      <c r="FH111" s="2"/>
      <c r="FI111" s="2"/>
      <c r="FJ111" s="2"/>
      <c r="FK111" s="2"/>
      <c r="FL111" s="2"/>
      <c r="FM111" s="2"/>
      <c r="FN111" s="2"/>
      <c r="FO111" s="2"/>
      <c r="FP111" s="2"/>
      <c r="FQ111" s="2"/>
      <c r="FR111" s="2"/>
      <c r="FS111" s="2"/>
      <c r="FT111" s="2"/>
      <c r="FU111" s="2"/>
      <c r="FV111" s="2"/>
      <c r="FW111" s="2"/>
      <c r="FX111" s="2"/>
      <c r="FY111" s="2"/>
      <c r="FZ111" s="2"/>
      <c r="GA111" s="2"/>
      <c r="GB111" s="2"/>
      <c r="GC111" s="2"/>
      <c r="GD111" s="2"/>
      <c r="GE111" s="2"/>
      <c r="GF111" s="2"/>
      <c r="GG111" s="2"/>
      <c r="GH111" s="2"/>
      <c r="GI111" s="2"/>
      <c r="GJ111" s="2"/>
      <c r="GK111" s="2"/>
      <c r="GL111" s="2"/>
      <c r="GM111" s="2"/>
      <c r="GN111" s="2"/>
      <c r="GO111" s="2"/>
      <c r="GP111" s="2"/>
      <c r="GQ111" s="2"/>
      <c r="GR111" s="2"/>
      <c r="GS111" s="2"/>
      <c r="GT111" s="2"/>
      <c r="GU111" s="2"/>
      <c r="GV111" s="2"/>
    </row>
    <row r="112" ht="13.5" customHeight="1">
      <c r="A112" s="1"/>
      <c r="B112" s="1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1"/>
      <c r="P112" s="1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  <c r="DP112" s="2"/>
      <c r="DQ112" s="2"/>
      <c r="DR112" s="2"/>
      <c r="DS112" s="2"/>
      <c r="DT112" s="2"/>
      <c r="DU112" s="2"/>
      <c r="DV112" s="2"/>
      <c r="DW112" s="2"/>
      <c r="DX112" s="2"/>
      <c r="DY112" s="2"/>
      <c r="DZ112" s="2"/>
      <c r="EA112" s="2"/>
      <c r="EB112" s="2"/>
      <c r="EC112" s="2"/>
      <c r="ED112" s="2"/>
      <c r="EE112" s="2"/>
      <c r="EF112" s="2"/>
      <c r="EG112" s="2"/>
      <c r="EH112" s="2"/>
      <c r="EI112" s="2"/>
      <c r="EJ112" s="2"/>
      <c r="EK112" s="2"/>
      <c r="EL112" s="2"/>
      <c r="EM112" s="2"/>
      <c r="EN112" s="2"/>
      <c r="EO112" s="2"/>
      <c r="EP112" s="2"/>
      <c r="EQ112" s="2"/>
      <c r="ER112" s="2"/>
      <c r="ES112" s="2"/>
      <c r="ET112" s="2"/>
      <c r="EU112" s="2"/>
      <c r="EV112" s="2"/>
      <c r="EW112" s="2"/>
      <c r="EX112" s="2"/>
      <c r="EY112" s="2"/>
      <c r="EZ112" s="2"/>
      <c r="FA112" s="2"/>
      <c r="FB112" s="2"/>
      <c r="FC112" s="2"/>
      <c r="FD112" s="2"/>
      <c r="FE112" s="2"/>
      <c r="FF112" s="2"/>
      <c r="FG112" s="2"/>
      <c r="FH112" s="2"/>
      <c r="FI112" s="2"/>
      <c r="FJ112" s="2"/>
      <c r="FK112" s="2"/>
      <c r="FL112" s="2"/>
      <c r="FM112" s="2"/>
      <c r="FN112" s="2"/>
      <c r="FO112" s="2"/>
      <c r="FP112" s="2"/>
      <c r="FQ112" s="2"/>
      <c r="FR112" s="2"/>
      <c r="FS112" s="2"/>
      <c r="FT112" s="2"/>
      <c r="FU112" s="2"/>
      <c r="FV112" s="2"/>
      <c r="FW112" s="2"/>
      <c r="FX112" s="2"/>
      <c r="FY112" s="2"/>
      <c r="FZ112" s="2"/>
      <c r="GA112" s="2"/>
      <c r="GB112" s="2"/>
      <c r="GC112" s="2"/>
      <c r="GD112" s="2"/>
      <c r="GE112" s="2"/>
      <c r="GF112" s="2"/>
      <c r="GG112" s="2"/>
      <c r="GH112" s="2"/>
      <c r="GI112" s="2"/>
      <c r="GJ112" s="2"/>
      <c r="GK112" s="2"/>
      <c r="GL112" s="2"/>
      <c r="GM112" s="2"/>
      <c r="GN112" s="2"/>
      <c r="GO112" s="2"/>
      <c r="GP112" s="2"/>
      <c r="GQ112" s="2"/>
      <c r="GR112" s="2"/>
      <c r="GS112" s="2"/>
      <c r="GT112" s="2"/>
      <c r="GU112" s="2"/>
      <c r="GV112" s="2"/>
    </row>
    <row r="113" ht="13.5" customHeight="1">
      <c r="A113" s="1"/>
      <c r="B113" s="1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1"/>
      <c r="P113" s="1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/>
      <c r="DU113" s="2"/>
      <c r="DV113" s="2"/>
      <c r="DW113" s="2"/>
      <c r="DX113" s="2"/>
      <c r="DY113" s="2"/>
      <c r="DZ113" s="2"/>
      <c r="EA113" s="2"/>
      <c r="EB113" s="2"/>
      <c r="EC113" s="2"/>
      <c r="ED113" s="2"/>
      <c r="EE113" s="2"/>
      <c r="EF113" s="2"/>
      <c r="EG113" s="2"/>
      <c r="EH113" s="2"/>
      <c r="EI113" s="2"/>
      <c r="EJ113" s="2"/>
      <c r="EK113" s="2"/>
      <c r="EL113" s="2"/>
      <c r="EM113" s="2"/>
      <c r="EN113" s="2"/>
      <c r="EO113" s="2"/>
      <c r="EP113" s="2"/>
      <c r="EQ113" s="2"/>
      <c r="ER113" s="2"/>
      <c r="ES113" s="2"/>
      <c r="ET113" s="2"/>
      <c r="EU113" s="2"/>
      <c r="EV113" s="2"/>
      <c r="EW113" s="2"/>
      <c r="EX113" s="2"/>
      <c r="EY113" s="2"/>
      <c r="EZ113" s="2"/>
      <c r="FA113" s="2"/>
      <c r="FB113" s="2"/>
      <c r="FC113" s="2"/>
      <c r="FD113" s="2"/>
      <c r="FE113" s="2"/>
      <c r="FF113" s="2"/>
      <c r="FG113" s="2"/>
      <c r="FH113" s="2"/>
      <c r="FI113" s="2"/>
      <c r="FJ113" s="2"/>
      <c r="FK113" s="2"/>
      <c r="FL113" s="2"/>
      <c r="FM113" s="2"/>
      <c r="FN113" s="2"/>
      <c r="FO113" s="2"/>
      <c r="FP113" s="2"/>
      <c r="FQ113" s="2"/>
      <c r="FR113" s="2"/>
      <c r="FS113" s="2"/>
      <c r="FT113" s="2"/>
      <c r="FU113" s="2"/>
      <c r="FV113" s="2"/>
      <c r="FW113" s="2"/>
      <c r="FX113" s="2"/>
      <c r="FY113" s="2"/>
      <c r="FZ113" s="2"/>
      <c r="GA113" s="2"/>
      <c r="GB113" s="2"/>
      <c r="GC113" s="2"/>
      <c r="GD113" s="2"/>
      <c r="GE113" s="2"/>
      <c r="GF113" s="2"/>
      <c r="GG113" s="2"/>
      <c r="GH113" s="2"/>
      <c r="GI113" s="2"/>
      <c r="GJ113" s="2"/>
      <c r="GK113" s="2"/>
      <c r="GL113" s="2"/>
      <c r="GM113" s="2"/>
      <c r="GN113" s="2"/>
      <c r="GO113" s="2"/>
      <c r="GP113" s="2"/>
      <c r="GQ113" s="2"/>
      <c r="GR113" s="2"/>
      <c r="GS113" s="2"/>
      <c r="GT113" s="2"/>
      <c r="GU113" s="2"/>
      <c r="GV113" s="2"/>
    </row>
    <row r="114" ht="13.5" customHeight="1">
      <c r="A114" s="1"/>
      <c r="B114" s="1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1"/>
      <c r="P114" s="1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  <c r="DP114" s="2"/>
      <c r="DQ114" s="2"/>
      <c r="DR114" s="2"/>
      <c r="DS114" s="2"/>
      <c r="DT114" s="2"/>
      <c r="DU114" s="2"/>
      <c r="DV114" s="2"/>
      <c r="DW114" s="2"/>
      <c r="DX114" s="2"/>
      <c r="DY114" s="2"/>
      <c r="DZ114" s="2"/>
      <c r="EA114" s="2"/>
      <c r="EB114" s="2"/>
      <c r="EC114" s="2"/>
      <c r="ED114" s="2"/>
      <c r="EE114" s="2"/>
      <c r="EF114" s="2"/>
      <c r="EG114" s="2"/>
      <c r="EH114" s="2"/>
      <c r="EI114" s="2"/>
      <c r="EJ114" s="2"/>
      <c r="EK114" s="2"/>
      <c r="EL114" s="2"/>
      <c r="EM114" s="2"/>
      <c r="EN114" s="2"/>
      <c r="EO114" s="2"/>
      <c r="EP114" s="2"/>
      <c r="EQ114" s="2"/>
      <c r="ER114" s="2"/>
      <c r="ES114" s="2"/>
      <c r="ET114" s="2"/>
      <c r="EU114" s="2"/>
      <c r="EV114" s="2"/>
      <c r="EW114" s="2"/>
      <c r="EX114" s="2"/>
      <c r="EY114" s="2"/>
      <c r="EZ114" s="2"/>
      <c r="FA114" s="2"/>
      <c r="FB114" s="2"/>
      <c r="FC114" s="2"/>
      <c r="FD114" s="2"/>
      <c r="FE114" s="2"/>
      <c r="FF114" s="2"/>
      <c r="FG114" s="2"/>
      <c r="FH114" s="2"/>
      <c r="FI114" s="2"/>
      <c r="FJ114" s="2"/>
      <c r="FK114" s="2"/>
      <c r="FL114" s="2"/>
      <c r="FM114" s="2"/>
      <c r="FN114" s="2"/>
      <c r="FO114" s="2"/>
      <c r="FP114" s="2"/>
      <c r="FQ114" s="2"/>
      <c r="FR114" s="2"/>
      <c r="FS114" s="2"/>
      <c r="FT114" s="2"/>
      <c r="FU114" s="2"/>
      <c r="FV114" s="2"/>
      <c r="FW114" s="2"/>
      <c r="FX114" s="2"/>
      <c r="FY114" s="2"/>
      <c r="FZ114" s="2"/>
      <c r="GA114" s="2"/>
      <c r="GB114" s="2"/>
      <c r="GC114" s="2"/>
      <c r="GD114" s="2"/>
      <c r="GE114" s="2"/>
      <c r="GF114" s="2"/>
      <c r="GG114" s="2"/>
      <c r="GH114" s="2"/>
      <c r="GI114" s="2"/>
      <c r="GJ114" s="2"/>
      <c r="GK114" s="2"/>
      <c r="GL114" s="2"/>
      <c r="GM114" s="2"/>
      <c r="GN114" s="2"/>
      <c r="GO114" s="2"/>
      <c r="GP114" s="2"/>
      <c r="GQ114" s="2"/>
      <c r="GR114" s="2"/>
      <c r="GS114" s="2"/>
      <c r="GT114" s="2"/>
      <c r="GU114" s="2"/>
      <c r="GV114" s="2"/>
    </row>
    <row r="115" ht="13.5" customHeight="1">
      <c r="A115" s="1"/>
      <c r="B115" s="1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1"/>
      <c r="P115" s="1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  <c r="DP115" s="2"/>
      <c r="DQ115" s="2"/>
      <c r="DR115" s="2"/>
      <c r="DS115" s="2"/>
      <c r="DT115" s="2"/>
      <c r="DU115" s="2"/>
      <c r="DV115" s="2"/>
      <c r="DW115" s="2"/>
      <c r="DX115" s="2"/>
      <c r="DY115" s="2"/>
      <c r="DZ115" s="2"/>
      <c r="EA115" s="2"/>
      <c r="EB115" s="2"/>
      <c r="EC115" s="2"/>
      <c r="ED115" s="2"/>
      <c r="EE115" s="2"/>
      <c r="EF115" s="2"/>
      <c r="EG115" s="2"/>
      <c r="EH115" s="2"/>
      <c r="EI115" s="2"/>
      <c r="EJ115" s="2"/>
      <c r="EK115" s="2"/>
      <c r="EL115" s="2"/>
      <c r="EM115" s="2"/>
      <c r="EN115" s="2"/>
      <c r="EO115" s="2"/>
      <c r="EP115" s="2"/>
      <c r="EQ115" s="2"/>
      <c r="ER115" s="2"/>
      <c r="ES115" s="2"/>
      <c r="ET115" s="2"/>
      <c r="EU115" s="2"/>
      <c r="EV115" s="2"/>
      <c r="EW115" s="2"/>
      <c r="EX115" s="2"/>
      <c r="EY115" s="2"/>
      <c r="EZ115" s="2"/>
      <c r="FA115" s="2"/>
      <c r="FB115" s="2"/>
      <c r="FC115" s="2"/>
      <c r="FD115" s="2"/>
      <c r="FE115" s="2"/>
      <c r="FF115" s="2"/>
      <c r="FG115" s="2"/>
      <c r="FH115" s="2"/>
      <c r="FI115" s="2"/>
      <c r="FJ115" s="2"/>
      <c r="FK115" s="2"/>
      <c r="FL115" s="2"/>
      <c r="FM115" s="2"/>
      <c r="FN115" s="2"/>
      <c r="FO115" s="2"/>
      <c r="FP115" s="2"/>
      <c r="FQ115" s="2"/>
      <c r="FR115" s="2"/>
      <c r="FS115" s="2"/>
      <c r="FT115" s="2"/>
      <c r="FU115" s="2"/>
      <c r="FV115" s="2"/>
      <c r="FW115" s="2"/>
      <c r="FX115" s="2"/>
      <c r="FY115" s="2"/>
      <c r="FZ115" s="2"/>
      <c r="GA115" s="2"/>
      <c r="GB115" s="2"/>
      <c r="GC115" s="2"/>
      <c r="GD115" s="2"/>
      <c r="GE115" s="2"/>
      <c r="GF115" s="2"/>
      <c r="GG115" s="2"/>
      <c r="GH115" s="2"/>
      <c r="GI115" s="2"/>
      <c r="GJ115" s="2"/>
      <c r="GK115" s="2"/>
      <c r="GL115" s="2"/>
      <c r="GM115" s="2"/>
      <c r="GN115" s="2"/>
      <c r="GO115" s="2"/>
      <c r="GP115" s="2"/>
      <c r="GQ115" s="2"/>
      <c r="GR115" s="2"/>
      <c r="GS115" s="2"/>
      <c r="GT115" s="2"/>
      <c r="GU115" s="2"/>
      <c r="GV115" s="2"/>
    </row>
    <row r="116" ht="13.5" customHeight="1">
      <c r="A116" s="1"/>
      <c r="B116" s="1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1"/>
      <c r="P116" s="1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  <c r="DP116" s="2"/>
      <c r="DQ116" s="2"/>
      <c r="DR116" s="2"/>
      <c r="DS116" s="2"/>
      <c r="DT116" s="2"/>
      <c r="DU116" s="2"/>
      <c r="DV116" s="2"/>
      <c r="DW116" s="2"/>
      <c r="DX116" s="2"/>
      <c r="DY116" s="2"/>
      <c r="DZ116" s="2"/>
      <c r="EA116" s="2"/>
      <c r="EB116" s="2"/>
      <c r="EC116" s="2"/>
      <c r="ED116" s="2"/>
      <c r="EE116" s="2"/>
      <c r="EF116" s="2"/>
      <c r="EG116" s="2"/>
      <c r="EH116" s="2"/>
      <c r="EI116" s="2"/>
      <c r="EJ116" s="2"/>
      <c r="EK116" s="2"/>
      <c r="EL116" s="2"/>
      <c r="EM116" s="2"/>
      <c r="EN116" s="2"/>
      <c r="EO116" s="2"/>
      <c r="EP116" s="2"/>
      <c r="EQ116" s="2"/>
      <c r="ER116" s="2"/>
      <c r="ES116" s="2"/>
      <c r="ET116" s="2"/>
      <c r="EU116" s="2"/>
      <c r="EV116" s="2"/>
      <c r="EW116" s="2"/>
      <c r="EX116" s="2"/>
      <c r="EY116" s="2"/>
      <c r="EZ116" s="2"/>
      <c r="FA116" s="2"/>
      <c r="FB116" s="2"/>
      <c r="FC116" s="2"/>
      <c r="FD116" s="2"/>
      <c r="FE116" s="2"/>
      <c r="FF116" s="2"/>
      <c r="FG116" s="2"/>
      <c r="FH116" s="2"/>
      <c r="FI116" s="2"/>
      <c r="FJ116" s="2"/>
      <c r="FK116" s="2"/>
      <c r="FL116" s="2"/>
      <c r="FM116" s="2"/>
      <c r="FN116" s="2"/>
      <c r="FO116" s="2"/>
      <c r="FP116" s="2"/>
      <c r="FQ116" s="2"/>
      <c r="FR116" s="2"/>
      <c r="FS116" s="2"/>
      <c r="FT116" s="2"/>
      <c r="FU116" s="2"/>
      <c r="FV116" s="2"/>
      <c r="FW116" s="2"/>
      <c r="FX116" s="2"/>
      <c r="FY116" s="2"/>
      <c r="FZ116" s="2"/>
      <c r="GA116" s="2"/>
      <c r="GB116" s="2"/>
      <c r="GC116" s="2"/>
      <c r="GD116" s="2"/>
      <c r="GE116" s="2"/>
      <c r="GF116" s="2"/>
      <c r="GG116" s="2"/>
      <c r="GH116" s="2"/>
      <c r="GI116" s="2"/>
      <c r="GJ116" s="2"/>
      <c r="GK116" s="2"/>
      <c r="GL116" s="2"/>
      <c r="GM116" s="2"/>
      <c r="GN116" s="2"/>
      <c r="GO116" s="2"/>
      <c r="GP116" s="2"/>
      <c r="GQ116" s="2"/>
      <c r="GR116" s="2"/>
      <c r="GS116" s="2"/>
      <c r="GT116" s="2"/>
      <c r="GU116" s="2"/>
      <c r="GV116" s="2"/>
    </row>
    <row r="117" ht="13.5" customHeight="1">
      <c r="A117" s="1"/>
      <c r="B117" s="1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1"/>
      <c r="P117" s="1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  <c r="DP117" s="2"/>
      <c r="DQ117" s="2"/>
      <c r="DR117" s="2"/>
      <c r="DS117" s="2"/>
      <c r="DT117" s="2"/>
      <c r="DU117" s="2"/>
      <c r="DV117" s="2"/>
      <c r="DW117" s="2"/>
      <c r="DX117" s="2"/>
      <c r="DY117" s="2"/>
      <c r="DZ117" s="2"/>
      <c r="EA117" s="2"/>
      <c r="EB117" s="2"/>
      <c r="EC117" s="2"/>
      <c r="ED117" s="2"/>
      <c r="EE117" s="2"/>
      <c r="EF117" s="2"/>
      <c r="EG117" s="2"/>
      <c r="EH117" s="2"/>
      <c r="EI117" s="2"/>
      <c r="EJ117" s="2"/>
      <c r="EK117" s="2"/>
      <c r="EL117" s="2"/>
      <c r="EM117" s="2"/>
      <c r="EN117" s="2"/>
      <c r="EO117" s="2"/>
      <c r="EP117" s="2"/>
      <c r="EQ117" s="2"/>
      <c r="ER117" s="2"/>
      <c r="ES117" s="2"/>
      <c r="ET117" s="2"/>
      <c r="EU117" s="2"/>
      <c r="EV117" s="2"/>
      <c r="EW117" s="2"/>
      <c r="EX117" s="2"/>
      <c r="EY117" s="2"/>
      <c r="EZ117" s="2"/>
      <c r="FA117" s="2"/>
      <c r="FB117" s="2"/>
      <c r="FC117" s="2"/>
      <c r="FD117" s="2"/>
      <c r="FE117" s="2"/>
      <c r="FF117" s="2"/>
      <c r="FG117" s="2"/>
      <c r="FH117" s="2"/>
      <c r="FI117" s="2"/>
      <c r="FJ117" s="2"/>
      <c r="FK117" s="2"/>
      <c r="FL117" s="2"/>
      <c r="FM117" s="2"/>
      <c r="FN117" s="2"/>
      <c r="FO117" s="2"/>
      <c r="FP117" s="2"/>
      <c r="FQ117" s="2"/>
      <c r="FR117" s="2"/>
      <c r="FS117" s="2"/>
      <c r="FT117" s="2"/>
      <c r="FU117" s="2"/>
      <c r="FV117" s="2"/>
      <c r="FW117" s="2"/>
      <c r="FX117" s="2"/>
      <c r="FY117" s="2"/>
      <c r="FZ117" s="2"/>
      <c r="GA117" s="2"/>
      <c r="GB117" s="2"/>
      <c r="GC117" s="2"/>
      <c r="GD117" s="2"/>
      <c r="GE117" s="2"/>
      <c r="GF117" s="2"/>
      <c r="GG117" s="2"/>
      <c r="GH117" s="2"/>
      <c r="GI117" s="2"/>
      <c r="GJ117" s="2"/>
      <c r="GK117" s="2"/>
      <c r="GL117" s="2"/>
      <c r="GM117" s="2"/>
      <c r="GN117" s="2"/>
      <c r="GO117" s="2"/>
      <c r="GP117" s="2"/>
      <c r="GQ117" s="2"/>
      <c r="GR117" s="2"/>
      <c r="GS117" s="2"/>
      <c r="GT117" s="2"/>
      <c r="GU117" s="2"/>
      <c r="GV117" s="2"/>
    </row>
    <row r="118" ht="13.5" customHeight="1">
      <c r="A118" s="1"/>
      <c r="B118" s="1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1"/>
      <c r="P118" s="1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  <c r="DP118" s="2"/>
      <c r="DQ118" s="2"/>
      <c r="DR118" s="2"/>
      <c r="DS118" s="2"/>
      <c r="DT118" s="2"/>
      <c r="DU118" s="2"/>
      <c r="DV118" s="2"/>
      <c r="DW118" s="2"/>
      <c r="DX118" s="2"/>
      <c r="DY118" s="2"/>
      <c r="DZ118" s="2"/>
      <c r="EA118" s="2"/>
      <c r="EB118" s="2"/>
      <c r="EC118" s="2"/>
      <c r="ED118" s="2"/>
      <c r="EE118" s="2"/>
      <c r="EF118" s="2"/>
      <c r="EG118" s="2"/>
      <c r="EH118" s="2"/>
      <c r="EI118" s="2"/>
      <c r="EJ118" s="2"/>
      <c r="EK118" s="2"/>
      <c r="EL118" s="2"/>
      <c r="EM118" s="2"/>
      <c r="EN118" s="2"/>
      <c r="EO118" s="2"/>
      <c r="EP118" s="2"/>
      <c r="EQ118" s="2"/>
      <c r="ER118" s="2"/>
      <c r="ES118" s="2"/>
      <c r="ET118" s="2"/>
      <c r="EU118" s="2"/>
      <c r="EV118" s="2"/>
      <c r="EW118" s="2"/>
      <c r="EX118" s="2"/>
      <c r="EY118" s="2"/>
      <c r="EZ118" s="2"/>
      <c r="FA118" s="2"/>
      <c r="FB118" s="2"/>
      <c r="FC118" s="2"/>
      <c r="FD118" s="2"/>
      <c r="FE118" s="2"/>
      <c r="FF118" s="2"/>
      <c r="FG118" s="2"/>
      <c r="FH118" s="2"/>
      <c r="FI118" s="2"/>
      <c r="FJ118" s="2"/>
      <c r="FK118" s="2"/>
      <c r="FL118" s="2"/>
      <c r="FM118" s="2"/>
      <c r="FN118" s="2"/>
      <c r="FO118" s="2"/>
      <c r="FP118" s="2"/>
      <c r="FQ118" s="2"/>
      <c r="FR118" s="2"/>
      <c r="FS118" s="2"/>
      <c r="FT118" s="2"/>
      <c r="FU118" s="2"/>
      <c r="FV118" s="2"/>
      <c r="FW118" s="2"/>
      <c r="FX118" s="2"/>
      <c r="FY118" s="2"/>
      <c r="FZ118" s="2"/>
      <c r="GA118" s="2"/>
      <c r="GB118" s="2"/>
      <c r="GC118" s="2"/>
      <c r="GD118" s="2"/>
      <c r="GE118" s="2"/>
      <c r="GF118" s="2"/>
      <c r="GG118" s="2"/>
      <c r="GH118" s="2"/>
      <c r="GI118" s="2"/>
      <c r="GJ118" s="2"/>
      <c r="GK118" s="2"/>
      <c r="GL118" s="2"/>
      <c r="GM118" s="2"/>
      <c r="GN118" s="2"/>
      <c r="GO118" s="2"/>
      <c r="GP118" s="2"/>
      <c r="GQ118" s="2"/>
      <c r="GR118" s="2"/>
      <c r="GS118" s="2"/>
      <c r="GT118" s="2"/>
      <c r="GU118" s="2"/>
      <c r="GV118" s="2"/>
    </row>
    <row r="119" ht="13.5" customHeight="1">
      <c r="A119" s="1"/>
      <c r="B119" s="1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1"/>
      <c r="P119" s="1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R119" s="2"/>
      <c r="DS119" s="2"/>
      <c r="DT119" s="2"/>
      <c r="DU119" s="2"/>
      <c r="DV119" s="2"/>
      <c r="DW119" s="2"/>
      <c r="DX119" s="2"/>
      <c r="DY119" s="2"/>
      <c r="DZ119" s="2"/>
      <c r="EA119" s="2"/>
      <c r="EB119" s="2"/>
      <c r="EC119" s="2"/>
      <c r="ED119" s="2"/>
      <c r="EE119" s="2"/>
      <c r="EF119" s="2"/>
      <c r="EG119" s="2"/>
      <c r="EH119" s="2"/>
      <c r="EI119" s="2"/>
      <c r="EJ119" s="2"/>
      <c r="EK119" s="2"/>
      <c r="EL119" s="2"/>
      <c r="EM119" s="2"/>
      <c r="EN119" s="2"/>
      <c r="EO119" s="2"/>
      <c r="EP119" s="2"/>
      <c r="EQ119" s="2"/>
      <c r="ER119" s="2"/>
      <c r="ES119" s="2"/>
      <c r="ET119" s="2"/>
      <c r="EU119" s="2"/>
      <c r="EV119" s="2"/>
      <c r="EW119" s="2"/>
      <c r="EX119" s="2"/>
      <c r="EY119" s="2"/>
      <c r="EZ119" s="2"/>
      <c r="FA119" s="2"/>
      <c r="FB119" s="2"/>
      <c r="FC119" s="2"/>
      <c r="FD119" s="2"/>
      <c r="FE119" s="2"/>
      <c r="FF119" s="2"/>
      <c r="FG119" s="2"/>
      <c r="FH119" s="2"/>
      <c r="FI119" s="2"/>
      <c r="FJ119" s="2"/>
      <c r="FK119" s="2"/>
      <c r="FL119" s="2"/>
      <c r="FM119" s="2"/>
      <c r="FN119" s="2"/>
      <c r="FO119" s="2"/>
      <c r="FP119" s="2"/>
      <c r="FQ119" s="2"/>
      <c r="FR119" s="2"/>
      <c r="FS119" s="2"/>
      <c r="FT119" s="2"/>
      <c r="FU119" s="2"/>
      <c r="FV119" s="2"/>
      <c r="FW119" s="2"/>
      <c r="FX119" s="2"/>
      <c r="FY119" s="2"/>
      <c r="FZ119" s="2"/>
      <c r="GA119" s="2"/>
      <c r="GB119" s="2"/>
      <c r="GC119" s="2"/>
      <c r="GD119" s="2"/>
      <c r="GE119" s="2"/>
      <c r="GF119" s="2"/>
      <c r="GG119" s="2"/>
      <c r="GH119" s="2"/>
      <c r="GI119" s="2"/>
      <c r="GJ119" s="2"/>
      <c r="GK119" s="2"/>
      <c r="GL119" s="2"/>
      <c r="GM119" s="2"/>
      <c r="GN119" s="2"/>
      <c r="GO119" s="2"/>
      <c r="GP119" s="2"/>
      <c r="GQ119" s="2"/>
      <c r="GR119" s="2"/>
      <c r="GS119" s="2"/>
      <c r="GT119" s="2"/>
      <c r="GU119" s="2"/>
      <c r="GV119" s="2"/>
    </row>
    <row r="120" ht="13.5" customHeight="1">
      <c r="A120" s="1"/>
      <c r="B120" s="1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1"/>
      <c r="P120" s="1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  <c r="DW120" s="2"/>
      <c r="DX120" s="2"/>
      <c r="DY120" s="2"/>
      <c r="DZ120" s="2"/>
      <c r="EA120" s="2"/>
      <c r="EB120" s="2"/>
      <c r="EC120" s="2"/>
      <c r="ED120" s="2"/>
      <c r="EE120" s="2"/>
      <c r="EF120" s="2"/>
      <c r="EG120" s="2"/>
      <c r="EH120" s="2"/>
      <c r="EI120" s="2"/>
      <c r="EJ120" s="2"/>
      <c r="EK120" s="2"/>
      <c r="EL120" s="2"/>
      <c r="EM120" s="2"/>
      <c r="EN120" s="2"/>
      <c r="EO120" s="2"/>
      <c r="EP120" s="2"/>
      <c r="EQ120" s="2"/>
      <c r="ER120" s="2"/>
      <c r="ES120" s="2"/>
      <c r="ET120" s="2"/>
      <c r="EU120" s="2"/>
      <c r="EV120" s="2"/>
      <c r="EW120" s="2"/>
      <c r="EX120" s="2"/>
      <c r="EY120" s="2"/>
      <c r="EZ120" s="2"/>
      <c r="FA120" s="2"/>
      <c r="FB120" s="2"/>
      <c r="FC120" s="2"/>
      <c r="FD120" s="2"/>
      <c r="FE120" s="2"/>
      <c r="FF120" s="2"/>
      <c r="FG120" s="2"/>
      <c r="FH120" s="2"/>
      <c r="FI120" s="2"/>
      <c r="FJ120" s="2"/>
      <c r="FK120" s="2"/>
      <c r="FL120" s="2"/>
      <c r="FM120" s="2"/>
      <c r="FN120" s="2"/>
      <c r="FO120" s="2"/>
      <c r="FP120" s="2"/>
      <c r="FQ120" s="2"/>
      <c r="FR120" s="2"/>
      <c r="FS120" s="2"/>
      <c r="FT120" s="2"/>
      <c r="FU120" s="2"/>
      <c r="FV120" s="2"/>
      <c r="FW120" s="2"/>
      <c r="FX120" s="2"/>
      <c r="FY120" s="2"/>
      <c r="FZ120" s="2"/>
      <c r="GA120" s="2"/>
      <c r="GB120" s="2"/>
      <c r="GC120" s="2"/>
      <c r="GD120" s="2"/>
      <c r="GE120" s="2"/>
      <c r="GF120" s="2"/>
      <c r="GG120" s="2"/>
      <c r="GH120" s="2"/>
      <c r="GI120" s="2"/>
      <c r="GJ120" s="2"/>
      <c r="GK120" s="2"/>
      <c r="GL120" s="2"/>
      <c r="GM120" s="2"/>
      <c r="GN120" s="2"/>
      <c r="GO120" s="2"/>
      <c r="GP120" s="2"/>
      <c r="GQ120" s="2"/>
      <c r="GR120" s="2"/>
      <c r="GS120" s="2"/>
      <c r="GT120" s="2"/>
      <c r="GU120" s="2"/>
      <c r="GV120" s="2"/>
    </row>
    <row r="121" ht="13.5" customHeight="1">
      <c r="A121" s="1"/>
      <c r="B121" s="1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1"/>
      <c r="P121" s="1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R121" s="2"/>
      <c r="DS121" s="2"/>
      <c r="DT121" s="2"/>
      <c r="DU121" s="2"/>
      <c r="DV121" s="2"/>
      <c r="DW121" s="2"/>
      <c r="DX121" s="2"/>
      <c r="DY121" s="2"/>
      <c r="DZ121" s="2"/>
      <c r="EA121" s="2"/>
      <c r="EB121" s="2"/>
      <c r="EC121" s="2"/>
      <c r="ED121" s="2"/>
      <c r="EE121" s="2"/>
      <c r="EF121" s="2"/>
      <c r="EG121" s="2"/>
      <c r="EH121" s="2"/>
      <c r="EI121" s="2"/>
      <c r="EJ121" s="2"/>
      <c r="EK121" s="2"/>
      <c r="EL121" s="2"/>
      <c r="EM121" s="2"/>
      <c r="EN121" s="2"/>
      <c r="EO121" s="2"/>
      <c r="EP121" s="2"/>
      <c r="EQ121" s="2"/>
      <c r="ER121" s="2"/>
      <c r="ES121" s="2"/>
      <c r="ET121" s="2"/>
      <c r="EU121" s="2"/>
      <c r="EV121" s="2"/>
      <c r="EW121" s="2"/>
      <c r="EX121" s="2"/>
      <c r="EY121" s="2"/>
      <c r="EZ121" s="2"/>
      <c r="FA121" s="2"/>
      <c r="FB121" s="2"/>
      <c r="FC121" s="2"/>
      <c r="FD121" s="2"/>
      <c r="FE121" s="2"/>
      <c r="FF121" s="2"/>
      <c r="FG121" s="2"/>
      <c r="FH121" s="2"/>
      <c r="FI121" s="2"/>
      <c r="FJ121" s="2"/>
      <c r="FK121" s="2"/>
      <c r="FL121" s="2"/>
      <c r="FM121" s="2"/>
      <c r="FN121" s="2"/>
      <c r="FO121" s="2"/>
      <c r="FP121" s="2"/>
      <c r="FQ121" s="2"/>
      <c r="FR121" s="2"/>
      <c r="FS121" s="2"/>
      <c r="FT121" s="2"/>
      <c r="FU121" s="2"/>
      <c r="FV121" s="2"/>
      <c r="FW121" s="2"/>
      <c r="FX121" s="2"/>
      <c r="FY121" s="2"/>
      <c r="FZ121" s="2"/>
      <c r="GA121" s="2"/>
      <c r="GB121" s="2"/>
      <c r="GC121" s="2"/>
      <c r="GD121" s="2"/>
      <c r="GE121" s="2"/>
      <c r="GF121" s="2"/>
      <c r="GG121" s="2"/>
      <c r="GH121" s="2"/>
      <c r="GI121" s="2"/>
      <c r="GJ121" s="2"/>
      <c r="GK121" s="2"/>
      <c r="GL121" s="2"/>
      <c r="GM121" s="2"/>
      <c r="GN121" s="2"/>
      <c r="GO121" s="2"/>
      <c r="GP121" s="2"/>
      <c r="GQ121" s="2"/>
      <c r="GR121" s="2"/>
      <c r="GS121" s="2"/>
      <c r="GT121" s="2"/>
      <c r="GU121" s="2"/>
      <c r="GV121" s="2"/>
    </row>
    <row r="122" ht="13.5" customHeight="1">
      <c r="A122" s="1"/>
      <c r="B122" s="1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1"/>
      <c r="P122" s="1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2"/>
      <c r="DV122" s="2"/>
      <c r="DW122" s="2"/>
      <c r="DX122" s="2"/>
      <c r="DY122" s="2"/>
      <c r="DZ122" s="2"/>
      <c r="EA122" s="2"/>
      <c r="EB122" s="2"/>
      <c r="EC122" s="2"/>
      <c r="ED122" s="2"/>
      <c r="EE122" s="2"/>
      <c r="EF122" s="2"/>
      <c r="EG122" s="2"/>
      <c r="EH122" s="2"/>
      <c r="EI122" s="2"/>
      <c r="EJ122" s="2"/>
      <c r="EK122" s="2"/>
      <c r="EL122" s="2"/>
      <c r="EM122" s="2"/>
      <c r="EN122" s="2"/>
      <c r="EO122" s="2"/>
      <c r="EP122" s="2"/>
      <c r="EQ122" s="2"/>
      <c r="ER122" s="2"/>
      <c r="ES122" s="2"/>
      <c r="ET122" s="2"/>
      <c r="EU122" s="2"/>
      <c r="EV122" s="2"/>
      <c r="EW122" s="2"/>
      <c r="EX122" s="2"/>
      <c r="EY122" s="2"/>
      <c r="EZ122" s="2"/>
      <c r="FA122" s="2"/>
      <c r="FB122" s="2"/>
      <c r="FC122" s="2"/>
      <c r="FD122" s="2"/>
      <c r="FE122" s="2"/>
      <c r="FF122" s="2"/>
      <c r="FG122" s="2"/>
      <c r="FH122" s="2"/>
      <c r="FI122" s="2"/>
      <c r="FJ122" s="2"/>
      <c r="FK122" s="2"/>
      <c r="FL122" s="2"/>
      <c r="FM122" s="2"/>
      <c r="FN122" s="2"/>
      <c r="FO122" s="2"/>
      <c r="FP122" s="2"/>
      <c r="FQ122" s="2"/>
      <c r="FR122" s="2"/>
      <c r="FS122" s="2"/>
      <c r="FT122" s="2"/>
      <c r="FU122" s="2"/>
      <c r="FV122" s="2"/>
      <c r="FW122" s="2"/>
      <c r="FX122" s="2"/>
      <c r="FY122" s="2"/>
      <c r="FZ122" s="2"/>
      <c r="GA122" s="2"/>
      <c r="GB122" s="2"/>
      <c r="GC122" s="2"/>
      <c r="GD122" s="2"/>
      <c r="GE122" s="2"/>
      <c r="GF122" s="2"/>
      <c r="GG122" s="2"/>
      <c r="GH122" s="2"/>
      <c r="GI122" s="2"/>
      <c r="GJ122" s="2"/>
      <c r="GK122" s="2"/>
      <c r="GL122" s="2"/>
      <c r="GM122" s="2"/>
      <c r="GN122" s="2"/>
      <c r="GO122" s="2"/>
      <c r="GP122" s="2"/>
      <c r="GQ122" s="2"/>
      <c r="GR122" s="2"/>
      <c r="GS122" s="2"/>
      <c r="GT122" s="2"/>
      <c r="GU122" s="2"/>
      <c r="GV122" s="2"/>
    </row>
    <row r="123" ht="13.5" customHeight="1">
      <c r="A123" s="1"/>
      <c r="B123" s="1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1"/>
      <c r="P123" s="1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  <c r="DP123" s="2"/>
      <c r="DQ123" s="2"/>
      <c r="DR123" s="2"/>
      <c r="DS123" s="2"/>
      <c r="DT123" s="2"/>
      <c r="DU123" s="2"/>
      <c r="DV123" s="2"/>
      <c r="DW123" s="2"/>
      <c r="DX123" s="2"/>
      <c r="DY123" s="2"/>
      <c r="DZ123" s="2"/>
      <c r="EA123" s="2"/>
      <c r="EB123" s="2"/>
      <c r="EC123" s="2"/>
      <c r="ED123" s="2"/>
      <c r="EE123" s="2"/>
      <c r="EF123" s="2"/>
      <c r="EG123" s="2"/>
      <c r="EH123" s="2"/>
      <c r="EI123" s="2"/>
      <c r="EJ123" s="2"/>
      <c r="EK123" s="2"/>
      <c r="EL123" s="2"/>
      <c r="EM123" s="2"/>
      <c r="EN123" s="2"/>
      <c r="EO123" s="2"/>
      <c r="EP123" s="2"/>
      <c r="EQ123" s="2"/>
      <c r="ER123" s="2"/>
      <c r="ES123" s="2"/>
      <c r="ET123" s="2"/>
      <c r="EU123" s="2"/>
      <c r="EV123" s="2"/>
      <c r="EW123" s="2"/>
      <c r="EX123" s="2"/>
      <c r="EY123" s="2"/>
      <c r="EZ123" s="2"/>
      <c r="FA123" s="2"/>
      <c r="FB123" s="2"/>
      <c r="FC123" s="2"/>
      <c r="FD123" s="2"/>
      <c r="FE123" s="2"/>
      <c r="FF123" s="2"/>
      <c r="FG123" s="2"/>
      <c r="FH123" s="2"/>
      <c r="FI123" s="2"/>
      <c r="FJ123" s="2"/>
      <c r="FK123" s="2"/>
      <c r="FL123" s="2"/>
      <c r="FM123" s="2"/>
      <c r="FN123" s="2"/>
      <c r="FO123" s="2"/>
      <c r="FP123" s="2"/>
      <c r="FQ123" s="2"/>
      <c r="FR123" s="2"/>
      <c r="FS123" s="2"/>
      <c r="FT123" s="2"/>
      <c r="FU123" s="2"/>
      <c r="FV123" s="2"/>
      <c r="FW123" s="2"/>
      <c r="FX123" s="2"/>
      <c r="FY123" s="2"/>
      <c r="FZ123" s="2"/>
      <c r="GA123" s="2"/>
      <c r="GB123" s="2"/>
      <c r="GC123" s="2"/>
      <c r="GD123" s="2"/>
      <c r="GE123" s="2"/>
      <c r="GF123" s="2"/>
      <c r="GG123" s="2"/>
      <c r="GH123" s="2"/>
      <c r="GI123" s="2"/>
      <c r="GJ123" s="2"/>
      <c r="GK123" s="2"/>
      <c r="GL123" s="2"/>
      <c r="GM123" s="2"/>
      <c r="GN123" s="2"/>
      <c r="GO123" s="2"/>
      <c r="GP123" s="2"/>
      <c r="GQ123" s="2"/>
      <c r="GR123" s="2"/>
      <c r="GS123" s="2"/>
      <c r="GT123" s="2"/>
      <c r="GU123" s="2"/>
      <c r="GV123" s="2"/>
    </row>
    <row r="124" ht="13.5" customHeight="1">
      <c r="A124" s="1"/>
      <c r="B124" s="1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1"/>
      <c r="P124" s="1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  <c r="DP124" s="2"/>
      <c r="DQ124" s="2"/>
      <c r="DR124" s="2"/>
      <c r="DS124" s="2"/>
      <c r="DT124" s="2"/>
      <c r="DU124" s="2"/>
      <c r="DV124" s="2"/>
      <c r="DW124" s="2"/>
      <c r="DX124" s="2"/>
      <c r="DY124" s="2"/>
      <c r="DZ124" s="2"/>
      <c r="EA124" s="2"/>
      <c r="EB124" s="2"/>
      <c r="EC124" s="2"/>
      <c r="ED124" s="2"/>
      <c r="EE124" s="2"/>
      <c r="EF124" s="2"/>
      <c r="EG124" s="2"/>
      <c r="EH124" s="2"/>
      <c r="EI124" s="2"/>
      <c r="EJ124" s="2"/>
      <c r="EK124" s="2"/>
      <c r="EL124" s="2"/>
      <c r="EM124" s="2"/>
      <c r="EN124" s="2"/>
      <c r="EO124" s="2"/>
      <c r="EP124" s="2"/>
      <c r="EQ124" s="2"/>
      <c r="ER124" s="2"/>
      <c r="ES124" s="2"/>
      <c r="ET124" s="2"/>
      <c r="EU124" s="2"/>
      <c r="EV124" s="2"/>
      <c r="EW124" s="2"/>
      <c r="EX124" s="2"/>
      <c r="EY124" s="2"/>
      <c r="EZ124" s="2"/>
      <c r="FA124" s="2"/>
      <c r="FB124" s="2"/>
      <c r="FC124" s="2"/>
      <c r="FD124" s="2"/>
      <c r="FE124" s="2"/>
      <c r="FF124" s="2"/>
      <c r="FG124" s="2"/>
      <c r="FH124" s="2"/>
      <c r="FI124" s="2"/>
      <c r="FJ124" s="2"/>
      <c r="FK124" s="2"/>
      <c r="FL124" s="2"/>
      <c r="FM124" s="2"/>
      <c r="FN124" s="2"/>
      <c r="FO124" s="2"/>
      <c r="FP124" s="2"/>
      <c r="FQ124" s="2"/>
      <c r="FR124" s="2"/>
      <c r="FS124" s="2"/>
      <c r="FT124" s="2"/>
      <c r="FU124" s="2"/>
      <c r="FV124" s="2"/>
      <c r="FW124" s="2"/>
      <c r="FX124" s="2"/>
      <c r="FY124" s="2"/>
      <c r="FZ124" s="2"/>
      <c r="GA124" s="2"/>
      <c r="GB124" s="2"/>
      <c r="GC124" s="2"/>
      <c r="GD124" s="2"/>
      <c r="GE124" s="2"/>
      <c r="GF124" s="2"/>
      <c r="GG124" s="2"/>
      <c r="GH124" s="2"/>
      <c r="GI124" s="2"/>
      <c r="GJ124" s="2"/>
      <c r="GK124" s="2"/>
      <c r="GL124" s="2"/>
      <c r="GM124" s="2"/>
      <c r="GN124" s="2"/>
      <c r="GO124" s="2"/>
      <c r="GP124" s="2"/>
      <c r="GQ124" s="2"/>
      <c r="GR124" s="2"/>
      <c r="GS124" s="2"/>
      <c r="GT124" s="2"/>
      <c r="GU124" s="2"/>
      <c r="GV124" s="2"/>
    </row>
    <row r="125" ht="13.5" customHeight="1">
      <c r="A125" s="1"/>
      <c r="B125" s="1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1"/>
      <c r="P125" s="1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  <c r="DP125" s="2"/>
      <c r="DQ125" s="2"/>
      <c r="DR125" s="2"/>
      <c r="DS125" s="2"/>
      <c r="DT125" s="2"/>
      <c r="DU125" s="2"/>
      <c r="DV125" s="2"/>
      <c r="DW125" s="2"/>
      <c r="DX125" s="2"/>
      <c r="DY125" s="2"/>
      <c r="DZ125" s="2"/>
      <c r="EA125" s="2"/>
      <c r="EB125" s="2"/>
      <c r="EC125" s="2"/>
      <c r="ED125" s="2"/>
      <c r="EE125" s="2"/>
      <c r="EF125" s="2"/>
      <c r="EG125" s="2"/>
      <c r="EH125" s="2"/>
      <c r="EI125" s="2"/>
      <c r="EJ125" s="2"/>
      <c r="EK125" s="2"/>
      <c r="EL125" s="2"/>
      <c r="EM125" s="2"/>
      <c r="EN125" s="2"/>
      <c r="EO125" s="2"/>
      <c r="EP125" s="2"/>
      <c r="EQ125" s="2"/>
      <c r="ER125" s="2"/>
      <c r="ES125" s="2"/>
      <c r="ET125" s="2"/>
      <c r="EU125" s="2"/>
      <c r="EV125" s="2"/>
      <c r="EW125" s="2"/>
      <c r="EX125" s="2"/>
      <c r="EY125" s="2"/>
      <c r="EZ125" s="2"/>
      <c r="FA125" s="2"/>
      <c r="FB125" s="2"/>
      <c r="FC125" s="2"/>
      <c r="FD125" s="2"/>
      <c r="FE125" s="2"/>
      <c r="FF125" s="2"/>
      <c r="FG125" s="2"/>
      <c r="FH125" s="2"/>
      <c r="FI125" s="2"/>
      <c r="FJ125" s="2"/>
      <c r="FK125" s="2"/>
      <c r="FL125" s="2"/>
      <c r="FM125" s="2"/>
      <c r="FN125" s="2"/>
      <c r="FO125" s="2"/>
      <c r="FP125" s="2"/>
      <c r="FQ125" s="2"/>
      <c r="FR125" s="2"/>
      <c r="FS125" s="2"/>
      <c r="FT125" s="2"/>
      <c r="FU125" s="2"/>
      <c r="FV125" s="2"/>
      <c r="FW125" s="2"/>
      <c r="FX125" s="2"/>
      <c r="FY125" s="2"/>
      <c r="FZ125" s="2"/>
      <c r="GA125" s="2"/>
      <c r="GB125" s="2"/>
      <c r="GC125" s="2"/>
      <c r="GD125" s="2"/>
      <c r="GE125" s="2"/>
      <c r="GF125" s="2"/>
      <c r="GG125" s="2"/>
      <c r="GH125" s="2"/>
      <c r="GI125" s="2"/>
      <c r="GJ125" s="2"/>
      <c r="GK125" s="2"/>
      <c r="GL125" s="2"/>
      <c r="GM125" s="2"/>
      <c r="GN125" s="2"/>
      <c r="GO125" s="2"/>
      <c r="GP125" s="2"/>
      <c r="GQ125" s="2"/>
      <c r="GR125" s="2"/>
      <c r="GS125" s="2"/>
      <c r="GT125" s="2"/>
      <c r="GU125" s="2"/>
      <c r="GV125" s="2"/>
    </row>
    <row r="126" ht="13.5" customHeight="1">
      <c r="A126" s="1"/>
      <c r="B126" s="1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1"/>
      <c r="P126" s="1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  <c r="DP126" s="2"/>
      <c r="DQ126" s="2"/>
      <c r="DR126" s="2"/>
      <c r="DS126" s="2"/>
      <c r="DT126" s="2"/>
      <c r="DU126" s="2"/>
      <c r="DV126" s="2"/>
      <c r="DW126" s="2"/>
      <c r="DX126" s="2"/>
      <c r="DY126" s="2"/>
      <c r="DZ126" s="2"/>
      <c r="EA126" s="2"/>
      <c r="EB126" s="2"/>
      <c r="EC126" s="2"/>
      <c r="ED126" s="2"/>
      <c r="EE126" s="2"/>
      <c r="EF126" s="2"/>
      <c r="EG126" s="2"/>
      <c r="EH126" s="2"/>
      <c r="EI126" s="2"/>
      <c r="EJ126" s="2"/>
      <c r="EK126" s="2"/>
      <c r="EL126" s="2"/>
      <c r="EM126" s="2"/>
      <c r="EN126" s="2"/>
      <c r="EO126" s="2"/>
      <c r="EP126" s="2"/>
      <c r="EQ126" s="2"/>
      <c r="ER126" s="2"/>
      <c r="ES126" s="2"/>
      <c r="ET126" s="2"/>
      <c r="EU126" s="2"/>
      <c r="EV126" s="2"/>
      <c r="EW126" s="2"/>
      <c r="EX126" s="2"/>
      <c r="EY126" s="2"/>
      <c r="EZ126" s="2"/>
      <c r="FA126" s="2"/>
      <c r="FB126" s="2"/>
      <c r="FC126" s="2"/>
      <c r="FD126" s="2"/>
      <c r="FE126" s="2"/>
      <c r="FF126" s="2"/>
      <c r="FG126" s="2"/>
      <c r="FH126" s="2"/>
      <c r="FI126" s="2"/>
      <c r="FJ126" s="2"/>
      <c r="FK126" s="2"/>
      <c r="FL126" s="2"/>
      <c r="FM126" s="2"/>
      <c r="FN126" s="2"/>
      <c r="FO126" s="2"/>
      <c r="FP126" s="2"/>
      <c r="FQ126" s="2"/>
      <c r="FR126" s="2"/>
      <c r="FS126" s="2"/>
      <c r="FT126" s="2"/>
      <c r="FU126" s="2"/>
      <c r="FV126" s="2"/>
      <c r="FW126" s="2"/>
      <c r="FX126" s="2"/>
      <c r="FY126" s="2"/>
      <c r="FZ126" s="2"/>
      <c r="GA126" s="2"/>
      <c r="GB126" s="2"/>
      <c r="GC126" s="2"/>
      <c r="GD126" s="2"/>
      <c r="GE126" s="2"/>
      <c r="GF126" s="2"/>
      <c r="GG126" s="2"/>
      <c r="GH126" s="2"/>
      <c r="GI126" s="2"/>
      <c r="GJ126" s="2"/>
      <c r="GK126" s="2"/>
      <c r="GL126" s="2"/>
      <c r="GM126" s="2"/>
      <c r="GN126" s="2"/>
      <c r="GO126" s="2"/>
      <c r="GP126" s="2"/>
      <c r="GQ126" s="2"/>
      <c r="GR126" s="2"/>
      <c r="GS126" s="2"/>
      <c r="GT126" s="2"/>
      <c r="GU126" s="2"/>
      <c r="GV126" s="2"/>
    </row>
    <row r="127" ht="13.5" customHeight="1">
      <c r="A127" s="1"/>
      <c r="B127" s="1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1"/>
      <c r="P127" s="1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  <c r="DP127" s="2"/>
      <c r="DQ127" s="2"/>
      <c r="DR127" s="2"/>
      <c r="DS127" s="2"/>
      <c r="DT127" s="2"/>
      <c r="DU127" s="2"/>
      <c r="DV127" s="2"/>
      <c r="DW127" s="2"/>
      <c r="DX127" s="2"/>
      <c r="DY127" s="2"/>
      <c r="DZ127" s="2"/>
      <c r="EA127" s="2"/>
      <c r="EB127" s="2"/>
      <c r="EC127" s="2"/>
      <c r="ED127" s="2"/>
      <c r="EE127" s="2"/>
      <c r="EF127" s="2"/>
      <c r="EG127" s="2"/>
      <c r="EH127" s="2"/>
      <c r="EI127" s="2"/>
      <c r="EJ127" s="2"/>
      <c r="EK127" s="2"/>
      <c r="EL127" s="2"/>
      <c r="EM127" s="2"/>
      <c r="EN127" s="2"/>
      <c r="EO127" s="2"/>
      <c r="EP127" s="2"/>
      <c r="EQ127" s="2"/>
      <c r="ER127" s="2"/>
      <c r="ES127" s="2"/>
      <c r="ET127" s="2"/>
      <c r="EU127" s="2"/>
      <c r="EV127" s="2"/>
      <c r="EW127" s="2"/>
      <c r="EX127" s="2"/>
      <c r="EY127" s="2"/>
      <c r="EZ127" s="2"/>
      <c r="FA127" s="2"/>
      <c r="FB127" s="2"/>
      <c r="FC127" s="2"/>
      <c r="FD127" s="2"/>
      <c r="FE127" s="2"/>
      <c r="FF127" s="2"/>
      <c r="FG127" s="2"/>
      <c r="FH127" s="2"/>
      <c r="FI127" s="2"/>
      <c r="FJ127" s="2"/>
      <c r="FK127" s="2"/>
      <c r="FL127" s="2"/>
      <c r="FM127" s="2"/>
      <c r="FN127" s="2"/>
      <c r="FO127" s="2"/>
      <c r="FP127" s="2"/>
      <c r="FQ127" s="2"/>
      <c r="FR127" s="2"/>
      <c r="FS127" s="2"/>
      <c r="FT127" s="2"/>
      <c r="FU127" s="2"/>
      <c r="FV127" s="2"/>
      <c r="FW127" s="2"/>
      <c r="FX127" s="2"/>
      <c r="FY127" s="2"/>
      <c r="FZ127" s="2"/>
      <c r="GA127" s="2"/>
      <c r="GB127" s="2"/>
      <c r="GC127" s="2"/>
      <c r="GD127" s="2"/>
      <c r="GE127" s="2"/>
      <c r="GF127" s="2"/>
      <c r="GG127" s="2"/>
      <c r="GH127" s="2"/>
      <c r="GI127" s="2"/>
      <c r="GJ127" s="2"/>
      <c r="GK127" s="2"/>
      <c r="GL127" s="2"/>
      <c r="GM127" s="2"/>
      <c r="GN127" s="2"/>
      <c r="GO127" s="2"/>
      <c r="GP127" s="2"/>
      <c r="GQ127" s="2"/>
      <c r="GR127" s="2"/>
      <c r="GS127" s="2"/>
      <c r="GT127" s="2"/>
      <c r="GU127" s="2"/>
      <c r="GV127" s="2"/>
    </row>
    <row r="128" ht="13.5" customHeight="1">
      <c r="A128" s="1"/>
      <c r="B128" s="1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1"/>
      <c r="P128" s="1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  <c r="DP128" s="2"/>
      <c r="DQ128" s="2"/>
      <c r="DR128" s="2"/>
      <c r="DS128" s="2"/>
      <c r="DT128" s="2"/>
      <c r="DU128" s="2"/>
      <c r="DV128" s="2"/>
      <c r="DW128" s="2"/>
      <c r="DX128" s="2"/>
      <c r="DY128" s="2"/>
      <c r="DZ128" s="2"/>
      <c r="EA128" s="2"/>
      <c r="EB128" s="2"/>
      <c r="EC128" s="2"/>
      <c r="ED128" s="2"/>
      <c r="EE128" s="2"/>
      <c r="EF128" s="2"/>
      <c r="EG128" s="2"/>
      <c r="EH128" s="2"/>
      <c r="EI128" s="2"/>
      <c r="EJ128" s="2"/>
      <c r="EK128" s="2"/>
      <c r="EL128" s="2"/>
      <c r="EM128" s="2"/>
      <c r="EN128" s="2"/>
      <c r="EO128" s="2"/>
      <c r="EP128" s="2"/>
      <c r="EQ128" s="2"/>
      <c r="ER128" s="2"/>
      <c r="ES128" s="2"/>
      <c r="ET128" s="2"/>
      <c r="EU128" s="2"/>
      <c r="EV128" s="2"/>
      <c r="EW128" s="2"/>
      <c r="EX128" s="2"/>
      <c r="EY128" s="2"/>
      <c r="EZ128" s="2"/>
      <c r="FA128" s="2"/>
      <c r="FB128" s="2"/>
      <c r="FC128" s="2"/>
      <c r="FD128" s="2"/>
      <c r="FE128" s="2"/>
      <c r="FF128" s="2"/>
      <c r="FG128" s="2"/>
      <c r="FH128" s="2"/>
      <c r="FI128" s="2"/>
      <c r="FJ128" s="2"/>
      <c r="FK128" s="2"/>
      <c r="FL128" s="2"/>
      <c r="FM128" s="2"/>
      <c r="FN128" s="2"/>
      <c r="FO128" s="2"/>
      <c r="FP128" s="2"/>
      <c r="FQ128" s="2"/>
      <c r="FR128" s="2"/>
      <c r="FS128" s="2"/>
      <c r="FT128" s="2"/>
      <c r="FU128" s="2"/>
      <c r="FV128" s="2"/>
      <c r="FW128" s="2"/>
      <c r="FX128" s="2"/>
      <c r="FY128" s="2"/>
      <c r="FZ128" s="2"/>
      <c r="GA128" s="2"/>
      <c r="GB128" s="2"/>
      <c r="GC128" s="2"/>
      <c r="GD128" s="2"/>
      <c r="GE128" s="2"/>
      <c r="GF128" s="2"/>
      <c r="GG128" s="2"/>
      <c r="GH128" s="2"/>
      <c r="GI128" s="2"/>
      <c r="GJ128" s="2"/>
      <c r="GK128" s="2"/>
      <c r="GL128" s="2"/>
      <c r="GM128" s="2"/>
      <c r="GN128" s="2"/>
      <c r="GO128" s="2"/>
      <c r="GP128" s="2"/>
      <c r="GQ128" s="2"/>
      <c r="GR128" s="2"/>
      <c r="GS128" s="2"/>
      <c r="GT128" s="2"/>
      <c r="GU128" s="2"/>
      <c r="GV128" s="2"/>
    </row>
    <row r="129" ht="13.5" customHeight="1">
      <c r="A129" s="1"/>
      <c r="B129" s="1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1"/>
      <c r="P129" s="1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  <c r="DP129" s="2"/>
      <c r="DQ129" s="2"/>
      <c r="DR129" s="2"/>
      <c r="DS129" s="2"/>
      <c r="DT129" s="2"/>
      <c r="DU129" s="2"/>
      <c r="DV129" s="2"/>
      <c r="DW129" s="2"/>
      <c r="DX129" s="2"/>
      <c r="DY129" s="2"/>
      <c r="DZ129" s="2"/>
      <c r="EA129" s="2"/>
      <c r="EB129" s="2"/>
      <c r="EC129" s="2"/>
      <c r="ED129" s="2"/>
      <c r="EE129" s="2"/>
      <c r="EF129" s="2"/>
      <c r="EG129" s="2"/>
      <c r="EH129" s="2"/>
      <c r="EI129" s="2"/>
      <c r="EJ129" s="2"/>
      <c r="EK129" s="2"/>
      <c r="EL129" s="2"/>
      <c r="EM129" s="2"/>
      <c r="EN129" s="2"/>
      <c r="EO129" s="2"/>
      <c r="EP129" s="2"/>
      <c r="EQ129" s="2"/>
      <c r="ER129" s="2"/>
      <c r="ES129" s="2"/>
      <c r="ET129" s="2"/>
      <c r="EU129" s="2"/>
      <c r="EV129" s="2"/>
      <c r="EW129" s="2"/>
      <c r="EX129" s="2"/>
      <c r="EY129" s="2"/>
      <c r="EZ129" s="2"/>
      <c r="FA129" s="2"/>
      <c r="FB129" s="2"/>
      <c r="FC129" s="2"/>
      <c r="FD129" s="2"/>
      <c r="FE129" s="2"/>
      <c r="FF129" s="2"/>
      <c r="FG129" s="2"/>
      <c r="FH129" s="2"/>
      <c r="FI129" s="2"/>
      <c r="FJ129" s="2"/>
      <c r="FK129" s="2"/>
      <c r="FL129" s="2"/>
      <c r="FM129" s="2"/>
      <c r="FN129" s="2"/>
      <c r="FO129" s="2"/>
      <c r="FP129" s="2"/>
      <c r="FQ129" s="2"/>
      <c r="FR129" s="2"/>
      <c r="FS129" s="2"/>
      <c r="FT129" s="2"/>
      <c r="FU129" s="2"/>
      <c r="FV129" s="2"/>
      <c r="FW129" s="2"/>
      <c r="FX129" s="2"/>
      <c r="FY129" s="2"/>
      <c r="FZ129" s="2"/>
      <c r="GA129" s="2"/>
      <c r="GB129" s="2"/>
      <c r="GC129" s="2"/>
      <c r="GD129" s="2"/>
      <c r="GE129" s="2"/>
      <c r="GF129" s="2"/>
      <c r="GG129" s="2"/>
      <c r="GH129" s="2"/>
      <c r="GI129" s="2"/>
      <c r="GJ129" s="2"/>
      <c r="GK129" s="2"/>
      <c r="GL129" s="2"/>
      <c r="GM129" s="2"/>
      <c r="GN129" s="2"/>
      <c r="GO129" s="2"/>
      <c r="GP129" s="2"/>
      <c r="GQ129" s="2"/>
      <c r="GR129" s="2"/>
      <c r="GS129" s="2"/>
      <c r="GT129" s="2"/>
      <c r="GU129" s="2"/>
      <c r="GV129" s="2"/>
    </row>
    <row r="130" ht="13.5" customHeight="1">
      <c r="A130" s="1"/>
      <c r="B130" s="1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1"/>
      <c r="P130" s="1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/>
      <c r="DS130" s="2"/>
      <c r="DT130" s="2"/>
      <c r="DU130" s="2"/>
      <c r="DV130" s="2"/>
      <c r="DW130" s="2"/>
      <c r="DX130" s="2"/>
      <c r="DY130" s="2"/>
      <c r="DZ130" s="2"/>
      <c r="EA130" s="2"/>
      <c r="EB130" s="2"/>
      <c r="EC130" s="2"/>
      <c r="ED130" s="2"/>
      <c r="EE130" s="2"/>
      <c r="EF130" s="2"/>
      <c r="EG130" s="2"/>
      <c r="EH130" s="2"/>
      <c r="EI130" s="2"/>
      <c r="EJ130" s="2"/>
      <c r="EK130" s="2"/>
      <c r="EL130" s="2"/>
      <c r="EM130" s="2"/>
      <c r="EN130" s="2"/>
      <c r="EO130" s="2"/>
      <c r="EP130" s="2"/>
      <c r="EQ130" s="2"/>
      <c r="ER130" s="2"/>
      <c r="ES130" s="2"/>
      <c r="ET130" s="2"/>
      <c r="EU130" s="2"/>
      <c r="EV130" s="2"/>
      <c r="EW130" s="2"/>
      <c r="EX130" s="2"/>
      <c r="EY130" s="2"/>
      <c r="EZ130" s="2"/>
      <c r="FA130" s="2"/>
      <c r="FB130" s="2"/>
      <c r="FC130" s="2"/>
      <c r="FD130" s="2"/>
      <c r="FE130" s="2"/>
      <c r="FF130" s="2"/>
      <c r="FG130" s="2"/>
      <c r="FH130" s="2"/>
      <c r="FI130" s="2"/>
      <c r="FJ130" s="2"/>
      <c r="FK130" s="2"/>
      <c r="FL130" s="2"/>
      <c r="FM130" s="2"/>
      <c r="FN130" s="2"/>
      <c r="FO130" s="2"/>
      <c r="FP130" s="2"/>
      <c r="FQ130" s="2"/>
      <c r="FR130" s="2"/>
      <c r="FS130" s="2"/>
      <c r="FT130" s="2"/>
      <c r="FU130" s="2"/>
      <c r="FV130" s="2"/>
      <c r="FW130" s="2"/>
      <c r="FX130" s="2"/>
      <c r="FY130" s="2"/>
      <c r="FZ130" s="2"/>
      <c r="GA130" s="2"/>
      <c r="GB130" s="2"/>
      <c r="GC130" s="2"/>
      <c r="GD130" s="2"/>
      <c r="GE130" s="2"/>
      <c r="GF130" s="2"/>
      <c r="GG130" s="2"/>
      <c r="GH130" s="2"/>
      <c r="GI130" s="2"/>
      <c r="GJ130" s="2"/>
      <c r="GK130" s="2"/>
      <c r="GL130" s="2"/>
      <c r="GM130" s="2"/>
      <c r="GN130" s="2"/>
      <c r="GO130" s="2"/>
      <c r="GP130" s="2"/>
      <c r="GQ130" s="2"/>
      <c r="GR130" s="2"/>
      <c r="GS130" s="2"/>
      <c r="GT130" s="2"/>
      <c r="GU130" s="2"/>
      <c r="GV130" s="2"/>
    </row>
    <row r="131" ht="13.5" customHeight="1">
      <c r="A131" s="1"/>
      <c r="B131" s="1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1"/>
      <c r="P131" s="1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  <c r="DT131" s="2"/>
      <c r="DU131" s="2"/>
      <c r="DV131" s="2"/>
      <c r="DW131" s="2"/>
      <c r="DX131" s="2"/>
      <c r="DY131" s="2"/>
      <c r="DZ131" s="2"/>
      <c r="EA131" s="2"/>
      <c r="EB131" s="2"/>
      <c r="EC131" s="2"/>
      <c r="ED131" s="2"/>
      <c r="EE131" s="2"/>
      <c r="EF131" s="2"/>
      <c r="EG131" s="2"/>
      <c r="EH131" s="2"/>
      <c r="EI131" s="2"/>
      <c r="EJ131" s="2"/>
      <c r="EK131" s="2"/>
      <c r="EL131" s="2"/>
      <c r="EM131" s="2"/>
      <c r="EN131" s="2"/>
      <c r="EO131" s="2"/>
      <c r="EP131" s="2"/>
      <c r="EQ131" s="2"/>
      <c r="ER131" s="2"/>
      <c r="ES131" s="2"/>
      <c r="ET131" s="2"/>
      <c r="EU131" s="2"/>
      <c r="EV131" s="2"/>
      <c r="EW131" s="2"/>
      <c r="EX131" s="2"/>
      <c r="EY131" s="2"/>
      <c r="EZ131" s="2"/>
      <c r="FA131" s="2"/>
      <c r="FB131" s="2"/>
      <c r="FC131" s="2"/>
      <c r="FD131" s="2"/>
      <c r="FE131" s="2"/>
      <c r="FF131" s="2"/>
      <c r="FG131" s="2"/>
      <c r="FH131" s="2"/>
      <c r="FI131" s="2"/>
      <c r="FJ131" s="2"/>
      <c r="FK131" s="2"/>
      <c r="FL131" s="2"/>
      <c r="FM131" s="2"/>
      <c r="FN131" s="2"/>
      <c r="FO131" s="2"/>
      <c r="FP131" s="2"/>
      <c r="FQ131" s="2"/>
      <c r="FR131" s="2"/>
      <c r="FS131" s="2"/>
      <c r="FT131" s="2"/>
      <c r="FU131" s="2"/>
      <c r="FV131" s="2"/>
      <c r="FW131" s="2"/>
      <c r="FX131" s="2"/>
      <c r="FY131" s="2"/>
      <c r="FZ131" s="2"/>
      <c r="GA131" s="2"/>
      <c r="GB131" s="2"/>
      <c r="GC131" s="2"/>
      <c r="GD131" s="2"/>
      <c r="GE131" s="2"/>
      <c r="GF131" s="2"/>
      <c r="GG131" s="2"/>
      <c r="GH131" s="2"/>
      <c r="GI131" s="2"/>
      <c r="GJ131" s="2"/>
      <c r="GK131" s="2"/>
      <c r="GL131" s="2"/>
      <c r="GM131" s="2"/>
      <c r="GN131" s="2"/>
      <c r="GO131" s="2"/>
      <c r="GP131" s="2"/>
      <c r="GQ131" s="2"/>
      <c r="GR131" s="2"/>
      <c r="GS131" s="2"/>
      <c r="GT131" s="2"/>
      <c r="GU131" s="2"/>
      <c r="GV131" s="2"/>
    </row>
    <row r="132" ht="13.5" customHeight="1">
      <c r="A132" s="1"/>
      <c r="B132" s="1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1"/>
      <c r="P132" s="1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  <c r="DY132" s="2"/>
      <c r="DZ132" s="2"/>
      <c r="EA132" s="2"/>
      <c r="EB132" s="2"/>
      <c r="EC132" s="2"/>
      <c r="ED132" s="2"/>
      <c r="EE132" s="2"/>
      <c r="EF132" s="2"/>
      <c r="EG132" s="2"/>
      <c r="EH132" s="2"/>
      <c r="EI132" s="2"/>
      <c r="EJ132" s="2"/>
      <c r="EK132" s="2"/>
      <c r="EL132" s="2"/>
      <c r="EM132" s="2"/>
      <c r="EN132" s="2"/>
      <c r="EO132" s="2"/>
      <c r="EP132" s="2"/>
      <c r="EQ132" s="2"/>
      <c r="ER132" s="2"/>
      <c r="ES132" s="2"/>
      <c r="ET132" s="2"/>
      <c r="EU132" s="2"/>
      <c r="EV132" s="2"/>
      <c r="EW132" s="2"/>
      <c r="EX132" s="2"/>
      <c r="EY132" s="2"/>
      <c r="EZ132" s="2"/>
      <c r="FA132" s="2"/>
      <c r="FB132" s="2"/>
      <c r="FC132" s="2"/>
      <c r="FD132" s="2"/>
      <c r="FE132" s="2"/>
      <c r="FF132" s="2"/>
      <c r="FG132" s="2"/>
      <c r="FH132" s="2"/>
      <c r="FI132" s="2"/>
      <c r="FJ132" s="2"/>
      <c r="FK132" s="2"/>
      <c r="FL132" s="2"/>
      <c r="FM132" s="2"/>
      <c r="FN132" s="2"/>
      <c r="FO132" s="2"/>
      <c r="FP132" s="2"/>
      <c r="FQ132" s="2"/>
      <c r="FR132" s="2"/>
      <c r="FS132" s="2"/>
      <c r="FT132" s="2"/>
      <c r="FU132" s="2"/>
      <c r="FV132" s="2"/>
      <c r="FW132" s="2"/>
      <c r="FX132" s="2"/>
      <c r="FY132" s="2"/>
      <c r="FZ132" s="2"/>
      <c r="GA132" s="2"/>
      <c r="GB132" s="2"/>
      <c r="GC132" s="2"/>
      <c r="GD132" s="2"/>
      <c r="GE132" s="2"/>
      <c r="GF132" s="2"/>
      <c r="GG132" s="2"/>
      <c r="GH132" s="2"/>
      <c r="GI132" s="2"/>
      <c r="GJ132" s="2"/>
      <c r="GK132" s="2"/>
      <c r="GL132" s="2"/>
      <c r="GM132" s="2"/>
      <c r="GN132" s="2"/>
      <c r="GO132" s="2"/>
      <c r="GP132" s="2"/>
      <c r="GQ132" s="2"/>
      <c r="GR132" s="2"/>
      <c r="GS132" s="2"/>
      <c r="GT132" s="2"/>
      <c r="GU132" s="2"/>
      <c r="GV132" s="2"/>
    </row>
    <row r="133" ht="13.5" customHeight="1">
      <c r="A133" s="1"/>
      <c r="B133" s="1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1"/>
      <c r="P133" s="1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  <c r="DX133" s="2"/>
      <c r="DY133" s="2"/>
      <c r="DZ133" s="2"/>
      <c r="EA133" s="2"/>
      <c r="EB133" s="2"/>
      <c r="EC133" s="2"/>
      <c r="ED133" s="2"/>
      <c r="EE133" s="2"/>
      <c r="EF133" s="2"/>
      <c r="EG133" s="2"/>
      <c r="EH133" s="2"/>
      <c r="EI133" s="2"/>
      <c r="EJ133" s="2"/>
      <c r="EK133" s="2"/>
      <c r="EL133" s="2"/>
      <c r="EM133" s="2"/>
      <c r="EN133" s="2"/>
      <c r="EO133" s="2"/>
      <c r="EP133" s="2"/>
      <c r="EQ133" s="2"/>
      <c r="ER133" s="2"/>
      <c r="ES133" s="2"/>
      <c r="ET133" s="2"/>
      <c r="EU133" s="2"/>
      <c r="EV133" s="2"/>
      <c r="EW133" s="2"/>
      <c r="EX133" s="2"/>
      <c r="EY133" s="2"/>
      <c r="EZ133" s="2"/>
      <c r="FA133" s="2"/>
      <c r="FB133" s="2"/>
      <c r="FC133" s="2"/>
      <c r="FD133" s="2"/>
      <c r="FE133" s="2"/>
      <c r="FF133" s="2"/>
      <c r="FG133" s="2"/>
      <c r="FH133" s="2"/>
      <c r="FI133" s="2"/>
      <c r="FJ133" s="2"/>
      <c r="FK133" s="2"/>
      <c r="FL133" s="2"/>
      <c r="FM133" s="2"/>
      <c r="FN133" s="2"/>
      <c r="FO133" s="2"/>
      <c r="FP133" s="2"/>
      <c r="FQ133" s="2"/>
      <c r="FR133" s="2"/>
      <c r="FS133" s="2"/>
      <c r="FT133" s="2"/>
      <c r="FU133" s="2"/>
      <c r="FV133" s="2"/>
      <c r="FW133" s="2"/>
      <c r="FX133" s="2"/>
      <c r="FY133" s="2"/>
      <c r="FZ133" s="2"/>
      <c r="GA133" s="2"/>
      <c r="GB133" s="2"/>
      <c r="GC133" s="2"/>
      <c r="GD133" s="2"/>
      <c r="GE133" s="2"/>
      <c r="GF133" s="2"/>
      <c r="GG133" s="2"/>
      <c r="GH133" s="2"/>
      <c r="GI133" s="2"/>
      <c r="GJ133" s="2"/>
      <c r="GK133" s="2"/>
      <c r="GL133" s="2"/>
      <c r="GM133" s="2"/>
      <c r="GN133" s="2"/>
      <c r="GO133" s="2"/>
      <c r="GP133" s="2"/>
      <c r="GQ133" s="2"/>
      <c r="GR133" s="2"/>
      <c r="GS133" s="2"/>
      <c r="GT133" s="2"/>
      <c r="GU133" s="2"/>
      <c r="GV133" s="2"/>
    </row>
    <row r="134" ht="13.5" customHeight="1">
      <c r="A134" s="1"/>
      <c r="B134" s="1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1"/>
      <c r="P134" s="1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  <c r="DT134" s="2"/>
      <c r="DU134" s="2"/>
      <c r="DV134" s="2"/>
      <c r="DW134" s="2"/>
      <c r="DX134" s="2"/>
      <c r="DY134" s="2"/>
      <c r="DZ134" s="2"/>
      <c r="EA134" s="2"/>
      <c r="EB134" s="2"/>
      <c r="EC134" s="2"/>
      <c r="ED134" s="2"/>
      <c r="EE134" s="2"/>
      <c r="EF134" s="2"/>
      <c r="EG134" s="2"/>
      <c r="EH134" s="2"/>
      <c r="EI134" s="2"/>
      <c r="EJ134" s="2"/>
      <c r="EK134" s="2"/>
      <c r="EL134" s="2"/>
      <c r="EM134" s="2"/>
      <c r="EN134" s="2"/>
      <c r="EO134" s="2"/>
      <c r="EP134" s="2"/>
      <c r="EQ134" s="2"/>
      <c r="ER134" s="2"/>
      <c r="ES134" s="2"/>
      <c r="ET134" s="2"/>
      <c r="EU134" s="2"/>
      <c r="EV134" s="2"/>
      <c r="EW134" s="2"/>
      <c r="EX134" s="2"/>
      <c r="EY134" s="2"/>
      <c r="EZ134" s="2"/>
      <c r="FA134" s="2"/>
      <c r="FB134" s="2"/>
      <c r="FC134" s="2"/>
      <c r="FD134" s="2"/>
      <c r="FE134" s="2"/>
      <c r="FF134" s="2"/>
      <c r="FG134" s="2"/>
      <c r="FH134" s="2"/>
      <c r="FI134" s="2"/>
      <c r="FJ134" s="2"/>
      <c r="FK134" s="2"/>
      <c r="FL134" s="2"/>
      <c r="FM134" s="2"/>
      <c r="FN134" s="2"/>
      <c r="FO134" s="2"/>
      <c r="FP134" s="2"/>
      <c r="FQ134" s="2"/>
      <c r="FR134" s="2"/>
      <c r="FS134" s="2"/>
      <c r="FT134" s="2"/>
      <c r="FU134" s="2"/>
      <c r="FV134" s="2"/>
      <c r="FW134" s="2"/>
      <c r="FX134" s="2"/>
      <c r="FY134" s="2"/>
      <c r="FZ134" s="2"/>
      <c r="GA134" s="2"/>
      <c r="GB134" s="2"/>
      <c r="GC134" s="2"/>
      <c r="GD134" s="2"/>
      <c r="GE134" s="2"/>
      <c r="GF134" s="2"/>
      <c r="GG134" s="2"/>
      <c r="GH134" s="2"/>
      <c r="GI134" s="2"/>
      <c r="GJ134" s="2"/>
      <c r="GK134" s="2"/>
      <c r="GL134" s="2"/>
      <c r="GM134" s="2"/>
      <c r="GN134" s="2"/>
      <c r="GO134" s="2"/>
      <c r="GP134" s="2"/>
      <c r="GQ134" s="2"/>
      <c r="GR134" s="2"/>
      <c r="GS134" s="2"/>
      <c r="GT134" s="2"/>
      <c r="GU134" s="2"/>
      <c r="GV134" s="2"/>
    </row>
    <row r="135" ht="13.5" customHeight="1">
      <c r="A135" s="1"/>
      <c r="B135" s="1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1"/>
      <c r="P135" s="1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/>
      <c r="DT135" s="2"/>
      <c r="DU135" s="2"/>
      <c r="DV135" s="2"/>
      <c r="DW135" s="2"/>
      <c r="DX135" s="2"/>
      <c r="DY135" s="2"/>
      <c r="DZ135" s="2"/>
      <c r="EA135" s="2"/>
      <c r="EB135" s="2"/>
      <c r="EC135" s="2"/>
      <c r="ED135" s="2"/>
      <c r="EE135" s="2"/>
      <c r="EF135" s="2"/>
      <c r="EG135" s="2"/>
      <c r="EH135" s="2"/>
      <c r="EI135" s="2"/>
      <c r="EJ135" s="2"/>
      <c r="EK135" s="2"/>
      <c r="EL135" s="2"/>
      <c r="EM135" s="2"/>
      <c r="EN135" s="2"/>
      <c r="EO135" s="2"/>
      <c r="EP135" s="2"/>
      <c r="EQ135" s="2"/>
      <c r="ER135" s="2"/>
      <c r="ES135" s="2"/>
      <c r="ET135" s="2"/>
      <c r="EU135" s="2"/>
      <c r="EV135" s="2"/>
      <c r="EW135" s="2"/>
      <c r="EX135" s="2"/>
      <c r="EY135" s="2"/>
      <c r="EZ135" s="2"/>
      <c r="FA135" s="2"/>
      <c r="FB135" s="2"/>
      <c r="FC135" s="2"/>
      <c r="FD135" s="2"/>
      <c r="FE135" s="2"/>
      <c r="FF135" s="2"/>
      <c r="FG135" s="2"/>
      <c r="FH135" s="2"/>
      <c r="FI135" s="2"/>
      <c r="FJ135" s="2"/>
      <c r="FK135" s="2"/>
      <c r="FL135" s="2"/>
      <c r="FM135" s="2"/>
      <c r="FN135" s="2"/>
      <c r="FO135" s="2"/>
      <c r="FP135" s="2"/>
      <c r="FQ135" s="2"/>
      <c r="FR135" s="2"/>
      <c r="FS135" s="2"/>
      <c r="FT135" s="2"/>
      <c r="FU135" s="2"/>
      <c r="FV135" s="2"/>
      <c r="FW135" s="2"/>
      <c r="FX135" s="2"/>
      <c r="FY135" s="2"/>
      <c r="FZ135" s="2"/>
      <c r="GA135" s="2"/>
      <c r="GB135" s="2"/>
      <c r="GC135" s="2"/>
      <c r="GD135" s="2"/>
      <c r="GE135" s="2"/>
      <c r="GF135" s="2"/>
      <c r="GG135" s="2"/>
      <c r="GH135" s="2"/>
      <c r="GI135" s="2"/>
      <c r="GJ135" s="2"/>
      <c r="GK135" s="2"/>
      <c r="GL135" s="2"/>
      <c r="GM135" s="2"/>
      <c r="GN135" s="2"/>
      <c r="GO135" s="2"/>
      <c r="GP135" s="2"/>
      <c r="GQ135" s="2"/>
      <c r="GR135" s="2"/>
      <c r="GS135" s="2"/>
      <c r="GT135" s="2"/>
      <c r="GU135" s="2"/>
      <c r="GV135" s="2"/>
    </row>
    <row r="136" ht="13.5" customHeight="1">
      <c r="A136" s="1"/>
      <c r="B136" s="1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1"/>
      <c r="P136" s="1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/>
      <c r="DS136" s="2"/>
      <c r="DT136" s="2"/>
      <c r="DU136" s="2"/>
      <c r="DV136" s="2"/>
      <c r="DW136" s="2"/>
      <c r="DX136" s="2"/>
      <c r="DY136" s="2"/>
      <c r="DZ136" s="2"/>
      <c r="EA136" s="2"/>
      <c r="EB136" s="2"/>
      <c r="EC136" s="2"/>
      <c r="ED136" s="2"/>
      <c r="EE136" s="2"/>
      <c r="EF136" s="2"/>
      <c r="EG136" s="2"/>
      <c r="EH136" s="2"/>
      <c r="EI136" s="2"/>
      <c r="EJ136" s="2"/>
      <c r="EK136" s="2"/>
      <c r="EL136" s="2"/>
      <c r="EM136" s="2"/>
      <c r="EN136" s="2"/>
      <c r="EO136" s="2"/>
      <c r="EP136" s="2"/>
      <c r="EQ136" s="2"/>
      <c r="ER136" s="2"/>
      <c r="ES136" s="2"/>
      <c r="ET136" s="2"/>
      <c r="EU136" s="2"/>
      <c r="EV136" s="2"/>
      <c r="EW136" s="2"/>
      <c r="EX136" s="2"/>
      <c r="EY136" s="2"/>
      <c r="EZ136" s="2"/>
      <c r="FA136" s="2"/>
      <c r="FB136" s="2"/>
      <c r="FC136" s="2"/>
      <c r="FD136" s="2"/>
      <c r="FE136" s="2"/>
      <c r="FF136" s="2"/>
      <c r="FG136" s="2"/>
      <c r="FH136" s="2"/>
      <c r="FI136" s="2"/>
      <c r="FJ136" s="2"/>
      <c r="FK136" s="2"/>
      <c r="FL136" s="2"/>
      <c r="FM136" s="2"/>
      <c r="FN136" s="2"/>
      <c r="FO136" s="2"/>
      <c r="FP136" s="2"/>
      <c r="FQ136" s="2"/>
      <c r="FR136" s="2"/>
      <c r="FS136" s="2"/>
      <c r="FT136" s="2"/>
      <c r="FU136" s="2"/>
      <c r="FV136" s="2"/>
      <c r="FW136" s="2"/>
      <c r="FX136" s="2"/>
      <c r="FY136" s="2"/>
      <c r="FZ136" s="2"/>
      <c r="GA136" s="2"/>
      <c r="GB136" s="2"/>
      <c r="GC136" s="2"/>
      <c r="GD136" s="2"/>
      <c r="GE136" s="2"/>
      <c r="GF136" s="2"/>
      <c r="GG136" s="2"/>
      <c r="GH136" s="2"/>
      <c r="GI136" s="2"/>
      <c r="GJ136" s="2"/>
      <c r="GK136" s="2"/>
      <c r="GL136" s="2"/>
      <c r="GM136" s="2"/>
      <c r="GN136" s="2"/>
      <c r="GO136" s="2"/>
      <c r="GP136" s="2"/>
      <c r="GQ136" s="2"/>
      <c r="GR136" s="2"/>
      <c r="GS136" s="2"/>
      <c r="GT136" s="2"/>
      <c r="GU136" s="2"/>
      <c r="GV136" s="2"/>
    </row>
    <row r="137" ht="13.5" customHeight="1">
      <c r="A137" s="1"/>
      <c r="B137" s="1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1"/>
      <c r="P137" s="1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  <c r="DT137" s="2"/>
      <c r="DU137" s="2"/>
      <c r="DV137" s="2"/>
      <c r="DW137" s="2"/>
      <c r="DX137" s="2"/>
      <c r="DY137" s="2"/>
      <c r="DZ137" s="2"/>
      <c r="EA137" s="2"/>
      <c r="EB137" s="2"/>
      <c r="EC137" s="2"/>
      <c r="ED137" s="2"/>
      <c r="EE137" s="2"/>
      <c r="EF137" s="2"/>
      <c r="EG137" s="2"/>
      <c r="EH137" s="2"/>
      <c r="EI137" s="2"/>
      <c r="EJ137" s="2"/>
      <c r="EK137" s="2"/>
      <c r="EL137" s="2"/>
      <c r="EM137" s="2"/>
      <c r="EN137" s="2"/>
      <c r="EO137" s="2"/>
      <c r="EP137" s="2"/>
      <c r="EQ137" s="2"/>
      <c r="ER137" s="2"/>
      <c r="ES137" s="2"/>
      <c r="ET137" s="2"/>
      <c r="EU137" s="2"/>
      <c r="EV137" s="2"/>
      <c r="EW137" s="2"/>
      <c r="EX137" s="2"/>
      <c r="EY137" s="2"/>
      <c r="EZ137" s="2"/>
      <c r="FA137" s="2"/>
      <c r="FB137" s="2"/>
      <c r="FC137" s="2"/>
      <c r="FD137" s="2"/>
      <c r="FE137" s="2"/>
      <c r="FF137" s="2"/>
      <c r="FG137" s="2"/>
      <c r="FH137" s="2"/>
      <c r="FI137" s="2"/>
      <c r="FJ137" s="2"/>
      <c r="FK137" s="2"/>
      <c r="FL137" s="2"/>
      <c r="FM137" s="2"/>
      <c r="FN137" s="2"/>
      <c r="FO137" s="2"/>
      <c r="FP137" s="2"/>
      <c r="FQ137" s="2"/>
      <c r="FR137" s="2"/>
      <c r="FS137" s="2"/>
      <c r="FT137" s="2"/>
      <c r="FU137" s="2"/>
      <c r="FV137" s="2"/>
      <c r="FW137" s="2"/>
      <c r="FX137" s="2"/>
      <c r="FY137" s="2"/>
      <c r="FZ137" s="2"/>
      <c r="GA137" s="2"/>
      <c r="GB137" s="2"/>
      <c r="GC137" s="2"/>
      <c r="GD137" s="2"/>
      <c r="GE137" s="2"/>
      <c r="GF137" s="2"/>
      <c r="GG137" s="2"/>
      <c r="GH137" s="2"/>
      <c r="GI137" s="2"/>
      <c r="GJ137" s="2"/>
      <c r="GK137" s="2"/>
      <c r="GL137" s="2"/>
      <c r="GM137" s="2"/>
      <c r="GN137" s="2"/>
      <c r="GO137" s="2"/>
      <c r="GP137" s="2"/>
      <c r="GQ137" s="2"/>
      <c r="GR137" s="2"/>
      <c r="GS137" s="2"/>
      <c r="GT137" s="2"/>
      <c r="GU137" s="2"/>
      <c r="GV137" s="2"/>
    </row>
    <row r="138" ht="13.5" customHeight="1">
      <c r="A138" s="1"/>
      <c r="B138" s="1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1"/>
      <c r="P138" s="1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  <c r="DT138" s="2"/>
      <c r="DU138" s="2"/>
      <c r="DV138" s="2"/>
      <c r="DW138" s="2"/>
      <c r="DX138" s="2"/>
      <c r="DY138" s="2"/>
      <c r="DZ138" s="2"/>
      <c r="EA138" s="2"/>
      <c r="EB138" s="2"/>
      <c r="EC138" s="2"/>
      <c r="ED138" s="2"/>
      <c r="EE138" s="2"/>
      <c r="EF138" s="2"/>
      <c r="EG138" s="2"/>
      <c r="EH138" s="2"/>
      <c r="EI138" s="2"/>
      <c r="EJ138" s="2"/>
      <c r="EK138" s="2"/>
      <c r="EL138" s="2"/>
      <c r="EM138" s="2"/>
      <c r="EN138" s="2"/>
      <c r="EO138" s="2"/>
      <c r="EP138" s="2"/>
      <c r="EQ138" s="2"/>
      <c r="ER138" s="2"/>
      <c r="ES138" s="2"/>
      <c r="ET138" s="2"/>
      <c r="EU138" s="2"/>
      <c r="EV138" s="2"/>
      <c r="EW138" s="2"/>
      <c r="EX138" s="2"/>
      <c r="EY138" s="2"/>
      <c r="EZ138" s="2"/>
      <c r="FA138" s="2"/>
      <c r="FB138" s="2"/>
      <c r="FC138" s="2"/>
      <c r="FD138" s="2"/>
      <c r="FE138" s="2"/>
      <c r="FF138" s="2"/>
      <c r="FG138" s="2"/>
      <c r="FH138" s="2"/>
      <c r="FI138" s="2"/>
      <c r="FJ138" s="2"/>
      <c r="FK138" s="2"/>
      <c r="FL138" s="2"/>
      <c r="FM138" s="2"/>
      <c r="FN138" s="2"/>
      <c r="FO138" s="2"/>
      <c r="FP138" s="2"/>
      <c r="FQ138" s="2"/>
      <c r="FR138" s="2"/>
      <c r="FS138" s="2"/>
      <c r="FT138" s="2"/>
      <c r="FU138" s="2"/>
      <c r="FV138" s="2"/>
      <c r="FW138" s="2"/>
      <c r="FX138" s="2"/>
      <c r="FY138" s="2"/>
      <c r="FZ138" s="2"/>
      <c r="GA138" s="2"/>
      <c r="GB138" s="2"/>
      <c r="GC138" s="2"/>
      <c r="GD138" s="2"/>
      <c r="GE138" s="2"/>
      <c r="GF138" s="2"/>
      <c r="GG138" s="2"/>
      <c r="GH138" s="2"/>
      <c r="GI138" s="2"/>
      <c r="GJ138" s="2"/>
      <c r="GK138" s="2"/>
      <c r="GL138" s="2"/>
      <c r="GM138" s="2"/>
      <c r="GN138" s="2"/>
      <c r="GO138" s="2"/>
      <c r="GP138" s="2"/>
      <c r="GQ138" s="2"/>
      <c r="GR138" s="2"/>
      <c r="GS138" s="2"/>
      <c r="GT138" s="2"/>
      <c r="GU138" s="2"/>
      <c r="GV138" s="2"/>
    </row>
    <row r="139" ht="13.5" customHeight="1">
      <c r="A139" s="1"/>
      <c r="B139" s="1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1"/>
      <c r="P139" s="1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  <c r="DT139" s="2"/>
      <c r="DU139" s="2"/>
      <c r="DV139" s="2"/>
      <c r="DW139" s="2"/>
      <c r="DX139" s="2"/>
      <c r="DY139" s="2"/>
      <c r="DZ139" s="2"/>
      <c r="EA139" s="2"/>
      <c r="EB139" s="2"/>
      <c r="EC139" s="2"/>
      <c r="ED139" s="2"/>
      <c r="EE139" s="2"/>
      <c r="EF139" s="2"/>
      <c r="EG139" s="2"/>
      <c r="EH139" s="2"/>
      <c r="EI139" s="2"/>
      <c r="EJ139" s="2"/>
      <c r="EK139" s="2"/>
      <c r="EL139" s="2"/>
      <c r="EM139" s="2"/>
      <c r="EN139" s="2"/>
      <c r="EO139" s="2"/>
      <c r="EP139" s="2"/>
      <c r="EQ139" s="2"/>
      <c r="ER139" s="2"/>
      <c r="ES139" s="2"/>
      <c r="ET139" s="2"/>
      <c r="EU139" s="2"/>
      <c r="EV139" s="2"/>
      <c r="EW139" s="2"/>
      <c r="EX139" s="2"/>
      <c r="EY139" s="2"/>
      <c r="EZ139" s="2"/>
      <c r="FA139" s="2"/>
      <c r="FB139" s="2"/>
      <c r="FC139" s="2"/>
      <c r="FD139" s="2"/>
      <c r="FE139" s="2"/>
      <c r="FF139" s="2"/>
      <c r="FG139" s="2"/>
      <c r="FH139" s="2"/>
      <c r="FI139" s="2"/>
      <c r="FJ139" s="2"/>
      <c r="FK139" s="2"/>
      <c r="FL139" s="2"/>
      <c r="FM139" s="2"/>
      <c r="FN139" s="2"/>
      <c r="FO139" s="2"/>
      <c r="FP139" s="2"/>
      <c r="FQ139" s="2"/>
      <c r="FR139" s="2"/>
      <c r="FS139" s="2"/>
      <c r="FT139" s="2"/>
      <c r="FU139" s="2"/>
      <c r="FV139" s="2"/>
      <c r="FW139" s="2"/>
      <c r="FX139" s="2"/>
      <c r="FY139" s="2"/>
      <c r="FZ139" s="2"/>
      <c r="GA139" s="2"/>
      <c r="GB139" s="2"/>
      <c r="GC139" s="2"/>
      <c r="GD139" s="2"/>
      <c r="GE139" s="2"/>
      <c r="GF139" s="2"/>
      <c r="GG139" s="2"/>
      <c r="GH139" s="2"/>
      <c r="GI139" s="2"/>
      <c r="GJ139" s="2"/>
      <c r="GK139" s="2"/>
      <c r="GL139" s="2"/>
      <c r="GM139" s="2"/>
      <c r="GN139" s="2"/>
      <c r="GO139" s="2"/>
      <c r="GP139" s="2"/>
      <c r="GQ139" s="2"/>
      <c r="GR139" s="2"/>
      <c r="GS139" s="2"/>
      <c r="GT139" s="2"/>
      <c r="GU139" s="2"/>
      <c r="GV139" s="2"/>
    </row>
    <row r="140" ht="13.5" customHeight="1">
      <c r="A140" s="1"/>
      <c r="B140" s="1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1"/>
      <c r="P140" s="1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  <c r="DT140" s="2"/>
      <c r="DU140" s="2"/>
      <c r="DV140" s="2"/>
      <c r="DW140" s="2"/>
      <c r="DX140" s="2"/>
      <c r="DY140" s="2"/>
      <c r="DZ140" s="2"/>
      <c r="EA140" s="2"/>
      <c r="EB140" s="2"/>
      <c r="EC140" s="2"/>
      <c r="ED140" s="2"/>
      <c r="EE140" s="2"/>
      <c r="EF140" s="2"/>
      <c r="EG140" s="2"/>
      <c r="EH140" s="2"/>
      <c r="EI140" s="2"/>
      <c r="EJ140" s="2"/>
      <c r="EK140" s="2"/>
      <c r="EL140" s="2"/>
      <c r="EM140" s="2"/>
      <c r="EN140" s="2"/>
      <c r="EO140" s="2"/>
      <c r="EP140" s="2"/>
      <c r="EQ140" s="2"/>
      <c r="ER140" s="2"/>
      <c r="ES140" s="2"/>
      <c r="ET140" s="2"/>
      <c r="EU140" s="2"/>
      <c r="EV140" s="2"/>
      <c r="EW140" s="2"/>
      <c r="EX140" s="2"/>
      <c r="EY140" s="2"/>
      <c r="EZ140" s="2"/>
      <c r="FA140" s="2"/>
      <c r="FB140" s="2"/>
      <c r="FC140" s="2"/>
      <c r="FD140" s="2"/>
      <c r="FE140" s="2"/>
      <c r="FF140" s="2"/>
      <c r="FG140" s="2"/>
      <c r="FH140" s="2"/>
      <c r="FI140" s="2"/>
      <c r="FJ140" s="2"/>
      <c r="FK140" s="2"/>
      <c r="FL140" s="2"/>
      <c r="FM140" s="2"/>
      <c r="FN140" s="2"/>
      <c r="FO140" s="2"/>
      <c r="FP140" s="2"/>
      <c r="FQ140" s="2"/>
      <c r="FR140" s="2"/>
      <c r="FS140" s="2"/>
      <c r="FT140" s="2"/>
      <c r="FU140" s="2"/>
      <c r="FV140" s="2"/>
      <c r="FW140" s="2"/>
      <c r="FX140" s="2"/>
      <c r="FY140" s="2"/>
      <c r="FZ140" s="2"/>
      <c r="GA140" s="2"/>
      <c r="GB140" s="2"/>
      <c r="GC140" s="2"/>
      <c r="GD140" s="2"/>
      <c r="GE140" s="2"/>
      <c r="GF140" s="2"/>
      <c r="GG140" s="2"/>
      <c r="GH140" s="2"/>
      <c r="GI140" s="2"/>
      <c r="GJ140" s="2"/>
      <c r="GK140" s="2"/>
      <c r="GL140" s="2"/>
      <c r="GM140" s="2"/>
      <c r="GN140" s="2"/>
      <c r="GO140" s="2"/>
      <c r="GP140" s="2"/>
      <c r="GQ140" s="2"/>
      <c r="GR140" s="2"/>
      <c r="GS140" s="2"/>
      <c r="GT140" s="2"/>
      <c r="GU140" s="2"/>
      <c r="GV140" s="2"/>
    </row>
    <row r="141" ht="13.5" customHeight="1">
      <c r="A141" s="1"/>
      <c r="B141" s="1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1"/>
      <c r="P141" s="1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  <c r="DT141" s="2"/>
      <c r="DU141" s="2"/>
      <c r="DV141" s="2"/>
      <c r="DW141" s="2"/>
      <c r="DX141" s="2"/>
      <c r="DY141" s="2"/>
      <c r="DZ141" s="2"/>
      <c r="EA141" s="2"/>
      <c r="EB141" s="2"/>
      <c r="EC141" s="2"/>
      <c r="ED141" s="2"/>
      <c r="EE141" s="2"/>
      <c r="EF141" s="2"/>
      <c r="EG141" s="2"/>
      <c r="EH141" s="2"/>
      <c r="EI141" s="2"/>
      <c r="EJ141" s="2"/>
      <c r="EK141" s="2"/>
      <c r="EL141" s="2"/>
      <c r="EM141" s="2"/>
      <c r="EN141" s="2"/>
      <c r="EO141" s="2"/>
      <c r="EP141" s="2"/>
      <c r="EQ141" s="2"/>
      <c r="ER141" s="2"/>
      <c r="ES141" s="2"/>
      <c r="ET141" s="2"/>
      <c r="EU141" s="2"/>
      <c r="EV141" s="2"/>
      <c r="EW141" s="2"/>
      <c r="EX141" s="2"/>
      <c r="EY141" s="2"/>
      <c r="EZ141" s="2"/>
      <c r="FA141" s="2"/>
      <c r="FB141" s="2"/>
      <c r="FC141" s="2"/>
      <c r="FD141" s="2"/>
      <c r="FE141" s="2"/>
      <c r="FF141" s="2"/>
      <c r="FG141" s="2"/>
      <c r="FH141" s="2"/>
      <c r="FI141" s="2"/>
      <c r="FJ141" s="2"/>
      <c r="FK141" s="2"/>
      <c r="FL141" s="2"/>
      <c r="FM141" s="2"/>
      <c r="FN141" s="2"/>
      <c r="FO141" s="2"/>
      <c r="FP141" s="2"/>
      <c r="FQ141" s="2"/>
      <c r="FR141" s="2"/>
      <c r="FS141" s="2"/>
      <c r="FT141" s="2"/>
      <c r="FU141" s="2"/>
      <c r="FV141" s="2"/>
      <c r="FW141" s="2"/>
      <c r="FX141" s="2"/>
      <c r="FY141" s="2"/>
      <c r="FZ141" s="2"/>
      <c r="GA141" s="2"/>
      <c r="GB141" s="2"/>
      <c r="GC141" s="2"/>
      <c r="GD141" s="2"/>
      <c r="GE141" s="2"/>
      <c r="GF141" s="2"/>
      <c r="GG141" s="2"/>
      <c r="GH141" s="2"/>
      <c r="GI141" s="2"/>
      <c r="GJ141" s="2"/>
      <c r="GK141" s="2"/>
      <c r="GL141" s="2"/>
      <c r="GM141" s="2"/>
      <c r="GN141" s="2"/>
      <c r="GO141" s="2"/>
      <c r="GP141" s="2"/>
      <c r="GQ141" s="2"/>
      <c r="GR141" s="2"/>
      <c r="GS141" s="2"/>
      <c r="GT141" s="2"/>
      <c r="GU141" s="2"/>
      <c r="GV141" s="2"/>
    </row>
    <row r="142" ht="13.5" customHeight="1">
      <c r="A142" s="1"/>
      <c r="B142" s="1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1"/>
      <c r="P142" s="1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DW142" s="2"/>
      <c r="DX142" s="2"/>
      <c r="DY142" s="2"/>
      <c r="DZ142" s="2"/>
      <c r="EA142" s="2"/>
      <c r="EB142" s="2"/>
      <c r="EC142" s="2"/>
      <c r="ED142" s="2"/>
      <c r="EE142" s="2"/>
      <c r="EF142" s="2"/>
      <c r="EG142" s="2"/>
      <c r="EH142" s="2"/>
      <c r="EI142" s="2"/>
      <c r="EJ142" s="2"/>
      <c r="EK142" s="2"/>
      <c r="EL142" s="2"/>
      <c r="EM142" s="2"/>
      <c r="EN142" s="2"/>
      <c r="EO142" s="2"/>
      <c r="EP142" s="2"/>
      <c r="EQ142" s="2"/>
      <c r="ER142" s="2"/>
      <c r="ES142" s="2"/>
      <c r="ET142" s="2"/>
      <c r="EU142" s="2"/>
      <c r="EV142" s="2"/>
      <c r="EW142" s="2"/>
      <c r="EX142" s="2"/>
      <c r="EY142" s="2"/>
      <c r="EZ142" s="2"/>
      <c r="FA142" s="2"/>
      <c r="FB142" s="2"/>
      <c r="FC142" s="2"/>
      <c r="FD142" s="2"/>
      <c r="FE142" s="2"/>
      <c r="FF142" s="2"/>
      <c r="FG142" s="2"/>
      <c r="FH142" s="2"/>
      <c r="FI142" s="2"/>
      <c r="FJ142" s="2"/>
      <c r="FK142" s="2"/>
      <c r="FL142" s="2"/>
      <c r="FM142" s="2"/>
      <c r="FN142" s="2"/>
      <c r="FO142" s="2"/>
      <c r="FP142" s="2"/>
      <c r="FQ142" s="2"/>
      <c r="FR142" s="2"/>
      <c r="FS142" s="2"/>
      <c r="FT142" s="2"/>
      <c r="FU142" s="2"/>
      <c r="FV142" s="2"/>
      <c r="FW142" s="2"/>
      <c r="FX142" s="2"/>
      <c r="FY142" s="2"/>
      <c r="FZ142" s="2"/>
      <c r="GA142" s="2"/>
      <c r="GB142" s="2"/>
      <c r="GC142" s="2"/>
      <c r="GD142" s="2"/>
      <c r="GE142" s="2"/>
      <c r="GF142" s="2"/>
      <c r="GG142" s="2"/>
      <c r="GH142" s="2"/>
      <c r="GI142" s="2"/>
      <c r="GJ142" s="2"/>
      <c r="GK142" s="2"/>
      <c r="GL142" s="2"/>
      <c r="GM142" s="2"/>
      <c r="GN142" s="2"/>
      <c r="GO142" s="2"/>
      <c r="GP142" s="2"/>
      <c r="GQ142" s="2"/>
      <c r="GR142" s="2"/>
      <c r="GS142" s="2"/>
      <c r="GT142" s="2"/>
      <c r="GU142" s="2"/>
      <c r="GV142" s="2"/>
    </row>
    <row r="143" ht="13.5" customHeight="1">
      <c r="A143" s="1"/>
      <c r="B143" s="1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1"/>
      <c r="P143" s="1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  <c r="DT143" s="2"/>
      <c r="DU143" s="2"/>
      <c r="DV143" s="2"/>
      <c r="DW143" s="2"/>
      <c r="DX143" s="2"/>
      <c r="DY143" s="2"/>
      <c r="DZ143" s="2"/>
      <c r="EA143" s="2"/>
      <c r="EB143" s="2"/>
      <c r="EC143" s="2"/>
      <c r="ED143" s="2"/>
      <c r="EE143" s="2"/>
      <c r="EF143" s="2"/>
      <c r="EG143" s="2"/>
      <c r="EH143" s="2"/>
      <c r="EI143" s="2"/>
      <c r="EJ143" s="2"/>
      <c r="EK143" s="2"/>
      <c r="EL143" s="2"/>
      <c r="EM143" s="2"/>
      <c r="EN143" s="2"/>
      <c r="EO143" s="2"/>
      <c r="EP143" s="2"/>
      <c r="EQ143" s="2"/>
      <c r="ER143" s="2"/>
      <c r="ES143" s="2"/>
      <c r="ET143" s="2"/>
      <c r="EU143" s="2"/>
      <c r="EV143" s="2"/>
      <c r="EW143" s="2"/>
      <c r="EX143" s="2"/>
      <c r="EY143" s="2"/>
      <c r="EZ143" s="2"/>
      <c r="FA143" s="2"/>
      <c r="FB143" s="2"/>
      <c r="FC143" s="2"/>
      <c r="FD143" s="2"/>
      <c r="FE143" s="2"/>
      <c r="FF143" s="2"/>
      <c r="FG143" s="2"/>
      <c r="FH143" s="2"/>
      <c r="FI143" s="2"/>
      <c r="FJ143" s="2"/>
      <c r="FK143" s="2"/>
      <c r="FL143" s="2"/>
      <c r="FM143" s="2"/>
      <c r="FN143" s="2"/>
      <c r="FO143" s="2"/>
      <c r="FP143" s="2"/>
      <c r="FQ143" s="2"/>
      <c r="FR143" s="2"/>
      <c r="FS143" s="2"/>
      <c r="FT143" s="2"/>
      <c r="FU143" s="2"/>
      <c r="FV143" s="2"/>
      <c r="FW143" s="2"/>
      <c r="FX143" s="2"/>
      <c r="FY143" s="2"/>
      <c r="FZ143" s="2"/>
      <c r="GA143" s="2"/>
      <c r="GB143" s="2"/>
      <c r="GC143" s="2"/>
      <c r="GD143" s="2"/>
      <c r="GE143" s="2"/>
      <c r="GF143" s="2"/>
      <c r="GG143" s="2"/>
      <c r="GH143" s="2"/>
      <c r="GI143" s="2"/>
      <c r="GJ143" s="2"/>
      <c r="GK143" s="2"/>
      <c r="GL143" s="2"/>
      <c r="GM143" s="2"/>
      <c r="GN143" s="2"/>
      <c r="GO143" s="2"/>
      <c r="GP143" s="2"/>
      <c r="GQ143" s="2"/>
      <c r="GR143" s="2"/>
      <c r="GS143" s="2"/>
      <c r="GT143" s="2"/>
      <c r="GU143" s="2"/>
      <c r="GV143" s="2"/>
    </row>
    <row r="144" ht="13.5" customHeight="1">
      <c r="A144" s="1"/>
      <c r="B144" s="1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1"/>
      <c r="P144" s="1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  <c r="DP144" s="2"/>
      <c r="DQ144" s="2"/>
      <c r="DR144" s="2"/>
      <c r="DS144" s="2"/>
      <c r="DT144" s="2"/>
      <c r="DU144" s="2"/>
      <c r="DV144" s="2"/>
      <c r="DW144" s="2"/>
      <c r="DX144" s="2"/>
      <c r="DY144" s="2"/>
      <c r="DZ144" s="2"/>
      <c r="EA144" s="2"/>
      <c r="EB144" s="2"/>
      <c r="EC144" s="2"/>
      <c r="ED144" s="2"/>
      <c r="EE144" s="2"/>
      <c r="EF144" s="2"/>
      <c r="EG144" s="2"/>
      <c r="EH144" s="2"/>
      <c r="EI144" s="2"/>
      <c r="EJ144" s="2"/>
      <c r="EK144" s="2"/>
      <c r="EL144" s="2"/>
      <c r="EM144" s="2"/>
      <c r="EN144" s="2"/>
      <c r="EO144" s="2"/>
      <c r="EP144" s="2"/>
      <c r="EQ144" s="2"/>
      <c r="ER144" s="2"/>
      <c r="ES144" s="2"/>
      <c r="ET144" s="2"/>
      <c r="EU144" s="2"/>
      <c r="EV144" s="2"/>
      <c r="EW144" s="2"/>
      <c r="EX144" s="2"/>
      <c r="EY144" s="2"/>
      <c r="EZ144" s="2"/>
      <c r="FA144" s="2"/>
      <c r="FB144" s="2"/>
      <c r="FC144" s="2"/>
      <c r="FD144" s="2"/>
      <c r="FE144" s="2"/>
      <c r="FF144" s="2"/>
      <c r="FG144" s="2"/>
      <c r="FH144" s="2"/>
      <c r="FI144" s="2"/>
      <c r="FJ144" s="2"/>
      <c r="FK144" s="2"/>
      <c r="FL144" s="2"/>
      <c r="FM144" s="2"/>
      <c r="FN144" s="2"/>
      <c r="FO144" s="2"/>
      <c r="FP144" s="2"/>
      <c r="FQ144" s="2"/>
      <c r="FR144" s="2"/>
      <c r="FS144" s="2"/>
      <c r="FT144" s="2"/>
      <c r="FU144" s="2"/>
      <c r="FV144" s="2"/>
      <c r="FW144" s="2"/>
      <c r="FX144" s="2"/>
      <c r="FY144" s="2"/>
      <c r="FZ144" s="2"/>
      <c r="GA144" s="2"/>
      <c r="GB144" s="2"/>
      <c r="GC144" s="2"/>
      <c r="GD144" s="2"/>
      <c r="GE144" s="2"/>
      <c r="GF144" s="2"/>
      <c r="GG144" s="2"/>
      <c r="GH144" s="2"/>
      <c r="GI144" s="2"/>
      <c r="GJ144" s="2"/>
      <c r="GK144" s="2"/>
      <c r="GL144" s="2"/>
      <c r="GM144" s="2"/>
      <c r="GN144" s="2"/>
      <c r="GO144" s="2"/>
      <c r="GP144" s="2"/>
      <c r="GQ144" s="2"/>
      <c r="GR144" s="2"/>
      <c r="GS144" s="2"/>
      <c r="GT144" s="2"/>
      <c r="GU144" s="2"/>
      <c r="GV144" s="2"/>
    </row>
    <row r="145" ht="13.5" customHeight="1">
      <c r="A145" s="1"/>
      <c r="B145" s="1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1"/>
      <c r="P145" s="1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2"/>
      <c r="DR145" s="2"/>
      <c r="DS145" s="2"/>
      <c r="DT145" s="2"/>
      <c r="DU145" s="2"/>
      <c r="DV145" s="2"/>
      <c r="DW145" s="2"/>
      <c r="DX145" s="2"/>
      <c r="DY145" s="2"/>
      <c r="DZ145" s="2"/>
      <c r="EA145" s="2"/>
      <c r="EB145" s="2"/>
      <c r="EC145" s="2"/>
      <c r="ED145" s="2"/>
      <c r="EE145" s="2"/>
      <c r="EF145" s="2"/>
      <c r="EG145" s="2"/>
      <c r="EH145" s="2"/>
      <c r="EI145" s="2"/>
      <c r="EJ145" s="2"/>
      <c r="EK145" s="2"/>
      <c r="EL145" s="2"/>
      <c r="EM145" s="2"/>
      <c r="EN145" s="2"/>
      <c r="EO145" s="2"/>
      <c r="EP145" s="2"/>
      <c r="EQ145" s="2"/>
      <c r="ER145" s="2"/>
      <c r="ES145" s="2"/>
      <c r="ET145" s="2"/>
      <c r="EU145" s="2"/>
      <c r="EV145" s="2"/>
      <c r="EW145" s="2"/>
      <c r="EX145" s="2"/>
      <c r="EY145" s="2"/>
      <c r="EZ145" s="2"/>
      <c r="FA145" s="2"/>
      <c r="FB145" s="2"/>
      <c r="FC145" s="2"/>
      <c r="FD145" s="2"/>
      <c r="FE145" s="2"/>
      <c r="FF145" s="2"/>
      <c r="FG145" s="2"/>
      <c r="FH145" s="2"/>
      <c r="FI145" s="2"/>
      <c r="FJ145" s="2"/>
      <c r="FK145" s="2"/>
      <c r="FL145" s="2"/>
      <c r="FM145" s="2"/>
      <c r="FN145" s="2"/>
      <c r="FO145" s="2"/>
      <c r="FP145" s="2"/>
      <c r="FQ145" s="2"/>
      <c r="FR145" s="2"/>
      <c r="FS145" s="2"/>
      <c r="FT145" s="2"/>
      <c r="FU145" s="2"/>
      <c r="FV145" s="2"/>
      <c r="FW145" s="2"/>
      <c r="FX145" s="2"/>
      <c r="FY145" s="2"/>
      <c r="FZ145" s="2"/>
      <c r="GA145" s="2"/>
      <c r="GB145" s="2"/>
      <c r="GC145" s="2"/>
      <c r="GD145" s="2"/>
      <c r="GE145" s="2"/>
      <c r="GF145" s="2"/>
      <c r="GG145" s="2"/>
      <c r="GH145" s="2"/>
      <c r="GI145" s="2"/>
      <c r="GJ145" s="2"/>
      <c r="GK145" s="2"/>
      <c r="GL145" s="2"/>
      <c r="GM145" s="2"/>
      <c r="GN145" s="2"/>
      <c r="GO145" s="2"/>
      <c r="GP145" s="2"/>
      <c r="GQ145" s="2"/>
      <c r="GR145" s="2"/>
      <c r="GS145" s="2"/>
      <c r="GT145" s="2"/>
      <c r="GU145" s="2"/>
      <c r="GV145" s="2"/>
    </row>
    <row r="146" ht="13.5" customHeight="1">
      <c r="A146" s="1"/>
      <c r="B146" s="1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1"/>
      <c r="P146" s="1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  <c r="DT146" s="2"/>
      <c r="DU146" s="2"/>
      <c r="DV146" s="2"/>
      <c r="DW146" s="2"/>
      <c r="DX146" s="2"/>
      <c r="DY146" s="2"/>
      <c r="DZ146" s="2"/>
      <c r="EA146" s="2"/>
      <c r="EB146" s="2"/>
      <c r="EC146" s="2"/>
      <c r="ED146" s="2"/>
      <c r="EE146" s="2"/>
      <c r="EF146" s="2"/>
      <c r="EG146" s="2"/>
      <c r="EH146" s="2"/>
      <c r="EI146" s="2"/>
      <c r="EJ146" s="2"/>
      <c r="EK146" s="2"/>
      <c r="EL146" s="2"/>
      <c r="EM146" s="2"/>
      <c r="EN146" s="2"/>
      <c r="EO146" s="2"/>
      <c r="EP146" s="2"/>
      <c r="EQ146" s="2"/>
      <c r="ER146" s="2"/>
      <c r="ES146" s="2"/>
      <c r="ET146" s="2"/>
      <c r="EU146" s="2"/>
      <c r="EV146" s="2"/>
      <c r="EW146" s="2"/>
      <c r="EX146" s="2"/>
      <c r="EY146" s="2"/>
      <c r="EZ146" s="2"/>
      <c r="FA146" s="2"/>
      <c r="FB146" s="2"/>
      <c r="FC146" s="2"/>
      <c r="FD146" s="2"/>
      <c r="FE146" s="2"/>
      <c r="FF146" s="2"/>
      <c r="FG146" s="2"/>
      <c r="FH146" s="2"/>
      <c r="FI146" s="2"/>
      <c r="FJ146" s="2"/>
      <c r="FK146" s="2"/>
      <c r="FL146" s="2"/>
      <c r="FM146" s="2"/>
      <c r="FN146" s="2"/>
      <c r="FO146" s="2"/>
      <c r="FP146" s="2"/>
      <c r="FQ146" s="2"/>
      <c r="FR146" s="2"/>
      <c r="FS146" s="2"/>
      <c r="FT146" s="2"/>
      <c r="FU146" s="2"/>
      <c r="FV146" s="2"/>
      <c r="FW146" s="2"/>
      <c r="FX146" s="2"/>
      <c r="FY146" s="2"/>
      <c r="FZ146" s="2"/>
      <c r="GA146" s="2"/>
      <c r="GB146" s="2"/>
      <c r="GC146" s="2"/>
      <c r="GD146" s="2"/>
      <c r="GE146" s="2"/>
      <c r="GF146" s="2"/>
      <c r="GG146" s="2"/>
      <c r="GH146" s="2"/>
      <c r="GI146" s="2"/>
      <c r="GJ146" s="2"/>
      <c r="GK146" s="2"/>
      <c r="GL146" s="2"/>
      <c r="GM146" s="2"/>
      <c r="GN146" s="2"/>
      <c r="GO146" s="2"/>
      <c r="GP146" s="2"/>
      <c r="GQ146" s="2"/>
      <c r="GR146" s="2"/>
      <c r="GS146" s="2"/>
      <c r="GT146" s="2"/>
      <c r="GU146" s="2"/>
      <c r="GV146" s="2"/>
    </row>
    <row r="147" ht="13.5" customHeight="1">
      <c r="A147" s="1"/>
      <c r="B147" s="1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1"/>
      <c r="P147" s="1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  <c r="DP147" s="2"/>
      <c r="DQ147" s="2"/>
      <c r="DR147" s="2"/>
      <c r="DS147" s="2"/>
      <c r="DT147" s="2"/>
      <c r="DU147" s="2"/>
      <c r="DV147" s="2"/>
      <c r="DW147" s="2"/>
      <c r="DX147" s="2"/>
      <c r="DY147" s="2"/>
      <c r="DZ147" s="2"/>
      <c r="EA147" s="2"/>
      <c r="EB147" s="2"/>
      <c r="EC147" s="2"/>
      <c r="ED147" s="2"/>
      <c r="EE147" s="2"/>
      <c r="EF147" s="2"/>
      <c r="EG147" s="2"/>
      <c r="EH147" s="2"/>
      <c r="EI147" s="2"/>
      <c r="EJ147" s="2"/>
      <c r="EK147" s="2"/>
      <c r="EL147" s="2"/>
      <c r="EM147" s="2"/>
      <c r="EN147" s="2"/>
      <c r="EO147" s="2"/>
      <c r="EP147" s="2"/>
      <c r="EQ147" s="2"/>
      <c r="ER147" s="2"/>
      <c r="ES147" s="2"/>
      <c r="ET147" s="2"/>
      <c r="EU147" s="2"/>
      <c r="EV147" s="2"/>
      <c r="EW147" s="2"/>
      <c r="EX147" s="2"/>
      <c r="EY147" s="2"/>
      <c r="EZ147" s="2"/>
      <c r="FA147" s="2"/>
      <c r="FB147" s="2"/>
      <c r="FC147" s="2"/>
      <c r="FD147" s="2"/>
      <c r="FE147" s="2"/>
      <c r="FF147" s="2"/>
      <c r="FG147" s="2"/>
      <c r="FH147" s="2"/>
      <c r="FI147" s="2"/>
      <c r="FJ147" s="2"/>
      <c r="FK147" s="2"/>
      <c r="FL147" s="2"/>
      <c r="FM147" s="2"/>
      <c r="FN147" s="2"/>
      <c r="FO147" s="2"/>
      <c r="FP147" s="2"/>
      <c r="FQ147" s="2"/>
      <c r="FR147" s="2"/>
      <c r="FS147" s="2"/>
      <c r="FT147" s="2"/>
      <c r="FU147" s="2"/>
      <c r="FV147" s="2"/>
      <c r="FW147" s="2"/>
      <c r="FX147" s="2"/>
      <c r="FY147" s="2"/>
      <c r="FZ147" s="2"/>
      <c r="GA147" s="2"/>
      <c r="GB147" s="2"/>
      <c r="GC147" s="2"/>
      <c r="GD147" s="2"/>
      <c r="GE147" s="2"/>
      <c r="GF147" s="2"/>
      <c r="GG147" s="2"/>
      <c r="GH147" s="2"/>
      <c r="GI147" s="2"/>
      <c r="GJ147" s="2"/>
      <c r="GK147" s="2"/>
      <c r="GL147" s="2"/>
      <c r="GM147" s="2"/>
      <c r="GN147" s="2"/>
      <c r="GO147" s="2"/>
      <c r="GP147" s="2"/>
      <c r="GQ147" s="2"/>
      <c r="GR147" s="2"/>
      <c r="GS147" s="2"/>
      <c r="GT147" s="2"/>
      <c r="GU147" s="2"/>
      <c r="GV147" s="2"/>
    </row>
    <row r="148" ht="13.5" customHeight="1">
      <c r="A148" s="1"/>
      <c r="B148" s="1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1"/>
      <c r="P148" s="1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  <c r="DT148" s="2"/>
      <c r="DU148" s="2"/>
      <c r="DV148" s="2"/>
      <c r="DW148" s="2"/>
      <c r="DX148" s="2"/>
      <c r="DY148" s="2"/>
      <c r="DZ148" s="2"/>
      <c r="EA148" s="2"/>
      <c r="EB148" s="2"/>
      <c r="EC148" s="2"/>
      <c r="ED148" s="2"/>
      <c r="EE148" s="2"/>
      <c r="EF148" s="2"/>
      <c r="EG148" s="2"/>
      <c r="EH148" s="2"/>
      <c r="EI148" s="2"/>
      <c r="EJ148" s="2"/>
      <c r="EK148" s="2"/>
      <c r="EL148" s="2"/>
      <c r="EM148" s="2"/>
      <c r="EN148" s="2"/>
      <c r="EO148" s="2"/>
      <c r="EP148" s="2"/>
      <c r="EQ148" s="2"/>
      <c r="ER148" s="2"/>
      <c r="ES148" s="2"/>
      <c r="ET148" s="2"/>
      <c r="EU148" s="2"/>
      <c r="EV148" s="2"/>
      <c r="EW148" s="2"/>
      <c r="EX148" s="2"/>
      <c r="EY148" s="2"/>
      <c r="EZ148" s="2"/>
      <c r="FA148" s="2"/>
      <c r="FB148" s="2"/>
      <c r="FC148" s="2"/>
      <c r="FD148" s="2"/>
      <c r="FE148" s="2"/>
      <c r="FF148" s="2"/>
      <c r="FG148" s="2"/>
      <c r="FH148" s="2"/>
      <c r="FI148" s="2"/>
      <c r="FJ148" s="2"/>
      <c r="FK148" s="2"/>
      <c r="FL148" s="2"/>
      <c r="FM148" s="2"/>
      <c r="FN148" s="2"/>
      <c r="FO148" s="2"/>
      <c r="FP148" s="2"/>
      <c r="FQ148" s="2"/>
      <c r="FR148" s="2"/>
      <c r="FS148" s="2"/>
      <c r="FT148" s="2"/>
      <c r="FU148" s="2"/>
      <c r="FV148" s="2"/>
      <c r="FW148" s="2"/>
      <c r="FX148" s="2"/>
      <c r="FY148" s="2"/>
      <c r="FZ148" s="2"/>
      <c r="GA148" s="2"/>
      <c r="GB148" s="2"/>
      <c r="GC148" s="2"/>
      <c r="GD148" s="2"/>
      <c r="GE148" s="2"/>
      <c r="GF148" s="2"/>
      <c r="GG148" s="2"/>
      <c r="GH148" s="2"/>
      <c r="GI148" s="2"/>
      <c r="GJ148" s="2"/>
      <c r="GK148" s="2"/>
      <c r="GL148" s="2"/>
      <c r="GM148" s="2"/>
      <c r="GN148" s="2"/>
      <c r="GO148" s="2"/>
      <c r="GP148" s="2"/>
      <c r="GQ148" s="2"/>
      <c r="GR148" s="2"/>
      <c r="GS148" s="2"/>
      <c r="GT148" s="2"/>
      <c r="GU148" s="2"/>
      <c r="GV148" s="2"/>
    </row>
    <row r="149" ht="13.5" customHeight="1">
      <c r="A149" s="1"/>
      <c r="B149" s="1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1"/>
      <c r="P149" s="1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  <c r="DP149" s="2"/>
      <c r="DQ149" s="2"/>
      <c r="DR149" s="2"/>
      <c r="DS149" s="2"/>
      <c r="DT149" s="2"/>
      <c r="DU149" s="2"/>
      <c r="DV149" s="2"/>
      <c r="DW149" s="2"/>
      <c r="DX149" s="2"/>
      <c r="DY149" s="2"/>
      <c r="DZ149" s="2"/>
      <c r="EA149" s="2"/>
      <c r="EB149" s="2"/>
      <c r="EC149" s="2"/>
      <c r="ED149" s="2"/>
      <c r="EE149" s="2"/>
      <c r="EF149" s="2"/>
      <c r="EG149" s="2"/>
      <c r="EH149" s="2"/>
      <c r="EI149" s="2"/>
      <c r="EJ149" s="2"/>
      <c r="EK149" s="2"/>
      <c r="EL149" s="2"/>
      <c r="EM149" s="2"/>
      <c r="EN149" s="2"/>
      <c r="EO149" s="2"/>
      <c r="EP149" s="2"/>
      <c r="EQ149" s="2"/>
      <c r="ER149" s="2"/>
      <c r="ES149" s="2"/>
      <c r="ET149" s="2"/>
      <c r="EU149" s="2"/>
      <c r="EV149" s="2"/>
      <c r="EW149" s="2"/>
      <c r="EX149" s="2"/>
      <c r="EY149" s="2"/>
      <c r="EZ149" s="2"/>
      <c r="FA149" s="2"/>
      <c r="FB149" s="2"/>
      <c r="FC149" s="2"/>
      <c r="FD149" s="2"/>
      <c r="FE149" s="2"/>
      <c r="FF149" s="2"/>
      <c r="FG149" s="2"/>
      <c r="FH149" s="2"/>
      <c r="FI149" s="2"/>
      <c r="FJ149" s="2"/>
      <c r="FK149" s="2"/>
      <c r="FL149" s="2"/>
      <c r="FM149" s="2"/>
      <c r="FN149" s="2"/>
      <c r="FO149" s="2"/>
      <c r="FP149" s="2"/>
      <c r="FQ149" s="2"/>
      <c r="FR149" s="2"/>
      <c r="FS149" s="2"/>
      <c r="FT149" s="2"/>
      <c r="FU149" s="2"/>
      <c r="FV149" s="2"/>
      <c r="FW149" s="2"/>
      <c r="FX149" s="2"/>
      <c r="FY149" s="2"/>
      <c r="FZ149" s="2"/>
      <c r="GA149" s="2"/>
      <c r="GB149" s="2"/>
      <c r="GC149" s="2"/>
      <c r="GD149" s="2"/>
      <c r="GE149" s="2"/>
      <c r="GF149" s="2"/>
      <c r="GG149" s="2"/>
      <c r="GH149" s="2"/>
      <c r="GI149" s="2"/>
      <c r="GJ149" s="2"/>
      <c r="GK149" s="2"/>
      <c r="GL149" s="2"/>
      <c r="GM149" s="2"/>
      <c r="GN149" s="2"/>
      <c r="GO149" s="2"/>
      <c r="GP149" s="2"/>
      <c r="GQ149" s="2"/>
      <c r="GR149" s="2"/>
      <c r="GS149" s="2"/>
      <c r="GT149" s="2"/>
      <c r="GU149" s="2"/>
      <c r="GV149" s="2"/>
    </row>
    <row r="150" ht="13.5" customHeight="1">
      <c r="A150" s="1"/>
      <c r="B150" s="1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1"/>
      <c r="P150" s="1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  <c r="DP150" s="2"/>
      <c r="DQ150" s="2"/>
      <c r="DR150" s="2"/>
      <c r="DS150" s="2"/>
      <c r="DT150" s="2"/>
      <c r="DU150" s="2"/>
      <c r="DV150" s="2"/>
      <c r="DW150" s="2"/>
      <c r="DX150" s="2"/>
      <c r="DY150" s="2"/>
      <c r="DZ150" s="2"/>
      <c r="EA150" s="2"/>
      <c r="EB150" s="2"/>
      <c r="EC150" s="2"/>
      <c r="ED150" s="2"/>
      <c r="EE150" s="2"/>
      <c r="EF150" s="2"/>
      <c r="EG150" s="2"/>
      <c r="EH150" s="2"/>
      <c r="EI150" s="2"/>
      <c r="EJ150" s="2"/>
      <c r="EK150" s="2"/>
      <c r="EL150" s="2"/>
      <c r="EM150" s="2"/>
      <c r="EN150" s="2"/>
      <c r="EO150" s="2"/>
      <c r="EP150" s="2"/>
      <c r="EQ150" s="2"/>
      <c r="ER150" s="2"/>
      <c r="ES150" s="2"/>
      <c r="ET150" s="2"/>
      <c r="EU150" s="2"/>
      <c r="EV150" s="2"/>
      <c r="EW150" s="2"/>
      <c r="EX150" s="2"/>
      <c r="EY150" s="2"/>
      <c r="EZ150" s="2"/>
      <c r="FA150" s="2"/>
      <c r="FB150" s="2"/>
      <c r="FC150" s="2"/>
      <c r="FD150" s="2"/>
      <c r="FE150" s="2"/>
      <c r="FF150" s="2"/>
      <c r="FG150" s="2"/>
      <c r="FH150" s="2"/>
      <c r="FI150" s="2"/>
      <c r="FJ150" s="2"/>
      <c r="FK150" s="2"/>
      <c r="FL150" s="2"/>
      <c r="FM150" s="2"/>
      <c r="FN150" s="2"/>
      <c r="FO150" s="2"/>
      <c r="FP150" s="2"/>
      <c r="FQ150" s="2"/>
      <c r="FR150" s="2"/>
      <c r="FS150" s="2"/>
      <c r="FT150" s="2"/>
      <c r="FU150" s="2"/>
      <c r="FV150" s="2"/>
      <c r="FW150" s="2"/>
      <c r="FX150" s="2"/>
      <c r="FY150" s="2"/>
      <c r="FZ150" s="2"/>
      <c r="GA150" s="2"/>
      <c r="GB150" s="2"/>
      <c r="GC150" s="2"/>
      <c r="GD150" s="2"/>
      <c r="GE150" s="2"/>
      <c r="GF150" s="2"/>
      <c r="GG150" s="2"/>
      <c r="GH150" s="2"/>
      <c r="GI150" s="2"/>
      <c r="GJ150" s="2"/>
      <c r="GK150" s="2"/>
      <c r="GL150" s="2"/>
      <c r="GM150" s="2"/>
      <c r="GN150" s="2"/>
      <c r="GO150" s="2"/>
      <c r="GP150" s="2"/>
      <c r="GQ150" s="2"/>
      <c r="GR150" s="2"/>
      <c r="GS150" s="2"/>
      <c r="GT150" s="2"/>
      <c r="GU150" s="2"/>
      <c r="GV150" s="2"/>
    </row>
    <row r="151" ht="13.5" customHeight="1">
      <c r="A151" s="1"/>
      <c r="B151" s="1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1"/>
      <c r="P151" s="1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  <c r="DT151" s="2"/>
      <c r="DU151" s="2"/>
      <c r="DV151" s="2"/>
      <c r="DW151" s="2"/>
      <c r="DX151" s="2"/>
      <c r="DY151" s="2"/>
      <c r="DZ151" s="2"/>
      <c r="EA151" s="2"/>
      <c r="EB151" s="2"/>
      <c r="EC151" s="2"/>
      <c r="ED151" s="2"/>
      <c r="EE151" s="2"/>
      <c r="EF151" s="2"/>
      <c r="EG151" s="2"/>
      <c r="EH151" s="2"/>
      <c r="EI151" s="2"/>
      <c r="EJ151" s="2"/>
      <c r="EK151" s="2"/>
      <c r="EL151" s="2"/>
      <c r="EM151" s="2"/>
      <c r="EN151" s="2"/>
      <c r="EO151" s="2"/>
      <c r="EP151" s="2"/>
      <c r="EQ151" s="2"/>
      <c r="ER151" s="2"/>
      <c r="ES151" s="2"/>
      <c r="ET151" s="2"/>
      <c r="EU151" s="2"/>
      <c r="EV151" s="2"/>
      <c r="EW151" s="2"/>
      <c r="EX151" s="2"/>
      <c r="EY151" s="2"/>
      <c r="EZ151" s="2"/>
      <c r="FA151" s="2"/>
      <c r="FB151" s="2"/>
      <c r="FC151" s="2"/>
      <c r="FD151" s="2"/>
      <c r="FE151" s="2"/>
      <c r="FF151" s="2"/>
      <c r="FG151" s="2"/>
      <c r="FH151" s="2"/>
      <c r="FI151" s="2"/>
      <c r="FJ151" s="2"/>
      <c r="FK151" s="2"/>
      <c r="FL151" s="2"/>
      <c r="FM151" s="2"/>
      <c r="FN151" s="2"/>
      <c r="FO151" s="2"/>
      <c r="FP151" s="2"/>
      <c r="FQ151" s="2"/>
      <c r="FR151" s="2"/>
      <c r="FS151" s="2"/>
      <c r="FT151" s="2"/>
      <c r="FU151" s="2"/>
      <c r="FV151" s="2"/>
      <c r="FW151" s="2"/>
      <c r="FX151" s="2"/>
      <c r="FY151" s="2"/>
      <c r="FZ151" s="2"/>
      <c r="GA151" s="2"/>
      <c r="GB151" s="2"/>
      <c r="GC151" s="2"/>
      <c r="GD151" s="2"/>
      <c r="GE151" s="2"/>
      <c r="GF151" s="2"/>
      <c r="GG151" s="2"/>
      <c r="GH151" s="2"/>
      <c r="GI151" s="2"/>
      <c r="GJ151" s="2"/>
      <c r="GK151" s="2"/>
      <c r="GL151" s="2"/>
      <c r="GM151" s="2"/>
      <c r="GN151" s="2"/>
      <c r="GO151" s="2"/>
      <c r="GP151" s="2"/>
      <c r="GQ151" s="2"/>
      <c r="GR151" s="2"/>
      <c r="GS151" s="2"/>
      <c r="GT151" s="2"/>
      <c r="GU151" s="2"/>
      <c r="GV151" s="2"/>
    </row>
    <row r="152" ht="13.5" customHeight="1">
      <c r="A152" s="1"/>
      <c r="B152" s="1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1"/>
      <c r="P152" s="1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2"/>
      <c r="DS152" s="2"/>
      <c r="DT152" s="2"/>
      <c r="DU152" s="2"/>
      <c r="DV152" s="2"/>
      <c r="DW152" s="2"/>
      <c r="DX152" s="2"/>
      <c r="DY152" s="2"/>
      <c r="DZ152" s="2"/>
      <c r="EA152" s="2"/>
      <c r="EB152" s="2"/>
      <c r="EC152" s="2"/>
      <c r="ED152" s="2"/>
      <c r="EE152" s="2"/>
      <c r="EF152" s="2"/>
      <c r="EG152" s="2"/>
      <c r="EH152" s="2"/>
      <c r="EI152" s="2"/>
      <c r="EJ152" s="2"/>
      <c r="EK152" s="2"/>
      <c r="EL152" s="2"/>
      <c r="EM152" s="2"/>
      <c r="EN152" s="2"/>
      <c r="EO152" s="2"/>
      <c r="EP152" s="2"/>
      <c r="EQ152" s="2"/>
      <c r="ER152" s="2"/>
      <c r="ES152" s="2"/>
      <c r="ET152" s="2"/>
      <c r="EU152" s="2"/>
      <c r="EV152" s="2"/>
      <c r="EW152" s="2"/>
      <c r="EX152" s="2"/>
      <c r="EY152" s="2"/>
      <c r="EZ152" s="2"/>
      <c r="FA152" s="2"/>
      <c r="FB152" s="2"/>
      <c r="FC152" s="2"/>
      <c r="FD152" s="2"/>
      <c r="FE152" s="2"/>
      <c r="FF152" s="2"/>
      <c r="FG152" s="2"/>
      <c r="FH152" s="2"/>
      <c r="FI152" s="2"/>
      <c r="FJ152" s="2"/>
      <c r="FK152" s="2"/>
      <c r="FL152" s="2"/>
      <c r="FM152" s="2"/>
      <c r="FN152" s="2"/>
      <c r="FO152" s="2"/>
      <c r="FP152" s="2"/>
      <c r="FQ152" s="2"/>
      <c r="FR152" s="2"/>
      <c r="FS152" s="2"/>
      <c r="FT152" s="2"/>
      <c r="FU152" s="2"/>
      <c r="FV152" s="2"/>
      <c r="FW152" s="2"/>
      <c r="FX152" s="2"/>
      <c r="FY152" s="2"/>
      <c r="FZ152" s="2"/>
      <c r="GA152" s="2"/>
      <c r="GB152" s="2"/>
      <c r="GC152" s="2"/>
      <c r="GD152" s="2"/>
      <c r="GE152" s="2"/>
      <c r="GF152" s="2"/>
      <c r="GG152" s="2"/>
      <c r="GH152" s="2"/>
      <c r="GI152" s="2"/>
      <c r="GJ152" s="2"/>
      <c r="GK152" s="2"/>
      <c r="GL152" s="2"/>
      <c r="GM152" s="2"/>
      <c r="GN152" s="2"/>
      <c r="GO152" s="2"/>
      <c r="GP152" s="2"/>
      <c r="GQ152" s="2"/>
      <c r="GR152" s="2"/>
      <c r="GS152" s="2"/>
      <c r="GT152" s="2"/>
      <c r="GU152" s="2"/>
      <c r="GV152" s="2"/>
    </row>
    <row r="153" ht="13.5" customHeight="1">
      <c r="A153" s="1"/>
      <c r="B153" s="1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1"/>
      <c r="P153" s="1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  <c r="DP153" s="2"/>
      <c r="DQ153" s="2"/>
      <c r="DR153" s="2"/>
      <c r="DS153" s="2"/>
      <c r="DT153" s="2"/>
      <c r="DU153" s="2"/>
      <c r="DV153" s="2"/>
      <c r="DW153" s="2"/>
      <c r="DX153" s="2"/>
      <c r="DY153" s="2"/>
      <c r="DZ153" s="2"/>
      <c r="EA153" s="2"/>
      <c r="EB153" s="2"/>
      <c r="EC153" s="2"/>
      <c r="ED153" s="2"/>
      <c r="EE153" s="2"/>
      <c r="EF153" s="2"/>
      <c r="EG153" s="2"/>
      <c r="EH153" s="2"/>
      <c r="EI153" s="2"/>
      <c r="EJ153" s="2"/>
      <c r="EK153" s="2"/>
      <c r="EL153" s="2"/>
      <c r="EM153" s="2"/>
      <c r="EN153" s="2"/>
      <c r="EO153" s="2"/>
      <c r="EP153" s="2"/>
      <c r="EQ153" s="2"/>
      <c r="ER153" s="2"/>
      <c r="ES153" s="2"/>
      <c r="ET153" s="2"/>
      <c r="EU153" s="2"/>
      <c r="EV153" s="2"/>
      <c r="EW153" s="2"/>
      <c r="EX153" s="2"/>
      <c r="EY153" s="2"/>
      <c r="EZ153" s="2"/>
      <c r="FA153" s="2"/>
      <c r="FB153" s="2"/>
      <c r="FC153" s="2"/>
      <c r="FD153" s="2"/>
      <c r="FE153" s="2"/>
      <c r="FF153" s="2"/>
      <c r="FG153" s="2"/>
      <c r="FH153" s="2"/>
      <c r="FI153" s="2"/>
      <c r="FJ153" s="2"/>
      <c r="FK153" s="2"/>
      <c r="FL153" s="2"/>
      <c r="FM153" s="2"/>
      <c r="FN153" s="2"/>
      <c r="FO153" s="2"/>
      <c r="FP153" s="2"/>
      <c r="FQ153" s="2"/>
      <c r="FR153" s="2"/>
      <c r="FS153" s="2"/>
      <c r="FT153" s="2"/>
      <c r="FU153" s="2"/>
      <c r="FV153" s="2"/>
      <c r="FW153" s="2"/>
      <c r="FX153" s="2"/>
      <c r="FY153" s="2"/>
      <c r="FZ153" s="2"/>
      <c r="GA153" s="2"/>
      <c r="GB153" s="2"/>
      <c r="GC153" s="2"/>
      <c r="GD153" s="2"/>
      <c r="GE153" s="2"/>
      <c r="GF153" s="2"/>
      <c r="GG153" s="2"/>
      <c r="GH153" s="2"/>
      <c r="GI153" s="2"/>
      <c r="GJ153" s="2"/>
      <c r="GK153" s="2"/>
      <c r="GL153" s="2"/>
      <c r="GM153" s="2"/>
      <c r="GN153" s="2"/>
      <c r="GO153" s="2"/>
      <c r="GP153" s="2"/>
      <c r="GQ153" s="2"/>
      <c r="GR153" s="2"/>
      <c r="GS153" s="2"/>
      <c r="GT153" s="2"/>
      <c r="GU153" s="2"/>
      <c r="GV153" s="2"/>
    </row>
  </sheetData>
  <hyperlinks>
    <hyperlink display="Main" location="Main!A1" ref="A1"/>
  </hyperlin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63"/>
    <col customWidth="1" min="2" max="2" width="5.63"/>
    <col customWidth="1" min="3" max="3" width="9.63"/>
    <col customWidth="1" min="4" max="4" width="6.88"/>
    <col customWidth="1" min="5" max="5" width="9.38"/>
    <col customWidth="1" min="6" max="6" width="13.13"/>
    <col customWidth="1" min="7" max="7" width="16.13"/>
    <col customWidth="1" min="8" max="8" width="16.25"/>
    <col customWidth="1" min="9" max="9" width="11.0"/>
    <col customWidth="1" min="10" max="10" width="10.5"/>
    <col customWidth="1" min="11" max="11" width="5.75"/>
  </cols>
  <sheetData>
    <row r="1" ht="13.5" customHeight="1">
      <c r="A1" s="4" t="s">
        <v>0</v>
      </c>
      <c r="B1" s="5"/>
      <c r="C1" s="5"/>
      <c r="D1" s="5"/>
      <c r="E1" s="8">
        <f>TODAY()</f>
        <v>46257</v>
      </c>
      <c r="F1" s="9">
        <v>100.0</v>
      </c>
      <c r="G1" s="5"/>
      <c r="H1" s="5"/>
      <c r="I1" s="5"/>
      <c r="J1" s="5"/>
      <c r="K1" s="5"/>
      <c r="L1" s="5"/>
      <c r="M1" s="5"/>
      <c r="N1" s="5"/>
      <c r="O1" s="5"/>
    </row>
    <row r="2" ht="13.5" customHeight="1">
      <c r="B2" s="10" t="s">
        <v>3</v>
      </c>
      <c r="C2" s="10" t="s">
        <v>4</v>
      </c>
      <c r="D2" s="10" t="s">
        <v>5</v>
      </c>
      <c r="E2" s="10" t="s">
        <v>6</v>
      </c>
      <c r="F2" s="10" t="s">
        <v>7</v>
      </c>
      <c r="G2" s="10" t="s">
        <v>9</v>
      </c>
      <c r="H2" s="10" t="s">
        <v>10</v>
      </c>
      <c r="I2" s="10" t="s">
        <v>11</v>
      </c>
      <c r="J2" s="10" t="s">
        <v>12</v>
      </c>
      <c r="K2" s="10" t="s">
        <v>13</v>
      </c>
      <c r="L2" s="5"/>
      <c r="M2" s="10" t="s">
        <v>14</v>
      </c>
      <c r="N2" s="5"/>
      <c r="O2" s="5"/>
    </row>
    <row r="3" ht="13.5" customHeight="1">
      <c r="B3" s="10" t="s">
        <v>15</v>
      </c>
      <c r="C3" s="9">
        <v>88.059</v>
      </c>
      <c r="D3" s="12">
        <v>0.0545</v>
      </c>
      <c r="E3" s="13">
        <v>54893.0</v>
      </c>
      <c r="F3" s="5">
        <f t="shared" ref="F3:F6" si="1">ROUND((E3-$E$1)/365,0)</f>
        <v>24</v>
      </c>
      <c r="G3" s="5">
        <f t="shared" ref="G3:G6" si="2">F3*2</f>
        <v>48</v>
      </c>
      <c r="H3" s="5">
        <f t="shared" ref="H3:H6" si="3">($F$1 * D3) * F3</f>
        <v>130.8</v>
      </c>
      <c r="I3" s="5">
        <f t="shared" ref="I3:I6" si="4">($F$1-C3)</f>
        <v>11.941</v>
      </c>
      <c r="J3" s="5">
        <f t="shared" ref="J3:J6" si="5">sum(H3:I3)</f>
        <v>142.741</v>
      </c>
      <c r="K3" s="15">
        <f t="shared" ref="K3:K6" si="6">YIELD($E$1,E3,D3,C3,$F$1,2)</f>
        <v>0.06439454707</v>
      </c>
      <c r="L3" s="5"/>
      <c r="M3" s="16">
        <v>146558.0</v>
      </c>
      <c r="N3" s="10" t="s">
        <v>22</v>
      </c>
      <c r="O3" s="5"/>
    </row>
    <row r="4" ht="13.5" customHeight="1">
      <c r="B4" s="10" t="s">
        <v>15</v>
      </c>
      <c r="C4" s="9">
        <v>87.574</v>
      </c>
      <c r="D4" s="12">
        <v>0.01875</v>
      </c>
      <c r="E4" s="13">
        <v>47953.0</v>
      </c>
      <c r="F4" s="5">
        <f t="shared" si="1"/>
        <v>5</v>
      </c>
      <c r="G4" s="5">
        <f t="shared" si="2"/>
        <v>10</v>
      </c>
      <c r="H4" s="5">
        <f t="shared" si="3"/>
        <v>9.375</v>
      </c>
      <c r="I4" s="5">
        <f t="shared" si="4"/>
        <v>12.426</v>
      </c>
      <c r="J4" s="5">
        <f t="shared" si="5"/>
        <v>21.801</v>
      </c>
      <c r="K4" s="15">
        <f t="shared" si="6"/>
        <v>0.04898234538</v>
      </c>
      <c r="L4" s="5"/>
      <c r="M4" s="16">
        <v>497106.0</v>
      </c>
      <c r="N4" s="10" t="s">
        <v>22</v>
      </c>
      <c r="O4" s="5"/>
    </row>
    <row r="5" ht="13.5" customHeight="1">
      <c r="B5" s="10" t="s">
        <v>15</v>
      </c>
      <c r="C5" s="9">
        <v>98.491</v>
      </c>
      <c r="D5" s="12">
        <v>0.048</v>
      </c>
      <c r="E5" s="17">
        <v>47588.0</v>
      </c>
      <c r="F5" s="5">
        <f t="shared" si="1"/>
        <v>4</v>
      </c>
      <c r="G5" s="5">
        <f t="shared" si="2"/>
        <v>8</v>
      </c>
      <c r="H5" s="5">
        <f t="shared" si="3"/>
        <v>19.2</v>
      </c>
      <c r="I5" s="5">
        <f t="shared" si="4"/>
        <v>1.509</v>
      </c>
      <c r="J5" s="5">
        <f t="shared" si="5"/>
        <v>20.709</v>
      </c>
      <c r="K5" s="15">
        <f t="shared" si="6"/>
        <v>0.0525844409</v>
      </c>
      <c r="L5" s="5"/>
      <c r="M5" s="16">
        <v>133179.0</v>
      </c>
      <c r="N5" s="10" t="s">
        <v>22</v>
      </c>
      <c r="O5" s="5"/>
    </row>
    <row r="6" ht="13.5" customHeight="1">
      <c r="B6" s="10" t="s">
        <v>15</v>
      </c>
      <c r="C6" s="9">
        <v>99.937</v>
      </c>
      <c r="D6" s="12">
        <v>0.047</v>
      </c>
      <c r="E6" s="13">
        <v>46492.0</v>
      </c>
      <c r="F6" s="5">
        <f t="shared" si="1"/>
        <v>1</v>
      </c>
      <c r="G6" s="5">
        <f t="shared" si="2"/>
        <v>2</v>
      </c>
      <c r="H6" s="5">
        <f t="shared" si="3"/>
        <v>4.7</v>
      </c>
      <c r="I6" s="5">
        <f t="shared" si="4"/>
        <v>0.063</v>
      </c>
      <c r="J6" s="5">
        <f t="shared" si="5"/>
        <v>4.763</v>
      </c>
      <c r="K6" s="15">
        <f t="shared" si="6"/>
        <v>0.04791316078</v>
      </c>
      <c r="L6" s="5"/>
      <c r="M6" s="16">
        <v>241344.0</v>
      </c>
      <c r="N6" s="10" t="s">
        <v>28</v>
      </c>
      <c r="O6" s="5"/>
    </row>
    <row r="7" ht="13.5" customHeight="1"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21"/>
      <c r="N7" s="5"/>
      <c r="O7" s="5"/>
    </row>
    <row r="8" ht="13.5" customHeight="1">
      <c r="B8" s="5"/>
      <c r="C8" s="5"/>
      <c r="D8" s="22"/>
      <c r="E8" s="5"/>
      <c r="F8" s="5"/>
      <c r="G8" s="5"/>
      <c r="H8" s="5"/>
      <c r="I8" s="5"/>
      <c r="J8" s="5"/>
      <c r="K8" s="5"/>
      <c r="L8" s="5"/>
      <c r="M8" s="21"/>
      <c r="N8" s="5"/>
      <c r="O8" s="5"/>
    </row>
    <row r="9" ht="13.5" customHeight="1"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21"/>
      <c r="N9" s="5"/>
      <c r="O9" s="5"/>
    </row>
    <row r="10" ht="13.5" customHeight="1"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21"/>
      <c r="N10" s="5"/>
      <c r="O10" s="5"/>
    </row>
    <row r="11" ht="13.5" customHeight="1">
      <c r="B11" s="10" t="s">
        <v>29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3.5" customHeight="1">
      <c r="B12" s="25" t="s">
        <v>31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3.5" customHeight="1">
      <c r="B13" s="25" t="s">
        <v>34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3.5" customHeight="1">
      <c r="B14" s="25" t="s">
        <v>36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3.5" customHeight="1"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3.5" customHeight="1"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3.5" customHeight="1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3.5" customHeight="1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3.5" customHeight="1"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3.5" customHeight="1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3.5" customHeight="1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3.5" customHeight="1"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3.5" customHeight="1"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3.5" customHeight="1"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3.5" customHeight="1"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3.5" customHeight="1"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3.5" customHeight="1"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</row>
    <row r="28" ht="13.5" customHeight="1"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</row>
    <row r="29" ht="13.5" customHeight="1"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</row>
    <row r="30" ht="13.5" customHeight="1"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</row>
    <row r="31" ht="13.5" customHeight="1"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</row>
    <row r="32" ht="13.5" customHeight="1"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</row>
    <row r="33" ht="13.5" customHeight="1"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</row>
    <row r="34" ht="13.5" customHeight="1"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</row>
    <row r="35" ht="13.5" customHeight="1"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</row>
    <row r="36" ht="13.5" customHeight="1"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</row>
    <row r="37" ht="13.5" customHeight="1"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</row>
    <row r="38" ht="13.5" customHeight="1"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</row>
    <row r="39" ht="13.5" customHeight="1"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</row>
    <row r="40" ht="13.5" customHeight="1"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</row>
    <row r="41" ht="13.5" customHeight="1"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</row>
    <row r="42" ht="13.5" customHeight="1"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</row>
    <row r="43" ht="13.5" customHeight="1"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</row>
    <row r="44" ht="13.5" customHeight="1"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</row>
    <row r="45" ht="13.5" customHeight="1"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</row>
    <row r="46" ht="13.5" customHeight="1"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</row>
    <row r="47" ht="13.5" customHeight="1"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</row>
    <row r="48" ht="13.5" customHeight="1"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</row>
    <row r="49" ht="13.5" customHeight="1"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</row>
    <row r="50" ht="13.5" customHeight="1"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</row>
    <row r="51" ht="13.5" customHeight="1"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</row>
    <row r="52" ht="13.5" customHeight="1"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</row>
    <row r="53" ht="13.5" customHeight="1"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</row>
    <row r="54" ht="13.5" customHeight="1"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</row>
    <row r="55" ht="13.5" customHeight="1"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</row>
    <row r="56" ht="13.5" customHeight="1"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</row>
    <row r="57" ht="13.5" customHeight="1"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</row>
    <row r="58" ht="13.5" customHeight="1"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</row>
    <row r="59" ht="13.5" customHeight="1"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</row>
    <row r="60" ht="13.5" customHeight="1"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</row>
    <row r="61" ht="13.5" customHeight="1"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</row>
    <row r="62" ht="13.5" customHeight="1"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</row>
    <row r="63" ht="13.5" customHeight="1"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</row>
    <row r="64" ht="13.5" customHeight="1"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</row>
    <row r="65" ht="13.5" customHeight="1"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</row>
    <row r="66" ht="13.5" customHeight="1"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</row>
    <row r="67" ht="13.5" customHeight="1"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</row>
    <row r="68" ht="13.5" customHeight="1"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</row>
    <row r="69" ht="13.5" customHeight="1"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</row>
    <row r="70" ht="13.5" customHeight="1"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</row>
    <row r="71" ht="13.5" customHeight="1"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</row>
    <row r="72" ht="13.5" customHeight="1"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</row>
    <row r="73" ht="13.5" customHeight="1"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</row>
    <row r="74" ht="13.5" customHeight="1"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</row>
    <row r="75" ht="13.5" customHeight="1"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</row>
  </sheetData>
  <hyperlinks>
    <hyperlink display="Main" location="Main!A1" ref="A1"/>
    <hyperlink r:id="rId1" ref="B12"/>
    <hyperlink r:id="rId2" ref="B13"/>
    <hyperlink r:id="rId3" ref="B14"/>
  </hyperlinks>
  <drawing r:id="rId4"/>
</worksheet>
</file>