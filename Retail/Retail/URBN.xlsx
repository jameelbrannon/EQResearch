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FAA45842-5ADE-864A-8B67-C508CAA0CC5B}" xr6:coauthVersionLast="47" xr6:coauthVersionMax="47" xr10:uidLastSave="{00000000-0000-0000-0000-000000000000}"/>
  <bookViews>
    <workbookView xWindow="28060" yWindow="700" windowWidth="21060" windowHeight="28200" activeTab="1" xr2:uid="{00000000-000D-0000-FFFF-FFFF00000000}"/>
  </bookViews>
  <sheets>
    <sheet name="Main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L13" i="2"/>
  <c r="H8" i="2"/>
  <c r="L8" i="2"/>
  <c r="T2" i="2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S2" i="2"/>
  <c r="L5" i="1"/>
  <c r="L6" i="1" s="1"/>
  <c r="K5" i="1"/>
  <c r="K4" i="1"/>
  <c r="K7" i="1" s="1"/>
</calcChain>
</file>

<file path=xl/sharedStrings.xml><?xml version="1.0" encoding="utf-8"?>
<sst xmlns="http://schemas.openxmlformats.org/spreadsheetml/2006/main" count="32" uniqueCount="31">
  <si>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</si>
  <si>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</si>
  <si>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</si>
  <si>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</si>
  <si>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</si>
  <si>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</si>
  <si>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</si>
  <si>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</si>
  <si>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</si>
  <si>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</si>
  <si>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</si>
  <si>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</si>
  <si>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</si>
  <si>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</si>
  <si>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</si>
  <si>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</si>
  <si>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</si>
  <si>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</si>
  <si>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Q226</t>
  </si>
  <si>
    <t>Q326</t>
  </si>
  <si>
    <t>Q426</t>
  </si>
  <si>
    <t>Anthropologie</t>
  </si>
  <si>
    <t>FP Group</t>
  </si>
  <si>
    <t>Urban Outfitters</t>
  </si>
  <si>
    <t>Nuuly</t>
  </si>
  <si>
    <t>Menus &amp; Venues</t>
  </si>
  <si>
    <t xml:space="preserve">Total Company </t>
  </si>
  <si>
    <t xml:space="preserve">Retail </t>
  </si>
  <si>
    <t>Subscription</t>
  </si>
  <si>
    <t>Wholesale</t>
  </si>
  <si>
    <t>Total Sales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</si>
</sst>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1"/>
    <xf numFmtId="3" fontId="0" fillId="0" borderId="0" xfId="0" applyNumberFormat="1"/>
    <xf numFmtId="3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K3" sqref="K3"/>
    </sheetView>
  </sheetViews>
  <sheetFormatPr baseColWidth="10" defaultColWidth="12.6640625" defaultRowHeight="15.75" customHeight="1" x14ac:dyDescent="0.15"/>
  <cols>
    <col min="10" max="10" width="3.6640625" customWidth="1"/>
    <col min="11" max="11" width="5.1640625" customWidth="1"/>
  </cols>
  <sheetData>
    <row r="1" spans="1:2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1"/>
      <c r="B2" s="1" t="s">
        <v>0</v>
      </c>
      <c r="C2" s="1"/>
      <c r="D2" s="1"/>
      <c r="E2" s="1"/>
      <c r="F2" s="1"/>
      <c r="G2" s="1"/>
      <c r="H2" s="1"/>
      <c r="I2" s="1"/>
      <c r="J2" s="1" t="s">
        <v>1</v>
      </c>
      <c r="K2" s="1">
        <v>81.09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1"/>
      <c r="B3" s="1" t="s">
        <v>2</v>
      </c>
      <c r="C3" s="1"/>
      <c r="D3" s="1"/>
      <c r="E3" s="1"/>
      <c r="F3" s="1"/>
      <c r="G3" s="1"/>
      <c r="H3" s="1"/>
      <c r="I3" s="1"/>
      <c r="J3" s="1" t="s">
        <v>3</v>
      </c>
      <c r="K3" s="1">
        <v>85.635082999999995</v>
      </c>
      <c r="L3" s="2" t="s">
        <v>18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1"/>
      <c r="B4" s="1"/>
      <c r="C4" s="1"/>
      <c r="D4" s="1"/>
      <c r="E4" s="1"/>
      <c r="F4" s="1"/>
      <c r="G4" s="1"/>
      <c r="H4" s="1"/>
      <c r="I4" s="1"/>
      <c r="J4" s="1" t="s">
        <v>5</v>
      </c>
      <c r="K4" s="1">
        <f>K2*K3</f>
        <v>6944.1488804700002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6</v>
      </c>
      <c r="K5" s="1">
        <f>301.364+111.978</f>
        <v>413.34199999999998</v>
      </c>
      <c r="L5" s="2" t="str">
        <f>L3</f>
        <v>Q226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7</v>
      </c>
      <c r="K6" s="1">
        <v>0</v>
      </c>
      <c r="L6" s="2" t="str">
        <f>L5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 t="s">
        <v>8</v>
      </c>
      <c r="K7" s="1">
        <f>K4-K5+K6</f>
        <v>6530.8068804700006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CDE8-BC1A-A643-A967-CE35013A7A0E}">
  <dimension ref="A1:AO13"/>
  <sheetViews>
    <sheetView tabSelected="1" zoomScale="200" workbookViewId="0">
      <selection sqref="A1:XFD1048576"/>
    </sheetView>
  </sheetViews>
  <sheetFormatPr baseColWidth="10" defaultRowHeight="13" x14ac:dyDescent="0.15"/>
  <cols>
    <col min="1" max="1" width="4.83203125" style="5" bestFit="1" customWidth="1"/>
    <col min="2" max="2" width="19.83203125" style="5" bestFit="1" customWidth="1"/>
    <col min="3" max="7" width="5.5" style="5" bestFit="1" customWidth="1"/>
    <col min="8" max="8" width="5.6640625" style="5" bestFit="1" customWidth="1"/>
    <col min="9" max="11" width="5.5" style="5" bestFit="1" customWidth="1"/>
    <col min="12" max="12" width="5.6640625" style="5" bestFit="1" customWidth="1"/>
    <col min="13" max="14" width="5.5" style="5" bestFit="1" customWidth="1"/>
    <col min="15" max="17" width="10.83203125" style="5"/>
    <col min="18" max="41" width="5.1640625" style="5" bestFit="1" customWidth="1"/>
    <col min="42" max="16384" width="10.83203125" style="5"/>
  </cols>
  <sheetData>
    <row r="1" spans="1:41" customFormat="1" x14ac:dyDescent="0.15">
      <c r="A1" s="4" t="s">
        <v>9</v>
      </c>
    </row>
    <row r="2" spans="1:41" customFormat="1" x14ac:dyDescent="0.15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4</v>
      </c>
      <c r="L2" s="3" t="s">
        <v>18</v>
      </c>
      <c r="M2" s="3" t="s">
        <v>19</v>
      </c>
      <c r="N2" s="3" t="s">
        <v>20</v>
      </c>
      <c r="R2">
        <v>2019</v>
      </c>
      <c r="S2">
        <f>+R2+1</f>
        <v>2020</v>
      </c>
      <c r="T2">
        <f t="shared" ref="T2:AO2" si="0">+S2+1</f>
        <v>2021</v>
      </c>
      <c r="U2">
        <f t="shared" si="0"/>
        <v>2022</v>
      </c>
      <c r="V2">
        <f t="shared" si="0"/>
        <v>2023</v>
      </c>
      <c r="W2">
        <f t="shared" si="0"/>
        <v>2024</v>
      </c>
      <c r="X2">
        <f t="shared" si="0"/>
        <v>2025</v>
      </c>
      <c r="Y2">
        <f t="shared" si="0"/>
        <v>2026</v>
      </c>
      <c r="Z2">
        <f t="shared" si="0"/>
        <v>2027</v>
      </c>
      <c r="AA2">
        <f t="shared" si="0"/>
        <v>2028</v>
      </c>
      <c r="AB2">
        <f t="shared" si="0"/>
        <v>2029</v>
      </c>
      <c r="AC2">
        <f t="shared" si="0"/>
        <v>2030</v>
      </c>
      <c r="AD2">
        <f t="shared" si="0"/>
        <v>2031</v>
      </c>
      <c r="AE2">
        <f t="shared" si="0"/>
        <v>2032</v>
      </c>
      <c r="AF2">
        <f t="shared" si="0"/>
        <v>2033</v>
      </c>
      <c r="AG2">
        <f t="shared" si="0"/>
        <v>2034</v>
      </c>
      <c r="AH2">
        <f t="shared" si="0"/>
        <v>2035</v>
      </c>
      <c r="AI2">
        <f t="shared" si="0"/>
        <v>2036</v>
      </c>
      <c r="AJ2">
        <f t="shared" si="0"/>
        <v>2037</v>
      </c>
      <c r="AK2">
        <f t="shared" si="0"/>
        <v>2038</v>
      </c>
      <c r="AL2">
        <f t="shared" si="0"/>
        <v>2039</v>
      </c>
      <c r="AM2">
        <f t="shared" si="0"/>
        <v>2040</v>
      </c>
      <c r="AN2">
        <f t="shared" si="0"/>
        <v>2041</v>
      </c>
      <c r="AO2">
        <f t="shared" si="0"/>
        <v>2042</v>
      </c>
    </row>
    <row r="3" spans="1:41" x14ac:dyDescent="0.15">
      <c r="B3" s="6" t="s">
        <v>21</v>
      </c>
      <c r="H3" s="5">
        <v>606.95399999999995</v>
      </c>
      <c r="L3" s="5">
        <v>634.53499999999997</v>
      </c>
    </row>
    <row r="4" spans="1:41" x14ac:dyDescent="0.15">
      <c r="B4" s="6" t="s">
        <v>22</v>
      </c>
      <c r="H4" s="5">
        <v>415.01400000000001</v>
      </c>
      <c r="L4" s="5">
        <v>478.053</v>
      </c>
    </row>
    <row r="5" spans="1:41" x14ac:dyDescent="0.15">
      <c r="B5" s="6" t="s">
        <v>23</v>
      </c>
      <c r="H5" s="5">
        <v>333.17099999999999</v>
      </c>
      <c r="L5" s="5">
        <v>360.01499999999999</v>
      </c>
    </row>
    <row r="6" spans="1:41" x14ac:dyDescent="0.15">
      <c r="B6" s="6" t="s">
        <v>24</v>
      </c>
      <c r="H6" s="5">
        <v>138.93199999999999</v>
      </c>
      <c r="L6" s="5">
        <v>178.60499999999999</v>
      </c>
    </row>
    <row r="7" spans="1:41" x14ac:dyDescent="0.15">
      <c r="B7" s="6" t="s">
        <v>25</v>
      </c>
      <c r="H7" s="5">
        <v>10.683999999999999</v>
      </c>
      <c r="L7" s="5">
        <v>10.707000000000001</v>
      </c>
    </row>
    <row r="8" spans="1:41" x14ac:dyDescent="0.15">
      <c r="B8" s="6" t="s">
        <v>26</v>
      </c>
      <c r="H8" s="5">
        <f>+SUM(H3:H7)</f>
        <v>1504.7549999999999</v>
      </c>
      <c r="L8" s="5">
        <f>+SUM(L3:L7)</f>
        <v>1661.9150000000002</v>
      </c>
    </row>
    <row r="10" spans="1:41" x14ac:dyDescent="0.15">
      <c r="B10" s="6" t="s">
        <v>27</v>
      </c>
      <c r="H10" s="5">
        <v>1289.269</v>
      </c>
      <c r="L10" s="5">
        <v>1392.52</v>
      </c>
    </row>
    <row r="11" spans="1:41" x14ac:dyDescent="0.15">
      <c r="B11" s="6" t="s">
        <v>28</v>
      </c>
      <c r="H11" s="5">
        <v>138.93199999999999</v>
      </c>
      <c r="L11" s="5">
        <v>178.60499999999999</v>
      </c>
    </row>
    <row r="12" spans="1:41" x14ac:dyDescent="0.15">
      <c r="B12" s="6" t="s">
        <v>29</v>
      </c>
      <c r="H12" s="5">
        <v>76.554000000000002</v>
      </c>
      <c r="L12" s="5">
        <v>90.79</v>
      </c>
    </row>
    <row r="13" spans="1:41" x14ac:dyDescent="0.15">
      <c r="B13" s="6" t="s">
        <v>30</v>
      </c>
      <c r="H13" s="5">
        <f>+SUM(H10:H12)</f>
        <v>1504.7550000000001</v>
      </c>
      <c r="L13" s="5">
        <f>+SUM(L10:L12)</f>
        <v>1661.915</v>
      </c>
    </row>
  </sheetData>
  <hyperlinks>
    <hyperlink ref="A1" location="Main!A1" display="Main" xr:uid="{C869C8D2-DF14-4540-8A8E-90AC4F37A1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2026-08-30T23:03:19Z</dcterms:modified>
</cp:coreProperties>
</file>