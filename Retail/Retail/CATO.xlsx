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" sheetId="1" r:id="rId5"/>
    <sheet state="visible" name="EQ" sheetId="2" r:id="rId6"/>
    <sheet state="visible" name="Debt" sheetId="3" r:id="rId7"/>
  </sheets>
  <definedNames/>
  <calcPr/>
</workbook>
</file>

<file path=xl/sharedStrings.xml><?xml version="1.0" encoding="utf-8"?>
<sst xmlns="http://schemas.openxmlformats.org/spreadsheetml/2006/main" count="112" uniqueCount="104">
  <si>
    <t>Main</t>
  </si>
  <si>
    <t>8100 DENMARK ROAD, CHARLOTTE, NC 28273-5975</t>
  </si>
  <si>
    <t>P</t>
  </si>
  <si>
    <t>FOUNDED: 1946</t>
  </si>
  <si>
    <t>Class A</t>
  </si>
  <si>
    <t>Q126</t>
  </si>
  <si>
    <t>CEO: MR. JOHN P. DERHAM CATO</t>
  </si>
  <si>
    <t>Class B</t>
  </si>
  <si>
    <t>Q124</t>
  </si>
  <si>
    <t>Q224</t>
  </si>
  <si>
    <t>Q324</t>
  </si>
  <si>
    <t xml:space="preserve">CFO </t>
  </si>
  <si>
    <t>Q424</t>
  </si>
  <si>
    <t>Q125</t>
  </si>
  <si>
    <t>Q225</t>
  </si>
  <si>
    <t>Q325</t>
  </si>
  <si>
    <t>Q425</t>
  </si>
  <si>
    <t>MC</t>
  </si>
  <si>
    <t>Q226</t>
  </si>
  <si>
    <t>Q326</t>
  </si>
  <si>
    <t>Q426</t>
  </si>
  <si>
    <t>C</t>
  </si>
  <si>
    <t>D</t>
  </si>
  <si>
    <t>SSS</t>
  </si>
  <si>
    <t>EV</t>
  </si>
  <si>
    <t>Retail Sales</t>
  </si>
  <si>
    <t>Segments</t>
  </si>
  <si>
    <t>Cato</t>
  </si>
  <si>
    <t>BVPS</t>
  </si>
  <si>
    <t>finance charges, late fees, layawaycharges</t>
  </si>
  <si>
    <t>Other Revenue</t>
  </si>
  <si>
    <t>Versona</t>
  </si>
  <si>
    <t>CPS</t>
  </si>
  <si>
    <t xml:space="preserve">Total Revenues </t>
  </si>
  <si>
    <t>vs BVPS</t>
  </si>
  <si>
    <t>vs CPS</t>
  </si>
  <si>
    <t xml:space="preserve">Ownership </t>
  </si>
  <si>
    <t>COGS</t>
  </si>
  <si>
    <t xml:space="preserve">Class A Shares receive 1 votes each </t>
  </si>
  <si>
    <t xml:space="preserve">Class B Shares receive 10 votes each </t>
  </si>
  <si>
    <t>SG&amp;A</t>
  </si>
  <si>
    <t xml:space="preserve">Class B </t>
  </si>
  <si>
    <t xml:space="preserve">John P.D. Cato </t>
  </si>
  <si>
    <t>Interest and Other Income</t>
  </si>
  <si>
    <t xml:space="preserve">Charles D. KNight </t>
  </si>
  <si>
    <t>Earnings Before Taxes</t>
  </si>
  <si>
    <t xml:space="preserve">Gordon D. Smith </t>
  </si>
  <si>
    <t>Thomas B. Henson</t>
  </si>
  <si>
    <t>Taxes</t>
  </si>
  <si>
    <t>Bryan F. Kennedy, III</t>
  </si>
  <si>
    <t>Bailey W. Patrick</t>
  </si>
  <si>
    <t xml:space="preserve">Net Income </t>
  </si>
  <si>
    <t>D. Harding Stowe</t>
  </si>
  <si>
    <t>Pamela L. Davies</t>
  </si>
  <si>
    <t>EPS</t>
  </si>
  <si>
    <t>Theresa J. Drew</t>
  </si>
  <si>
    <t>All Directors etc</t>
  </si>
  <si>
    <t>Aldebaran Capital</t>
  </si>
  <si>
    <t xml:space="preserve">Growth YY </t>
  </si>
  <si>
    <t xml:space="preserve">Gross Margin </t>
  </si>
  <si>
    <t xml:space="preserve">Cash </t>
  </si>
  <si>
    <t>Investments</t>
  </si>
  <si>
    <t xml:space="preserve">Restricted Cash </t>
  </si>
  <si>
    <t>A/R</t>
  </si>
  <si>
    <t>Merchandise Inventories</t>
  </si>
  <si>
    <t>Prepaid Expenses</t>
  </si>
  <si>
    <t>PPE</t>
  </si>
  <si>
    <t>OA</t>
  </si>
  <si>
    <t>Right of Use Assets</t>
  </si>
  <si>
    <t xml:space="preserve">Total Assets </t>
  </si>
  <si>
    <t>A/P</t>
  </si>
  <si>
    <t>Accrued Expenses</t>
  </si>
  <si>
    <t>Accrued Bonus &amp; Benefits</t>
  </si>
  <si>
    <t>Accrued I/T</t>
  </si>
  <si>
    <t>Current Lease Liability</t>
  </si>
  <si>
    <t>ONCL</t>
  </si>
  <si>
    <t>Lease Liability</t>
  </si>
  <si>
    <t>Equity</t>
  </si>
  <si>
    <t>Total Liabilities</t>
  </si>
  <si>
    <t>Total Debt</t>
  </si>
  <si>
    <t>Total Cash</t>
  </si>
  <si>
    <t xml:space="preserve">Model NI </t>
  </si>
  <si>
    <t>D&amp;A</t>
  </si>
  <si>
    <t>Credit Losses</t>
  </si>
  <si>
    <t>Purchasse  Premium Amortiztion</t>
  </si>
  <si>
    <t>Gain on Asset Sale</t>
  </si>
  <si>
    <t>SBC</t>
  </si>
  <si>
    <t>Gain on Disposal PPE</t>
  </si>
  <si>
    <t>Prepaid &amp; Other Assets</t>
  </si>
  <si>
    <t>Op Lease Assets &amp; Liabilities</t>
  </si>
  <si>
    <t>A/P, accrued Exp &amp; OL</t>
  </si>
  <si>
    <t>CFFO</t>
  </si>
  <si>
    <t>CapEx</t>
  </si>
  <si>
    <t>Purchase Short Term Investments</t>
  </si>
  <si>
    <t>Sales of Short term Investments</t>
  </si>
  <si>
    <t>Sales of Other Assets</t>
  </si>
  <si>
    <t xml:space="preserve">Proceeds Cash Value Life Insurance </t>
  </si>
  <si>
    <t>CFFI</t>
  </si>
  <si>
    <t>Buy backs</t>
  </si>
  <si>
    <t>Proceeds from ESPP</t>
  </si>
  <si>
    <t>CFFF</t>
  </si>
  <si>
    <t>Cash Increase</t>
  </si>
  <si>
    <t>FCF</t>
  </si>
  <si>
    <t>4Q FCF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</si>
</sst>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0.0"/>
    <numFmt numFmtId="166" formatCode="#,##0.0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00"/>
    </font>
    <font>
      <color rgb="FF000000"/>
      <name val="Arial"/>
      <scheme val="minor"/>
    </font>
    <font>
      <i/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3" xfId="0" applyFont="1" applyNumberFormat="1"/>
    <xf borderId="0" fillId="0" fontId="1" numFmtId="3" xfId="0" applyAlignment="1" applyFont="1" applyNumberFormat="1">
      <alignment horizontal="right"/>
    </xf>
    <xf borderId="0" fillId="0" fontId="2" numFmtId="0" xfId="0" applyAlignment="1" applyFont="1">
      <alignment readingOrder="0"/>
    </xf>
    <xf borderId="0" fillId="0" fontId="3" numFmtId="0" xfId="0" applyFont="1"/>
    <xf borderId="0" fillId="0" fontId="3" numFmtId="0" xfId="0" applyAlignment="1" applyFont="1">
      <alignment horizontal="right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3" xfId="0" applyAlignment="1" applyFont="1" applyNumberFormat="1">
      <alignment horizontal="right" readingOrder="0"/>
    </xf>
    <xf borderId="0" fillId="0" fontId="3" numFmtId="164" xfId="0" applyAlignment="1" applyFont="1" applyNumberFormat="1">
      <alignment horizontal="right" readingOrder="0"/>
    </xf>
    <xf borderId="0" fillId="0" fontId="3" numFmtId="0" xfId="0" applyAlignment="1" applyFont="1">
      <alignment horizontal="right" readingOrder="0"/>
    </xf>
    <xf borderId="0" fillId="0" fontId="1" numFmtId="165" xfId="0" applyFont="1" applyNumberFormat="1"/>
    <xf borderId="1" fillId="0" fontId="1" numFmtId="3" xfId="0" applyAlignment="1" applyBorder="1" applyFont="1" applyNumberFormat="1">
      <alignment readingOrder="0"/>
    </xf>
    <xf borderId="1" fillId="0" fontId="1" numFmtId="3" xfId="0" applyBorder="1" applyFont="1" applyNumberFormat="1"/>
    <xf borderId="0" fillId="0" fontId="3" numFmtId="4" xfId="0" applyFont="1" applyNumberFormat="1"/>
    <xf borderId="0" fillId="0" fontId="3" numFmtId="4" xfId="0" applyAlignment="1" applyFont="1" applyNumberFormat="1">
      <alignment readingOrder="0"/>
    </xf>
    <xf borderId="0" fillId="0" fontId="3" numFmtId="4" xfId="0" applyAlignment="1" applyFont="1" applyNumberFormat="1">
      <alignment horizontal="right" readingOrder="0"/>
    </xf>
    <xf borderId="0" fillId="0" fontId="3" numFmtId="4" xfId="0" applyAlignment="1" applyFont="1" applyNumberFormat="1">
      <alignment horizontal="right"/>
    </xf>
    <xf borderId="0" fillId="0" fontId="3" numFmtId="3" xfId="0" applyFont="1" applyNumberFormat="1"/>
    <xf borderId="0" fillId="0" fontId="3" numFmtId="3" xfId="0" applyAlignment="1" applyFont="1" applyNumberFormat="1">
      <alignment readingOrder="0"/>
    </xf>
    <xf borderId="0" fillId="0" fontId="3" numFmtId="10" xfId="0" applyAlignment="1" applyFont="1" applyNumberFormat="1">
      <alignment horizontal="right" readingOrder="0"/>
    </xf>
    <xf borderId="0" fillId="0" fontId="3" numFmtId="10" xfId="0" applyAlignment="1" applyFont="1" applyNumberFormat="1">
      <alignment horizontal="right"/>
    </xf>
    <xf borderId="0" fillId="0" fontId="3" numFmtId="3" xfId="0" applyAlignment="1" applyFont="1" applyNumberFormat="1">
      <alignment horizontal="right"/>
    </xf>
    <xf borderId="0" fillId="0" fontId="3" numFmtId="3" xfId="0" applyAlignment="1" applyFont="1" applyNumberFormat="1">
      <alignment horizontal="right" readingOrder="0"/>
    </xf>
    <xf borderId="0" fillId="0" fontId="1" numFmtId="4" xfId="0" applyFont="1" applyNumberFormat="1"/>
    <xf borderId="0" fillId="0" fontId="1" numFmtId="10" xfId="0" applyFont="1" applyNumberFormat="1"/>
    <xf borderId="0" fillId="0" fontId="1" numFmtId="3" xfId="0" applyAlignment="1" applyFont="1" applyNumberFormat="1">
      <alignment horizontal="center" readingOrder="0"/>
    </xf>
    <xf borderId="0" fillId="0" fontId="1" numFmtId="3" xfId="0" applyAlignment="1" applyFont="1" applyNumberFormat="1">
      <alignment horizontal="center"/>
    </xf>
    <xf borderId="0" fillId="0" fontId="1" numFmtId="10" xfId="0" applyAlignment="1" applyFont="1" applyNumberFormat="1">
      <alignment horizontal="center"/>
    </xf>
    <xf borderId="0" fillId="0" fontId="3" numFmtId="166" xfId="0" applyFont="1" applyNumberFormat="1"/>
    <xf borderId="0" fillId="0" fontId="3" numFmtId="166" xfId="0" applyAlignment="1" applyFont="1" applyNumberFormat="1">
      <alignment readingOrder="0"/>
    </xf>
    <xf borderId="0" fillId="0" fontId="3" numFmtId="166" xfId="0" applyAlignment="1" applyFont="1" applyNumberFormat="1">
      <alignment horizontal="right" readingOrder="0"/>
    </xf>
    <xf borderId="0" fillId="0" fontId="3" numFmtId="166" xfId="0" applyAlignment="1" applyFont="1" applyNumberFormat="1">
      <alignment horizontal="right"/>
    </xf>
    <xf borderId="0" fillId="0" fontId="4" numFmtId="9" xfId="0" applyFont="1" applyNumberFormat="1"/>
    <xf borderId="0" fillId="0" fontId="4" numFmtId="9" xfId="0" applyAlignment="1" applyFont="1" applyNumberFormat="1">
      <alignment readingOrder="0"/>
    </xf>
    <xf borderId="0" fillId="0" fontId="4" numFmtId="9" xfId="0" applyAlignment="1" applyFont="1" applyNumberFormat="1">
      <alignment horizontal="right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0"/>
    <col customWidth="1" min="2" max="2" width="5.13"/>
    <col customWidth="1" min="10" max="10" width="7.63"/>
  </cols>
  <sheetData>
    <row r="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A2" s="1"/>
      <c r="B2" s="6" t="s">
        <v>1</v>
      </c>
      <c r="C2" s="1"/>
      <c r="D2" s="1"/>
      <c r="E2" s="1"/>
      <c r="F2" s="1"/>
      <c r="G2" s="1"/>
      <c r="H2" s="1"/>
      <c r="I2" s="1"/>
      <c r="J2" s="7" t="s">
        <v>2</v>
      </c>
      <c r="K2" s="7">
        <v>3.47</v>
      </c>
      <c r="L2" s="2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75" customHeight="1">
      <c r="A3" s="1"/>
      <c r="B3" s="6" t="s">
        <v>3</v>
      </c>
      <c r="D3" s="1"/>
      <c r="E3" s="1"/>
      <c r="F3" s="1"/>
      <c r="G3" s="1"/>
      <c r="H3" s="1"/>
      <c r="I3" s="1"/>
      <c r="J3" s="7" t="s">
        <v>4</v>
      </c>
      <c r="K3" s="1">
        <f>18.195206</f>
        <v>18.195206</v>
      </c>
      <c r="L3" s="8" t="s">
        <v>5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A4" s="1"/>
      <c r="B4" s="7" t="s">
        <v>6</v>
      </c>
      <c r="C4" s="1"/>
      <c r="D4" s="1"/>
      <c r="E4" s="1"/>
      <c r="F4" s="1"/>
      <c r="G4" s="1"/>
      <c r="H4" s="1"/>
      <c r="I4" s="1"/>
      <c r="J4" s="6" t="s">
        <v>7</v>
      </c>
      <c r="K4" s="11">
        <f>1.763652</f>
        <v>1.763652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A5" s="1"/>
      <c r="B5" s="7" t="s">
        <v>11</v>
      </c>
      <c r="C5" s="1"/>
      <c r="D5" s="1"/>
      <c r="E5" s="1"/>
      <c r="F5" s="1"/>
      <c r="G5" s="1"/>
      <c r="H5" s="1"/>
      <c r="I5" s="1"/>
      <c r="J5" s="12" t="s">
        <v>17</v>
      </c>
      <c r="K5" s="13">
        <f>K2*sum(K3:K4)</f>
        <v>69.25723726</v>
      </c>
      <c r="L5" s="2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75" customHeight="1">
      <c r="A6" s="1"/>
      <c r="B6" s="1"/>
      <c r="C6" s="1"/>
      <c r="D6" s="1"/>
      <c r="E6" s="1"/>
      <c r="F6" s="1"/>
      <c r="G6" s="1"/>
      <c r="H6" s="1"/>
      <c r="I6" s="1"/>
      <c r="J6" s="7" t="s">
        <v>21</v>
      </c>
      <c r="K6" s="1">
        <f>25.412+55.558+2.675</f>
        <v>83.645</v>
      </c>
      <c r="L6" s="2" t="str">
        <f>L3</f>
        <v>Q126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1"/>
      <c r="B7" s="1"/>
      <c r="C7" s="1"/>
      <c r="D7" s="1"/>
      <c r="E7" s="1"/>
      <c r="F7" s="1"/>
      <c r="G7" s="1"/>
      <c r="H7" s="1"/>
      <c r="I7" s="1"/>
      <c r="J7" s="7" t="s">
        <v>22</v>
      </c>
      <c r="K7" s="1">
        <f>0</f>
        <v>0</v>
      </c>
      <c r="L7" s="2" t="str">
        <f>L6</f>
        <v>Q126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1"/>
      <c r="B8" s="1"/>
      <c r="C8" s="1"/>
      <c r="D8" s="1"/>
      <c r="E8" s="1"/>
      <c r="F8" s="1"/>
      <c r="G8" s="1"/>
      <c r="H8" s="1"/>
      <c r="I8" s="1"/>
      <c r="J8" s="12" t="s">
        <v>24</v>
      </c>
      <c r="K8" s="13">
        <f>K5-K6+K7</f>
        <v>-14.38776274</v>
      </c>
      <c r="L8" s="2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1"/>
      <c r="B9" s="7" t="s">
        <v>26</v>
      </c>
      <c r="C9" s="1"/>
      <c r="D9" s="1"/>
      <c r="E9" s="1"/>
      <c r="F9" s="1"/>
      <c r="G9" s="1"/>
      <c r="H9" s="1"/>
      <c r="I9" s="1"/>
      <c r="J9" s="1"/>
      <c r="K9" s="1"/>
      <c r="L9" s="2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1"/>
      <c r="B10" s="7" t="s">
        <v>27</v>
      </c>
      <c r="C10" s="1"/>
      <c r="D10" s="1"/>
      <c r="E10" s="1"/>
      <c r="F10" s="1"/>
      <c r="G10" s="1"/>
      <c r="H10" s="1"/>
      <c r="I10" s="1"/>
      <c r="J10" s="7" t="s">
        <v>28</v>
      </c>
      <c r="K10" s="24">
        <f>EQ!K42/K3</f>
        <v>9.162028723</v>
      </c>
      <c r="L10" s="2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1"/>
      <c r="B11" s="7" t="s">
        <v>31</v>
      </c>
      <c r="C11" s="1"/>
      <c r="D11" s="1"/>
      <c r="E11" s="1"/>
      <c r="F11" s="1"/>
      <c r="G11" s="1"/>
      <c r="H11" s="1"/>
      <c r="I11" s="1"/>
      <c r="J11" s="7" t="s">
        <v>32</v>
      </c>
      <c r="K11" s="1">
        <f>K6/K3</f>
        <v>4.597090025</v>
      </c>
      <c r="L11" s="2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2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1"/>
      <c r="B13" s="1"/>
      <c r="C13" s="1"/>
      <c r="D13" s="1"/>
      <c r="E13" s="1"/>
      <c r="F13" s="1"/>
      <c r="G13" s="1"/>
      <c r="H13" s="1"/>
      <c r="I13" s="1"/>
      <c r="J13" s="7" t="s">
        <v>34</v>
      </c>
      <c r="K13" s="25">
        <f t="shared" ref="K13:K14" si="1">K10/$K$2-1</f>
        <v>1.640354099</v>
      </c>
      <c r="L13" s="2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1"/>
      <c r="B14" s="1"/>
      <c r="C14" s="1"/>
      <c r="D14" s="1"/>
      <c r="E14" s="1"/>
      <c r="F14" s="1"/>
      <c r="G14" s="1"/>
      <c r="H14" s="1"/>
      <c r="I14" s="1"/>
      <c r="J14" s="7" t="s">
        <v>35</v>
      </c>
      <c r="K14" s="25">
        <f t="shared" si="1"/>
        <v>0.3248098054</v>
      </c>
      <c r="L14" s="2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2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1"/>
      <c r="B16" s="7" t="s">
        <v>36</v>
      </c>
      <c r="C16" s="1"/>
      <c r="D16" s="1"/>
      <c r="E16" s="1"/>
      <c r="F16" s="1"/>
      <c r="G16" s="1"/>
      <c r="H16" s="1"/>
      <c r="I16" s="1"/>
      <c r="J16" s="1"/>
      <c r="K16" s="1"/>
      <c r="L16" s="2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1"/>
      <c r="B17" s="7" t="s">
        <v>38</v>
      </c>
      <c r="C17" s="1"/>
      <c r="D17" s="1"/>
      <c r="E17" s="1"/>
      <c r="F17" s="1"/>
      <c r="G17" s="1"/>
      <c r="H17" s="1"/>
      <c r="I17" s="1"/>
      <c r="J17" s="1"/>
      <c r="K17" s="1"/>
      <c r="L17" s="2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1"/>
      <c r="B18" s="7" t="s">
        <v>39</v>
      </c>
      <c r="C18" s="1"/>
      <c r="D18" s="1"/>
      <c r="E18" s="1"/>
      <c r="F18" s="1"/>
      <c r="G18" s="1"/>
      <c r="H18" s="1"/>
      <c r="I18" s="1"/>
      <c r="J18" s="1"/>
      <c r="K18" s="1"/>
      <c r="L18" s="2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2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"/>
      <c r="B20" s="1"/>
      <c r="C20" s="1"/>
      <c r="D20" s="26" t="s">
        <v>4</v>
      </c>
      <c r="E20" s="27"/>
      <c r="F20" s="26" t="s">
        <v>41</v>
      </c>
      <c r="G20" s="1"/>
      <c r="H20" s="1"/>
      <c r="I20" s="1"/>
      <c r="J20" s="1"/>
      <c r="K20" s="1"/>
      <c r="L20" s="2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1"/>
      <c r="B21" s="7" t="s">
        <v>42</v>
      </c>
      <c r="C21" s="1"/>
      <c r="D21" s="26">
        <v>1404251.0</v>
      </c>
      <c r="E21" s="28">
        <f t="shared" ref="E21:E31" si="2">D21/($K$3*10^6)</f>
        <v>0.07717697728</v>
      </c>
      <c r="F21" s="26">
        <v>1763652.0</v>
      </c>
      <c r="G21" s="25">
        <f>F21/($K$4*10^6)</f>
        <v>1</v>
      </c>
      <c r="H21" s="1"/>
      <c r="I21" s="1"/>
      <c r="J21" s="1"/>
      <c r="K21" s="1"/>
      <c r="L21" s="2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"/>
      <c r="B22" s="7" t="s">
        <v>44</v>
      </c>
      <c r="C22" s="1"/>
      <c r="D22" s="26">
        <v>52532.0</v>
      </c>
      <c r="E22" s="28">
        <f t="shared" si="2"/>
        <v>0.002887134117</v>
      </c>
      <c r="F22" s="27"/>
      <c r="G22" s="1"/>
      <c r="H22" s="1"/>
      <c r="I22" s="1"/>
      <c r="J22" s="1"/>
      <c r="K22" s="1"/>
      <c r="L22" s="2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"/>
      <c r="B23" s="7" t="s">
        <v>46</v>
      </c>
      <c r="C23" s="1"/>
      <c r="D23" s="26">
        <v>141831.0</v>
      </c>
      <c r="E23" s="28">
        <f t="shared" si="2"/>
        <v>0.007794965333</v>
      </c>
      <c r="F23" s="27"/>
      <c r="G23" s="1"/>
      <c r="H23" s="1"/>
      <c r="I23" s="1"/>
      <c r="J23" s="1"/>
      <c r="K23" s="1"/>
      <c r="L23" s="2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"/>
      <c r="B24" s="7" t="s">
        <v>47</v>
      </c>
      <c r="C24" s="1"/>
      <c r="D24" s="26">
        <v>43094.0</v>
      </c>
      <c r="E24" s="28">
        <f t="shared" si="2"/>
        <v>0.002368426057</v>
      </c>
      <c r="F24" s="27"/>
      <c r="G24" s="1"/>
      <c r="H24" s="1"/>
      <c r="I24" s="1"/>
      <c r="J24" s="1"/>
      <c r="K24" s="1"/>
      <c r="L24" s="2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/>
      <c r="B25" s="7" t="s">
        <v>49</v>
      </c>
      <c r="C25" s="1"/>
      <c r="D25" s="26">
        <v>39302.0</v>
      </c>
      <c r="E25" s="28">
        <f t="shared" si="2"/>
        <v>0.002160019513</v>
      </c>
      <c r="F25" s="27"/>
      <c r="G25" s="1"/>
      <c r="H25" s="1"/>
      <c r="I25" s="1"/>
      <c r="J25" s="1"/>
      <c r="K25" s="1"/>
      <c r="L25" s="2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/>
      <c r="B26" s="7" t="s">
        <v>50</v>
      </c>
      <c r="C26" s="1"/>
      <c r="D26" s="26">
        <v>45103.0</v>
      </c>
      <c r="E26" s="28">
        <f t="shared" si="2"/>
        <v>0.002478839756</v>
      </c>
      <c r="F26" s="27"/>
      <c r="G26" s="1"/>
      <c r="H26" s="1"/>
      <c r="I26" s="1"/>
      <c r="J26" s="1"/>
      <c r="K26" s="1"/>
      <c r="L26" s="2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/>
      <c r="B27" s="7" t="s">
        <v>52</v>
      </c>
      <c r="C27" s="1"/>
      <c r="D27" s="26">
        <v>52440.0</v>
      </c>
      <c r="E27" s="28">
        <f t="shared" si="2"/>
        <v>0.00288207784</v>
      </c>
      <c r="F27" s="27"/>
      <c r="G27" s="1"/>
      <c r="H27" s="1"/>
      <c r="I27" s="1"/>
      <c r="J27" s="1"/>
      <c r="K27" s="1"/>
      <c r="L27" s="2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7" t="s">
        <v>53</v>
      </c>
      <c r="C28" s="1"/>
      <c r="D28" s="26">
        <v>28438.0</v>
      </c>
      <c r="E28" s="28">
        <f t="shared" si="2"/>
        <v>0.001562939161</v>
      </c>
      <c r="F28" s="27"/>
      <c r="G28" s="1"/>
      <c r="H28" s="1"/>
      <c r="I28" s="1"/>
      <c r="J28" s="1"/>
      <c r="K28" s="1"/>
      <c r="L28" s="2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7" t="s">
        <v>55</v>
      </c>
      <c r="C29" s="1"/>
      <c r="D29" s="26">
        <v>24809.0</v>
      </c>
      <c r="E29" s="28">
        <f t="shared" si="2"/>
        <v>0.001363491021</v>
      </c>
      <c r="F29" s="27"/>
      <c r="G29" s="1"/>
      <c r="H29" s="1"/>
      <c r="I29" s="1"/>
      <c r="J29" s="1"/>
      <c r="K29" s="1"/>
      <c r="L29" s="2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7" t="s">
        <v>56</v>
      </c>
      <c r="C30" s="1"/>
      <c r="D30" s="26">
        <v>1829478.0</v>
      </c>
      <c r="E30" s="28">
        <f t="shared" si="2"/>
        <v>0.100547254</v>
      </c>
      <c r="F30" s="26">
        <v>1763652.0</v>
      </c>
      <c r="G30" s="1"/>
      <c r="H30" s="1"/>
      <c r="I30" s="1"/>
      <c r="J30" s="1"/>
      <c r="K30" s="1"/>
      <c r="L30" s="2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7" t="s">
        <v>57</v>
      </c>
      <c r="C31" s="1"/>
      <c r="D31" s="26">
        <v>1123131.0</v>
      </c>
      <c r="E31" s="28">
        <f t="shared" si="2"/>
        <v>0.06172675374</v>
      </c>
      <c r="F31" s="27"/>
      <c r="G31" s="1"/>
      <c r="H31" s="1"/>
      <c r="I31" s="1"/>
      <c r="J31" s="1"/>
      <c r="K31" s="1"/>
      <c r="L31" s="2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2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2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2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2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2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2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2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2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2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2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2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2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2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2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2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2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2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2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2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2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2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2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2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2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2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2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2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2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2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2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2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2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2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2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2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2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2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2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2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2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2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2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2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2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2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2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2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2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2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2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2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2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2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2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2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2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2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2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2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2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2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2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2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2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2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2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2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2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2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2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2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2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2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2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2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2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2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2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2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2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2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2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2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2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2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2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2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2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2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2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2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2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2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2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2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2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2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2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2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2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2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2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2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2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2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2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2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2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2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2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2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2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2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2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2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2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2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2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2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2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2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2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2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2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2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2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2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2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2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2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2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2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2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2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2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2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2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2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2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2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2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2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2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2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2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2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2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2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2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2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2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2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2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2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2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2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2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2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2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2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2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2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2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2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2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2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2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2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2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2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2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2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2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2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2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2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2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2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2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2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2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2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2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2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2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2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2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2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2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2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2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2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2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2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2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2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2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2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2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2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2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2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2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2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2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2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2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2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2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2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2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2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2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2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2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2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2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2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2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2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2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2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2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2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2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2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2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2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2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2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2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2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2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2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2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2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2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2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2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2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2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2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2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2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2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2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2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2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2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2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2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2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2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2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2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2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2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2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2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2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2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2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2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2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2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2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2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2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2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2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2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2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2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2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2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2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2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2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2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2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2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2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2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2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2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2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2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2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2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2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2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2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2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2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2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2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2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2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2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2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2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2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2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2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2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2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2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2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2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2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2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2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2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2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2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2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2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2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2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2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2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2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2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2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2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2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2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2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2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2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2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2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2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2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2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2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2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2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2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2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2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2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2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2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2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2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2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2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2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2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2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2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2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2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2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2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2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2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2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2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2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2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2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2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2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2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2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2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2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2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2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2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2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2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2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2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2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2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2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2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2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2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2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2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2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2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2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2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2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2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2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2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2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2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2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2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2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2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2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2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2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2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2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2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2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2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2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2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2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2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2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2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2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2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2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2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2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2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2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2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2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2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2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2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2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2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2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2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2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2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2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2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2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2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2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2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2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2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2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2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2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2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2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2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2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2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2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2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2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2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2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2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2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2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2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2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2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2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2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2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2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2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2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2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2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2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2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2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2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2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2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2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2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2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2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2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2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2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2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2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2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2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2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2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2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2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2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2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2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2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2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2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2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2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2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2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2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2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2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2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2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2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2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2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2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2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2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2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2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2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2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2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2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2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2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2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2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2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2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2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2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2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2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2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2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2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2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2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2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2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2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2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2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2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2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2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2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2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2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2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2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2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2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2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2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2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2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2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2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2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2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2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2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2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2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2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2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2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2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2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2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2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2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2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2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2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2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2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2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2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2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2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2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2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2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2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2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2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2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2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2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2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2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2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2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2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2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2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2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2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2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2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2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2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2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2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2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2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2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2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2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2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2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2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2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2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2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2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2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2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2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2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2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2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2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2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2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2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2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2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2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2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2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2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2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2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2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2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2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2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2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2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2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2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2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2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2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2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2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2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2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2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2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2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2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2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2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2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2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2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2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2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2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2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2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2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2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2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2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2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2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2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2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2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2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2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2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2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2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2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2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2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2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2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2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2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2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2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2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2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2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2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2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2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2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2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2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2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2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2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2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2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2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2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2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2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2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2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2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2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2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2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2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2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2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2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2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2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2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2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2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2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2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2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2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2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2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2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2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2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2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2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2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2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2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2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2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2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2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2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2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2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2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2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2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2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2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2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2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2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2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2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2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2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2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2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2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2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2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2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2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2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2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2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2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2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2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2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2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2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2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2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2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2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2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2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2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2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2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2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2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2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2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2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2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2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2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2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2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2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2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2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2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2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2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2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2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2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2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2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2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2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2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2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2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2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2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2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2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2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2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2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2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2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2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2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2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2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2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2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2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2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2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2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2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2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2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2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2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2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2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2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2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2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2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2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2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2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2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2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2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2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2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2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2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2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2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2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2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2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2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2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2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2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2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2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2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2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2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2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2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2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2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2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2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2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2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2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2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2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2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2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2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2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2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2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2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2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2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2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2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2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2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2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2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2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2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2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2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2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2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2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2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2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2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2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2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2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2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2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2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2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2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2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2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2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2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2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2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2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2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2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2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2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2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2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2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2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2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2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2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2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2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2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2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2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2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2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2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2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2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2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2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2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2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2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2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2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2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2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2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2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2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2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2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2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2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2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2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2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2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2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2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2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2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2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2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2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2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2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2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2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2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2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2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2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2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2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2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2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2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2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2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2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2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2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2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2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2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5.25"/>
    <col customWidth="1" min="2" max="2" width="28.38"/>
    <col customWidth="1" min="3" max="4" width="7.5"/>
    <col customWidth="1" min="5" max="5" width="8.25"/>
    <col customWidth="1" min="6" max="8" width="7.5"/>
    <col customWidth="1" min="9" max="9" width="8.25"/>
    <col customWidth="1" min="10" max="10" width="8.38"/>
    <col customWidth="1" min="11" max="11" width="7.5"/>
    <col customWidth="1" min="12" max="14" width="5.13"/>
    <col customWidth="1" min="15" max="16" width="5.0"/>
    <col customWidth="1" min="17" max="21" width="4.75"/>
    <col customWidth="1" min="22" max="23" width="7.5"/>
    <col customWidth="1" min="24" max="24" width="8.38"/>
    <col customWidth="1" min="25" max="25" width="4.75"/>
  </cols>
  <sheetData>
    <row r="1" ht="12.75" customHeight="1">
      <c r="A1" s="3" t="s">
        <v>0</v>
      </c>
      <c r="B1" s="4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2.75" customHeight="1">
      <c r="A2" s="4"/>
      <c r="B2" s="4"/>
      <c r="C2" s="9">
        <v>45416.0</v>
      </c>
      <c r="D2" s="9">
        <v>45507.0</v>
      </c>
      <c r="E2" s="9">
        <v>45598.0</v>
      </c>
      <c r="F2" s="9">
        <v>45689.0</v>
      </c>
      <c r="G2" s="9">
        <v>45780.0</v>
      </c>
      <c r="H2" s="9">
        <v>45871.0</v>
      </c>
      <c r="I2" s="9">
        <v>45962.0</v>
      </c>
      <c r="J2" s="9">
        <v>46053.0</v>
      </c>
      <c r="K2" s="9">
        <v>46144.0</v>
      </c>
      <c r="L2" s="10"/>
      <c r="M2" s="10"/>
      <c r="N2" s="10"/>
      <c r="O2" s="5"/>
      <c r="P2" s="5"/>
      <c r="Q2" s="10"/>
      <c r="R2" s="5"/>
      <c r="S2" s="5"/>
      <c r="T2" s="5"/>
      <c r="U2" s="5"/>
      <c r="V2" s="9">
        <v>45325.0</v>
      </c>
      <c r="W2" s="9">
        <v>45689.0</v>
      </c>
      <c r="X2" s="9">
        <v>46053.0</v>
      </c>
      <c r="Y2" s="5"/>
      <c r="Z2" s="5"/>
    </row>
    <row r="3" ht="12.75" customHeight="1">
      <c r="A3" s="4"/>
      <c r="B3" s="4"/>
      <c r="C3" s="10" t="s">
        <v>8</v>
      </c>
      <c r="D3" s="10" t="s">
        <v>9</v>
      </c>
      <c r="E3" s="10" t="s">
        <v>10</v>
      </c>
      <c r="F3" s="10" t="s">
        <v>12</v>
      </c>
      <c r="G3" s="10" t="s">
        <v>13</v>
      </c>
      <c r="H3" s="10" t="s">
        <v>14</v>
      </c>
      <c r="I3" s="10" t="s">
        <v>15</v>
      </c>
      <c r="J3" s="10" t="s">
        <v>16</v>
      </c>
      <c r="K3" s="10" t="s">
        <v>5</v>
      </c>
      <c r="L3" s="10" t="s">
        <v>18</v>
      </c>
      <c r="M3" s="10" t="s">
        <v>19</v>
      </c>
      <c r="N3" s="10" t="s">
        <v>20</v>
      </c>
      <c r="O3" s="5"/>
      <c r="P3" s="5"/>
      <c r="Q3" s="10">
        <v>2018.0</v>
      </c>
      <c r="R3" s="5">
        <f t="shared" ref="R3:Y3" si="1">Q3+1</f>
        <v>2019</v>
      </c>
      <c r="S3" s="5">
        <f t="shared" si="1"/>
        <v>2020</v>
      </c>
      <c r="T3" s="5">
        <f t="shared" si="1"/>
        <v>2021</v>
      </c>
      <c r="U3" s="5">
        <f t="shared" si="1"/>
        <v>2022</v>
      </c>
      <c r="V3" s="5">
        <f t="shared" si="1"/>
        <v>2023</v>
      </c>
      <c r="W3" s="5">
        <f t="shared" si="1"/>
        <v>2024</v>
      </c>
      <c r="X3" s="5">
        <f t="shared" si="1"/>
        <v>2025</v>
      </c>
      <c r="Y3" s="5">
        <f t="shared" si="1"/>
        <v>2026</v>
      </c>
      <c r="Z3" s="5"/>
    </row>
    <row r="4" ht="12.75" customHeight="1">
      <c r="A4" s="14"/>
      <c r="B4" s="15"/>
      <c r="C4" s="16"/>
      <c r="D4" s="16"/>
      <c r="E4" s="16"/>
      <c r="F4" s="17"/>
      <c r="G4" s="16">
        <v>1109.0</v>
      </c>
      <c r="H4" s="16"/>
      <c r="I4" s="16"/>
      <c r="J4" s="17"/>
      <c r="K4" s="16">
        <v>1065.0</v>
      </c>
      <c r="L4" s="17"/>
      <c r="M4" s="17"/>
      <c r="N4" s="17"/>
      <c r="O4" s="17"/>
      <c r="P4" s="17"/>
      <c r="Q4" s="17"/>
      <c r="R4" s="17"/>
      <c r="S4" s="17"/>
      <c r="T4" s="17"/>
      <c r="U4" s="17"/>
      <c r="V4" s="16"/>
      <c r="W4" s="16"/>
      <c r="X4" s="16"/>
      <c r="Y4" s="17"/>
      <c r="Z4" s="17"/>
    </row>
    <row r="5" ht="12.75" customHeight="1">
      <c r="A5" s="18"/>
      <c r="B5" s="19" t="s">
        <v>23</v>
      </c>
      <c r="C5" s="20"/>
      <c r="D5" s="20"/>
      <c r="E5" s="20"/>
      <c r="F5" s="21"/>
      <c r="G5" s="20"/>
      <c r="H5" s="20"/>
      <c r="I5" s="20"/>
      <c r="J5" s="21"/>
      <c r="K5" s="20">
        <v>0.03</v>
      </c>
      <c r="L5" s="22"/>
      <c r="M5" s="22"/>
      <c r="N5" s="22"/>
      <c r="O5" s="22"/>
      <c r="P5" s="22"/>
      <c r="Q5" s="22"/>
      <c r="R5" s="22"/>
      <c r="S5" s="22"/>
      <c r="T5" s="22"/>
      <c r="U5" s="22"/>
      <c r="V5" s="23"/>
      <c r="W5" s="23"/>
      <c r="X5" s="23"/>
      <c r="Y5" s="22"/>
      <c r="Z5" s="22"/>
    </row>
    <row r="6" ht="12.75" customHeight="1">
      <c r="A6" s="18"/>
      <c r="B6" s="19" t="s">
        <v>25</v>
      </c>
      <c r="C6" s="23">
        <v>175.272</v>
      </c>
      <c r="D6" s="23">
        <v>166.934</v>
      </c>
      <c r="E6" s="23">
        <v>144.642</v>
      </c>
      <c r="F6" s="22">
        <f t="shared" ref="F6:F7" si="2">W6-sum(C6:E6)</f>
        <v>155.292</v>
      </c>
      <c r="G6" s="23">
        <v>168.419</v>
      </c>
      <c r="H6" s="23">
        <v>174.653</v>
      </c>
      <c r="I6" s="23">
        <v>153.739</v>
      </c>
      <c r="J6" s="22">
        <f t="shared" ref="J6:J7" si="3">X6-sum(G6:I6)</f>
        <v>150.019</v>
      </c>
      <c r="K6" s="23">
        <v>169.41</v>
      </c>
      <c r="L6" s="22"/>
      <c r="M6" s="22"/>
      <c r="N6" s="22"/>
      <c r="O6" s="22"/>
      <c r="P6" s="22"/>
      <c r="Q6" s="22"/>
      <c r="R6" s="22"/>
      <c r="S6" s="22"/>
      <c r="T6" s="22"/>
      <c r="U6" s="22"/>
      <c r="V6" s="23">
        <v>700.318</v>
      </c>
      <c r="W6" s="23">
        <v>642.14</v>
      </c>
      <c r="X6" s="23">
        <v>646.83</v>
      </c>
      <c r="Y6" s="22"/>
      <c r="Z6" s="22"/>
    </row>
    <row r="7" ht="12.75" customHeight="1">
      <c r="A7" s="19" t="s">
        <v>29</v>
      </c>
      <c r="B7" s="19" t="s">
        <v>30</v>
      </c>
      <c r="C7" s="23">
        <v>1.827</v>
      </c>
      <c r="D7" s="23">
        <v>1.694</v>
      </c>
      <c r="E7" s="23">
        <v>1.528</v>
      </c>
      <c r="F7" s="22">
        <f t="shared" si="2"/>
        <v>2.617</v>
      </c>
      <c r="G7" s="23">
        <v>1.823</v>
      </c>
      <c r="H7" s="23">
        <v>1.856</v>
      </c>
      <c r="I7" s="23">
        <v>1.663</v>
      </c>
      <c r="J7" s="22">
        <f t="shared" si="3"/>
        <v>1.64</v>
      </c>
      <c r="K7" s="23">
        <v>1.694</v>
      </c>
      <c r="L7" s="22"/>
      <c r="M7" s="22"/>
      <c r="N7" s="22"/>
      <c r="O7" s="22"/>
      <c r="P7" s="22"/>
      <c r="Q7" s="22"/>
      <c r="R7" s="22"/>
      <c r="S7" s="22"/>
      <c r="T7" s="22"/>
      <c r="U7" s="22"/>
      <c r="V7" s="23">
        <v>7.741</v>
      </c>
      <c r="W7" s="23">
        <v>7.666</v>
      </c>
      <c r="X7" s="23">
        <v>6.982</v>
      </c>
      <c r="Y7" s="22"/>
      <c r="Z7" s="22"/>
    </row>
    <row r="8" ht="12.75" customHeight="1">
      <c r="A8" s="18"/>
      <c r="B8" s="19" t="s">
        <v>33</v>
      </c>
      <c r="C8" s="22">
        <f t="shared" ref="C8:K8" si="4">C6+C7</f>
        <v>177.099</v>
      </c>
      <c r="D8" s="22">
        <f t="shared" si="4"/>
        <v>168.628</v>
      </c>
      <c r="E8" s="22">
        <f t="shared" si="4"/>
        <v>146.17</v>
      </c>
      <c r="F8" s="22">
        <f t="shared" si="4"/>
        <v>157.909</v>
      </c>
      <c r="G8" s="22">
        <f t="shared" si="4"/>
        <v>170.242</v>
      </c>
      <c r="H8" s="22">
        <f t="shared" si="4"/>
        <v>176.509</v>
      </c>
      <c r="I8" s="22">
        <f t="shared" si="4"/>
        <v>155.402</v>
      </c>
      <c r="J8" s="22">
        <f t="shared" si="4"/>
        <v>151.659</v>
      </c>
      <c r="K8" s="22">
        <f t="shared" si="4"/>
        <v>171.104</v>
      </c>
      <c r="L8" s="22"/>
      <c r="M8" s="22"/>
      <c r="N8" s="22"/>
      <c r="O8" s="22"/>
      <c r="P8" s="22"/>
      <c r="Q8" s="22"/>
      <c r="R8" s="22"/>
      <c r="S8" s="22"/>
      <c r="T8" s="22"/>
      <c r="U8" s="22"/>
      <c r="V8" s="22">
        <f t="shared" ref="V8:X8" si="5">V6+V7</f>
        <v>708.059</v>
      </c>
      <c r="W8" s="22">
        <f t="shared" si="5"/>
        <v>649.806</v>
      </c>
      <c r="X8" s="22">
        <f t="shared" si="5"/>
        <v>653.812</v>
      </c>
      <c r="Y8" s="22">
        <f t="shared" ref="Y8:Z8" si="6">X8*1.01</f>
        <v>660.35012</v>
      </c>
      <c r="Z8" s="22">
        <f t="shared" si="6"/>
        <v>666.9536212</v>
      </c>
    </row>
    <row r="9" ht="12.75" customHeight="1">
      <c r="A9" s="18"/>
      <c r="B9" s="19" t="s">
        <v>37</v>
      </c>
      <c r="C9" s="23">
        <v>112.505</v>
      </c>
      <c r="D9" s="23">
        <v>109.122</v>
      </c>
      <c r="E9" s="23">
        <v>102.955</v>
      </c>
      <c r="F9" s="22">
        <f t="shared" ref="F9:F11" si="7">W9-sum(C9:E9)</f>
        <v>111.858</v>
      </c>
      <c r="G9" s="23">
        <v>109.318</v>
      </c>
      <c r="H9" s="23">
        <v>111.467</v>
      </c>
      <c r="I9" s="23">
        <v>104.517</v>
      </c>
      <c r="J9" s="22">
        <f t="shared" ref="J9:J11" si="8">X9-sum(G9:I9)</f>
        <v>106.249</v>
      </c>
      <c r="K9" s="23">
        <v>106.34</v>
      </c>
      <c r="L9" s="22"/>
      <c r="M9" s="22"/>
      <c r="N9" s="22"/>
      <c r="O9" s="22"/>
      <c r="P9" s="22"/>
      <c r="Q9" s="22"/>
      <c r="R9" s="22"/>
      <c r="S9" s="22"/>
      <c r="T9" s="22"/>
      <c r="U9" s="22"/>
      <c r="V9" s="23">
        <v>464.313</v>
      </c>
      <c r="W9" s="23">
        <v>436.44</v>
      </c>
      <c r="X9" s="23">
        <v>431.551</v>
      </c>
      <c r="Y9" s="22"/>
      <c r="Z9" s="22"/>
    </row>
    <row r="10" ht="12.75" customHeight="1">
      <c r="A10" s="18"/>
      <c r="B10" s="19" t="s">
        <v>40</v>
      </c>
      <c r="C10" s="23">
        <v>56.752</v>
      </c>
      <c r="D10" s="23">
        <v>58.181</v>
      </c>
      <c r="E10" s="23">
        <v>57.876</v>
      </c>
      <c r="F10" s="22">
        <f t="shared" si="7"/>
        <v>58.621</v>
      </c>
      <c r="G10" s="23">
        <v>55.325</v>
      </c>
      <c r="H10" s="23">
        <v>57.371</v>
      </c>
      <c r="I10" s="23">
        <v>56.974</v>
      </c>
      <c r="J10" s="22">
        <f t="shared" si="8"/>
        <v>56.677</v>
      </c>
      <c r="K10" s="23">
        <v>53.93</v>
      </c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3">
        <v>252.742</v>
      </c>
      <c r="W10" s="23">
        <v>231.43</v>
      </c>
      <c r="X10" s="23">
        <v>226.347</v>
      </c>
      <c r="Y10" s="22"/>
      <c r="Z10" s="22"/>
    </row>
    <row r="11" ht="12.75" customHeight="1">
      <c r="A11" s="18"/>
      <c r="B11" s="19" t="s">
        <v>43</v>
      </c>
      <c r="C11" s="23">
        <v>-5.821</v>
      </c>
      <c r="D11" s="23">
        <v>-1.742</v>
      </c>
      <c r="E11" s="23">
        <v>-2.646</v>
      </c>
      <c r="F11" s="22">
        <f t="shared" si="7"/>
        <v>-1.559</v>
      </c>
      <c r="G11" s="23">
        <v>-1.202</v>
      </c>
      <c r="H11" s="23">
        <v>-1.393</v>
      </c>
      <c r="I11" s="23">
        <v>-2.181</v>
      </c>
      <c r="J11" s="22">
        <f t="shared" si="8"/>
        <v>-1.756</v>
      </c>
      <c r="K11" s="23">
        <v>-1.233</v>
      </c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3">
        <f>-0.035-5.101</f>
        <v>-5.136</v>
      </c>
      <c r="W11" s="23">
        <f>0.059-11.827</f>
        <v>-11.768</v>
      </c>
      <c r="X11" s="23">
        <f>0.155-6.687</f>
        <v>-6.532</v>
      </c>
      <c r="Y11" s="22"/>
      <c r="Z11" s="22"/>
    </row>
    <row r="12" ht="12.75" customHeight="1">
      <c r="A12" s="18"/>
      <c r="B12" s="19" t="s">
        <v>45</v>
      </c>
      <c r="C12" s="22">
        <f t="shared" ref="C12:K12" si="9">C8-sum(C9:C11)</f>
        <v>13.663</v>
      </c>
      <c r="D12" s="22">
        <f t="shared" si="9"/>
        <v>3.067</v>
      </c>
      <c r="E12" s="22">
        <f t="shared" si="9"/>
        <v>-12.015</v>
      </c>
      <c r="F12" s="22">
        <f t="shared" si="9"/>
        <v>-11.011</v>
      </c>
      <c r="G12" s="22">
        <f t="shared" si="9"/>
        <v>6.801</v>
      </c>
      <c r="H12" s="22">
        <f t="shared" si="9"/>
        <v>9.064</v>
      </c>
      <c r="I12" s="22">
        <f t="shared" si="9"/>
        <v>-3.908</v>
      </c>
      <c r="J12" s="22">
        <f t="shared" si="9"/>
        <v>-9.511</v>
      </c>
      <c r="K12" s="22">
        <f t="shared" si="9"/>
        <v>12.067</v>
      </c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>
        <f t="shared" ref="V12:X12" si="10">V8-sum(V9:V11)</f>
        <v>-3.86</v>
      </c>
      <c r="W12" s="22">
        <f t="shared" si="10"/>
        <v>-6.296</v>
      </c>
      <c r="X12" s="22">
        <f t="shared" si="10"/>
        <v>2.446</v>
      </c>
      <c r="Y12" s="22"/>
      <c r="Z12" s="22"/>
    </row>
    <row r="13" ht="12.75" customHeight="1">
      <c r="A13" s="18"/>
      <c r="B13" s="19" t="s">
        <v>48</v>
      </c>
      <c r="C13" s="23">
        <v>0.649</v>
      </c>
      <c r="D13" s="23">
        <v>0.643</v>
      </c>
      <c r="E13" s="23">
        <v>0.322</v>
      </c>
      <c r="F13" s="22">
        <f>W13-sum(C13:E13)</f>
        <v>0.33</v>
      </c>
      <c r="G13" s="23">
        <v>0.928</v>
      </c>
      <c r="H13" s="23">
        <v>-0.293</v>
      </c>
      <c r="I13" s="23">
        <v>-1.163</v>
      </c>
      <c r="J13" s="22">
        <f>X13-sum(G13:I13)</f>
        <v>-1.063</v>
      </c>
      <c r="K13" s="23">
        <v>0.522</v>
      </c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3">
        <v>10.14</v>
      </c>
      <c r="W13" s="23">
        <f>1.944</f>
        <v>1.944</v>
      </c>
      <c r="X13" s="23">
        <v>-1.591</v>
      </c>
      <c r="Y13" s="22"/>
      <c r="Z13" s="22"/>
    </row>
    <row r="14" ht="12.75" customHeight="1">
      <c r="A14" s="18"/>
      <c r="B14" s="19" t="s">
        <v>51</v>
      </c>
      <c r="C14" s="22">
        <f t="shared" ref="C14:K14" si="11">C12-C13</f>
        <v>13.014</v>
      </c>
      <c r="D14" s="22">
        <f t="shared" si="11"/>
        <v>2.424</v>
      </c>
      <c r="E14" s="22">
        <f t="shared" si="11"/>
        <v>-12.337</v>
      </c>
      <c r="F14" s="22">
        <f t="shared" si="11"/>
        <v>-11.341</v>
      </c>
      <c r="G14" s="22">
        <f t="shared" si="11"/>
        <v>5.873</v>
      </c>
      <c r="H14" s="22">
        <f t="shared" si="11"/>
        <v>9.357</v>
      </c>
      <c r="I14" s="22">
        <f t="shared" si="11"/>
        <v>-2.745</v>
      </c>
      <c r="J14" s="22">
        <f t="shared" si="11"/>
        <v>-8.448</v>
      </c>
      <c r="K14" s="22">
        <f t="shared" si="11"/>
        <v>11.545</v>
      </c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>
        <f t="shared" ref="V14:X14" si="12">V12-V13</f>
        <v>-14</v>
      </c>
      <c r="W14" s="22">
        <f t="shared" si="12"/>
        <v>-8.24</v>
      </c>
      <c r="X14" s="22">
        <f t="shared" si="12"/>
        <v>4.037</v>
      </c>
      <c r="Y14" s="22"/>
      <c r="Z14" s="22"/>
    </row>
    <row r="15" ht="12.75" customHeight="1">
      <c r="A15" s="29"/>
      <c r="B15" s="30" t="s">
        <v>54</v>
      </c>
      <c r="C15" s="31">
        <v>0.54</v>
      </c>
      <c r="D15" s="31">
        <v>0.01</v>
      </c>
      <c r="E15" s="31">
        <v>-0.79</v>
      </c>
      <c r="F15" s="32">
        <f>W15-sum(C15:E15)</f>
        <v>-0.73</v>
      </c>
      <c r="G15" s="31">
        <v>0.17</v>
      </c>
      <c r="H15" s="31">
        <v>0.35</v>
      </c>
      <c r="I15" s="31">
        <v>-0.28</v>
      </c>
      <c r="J15" s="32">
        <f>X15-sum(G15:I15)</f>
        <v>-0.55</v>
      </c>
      <c r="K15" s="31">
        <v>0.47</v>
      </c>
      <c r="L15" s="32"/>
      <c r="M15" s="32"/>
      <c r="N15" s="32"/>
      <c r="O15" s="17"/>
      <c r="P15" s="17"/>
      <c r="Q15" s="17"/>
      <c r="R15" s="17"/>
      <c r="S15" s="17"/>
      <c r="T15" s="17"/>
      <c r="U15" s="17"/>
      <c r="V15" s="16">
        <v>-1.17</v>
      </c>
      <c r="W15" s="16">
        <v>-0.97</v>
      </c>
      <c r="X15" s="16">
        <v>-0.31</v>
      </c>
      <c r="Y15" s="17"/>
      <c r="Z15" s="17"/>
    </row>
    <row r="16" ht="12.75" customHeight="1">
      <c r="A16" s="18"/>
      <c r="B16" s="18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ht="12.75" customHeight="1">
      <c r="A17" s="18"/>
      <c r="B17" s="19" t="s">
        <v>58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ht="12.75" customHeight="1">
      <c r="A18" s="33"/>
      <c r="B18" s="34" t="s">
        <v>25</v>
      </c>
      <c r="C18" s="35"/>
      <c r="D18" s="35"/>
      <c r="E18" s="35"/>
      <c r="F18" s="35"/>
      <c r="G18" s="35">
        <f t="shared" ref="G18:K18" si="13">G6/C6-1</f>
        <v>-0.03909922863</v>
      </c>
      <c r="H18" s="35">
        <f t="shared" si="13"/>
        <v>0.04623983131</v>
      </c>
      <c r="I18" s="35">
        <f t="shared" si="13"/>
        <v>0.06289321221</v>
      </c>
      <c r="J18" s="35">
        <f t="shared" si="13"/>
        <v>-0.03395538727</v>
      </c>
      <c r="K18" s="35">
        <f t="shared" si="13"/>
        <v>0.005884134213</v>
      </c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>
        <f t="shared" ref="W18:X18" si="14">W6/V6-1</f>
        <v>-0.08307368938</v>
      </c>
      <c r="X18" s="35">
        <f t="shared" si="14"/>
        <v>0.007303703242</v>
      </c>
      <c r="Y18" s="35"/>
      <c r="Z18" s="35"/>
    </row>
    <row r="19" ht="12.75" customHeight="1">
      <c r="A19" s="33"/>
      <c r="B19" s="34" t="s">
        <v>30</v>
      </c>
      <c r="C19" s="35"/>
      <c r="D19" s="35"/>
      <c r="E19" s="35"/>
      <c r="F19" s="35"/>
      <c r="G19" s="35">
        <f t="shared" ref="G19:K19" si="15">G7/C7-1</f>
        <v>-0.0021893815</v>
      </c>
      <c r="H19" s="35">
        <f t="shared" si="15"/>
        <v>0.09563164109</v>
      </c>
      <c r="I19" s="35">
        <f t="shared" si="15"/>
        <v>0.08835078534</v>
      </c>
      <c r="J19" s="35">
        <f t="shared" si="15"/>
        <v>-0.3733282384</v>
      </c>
      <c r="K19" s="35">
        <f t="shared" si="15"/>
        <v>-0.07076247943</v>
      </c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>
        <f t="shared" ref="W19:X19" si="16">W7/V7-1</f>
        <v>-0.009688670714</v>
      </c>
      <c r="X19" s="35">
        <f t="shared" si="16"/>
        <v>-0.08922515001</v>
      </c>
      <c r="Y19" s="35"/>
      <c r="Z19" s="35"/>
    </row>
    <row r="20" ht="12.75" customHeight="1">
      <c r="A20" s="33"/>
      <c r="B20" s="34" t="s">
        <v>33</v>
      </c>
      <c r="C20" s="35"/>
      <c r="D20" s="35"/>
      <c r="E20" s="35"/>
      <c r="F20" s="35"/>
      <c r="G20" s="35">
        <f t="shared" ref="G20:K20" si="17">G8/C8-1</f>
        <v>-0.03871845691</v>
      </c>
      <c r="H20" s="35">
        <f t="shared" si="17"/>
        <v>0.04673601063</v>
      </c>
      <c r="I20" s="35">
        <f t="shared" si="17"/>
        <v>0.06315933502</v>
      </c>
      <c r="J20" s="35">
        <f t="shared" si="17"/>
        <v>-0.03957975796</v>
      </c>
      <c r="K20" s="35">
        <f t="shared" si="17"/>
        <v>0.005063380364</v>
      </c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>
        <f t="shared" ref="W20:Z20" si="18">W8/V8-1</f>
        <v>-0.08227139264</v>
      </c>
      <c r="X20" s="35">
        <f t="shared" si="18"/>
        <v>0.006164916914</v>
      </c>
      <c r="Y20" s="35">
        <f t="shared" si="18"/>
        <v>0.01</v>
      </c>
      <c r="Z20" s="35">
        <f t="shared" si="18"/>
        <v>0.01</v>
      </c>
    </row>
    <row r="21" ht="12.75" customHeight="1">
      <c r="A21" s="33"/>
      <c r="B21" s="36" t="s">
        <v>59</v>
      </c>
      <c r="C21" s="35"/>
      <c r="D21" s="35"/>
      <c r="E21" s="35"/>
      <c r="F21" s="35"/>
      <c r="G21" s="35">
        <f t="shared" ref="G21:K21" si="19">(G8-G9)/G8</f>
        <v>0.3578670363</v>
      </c>
      <c r="H21" s="35">
        <f t="shared" si="19"/>
        <v>0.3684911251</v>
      </c>
      <c r="I21" s="35">
        <f t="shared" si="19"/>
        <v>0.3274410883</v>
      </c>
      <c r="J21" s="35">
        <f t="shared" si="19"/>
        <v>0.299421729</v>
      </c>
      <c r="K21" s="35">
        <f t="shared" si="19"/>
        <v>0.3785066392</v>
      </c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>
        <f t="shared" ref="V21:X21" si="20">(V8-V9)/V8</f>
        <v>0.3442453242</v>
      </c>
      <c r="W21" s="35">
        <f t="shared" si="20"/>
        <v>0.3283533855</v>
      </c>
      <c r="X21" s="35">
        <f t="shared" si="20"/>
        <v>0.3399463454</v>
      </c>
      <c r="Y21" s="35"/>
      <c r="Z21" s="35"/>
    </row>
    <row r="22" ht="12.75" customHeight="1">
      <c r="A22" s="18"/>
      <c r="B22" s="18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ht="12.75" customHeight="1">
      <c r="A23" s="18"/>
      <c r="B23" s="18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ht="12.75" customHeight="1">
      <c r="A24" s="18"/>
      <c r="B24" s="19" t="s">
        <v>60</v>
      </c>
      <c r="C24" s="22"/>
      <c r="D24" s="22"/>
      <c r="E24" s="22"/>
      <c r="F24" s="23">
        <v>20.279</v>
      </c>
      <c r="G24" s="23">
        <v>31.346</v>
      </c>
      <c r="H24" s="23">
        <v>34.225</v>
      </c>
      <c r="I24" s="23">
        <v>22.769</v>
      </c>
      <c r="J24" s="23">
        <v>16.788</v>
      </c>
      <c r="K24" s="23">
        <v>25.412</v>
      </c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ht="12.75" customHeight="1">
      <c r="A25" s="18"/>
      <c r="B25" s="19" t="s">
        <v>61</v>
      </c>
      <c r="C25" s="22"/>
      <c r="D25" s="22"/>
      <c r="E25" s="22"/>
      <c r="F25" s="23">
        <v>57.423</v>
      </c>
      <c r="G25" s="23">
        <v>48.609</v>
      </c>
      <c r="H25" s="23">
        <v>56.55</v>
      </c>
      <c r="I25" s="23">
        <v>56.204</v>
      </c>
      <c r="J25" s="23">
        <v>56.859</v>
      </c>
      <c r="K25" s="23">
        <v>55.558</v>
      </c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ht="12.75" customHeight="1">
      <c r="A26" s="18"/>
      <c r="B26" s="19" t="s">
        <v>62</v>
      </c>
      <c r="C26" s="22"/>
      <c r="D26" s="22"/>
      <c r="E26" s="22"/>
      <c r="F26" s="23">
        <v>2.799</v>
      </c>
      <c r="G26" s="23">
        <v>2.675</v>
      </c>
      <c r="H26" s="23">
        <v>2.675</v>
      </c>
      <c r="I26" s="23">
        <v>2.675</v>
      </c>
      <c r="J26" s="23">
        <v>2.675</v>
      </c>
      <c r="K26" s="23">
        <v>2.675</v>
      </c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ht="12.75" customHeight="1">
      <c r="A27" s="18"/>
      <c r="B27" s="19" t="s">
        <v>63</v>
      </c>
      <c r="C27" s="22"/>
      <c r="D27" s="22"/>
      <c r="E27" s="22"/>
      <c r="F27" s="23">
        <v>24.54</v>
      </c>
      <c r="G27" s="23">
        <v>26.83</v>
      </c>
      <c r="H27" s="23">
        <v>26.152</v>
      </c>
      <c r="I27" s="23">
        <v>26.093</v>
      </c>
      <c r="J27" s="23">
        <v>25.462</v>
      </c>
      <c r="K27" s="23">
        <v>33.159</v>
      </c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ht="12.75" customHeight="1">
      <c r="A28" s="18"/>
      <c r="B28" s="19" t="s">
        <v>64</v>
      </c>
      <c r="C28" s="22"/>
      <c r="D28" s="22"/>
      <c r="E28" s="22"/>
      <c r="F28" s="23">
        <v>110.739</v>
      </c>
      <c r="G28" s="23">
        <v>109.43</v>
      </c>
      <c r="H28" s="23">
        <v>97.273</v>
      </c>
      <c r="I28" s="23">
        <v>94.065</v>
      </c>
      <c r="J28" s="23">
        <v>83.696</v>
      </c>
      <c r="K28" s="23">
        <v>92.49</v>
      </c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ht="12.75" customHeight="1">
      <c r="A29" s="18"/>
      <c r="B29" s="19" t="s">
        <v>65</v>
      </c>
      <c r="C29" s="22"/>
      <c r="D29" s="22"/>
      <c r="E29" s="22"/>
      <c r="F29" s="23">
        <v>7.406</v>
      </c>
      <c r="G29" s="23">
        <v>7.56</v>
      </c>
      <c r="H29" s="23">
        <v>8.941</v>
      </c>
      <c r="I29" s="23">
        <v>8.603</v>
      </c>
      <c r="J29" s="23">
        <v>7.787</v>
      </c>
      <c r="K29" s="23">
        <v>7.928</v>
      </c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ht="12.75" customHeight="1">
      <c r="A30" s="18"/>
      <c r="B30" s="19" t="s">
        <v>66</v>
      </c>
      <c r="C30" s="22"/>
      <c r="D30" s="22"/>
      <c r="E30" s="22"/>
      <c r="F30" s="23">
        <v>60.326</v>
      </c>
      <c r="G30" s="23">
        <v>58.767</v>
      </c>
      <c r="H30" s="23">
        <v>57.641</v>
      </c>
      <c r="I30" s="23">
        <v>55.912</v>
      </c>
      <c r="J30" s="23">
        <v>53.748</v>
      </c>
      <c r="K30" s="23">
        <v>52.504</v>
      </c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ht="12.75" customHeight="1">
      <c r="A31" s="18"/>
      <c r="B31" s="19" t="s">
        <v>67</v>
      </c>
      <c r="C31" s="22"/>
      <c r="D31" s="22"/>
      <c r="E31" s="22"/>
      <c r="F31" s="23">
        <v>19.979</v>
      </c>
      <c r="G31" s="23">
        <v>19.863</v>
      </c>
      <c r="H31" s="23">
        <v>20.201</v>
      </c>
      <c r="I31" s="23">
        <v>20.65</v>
      </c>
      <c r="J31" s="23">
        <v>20.471</v>
      </c>
      <c r="K31" s="23">
        <v>20.72</v>
      </c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ht="12.75" customHeight="1">
      <c r="A32" s="18"/>
      <c r="B32" s="19" t="s">
        <v>68</v>
      </c>
      <c r="C32" s="22"/>
      <c r="D32" s="22"/>
      <c r="E32" s="22"/>
      <c r="F32" s="23">
        <v>148.87</v>
      </c>
      <c r="G32" s="23">
        <v>135.726</v>
      </c>
      <c r="H32" s="23">
        <v>133.228</v>
      </c>
      <c r="I32" s="23">
        <v>163.261</v>
      </c>
      <c r="J32" s="23">
        <v>153.933</v>
      </c>
      <c r="K32" s="23">
        <v>148.734</v>
      </c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ht="12.75" customHeight="1">
      <c r="A33" s="18"/>
      <c r="B33" s="19" t="s">
        <v>69</v>
      </c>
      <c r="C33" s="22"/>
      <c r="D33" s="22"/>
      <c r="E33" s="22"/>
      <c r="F33" s="22">
        <f t="shared" ref="F33:K33" si="21">sum(F24:F32)</f>
        <v>452.361</v>
      </c>
      <c r="G33" s="22">
        <f t="shared" si="21"/>
        <v>440.806</v>
      </c>
      <c r="H33" s="22">
        <f t="shared" si="21"/>
        <v>436.886</v>
      </c>
      <c r="I33" s="22">
        <f t="shared" si="21"/>
        <v>450.232</v>
      </c>
      <c r="J33" s="22">
        <f t="shared" si="21"/>
        <v>421.419</v>
      </c>
      <c r="K33" s="22">
        <f t="shared" si="21"/>
        <v>439.18</v>
      </c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ht="12.75" customHeight="1">
      <c r="A34" s="18"/>
      <c r="B34" s="18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ht="12.75" customHeight="1">
      <c r="A35" s="18"/>
      <c r="B35" s="19" t="s">
        <v>70</v>
      </c>
      <c r="C35" s="22"/>
      <c r="D35" s="22"/>
      <c r="E35" s="22"/>
      <c r="F35" s="23">
        <v>88.641</v>
      </c>
      <c r="G35" s="23">
        <v>90.876</v>
      </c>
      <c r="H35" s="23">
        <v>85.448</v>
      </c>
      <c r="I35" s="23">
        <v>72.531</v>
      </c>
      <c r="J35" s="23">
        <v>64.958</v>
      </c>
      <c r="K35" s="23">
        <v>79.702</v>
      </c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ht="12.75" customHeight="1">
      <c r="A36" s="18"/>
      <c r="B36" s="19" t="s">
        <v>71</v>
      </c>
      <c r="C36" s="22"/>
      <c r="D36" s="22"/>
      <c r="E36" s="22"/>
      <c r="F36" s="23">
        <v>41.717</v>
      </c>
      <c r="G36" s="23">
        <v>38.253</v>
      </c>
      <c r="H36" s="23">
        <v>35.353</v>
      </c>
      <c r="I36" s="23">
        <v>36.96</v>
      </c>
      <c r="J36" s="23">
        <v>37.101</v>
      </c>
      <c r="K36" s="23">
        <v>34.59</v>
      </c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ht="12.75" customHeight="1">
      <c r="A37" s="18"/>
      <c r="B37" s="19" t="s">
        <v>72</v>
      </c>
      <c r="C37" s="22"/>
      <c r="D37" s="22"/>
      <c r="E37" s="22"/>
      <c r="F37" s="23">
        <v>0.326</v>
      </c>
      <c r="G37" s="23">
        <v>0.326</v>
      </c>
      <c r="H37" s="23">
        <v>0.326</v>
      </c>
      <c r="I37" s="23">
        <v>0.326</v>
      </c>
      <c r="J37" s="23">
        <v>0.326</v>
      </c>
      <c r="K37" s="23">
        <v>1.8238</v>
      </c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ht="12.75" customHeight="1">
      <c r="A38" s="18"/>
      <c r="B38" s="19" t="s">
        <v>73</v>
      </c>
      <c r="C38" s="22"/>
      <c r="D38" s="22"/>
      <c r="E38" s="22"/>
      <c r="F38" s="23"/>
      <c r="G38" s="23">
        <v>0.545</v>
      </c>
      <c r="H38" s="23">
        <v>0.343</v>
      </c>
      <c r="I38" s="23"/>
      <c r="J38" s="23"/>
      <c r="K38" s="23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ht="12.75" customHeight="1">
      <c r="A39" s="18"/>
      <c r="B39" s="19" t="s">
        <v>74</v>
      </c>
      <c r="C39" s="22"/>
      <c r="D39" s="22"/>
      <c r="E39" s="22"/>
      <c r="F39" s="23">
        <v>57.555</v>
      </c>
      <c r="G39" s="23">
        <v>52.524</v>
      </c>
      <c r="H39" s="23">
        <v>53.877</v>
      </c>
      <c r="I39" s="23">
        <v>42.262</v>
      </c>
      <c r="J39" s="23">
        <v>53.507</v>
      </c>
      <c r="K39" s="23">
        <v>52.088</v>
      </c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ht="12.75" customHeight="1">
      <c r="A40" s="18"/>
      <c r="B40" s="19" t="s">
        <v>75</v>
      </c>
      <c r="C40" s="22"/>
      <c r="D40" s="22"/>
      <c r="E40" s="22"/>
      <c r="F40" s="23">
        <v>13.485</v>
      </c>
      <c r="G40" s="23">
        <v>13.293</v>
      </c>
      <c r="H40" s="23">
        <v>13.34</v>
      </c>
      <c r="I40" s="23">
        <v>12.782</v>
      </c>
      <c r="J40" s="23">
        <v>11.272</v>
      </c>
      <c r="K40" s="23">
        <v>11.318</v>
      </c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ht="12.75" customHeight="1">
      <c r="A41" s="18"/>
      <c r="B41" s="19" t="s">
        <v>76</v>
      </c>
      <c r="C41" s="22"/>
      <c r="D41" s="22"/>
      <c r="E41" s="22"/>
      <c r="F41" s="23">
        <v>88.341</v>
      </c>
      <c r="G41" s="23">
        <v>80.072</v>
      </c>
      <c r="H41" s="23">
        <v>76.018</v>
      </c>
      <c r="I41" s="23">
        <v>117.719</v>
      </c>
      <c r="J41" s="23">
        <v>96.941</v>
      </c>
      <c r="K41" s="23">
        <v>92.939</v>
      </c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ht="12.75" customHeight="1">
      <c r="A42" s="18"/>
      <c r="B42" s="19" t="s">
        <v>77</v>
      </c>
      <c r="C42" s="22"/>
      <c r="D42" s="22"/>
      <c r="E42" s="22"/>
      <c r="F42" s="23">
        <v>162.296</v>
      </c>
      <c r="G42" s="23">
        <v>164.917</v>
      </c>
      <c r="H42" s="23">
        <v>172.181</v>
      </c>
      <c r="I42" s="23">
        <v>167.644</v>
      </c>
      <c r="J42" s="23">
        <v>157.314</v>
      </c>
      <c r="K42" s="23">
        <v>166.705</v>
      </c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ht="12.75" customHeight="1">
      <c r="A43" s="18"/>
      <c r="B43" s="19" t="s">
        <v>78</v>
      </c>
      <c r="C43" s="22"/>
      <c r="D43" s="22"/>
      <c r="E43" s="22"/>
      <c r="F43" s="22">
        <f t="shared" ref="F43:K43" si="22">sum(F35:F42)</f>
        <v>452.361</v>
      </c>
      <c r="G43" s="22">
        <f t="shared" si="22"/>
        <v>440.806</v>
      </c>
      <c r="H43" s="22">
        <f t="shared" si="22"/>
        <v>436.886</v>
      </c>
      <c r="I43" s="22">
        <f t="shared" si="22"/>
        <v>450.224</v>
      </c>
      <c r="J43" s="22">
        <f t="shared" si="22"/>
        <v>421.419</v>
      </c>
      <c r="K43" s="22">
        <f t="shared" si="22"/>
        <v>439.1658</v>
      </c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ht="12.75" customHeight="1">
      <c r="A44" s="18"/>
      <c r="B44" s="18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ht="12.75" customHeight="1">
      <c r="A45" s="18"/>
      <c r="B45" s="19" t="s">
        <v>79</v>
      </c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ht="12.75" customHeight="1">
      <c r="A46" s="18"/>
      <c r="B46" s="19" t="s">
        <v>80</v>
      </c>
      <c r="C46" s="22"/>
      <c r="D46" s="22"/>
      <c r="E46" s="22"/>
      <c r="F46" s="22">
        <f t="shared" ref="F46:K46" si="23">sum(F24:F26)</f>
        <v>80.501</v>
      </c>
      <c r="G46" s="22">
        <f t="shared" si="23"/>
        <v>82.63</v>
      </c>
      <c r="H46" s="22">
        <f t="shared" si="23"/>
        <v>93.45</v>
      </c>
      <c r="I46" s="22">
        <f t="shared" si="23"/>
        <v>81.648</v>
      </c>
      <c r="J46" s="22">
        <f t="shared" si="23"/>
        <v>76.322</v>
      </c>
      <c r="K46" s="22">
        <f t="shared" si="23"/>
        <v>83.645</v>
      </c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ht="12.75" customHeight="1">
      <c r="A47" s="18"/>
      <c r="B47" s="18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ht="12.75" customHeight="1">
      <c r="A48" s="18"/>
      <c r="B48" s="19" t="s">
        <v>81</v>
      </c>
      <c r="C48" s="22">
        <f t="shared" ref="C48:K48" si="24">C14</f>
        <v>13.014</v>
      </c>
      <c r="D48" s="22">
        <f t="shared" si="24"/>
        <v>2.424</v>
      </c>
      <c r="E48" s="22">
        <f t="shared" si="24"/>
        <v>-12.337</v>
      </c>
      <c r="F48" s="22">
        <f t="shared" si="24"/>
        <v>-11.341</v>
      </c>
      <c r="G48" s="22">
        <f t="shared" si="24"/>
        <v>5.873</v>
      </c>
      <c r="H48" s="22">
        <f t="shared" si="24"/>
        <v>9.357</v>
      </c>
      <c r="I48" s="22">
        <f t="shared" si="24"/>
        <v>-2.745</v>
      </c>
      <c r="J48" s="22">
        <f t="shared" si="24"/>
        <v>-8.448</v>
      </c>
      <c r="K48" s="22">
        <f t="shared" si="24"/>
        <v>11.545</v>
      </c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ht="12.75" customHeight="1">
      <c r="A49" s="18"/>
      <c r="B49" s="19" t="s">
        <v>51</v>
      </c>
      <c r="C49" s="22"/>
      <c r="D49" s="22"/>
      <c r="E49" s="22"/>
      <c r="F49" s="22"/>
      <c r="G49" s="23">
        <v>3.309</v>
      </c>
      <c r="H49" s="22"/>
      <c r="I49" s="22"/>
      <c r="J49" s="22"/>
      <c r="K49" s="23">
        <v>9.309</v>
      </c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ht="12.75" customHeight="1">
      <c r="A50" s="18"/>
      <c r="B50" s="19" t="s">
        <v>82</v>
      </c>
      <c r="C50" s="22"/>
      <c r="D50" s="22"/>
      <c r="E50" s="22"/>
      <c r="F50" s="22"/>
      <c r="G50" s="23">
        <v>2.564</v>
      </c>
      <c r="H50" s="22"/>
      <c r="I50" s="22"/>
      <c r="J50" s="22"/>
      <c r="K50" s="23">
        <v>2.236</v>
      </c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ht="12.75" customHeight="1">
      <c r="A51" s="18"/>
      <c r="B51" s="19" t="s">
        <v>83</v>
      </c>
      <c r="C51" s="22"/>
      <c r="D51" s="22"/>
      <c r="E51" s="22"/>
      <c r="F51" s="22"/>
      <c r="G51" s="23">
        <v>0.215</v>
      </c>
      <c r="H51" s="22"/>
      <c r="I51" s="22"/>
      <c r="J51" s="22"/>
      <c r="K51" s="23">
        <v>0.207</v>
      </c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ht="12.75" customHeight="1">
      <c r="A52" s="18"/>
      <c r="B52" s="19" t="s">
        <v>84</v>
      </c>
      <c r="C52" s="22"/>
      <c r="D52" s="22"/>
      <c r="E52" s="22"/>
      <c r="F52" s="22"/>
      <c r="G52" s="23">
        <v>-0.081</v>
      </c>
      <c r="H52" s="22"/>
      <c r="I52" s="22"/>
      <c r="J52" s="22"/>
      <c r="K52" s="23">
        <v>-0.098</v>
      </c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ht="12.75" customHeight="1">
      <c r="A53" s="18"/>
      <c r="B53" s="19" t="s">
        <v>85</v>
      </c>
      <c r="C53" s="22"/>
      <c r="D53" s="22"/>
      <c r="E53" s="22"/>
      <c r="F53" s="22"/>
      <c r="G53" s="23">
        <v>-0.034</v>
      </c>
      <c r="H53" s="22"/>
      <c r="I53" s="22"/>
      <c r="J53" s="22"/>
      <c r="K53" s="23">
        <v>0.0</v>
      </c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ht="12.75" customHeight="1">
      <c r="A54" s="18"/>
      <c r="B54" s="19" t="s">
        <v>86</v>
      </c>
      <c r="C54" s="22"/>
      <c r="D54" s="22"/>
      <c r="E54" s="22"/>
      <c r="F54" s="22"/>
      <c r="G54" s="23">
        <v>0.193</v>
      </c>
      <c r="H54" s="22"/>
      <c r="I54" s="22"/>
      <c r="J54" s="22"/>
      <c r="K54" s="23">
        <v>0.578</v>
      </c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ht="12.75" customHeight="1">
      <c r="A55" s="18"/>
      <c r="B55" s="19" t="s">
        <v>87</v>
      </c>
      <c r="C55" s="22"/>
      <c r="D55" s="22"/>
      <c r="E55" s="22"/>
      <c r="F55" s="22"/>
      <c r="G55" s="23">
        <v>-0.03</v>
      </c>
      <c r="H55" s="22"/>
      <c r="I55" s="22"/>
      <c r="J55" s="22"/>
      <c r="K55" s="23">
        <v>-0.002</v>
      </c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ht="12.75" customHeight="1">
      <c r="A56" s="18"/>
      <c r="B56" s="19" t="s">
        <v>63</v>
      </c>
      <c r="C56" s="22"/>
      <c r="D56" s="22"/>
      <c r="E56" s="22"/>
      <c r="F56" s="22"/>
      <c r="G56" s="23">
        <v>-2.505</v>
      </c>
      <c r="H56" s="22"/>
      <c r="I56" s="22"/>
      <c r="J56" s="22"/>
      <c r="K56" s="23">
        <v>-8.642</v>
      </c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ht="12.75" customHeight="1">
      <c r="A57" s="18"/>
      <c r="B57" s="19" t="s">
        <v>64</v>
      </c>
      <c r="C57" s="22"/>
      <c r="D57" s="22"/>
      <c r="E57" s="22"/>
      <c r="F57" s="22"/>
      <c r="G57" s="23">
        <v>1.309</v>
      </c>
      <c r="H57" s="22"/>
      <c r="I57" s="22"/>
      <c r="J57" s="22"/>
      <c r="K57" s="23">
        <v>-8.794</v>
      </c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ht="12.75" customHeight="1">
      <c r="A58" s="18"/>
      <c r="B58" s="19" t="s">
        <v>88</v>
      </c>
      <c r="C58" s="22"/>
      <c r="D58" s="22"/>
      <c r="E58" s="22"/>
      <c r="F58" s="22"/>
      <c r="G58" s="23">
        <v>-0.038</v>
      </c>
      <c r="H58" s="22"/>
      <c r="I58" s="22"/>
      <c r="J58" s="22"/>
      <c r="K58" s="23">
        <v>-0.39</v>
      </c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ht="12.75" customHeight="1">
      <c r="A59" s="18"/>
      <c r="B59" s="19" t="s">
        <v>89</v>
      </c>
      <c r="C59" s="22"/>
      <c r="D59" s="22"/>
      <c r="E59" s="22"/>
      <c r="F59" s="22"/>
      <c r="G59" s="23">
        <v>-0.156</v>
      </c>
      <c r="H59" s="22"/>
      <c r="I59" s="22"/>
      <c r="J59" s="22"/>
      <c r="K59" s="23">
        <v>-0.221</v>
      </c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ht="12.75" customHeight="1">
      <c r="A60" s="18"/>
      <c r="B60" s="19" t="s">
        <v>90</v>
      </c>
      <c r="C60" s="22"/>
      <c r="D60" s="22"/>
      <c r="E60" s="22"/>
      <c r="F60" s="22"/>
      <c r="G60" s="23">
        <v>-0.878</v>
      </c>
      <c r="H60" s="22"/>
      <c r="I60" s="22"/>
      <c r="J60" s="22"/>
      <c r="K60" s="23">
        <v>13.866</v>
      </c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ht="12.75" customHeight="1">
      <c r="A61" s="18"/>
      <c r="B61" s="19" t="s">
        <v>91</v>
      </c>
      <c r="C61" s="23">
        <v>5.706</v>
      </c>
      <c r="D61" s="22">
        <f>8.836-C61</f>
        <v>3.13</v>
      </c>
      <c r="E61" s="22">
        <f>-13.266-D61-C61</f>
        <v>-22.102</v>
      </c>
      <c r="F61" s="22">
        <f>0.477-sum(C61:E61)</f>
        <v>13.743</v>
      </c>
      <c r="G61" s="22">
        <f>sum(G49:G60)</f>
        <v>3.868</v>
      </c>
      <c r="H61" s="22">
        <f>15.64-G61</f>
        <v>11.772</v>
      </c>
      <c r="I61" s="22">
        <f>3.245-H61-G61</f>
        <v>-12.395</v>
      </c>
      <c r="J61" s="22">
        <f>-19.745-sum(G61:I61)</f>
        <v>-22.99</v>
      </c>
      <c r="K61" s="22">
        <f>sum(K49:K60)</f>
        <v>8.049</v>
      </c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ht="12.75" customHeight="1">
      <c r="A62" s="18"/>
      <c r="B62" s="18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ht="12.75" customHeight="1">
      <c r="A63" s="18"/>
      <c r="B63" s="19" t="s">
        <v>92</v>
      </c>
      <c r="C63" s="23">
        <v>-3.261</v>
      </c>
      <c r="D63" s="22">
        <f>8.836-C63</f>
        <v>12.097</v>
      </c>
      <c r="E63" s="22">
        <f>-13.266-D63-C63</f>
        <v>-22.102</v>
      </c>
      <c r="F63" s="22">
        <f>-12.532-E63-D63-C63</f>
        <v>0.734</v>
      </c>
      <c r="G63" s="23">
        <v>-1.019</v>
      </c>
      <c r="H63" s="22">
        <f>15.64-G63</f>
        <v>16.659</v>
      </c>
      <c r="I63" s="22">
        <f>3.245-H63-G63</f>
        <v>-12.395</v>
      </c>
      <c r="J63" s="22">
        <f>-7.872-I63-H63-G63</f>
        <v>-11.117</v>
      </c>
      <c r="K63" s="23">
        <v>-1.067</v>
      </c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ht="12.75" customHeight="1">
      <c r="A64" s="18"/>
      <c r="B64" s="19" t="s">
        <v>93</v>
      </c>
      <c r="C64" s="22"/>
      <c r="D64" s="22"/>
      <c r="E64" s="22"/>
      <c r="F64" s="22"/>
      <c r="G64" s="23">
        <v>-2.262</v>
      </c>
      <c r="H64" s="22"/>
      <c r="I64" s="22"/>
      <c r="J64" s="22"/>
      <c r="K64" s="23">
        <v>-6.836</v>
      </c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ht="12.75" customHeight="1">
      <c r="A65" s="18"/>
      <c r="B65" s="19" t="s">
        <v>94</v>
      </c>
      <c r="C65" s="22"/>
      <c r="D65" s="22"/>
      <c r="E65" s="22"/>
      <c r="F65" s="22"/>
      <c r="G65" s="23">
        <v>11.195</v>
      </c>
      <c r="H65" s="22"/>
      <c r="I65" s="22"/>
      <c r="J65" s="22"/>
      <c r="K65" s="23">
        <v>7.974</v>
      </c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ht="12.75" customHeight="1">
      <c r="A66" s="18"/>
      <c r="B66" s="19" t="s">
        <v>95</v>
      </c>
      <c r="C66" s="22"/>
      <c r="D66" s="22"/>
      <c r="E66" s="22"/>
      <c r="F66" s="22"/>
      <c r="G66" s="23">
        <v>0.034</v>
      </c>
      <c r="H66" s="22"/>
      <c r="I66" s="22"/>
      <c r="J66" s="22"/>
      <c r="K66" s="23">
        <v>0.0</v>
      </c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ht="12.75" customHeight="1">
      <c r="A67" s="18"/>
      <c r="B67" s="19" t="s">
        <v>96</v>
      </c>
      <c r="C67" s="22"/>
      <c r="D67" s="22"/>
      <c r="E67" s="22"/>
      <c r="F67" s="22"/>
      <c r="G67" s="23">
        <v>0.0</v>
      </c>
      <c r="H67" s="22"/>
      <c r="I67" s="22"/>
      <c r="J67" s="22"/>
      <c r="K67" s="23">
        <v>0.738</v>
      </c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ht="12.75" customHeight="1">
      <c r="A68" s="18"/>
      <c r="B68" s="19" t="s">
        <v>97</v>
      </c>
      <c r="C68" s="23">
        <v>14.614</v>
      </c>
      <c r="D68" s="22">
        <f>6.673-C68</f>
        <v>-7.941</v>
      </c>
      <c r="E68" s="22">
        <f>21.5-D68-C68</f>
        <v>14.827</v>
      </c>
      <c r="F68" s="22">
        <f>19.776-sum(C68:E68)</f>
        <v>-1.724</v>
      </c>
      <c r="G68" s="1">
        <f>sum(G63:G67)</f>
        <v>7.948</v>
      </c>
      <c r="H68" s="22">
        <f>-0.885-G68</f>
        <v>-8.833</v>
      </c>
      <c r="I68" s="22">
        <f>-0.028-H68-G68</f>
        <v>0.857</v>
      </c>
      <c r="J68" s="22">
        <f>28.965-sum(G68:I68)</f>
        <v>28.993</v>
      </c>
      <c r="K68" s="1">
        <f>sum(K63:K67)</f>
        <v>0.809</v>
      </c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ht="12.75" customHeight="1">
      <c r="A69" s="18"/>
      <c r="B69" s="18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ht="12.75" customHeight="1">
      <c r="A70" s="18"/>
      <c r="B70" s="19" t="s">
        <v>98</v>
      </c>
      <c r="C70" s="22"/>
      <c r="D70" s="22"/>
      <c r="E70" s="22"/>
      <c r="F70" s="22"/>
      <c r="G70" s="23">
        <v>-0.935</v>
      </c>
      <c r="H70" s="22"/>
      <c r="I70" s="22"/>
      <c r="J70" s="22"/>
      <c r="K70" s="23">
        <v>-0.311</v>
      </c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ht="12.75" customHeight="1">
      <c r="A71" s="18"/>
      <c r="B71" s="19" t="s">
        <v>99</v>
      </c>
      <c r="C71" s="22"/>
      <c r="D71" s="22"/>
      <c r="E71" s="22"/>
      <c r="F71" s="22"/>
      <c r="G71" s="23">
        <v>0.062</v>
      </c>
      <c r="H71" s="22"/>
      <c r="I71" s="22"/>
      <c r="J71" s="22"/>
      <c r="K71" s="23">
        <v>-0.077</v>
      </c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ht="12.75" customHeight="1">
      <c r="A72" s="18"/>
      <c r="B72" s="19" t="s">
        <v>100</v>
      </c>
      <c r="C72" s="23">
        <v>-5.599</v>
      </c>
      <c r="D72" s="22">
        <f>-9.096-C72</f>
        <v>-3.497</v>
      </c>
      <c r="E72" s="22">
        <f>-12.576-D72-C72</f>
        <v>-3.48</v>
      </c>
      <c r="F72" s="22">
        <f>-16.132-sum(C72:E72)</f>
        <v>-3.556</v>
      </c>
      <c r="G72" s="22">
        <f>sum(G70:G71)</f>
        <v>-0.873</v>
      </c>
      <c r="H72" s="22">
        <f>-0.933-G72</f>
        <v>-0.06</v>
      </c>
      <c r="I72" s="22">
        <f>-0.851-H72-G72</f>
        <v>0.082</v>
      </c>
      <c r="J72" s="22">
        <f>-14.055-sum(G72:I72)</f>
        <v>-13.204</v>
      </c>
      <c r="K72" s="22">
        <f>sum(K70:K71)</f>
        <v>-0.388</v>
      </c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ht="12.75" customHeight="1">
      <c r="A73" s="18"/>
      <c r="B73" s="18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ht="12.75" customHeight="1">
      <c r="A74" s="18"/>
      <c r="B74" s="19" t="s">
        <v>101</v>
      </c>
      <c r="C74" s="22">
        <f t="shared" ref="C74:K74" si="25">sum(C61,C68,C72)</f>
        <v>14.721</v>
      </c>
      <c r="D74" s="22">
        <f t="shared" si="25"/>
        <v>-8.308</v>
      </c>
      <c r="E74" s="22">
        <f t="shared" si="25"/>
        <v>-10.755</v>
      </c>
      <c r="F74" s="22">
        <f t="shared" si="25"/>
        <v>8.463</v>
      </c>
      <c r="G74" s="22">
        <f t="shared" si="25"/>
        <v>10.943</v>
      </c>
      <c r="H74" s="22">
        <f t="shared" si="25"/>
        <v>2.879</v>
      </c>
      <c r="I74" s="22">
        <f t="shared" si="25"/>
        <v>-11.456</v>
      </c>
      <c r="J74" s="22">
        <f t="shared" si="25"/>
        <v>-7.201</v>
      </c>
      <c r="K74" s="22">
        <f t="shared" si="25"/>
        <v>8.47</v>
      </c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ht="12.75" customHeight="1">
      <c r="A75" s="18"/>
      <c r="B75" s="18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ht="12.75" customHeight="1">
      <c r="A76" s="18"/>
      <c r="B76" s="18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ht="12.75" customHeight="1">
      <c r="A77" s="18"/>
      <c r="B77" s="19" t="s">
        <v>102</v>
      </c>
      <c r="C77" s="22">
        <f t="shared" ref="C77:K77" si="26">C61+C63</f>
        <v>2.445</v>
      </c>
      <c r="D77" s="22">
        <f t="shared" si="26"/>
        <v>15.227</v>
      </c>
      <c r="E77" s="22">
        <f t="shared" si="26"/>
        <v>-44.204</v>
      </c>
      <c r="F77" s="22">
        <f t="shared" si="26"/>
        <v>14.477</v>
      </c>
      <c r="G77" s="22">
        <f t="shared" si="26"/>
        <v>2.849</v>
      </c>
      <c r="H77" s="22">
        <f t="shared" si="26"/>
        <v>28.431</v>
      </c>
      <c r="I77" s="22">
        <f t="shared" si="26"/>
        <v>-24.79</v>
      </c>
      <c r="J77" s="22">
        <f t="shared" si="26"/>
        <v>-34.107</v>
      </c>
      <c r="K77" s="22">
        <f t="shared" si="26"/>
        <v>6.982</v>
      </c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ht="12.75" customHeight="1">
      <c r="A78" s="18"/>
      <c r="B78" s="19" t="s">
        <v>103</v>
      </c>
      <c r="C78" s="22"/>
      <c r="D78" s="22"/>
      <c r="E78" s="22"/>
      <c r="F78" s="22">
        <f t="shared" ref="F78:K78" si="27">SUM(C77:F77)</f>
        <v>-12.055</v>
      </c>
      <c r="G78" s="22">
        <f t="shared" si="27"/>
        <v>-11.651</v>
      </c>
      <c r="H78" s="22">
        <f t="shared" si="27"/>
        <v>1.553</v>
      </c>
      <c r="I78" s="22">
        <f t="shared" si="27"/>
        <v>20.967</v>
      </c>
      <c r="J78" s="22">
        <f t="shared" si="27"/>
        <v>-27.617</v>
      </c>
      <c r="K78" s="22">
        <f t="shared" si="27"/>
        <v>-23.484</v>
      </c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ht="12.75" customHeight="1">
      <c r="A79" s="18"/>
      <c r="B79" s="18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ht="12.75" customHeight="1">
      <c r="A80" s="18"/>
      <c r="B80" s="18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ht="12.75" customHeight="1">
      <c r="A81" s="18"/>
      <c r="B81" s="18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ht="12.75" customHeight="1">
      <c r="A82" s="18"/>
      <c r="B82" s="18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ht="12.75" customHeight="1">
      <c r="A83" s="18"/>
      <c r="B83" s="18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ht="12.75" customHeight="1">
      <c r="A84" s="18"/>
      <c r="B84" s="18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ht="12.75" customHeight="1">
      <c r="A85" s="18"/>
      <c r="B85" s="18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ht="12.75" customHeight="1">
      <c r="A86" s="18"/>
      <c r="B86" s="18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ht="12.75" customHeight="1">
      <c r="A87" s="18"/>
      <c r="B87" s="18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ht="12.75" customHeight="1">
      <c r="A88" s="18"/>
      <c r="B88" s="18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ht="12.75" customHeight="1">
      <c r="A89" s="18"/>
      <c r="B89" s="18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ht="12.75" customHeight="1">
      <c r="A90" s="18"/>
      <c r="B90" s="18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ht="12.75" customHeight="1">
      <c r="A91" s="18"/>
      <c r="B91" s="18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ht="12.75" customHeight="1">
      <c r="A92" s="18"/>
      <c r="B92" s="18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ht="12.75" customHeight="1">
      <c r="A93" s="18"/>
      <c r="B93" s="18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ht="12.75" customHeight="1">
      <c r="A94" s="18"/>
      <c r="B94" s="18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ht="12.75" customHeight="1">
      <c r="A95" s="18"/>
      <c r="B95" s="18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ht="12.75" customHeight="1">
      <c r="A96" s="18"/>
      <c r="B96" s="18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ht="12.75" customHeight="1">
      <c r="A97" s="18"/>
      <c r="B97" s="18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ht="12.75" customHeight="1">
      <c r="A98" s="18"/>
      <c r="B98" s="18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ht="12.75" customHeight="1">
      <c r="A99" s="18"/>
      <c r="B99" s="18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ht="12.75" customHeight="1">
      <c r="A100" s="18"/>
      <c r="B100" s="18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ht="12.75" customHeight="1">
      <c r="A101" s="18"/>
      <c r="B101" s="18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ht="12.75" customHeight="1">
      <c r="A102" s="18"/>
      <c r="B102" s="18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ht="12.75" customHeight="1">
      <c r="A103" s="18"/>
      <c r="B103" s="18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ht="12.75" customHeight="1">
      <c r="A104" s="18"/>
      <c r="B104" s="18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ht="12.75" customHeight="1">
      <c r="A105" s="18"/>
      <c r="B105" s="18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ht="12.75" customHeight="1">
      <c r="A106" s="18"/>
      <c r="B106" s="18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ht="12.75" customHeight="1">
      <c r="A107" s="18"/>
      <c r="B107" s="18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ht="12.75" customHeight="1">
      <c r="A108" s="18"/>
      <c r="B108" s="18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ht="12.75" customHeight="1">
      <c r="A109" s="18"/>
      <c r="B109" s="18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ht="12.75" customHeight="1">
      <c r="A110" s="18"/>
      <c r="B110" s="18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ht="12.75" customHeight="1">
      <c r="A111" s="18"/>
      <c r="B111" s="18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ht="12.75" customHeight="1">
      <c r="A112" s="18"/>
      <c r="B112" s="18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ht="12.75" customHeight="1">
      <c r="A113" s="18"/>
      <c r="B113" s="18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ht="12.75" customHeight="1">
      <c r="A114" s="18"/>
      <c r="B114" s="18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ht="12.75" customHeight="1">
      <c r="A115" s="18"/>
      <c r="B115" s="18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ht="12.75" customHeight="1">
      <c r="A116" s="18"/>
      <c r="B116" s="18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ht="12.75" customHeight="1">
      <c r="A117" s="18"/>
      <c r="B117" s="18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ht="12.75" customHeight="1">
      <c r="A118" s="18"/>
      <c r="B118" s="18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ht="12.75" customHeight="1">
      <c r="A119" s="18"/>
      <c r="B119" s="18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ht="12.75" customHeight="1">
      <c r="A120" s="18"/>
      <c r="B120" s="18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ht="12.75" customHeight="1">
      <c r="A121" s="18"/>
      <c r="B121" s="18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ht="12.75" customHeight="1">
      <c r="A122" s="18"/>
      <c r="B122" s="18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ht="12.75" customHeight="1">
      <c r="A123" s="18"/>
      <c r="B123" s="18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ht="12.75" customHeight="1">
      <c r="A124" s="18"/>
      <c r="B124" s="18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ht="12.75" customHeight="1">
      <c r="A125" s="18"/>
      <c r="B125" s="18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ht="12.75" customHeight="1">
      <c r="A126" s="18"/>
      <c r="B126" s="18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ht="12.75" customHeight="1">
      <c r="A127" s="18"/>
      <c r="B127" s="18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ht="12.75" customHeight="1">
      <c r="A128" s="18"/>
      <c r="B128" s="18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ht="12.75" customHeight="1">
      <c r="A129" s="18"/>
      <c r="B129" s="18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ht="12.75" customHeight="1">
      <c r="A130" s="18"/>
      <c r="B130" s="18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ht="12.75" customHeight="1">
      <c r="A131" s="18"/>
      <c r="B131" s="18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ht="12.75" customHeight="1">
      <c r="A132" s="18"/>
      <c r="B132" s="18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ht="12.75" customHeight="1">
      <c r="A133" s="18"/>
      <c r="B133" s="18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ht="12.75" customHeight="1">
      <c r="A134" s="18"/>
      <c r="B134" s="18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ht="12.75" customHeight="1">
      <c r="A135" s="18"/>
      <c r="B135" s="18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ht="12.75" customHeight="1">
      <c r="A136" s="18"/>
      <c r="B136" s="18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ht="12.75" customHeight="1">
      <c r="A137" s="18"/>
      <c r="B137" s="18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ht="12.75" customHeight="1">
      <c r="A138" s="18"/>
      <c r="B138" s="18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ht="12.75" customHeight="1">
      <c r="A139" s="18"/>
      <c r="B139" s="18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ht="12.75" customHeight="1">
      <c r="A140" s="18"/>
      <c r="B140" s="18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ht="12.75" customHeight="1">
      <c r="A141" s="18"/>
      <c r="B141" s="18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ht="12.75" customHeight="1">
      <c r="A142" s="18"/>
      <c r="B142" s="18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ht="12.75" customHeight="1">
      <c r="A143" s="18"/>
      <c r="B143" s="18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ht="12.75" customHeight="1">
      <c r="A144" s="18"/>
      <c r="B144" s="18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ht="12.75" customHeight="1">
      <c r="A145" s="18"/>
      <c r="B145" s="18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ht="12.75" customHeight="1">
      <c r="A146" s="18"/>
      <c r="B146" s="18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ht="12.75" customHeight="1">
      <c r="A147" s="18"/>
      <c r="B147" s="18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ht="12.75" customHeight="1">
      <c r="A148" s="18"/>
      <c r="B148" s="18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ht="12.75" customHeight="1">
      <c r="A149" s="18"/>
      <c r="B149" s="18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ht="12.75" customHeight="1">
      <c r="A150" s="18"/>
      <c r="B150" s="18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ht="12.75" customHeight="1">
      <c r="A151" s="18"/>
      <c r="B151" s="18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ht="12.75" customHeight="1">
      <c r="A152" s="18"/>
      <c r="B152" s="18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ht="12.75" customHeight="1">
      <c r="A153" s="18"/>
      <c r="B153" s="18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ht="12.75" customHeight="1">
      <c r="A154" s="18"/>
      <c r="B154" s="18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ht="12.75" customHeight="1">
      <c r="A155" s="18"/>
      <c r="B155" s="18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ht="12.75" customHeight="1">
      <c r="A156" s="18"/>
      <c r="B156" s="18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ht="12.75" customHeight="1">
      <c r="A157" s="18"/>
      <c r="B157" s="18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ht="12.75" customHeight="1">
      <c r="A158" s="18"/>
      <c r="B158" s="18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ht="12.75" customHeight="1">
      <c r="A159" s="18"/>
      <c r="B159" s="18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ht="12.75" customHeight="1">
      <c r="A160" s="18"/>
      <c r="B160" s="18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ht="12.75" customHeight="1">
      <c r="A161" s="18"/>
      <c r="B161" s="18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ht="12.75" customHeight="1">
      <c r="A162" s="18"/>
      <c r="B162" s="18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ht="12.75" customHeight="1">
      <c r="A163" s="18"/>
      <c r="B163" s="18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ht="12.75" customHeight="1">
      <c r="A164" s="18"/>
      <c r="B164" s="18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ht="12.75" customHeight="1">
      <c r="A165" s="18"/>
      <c r="B165" s="18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ht="12.75" customHeight="1">
      <c r="A166" s="18"/>
      <c r="B166" s="18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ht="12.75" customHeight="1">
      <c r="A167" s="18"/>
      <c r="B167" s="18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ht="12.75" customHeight="1">
      <c r="A168" s="18"/>
      <c r="B168" s="18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ht="12.75" customHeight="1">
      <c r="A169" s="18"/>
      <c r="B169" s="18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ht="12.75" customHeight="1">
      <c r="A170" s="18"/>
      <c r="B170" s="18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ht="12.75" customHeight="1">
      <c r="A171" s="18"/>
      <c r="B171" s="18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ht="12.75" customHeight="1">
      <c r="A172" s="18"/>
      <c r="B172" s="18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ht="12.75" customHeight="1">
      <c r="A173" s="18"/>
      <c r="B173" s="18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ht="12.75" customHeight="1">
      <c r="A174" s="18"/>
      <c r="B174" s="18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ht="12.75" customHeight="1">
      <c r="A175" s="18"/>
      <c r="B175" s="18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ht="12.75" customHeight="1">
      <c r="A176" s="18"/>
      <c r="B176" s="18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ht="12.75" customHeight="1">
      <c r="A177" s="18"/>
      <c r="B177" s="18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ht="12.75" customHeight="1">
      <c r="A178" s="18"/>
      <c r="B178" s="18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ht="12.75" customHeight="1">
      <c r="A179" s="18"/>
      <c r="B179" s="18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ht="12.75" customHeight="1">
      <c r="A180" s="18"/>
      <c r="B180" s="18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ht="12.75" customHeight="1">
      <c r="A181" s="18"/>
      <c r="B181" s="18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ht="12.75" customHeight="1">
      <c r="A182" s="18"/>
      <c r="B182" s="18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ht="12.75" customHeight="1">
      <c r="A183" s="18"/>
      <c r="B183" s="18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ht="12.75" customHeight="1">
      <c r="A184" s="18"/>
      <c r="B184" s="18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ht="12.75" customHeight="1">
      <c r="A185" s="18"/>
      <c r="B185" s="18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ht="12.75" customHeight="1">
      <c r="A186" s="18"/>
      <c r="B186" s="18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ht="12.75" customHeight="1">
      <c r="A187" s="18"/>
      <c r="B187" s="18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ht="12.75" customHeight="1">
      <c r="A188" s="18"/>
      <c r="B188" s="18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ht="12.75" customHeight="1">
      <c r="A189" s="18"/>
      <c r="B189" s="18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ht="12.75" customHeight="1">
      <c r="A190" s="18"/>
      <c r="B190" s="18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ht="12.75" customHeight="1">
      <c r="A191" s="18"/>
      <c r="B191" s="18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ht="12.75" customHeight="1">
      <c r="A192" s="18"/>
      <c r="B192" s="18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ht="12.75" customHeight="1">
      <c r="A193" s="18"/>
      <c r="B193" s="18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ht="12.75" customHeight="1">
      <c r="A194" s="18"/>
      <c r="B194" s="18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ht="12.75" customHeight="1">
      <c r="A195" s="18"/>
      <c r="B195" s="18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ht="12.75" customHeight="1">
      <c r="A196" s="18"/>
      <c r="B196" s="18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ht="12.75" customHeight="1">
      <c r="A197" s="18"/>
      <c r="B197" s="18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ht="12.75" customHeight="1">
      <c r="A198" s="18"/>
      <c r="B198" s="18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ht="12.75" customHeight="1">
      <c r="A199" s="18"/>
      <c r="B199" s="18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ht="12.75" customHeight="1">
      <c r="A200" s="18"/>
      <c r="B200" s="18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ht="12.75" customHeight="1">
      <c r="A201" s="18"/>
      <c r="B201" s="18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ht="12.75" customHeight="1">
      <c r="A202" s="18"/>
      <c r="B202" s="18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ht="12.75" customHeight="1">
      <c r="A203" s="18"/>
      <c r="B203" s="18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ht="12.75" customHeight="1">
      <c r="A204" s="18"/>
      <c r="B204" s="18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ht="12.75" customHeight="1">
      <c r="A205" s="18"/>
      <c r="B205" s="18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ht="12.75" customHeight="1">
      <c r="A206" s="18"/>
      <c r="B206" s="18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ht="12.75" customHeight="1">
      <c r="A207" s="18"/>
      <c r="B207" s="18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ht="12.75" customHeight="1">
      <c r="A208" s="18"/>
      <c r="B208" s="18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ht="12.75" customHeight="1">
      <c r="A209" s="18"/>
      <c r="B209" s="18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ht="12.75" customHeight="1">
      <c r="A210" s="18"/>
      <c r="B210" s="18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ht="12.75" customHeight="1">
      <c r="A211" s="18"/>
      <c r="B211" s="18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ht="12.75" customHeight="1">
      <c r="A212" s="18"/>
      <c r="B212" s="18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ht="12.75" customHeight="1">
      <c r="A213" s="18"/>
      <c r="B213" s="18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ht="12.75" customHeight="1">
      <c r="A214" s="18"/>
      <c r="B214" s="18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ht="12.75" customHeight="1">
      <c r="A215" s="18"/>
      <c r="B215" s="18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ht="12.75" customHeight="1">
      <c r="A216" s="18"/>
      <c r="B216" s="18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ht="12.75" customHeight="1">
      <c r="A217" s="18"/>
      <c r="B217" s="18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ht="12.75" customHeight="1">
      <c r="A218" s="18"/>
      <c r="B218" s="18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ht="12.75" customHeight="1">
      <c r="A219" s="18"/>
      <c r="B219" s="18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ht="12.75" customHeight="1">
      <c r="A220" s="18"/>
      <c r="B220" s="18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ht="12.75" customHeight="1">
      <c r="A221" s="18"/>
      <c r="B221" s="18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 ht="12.75" customHeight="1">
      <c r="A222" s="18"/>
      <c r="B222" s="18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 ht="12.75" customHeight="1">
      <c r="A223" s="18"/>
      <c r="B223" s="18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 ht="12.75" customHeight="1">
      <c r="A224" s="18"/>
      <c r="B224" s="18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 ht="12.75" customHeight="1">
      <c r="A225" s="18"/>
      <c r="B225" s="18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 ht="12.75" customHeight="1">
      <c r="A226" s="18"/>
      <c r="B226" s="18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 ht="12.75" customHeight="1">
      <c r="A227" s="18"/>
      <c r="B227" s="18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 ht="12.75" customHeight="1">
      <c r="A228" s="18"/>
      <c r="B228" s="18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 ht="12.75" customHeight="1">
      <c r="A229" s="18"/>
      <c r="B229" s="18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 ht="12.75" customHeight="1">
      <c r="A230" s="18"/>
      <c r="B230" s="18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 ht="12.75" customHeight="1">
      <c r="A231" s="18"/>
      <c r="B231" s="18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 ht="12.75" customHeight="1">
      <c r="A232" s="18"/>
      <c r="B232" s="18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 ht="12.75" customHeight="1">
      <c r="A233" s="18"/>
      <c r="B233" s="18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 ht="12.75" customHeight="1">
      <c r="A234" s="18"/>
      <c r="B234" s="18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 ht="12.75" customHeight="1">
      <c r="A235" s="18"/>
      <c r="B235" s="18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 ht="12.75" customHeight="1">
      <c r="A236" s="18"/>
      <c r="B236" s="18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 ht="12.75" customHeight="1">
      <c r="A237" s="18"/>
      <c r="B237" s="18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 ht="12.75" customHeight="1">
      <c r="A238" s="18"/>
      <c r="B238" s="18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 ht="12.75" customHeight="1">
      <c r="A239" s="18"/>
      <c r="B239" s="18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 ht="12.75" customHeight="1">
      <c r="A240" s="18"/>
      <c r="B240" s="18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 ht="12.75" customHeight="1">
      <c r="A241" s="18"/>
      <c r="B241" s="18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 ht="12.75" customHeight="1">
      <c r="A242" s="18"/>
      <c r="B242" s="18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 ht="12.75" customHeight="1">
      <c r="A243" s="18"/>
      <c r="B243" s="18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 ht="12.75" customHeight="1">
      <c r="A244" s="18"/>
      <c r="B244" s="18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 ht="12.75" customHeight="1">
      <c r="A245" s="18"/>
      <c r="B245" s="18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 ht="12.75" customHeight="1">
      <c r="A246" s="18"/>
      <c r="B246" s="18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 ht="12.75" customHeight="1">
      <c r="A247" s="18"/>
      <c r="B247" s="18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 ht="12.75" customHeight="1">
      <c r="A248" s="18"/>
      <c r="B248" s="18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 ht="12.75" customHeight="1">
      <c r="A249" s="18"/>
      <c r="B249" s="18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 ht="12.75" customHeight="1">
      <c r="A250" s="18"/>
      <c r="B250" s="18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 ht="12.75" customHeight="1">
      <c r="A251" s="18"/>
      <c r="B251" s="18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 ht="12.75" customHeight="1">
      <c r="A252" s="18"/>
      <c r="B252" s="18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 ht="12.75" customHeight="1">
      <c r="A253" s="18"/>
      <c r="B253" s="18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 ht="12.75" customHeight="1">
      <c r="A254" s="18"/>
      <c r="B254" s="18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 ht="12.75" customHeight="1">
      <c r="A255" s="18"/>
      <c r="B255" s="18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 ht="12.75" customHeight="1">
      <c r="A256" s="18"/>
      <c r="B256" s="18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 ht="12.75" customHeight="1">
      <c r="A257" s="18"/>
      <c r="B257" s="18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 ht="12.75" customHeight="1">
      <c r="A258" s="18"/>
      <c r="B258" s="18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 ht="12.75" customHeight="1">
      <c r="A259" s="18"/>
      <c r="B259" s="18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 ht="12.75" customHeight="1">
      <c r="A260" s="18"/>
      <c r="B260" s="18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 ht="12.75" customHeight="1">
      <c r="A261" s="18"/>
      <c r="B261" s="18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 ht="12.75" customHeight="1">
      <c r="A262" s="18"/>
      <c r="B262" s="18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 ht="12.75" customHeight="1">
      <c r="A263" s="18"/>
      <c r="B263" s="18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 ht="12.75" customHeight="1">
      <c r="A264" s="18"/>
      <c r="B264" s="18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 ht="12.75" customHeight="1">
      <c r="A265" s="18"/>
      <c r="B265" s="18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 ht="12.75" customHeight="1">
      <c r="A266" s="18"/>
      <c r="B266" s="18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 ht="12.75" customHeight="1">
      <c r="A267" s="18"/>
      <c r="B267" s="18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 ht="12.75" customHeight="1">
      <c r="A268" s="18"/>
      <c r="B268" s="18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 ht="12.75" customHeight="1">
      <c r="A269" s="18"/>
      <c r="B269" s="18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 ht="12.75" customHeight="1">
      <c r="A270" s="18"/>
      <c r="B270" s="18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 ht="12.75" customHeight="1">
      <c r="A271" s="18"/>
      <c r="B271" s="18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 ht="12.75" customHeight="1">
      <c r="A272" s="18"/>
      <c r="B272" s="18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 ht="12.75" customHeight="1">
      <c r="A273" s="18"/>
      <c r="B273" s="18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 ht="12.75" customHeight="1">
      <c r="A274" s="18"/>
      <c r="B274" s="18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 ht="12.75" customHeight="1">
      <c r="A275" s="18"/>
      <c r="B275" s="18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 ht="12.75" customHeight="1">
      <c r="A276" s="18"/>
      <c r="B276" s="18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 ht="12.75" customHeight="1">
      <c r="A277" s="18"/>
      <c r="B277" s="18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 ht="12.75" customHeight="1">
      <c r="A278" s="18"/>
      <c r="B278" s="18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 ht="12.75" customHeight="1">
      <c r="A279" s="18"/>
      <c r="B279" s="18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 ht="12.75" customHeight="1">
      <c r="A280" s="18"/>
      <c r="B280" s="18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 ht="12.75" customHeight="1">
      <c r="A281" s="18"/>
      <c r="B281" s="18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 ht="12.75" customHeight="1">
      <c r="A282" s="18"/>
      <c r="B282" s="18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 ht="12.75" customHeight="1">
      <c r="A283" s="18"/>
      <c r="B283" s="18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 ht="12.75" customHeight="1">
      <c r="A284" s="18"/>
      <c r="B284" s="18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 ht="12.75" customHeight="1">
      <c r="A285" s="18"/>
      <c r="B285" s="18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 ht="12.75" customHeight="1">
      <c r="A286" s="18"/>
      <c r="B286" s="18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 ht="12.75" customHeight="1">
      <c r="A287" s="18"/>
      <c r="B287" s="18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 ht="12.75" customHeight="1">
      <c r="A288" s="18"/>
      <c r="B288" s="18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 ht="12.75" customHeight="1">
      <c r="A289" s="18"/>
      <c r="B289" s="18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 ht="12.75" customHeight="1">
      <c r="A290" s="18"/>
      <c r="B290" s="18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 ht="12.75" customHeight="1">
      <c r="A291" s="18"/>
      <c r="B291" s="18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 ht="12.75" customHeight="1">
      <c r="A292" s="18"/>
      <c r="B292" s="18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 ht="12.75" customHeight="1">
      <c r="A293" s="18"/>
      <c r="B293" s="18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 ht="12.75" customHeight="1">
      <c r="A294" s="18"/>
      <c r="B294" s="18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 ht="12.75" customHeight="1">
      <c r="A295" s="18"/>
      <c r="B295" s="18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 ht="12.75" customHeight="1">
      <c r="A296" s="18"/>
      <c r="B296" s="18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 ht="12.75" customHeight="1">
      <c r="A297" s="18"/>
      <c r="B297" s="18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 ht="12.75" customHeight="1">
      <c r="A298" s="18"/>
      <c r="B298" s="18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 ht="12.75" customHeight="1">
      <c r="A299" s="18"/>
      <c r="B299" s="18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 ht="12.75" customHeight="1">
      <c r="A300" s="18"/>
      <c r="B300" s="18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 ht="12.75" customHeight="1">
      <c r="A301" s="18"/>
      <c r="B301" s="18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 ht="12.75" customHeight="1">
      <c r="A302" s="18"/>
      <c r="B302" s="18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 ht="12.75" customHeight="1">
      <c r="A303" s="18"/>
      <c r="B303" s="18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 ht="12.75" customHeight="1">
      <c r="A304" s="18"/>
      <c r="B304" s="18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 ht="12.75" customHeight="1">
      <c r="A305" s="18"/>
      <c r="B305" s="18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 ht="12.75" customHeight="1">
      <c r="A306" s="18"/>
      <c r="B306" s="18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 ht="12.75" customHeight="1">
      <c r="A307" s="18"/>
      <c r="B307" s="18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 ht="12.75" customHeight="1">
      <c r="A308" s="18"/>
      <c r="B308" s="18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 ht="12.75" customHeight="1">
      <c r="A309" s="18"/>
      <c r="B309" s="18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 ht="12.75" customHeight="1">
      <c r="A310" s="18"/>
      <c r="B310" s="18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 ht="12.75" customHeight="1">
      <c r="A311" s="18"/>
      <c r="B311" s="18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 ht="12.75" customHeight="1">
      <c r="A312" s="18"/>
      <c r="B312" s="18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 ht="12.75" customHeight="1">
      <c r="A313" s="18"/>
      <c r="B313" s="18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 ht="12.75" customHeight="1">
      <c r="A314" s="18"/>
      <c r="B314" s="18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 ht="12.75" customHeight="1">
      <c r="A315" s="18"/>
      <c r="B315" s="18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 ht="12.75" customHeight="1">
      <c r="A316" s="18"/>
      <c r="B316" s="18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 ht="12.75" customHeight="1">
      <c r="A317" s="18"/>
      <c r="B317" s="18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 ht="12.75" customHeight="1">
      <c r="A318" s="18"/>
      <c r="B318" s="18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 ht="12.75" customHeight="1">
      <c r="A319" s="18"/>
      <c r="B319" s="18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 ht="12.75" customHeight="1">
      <c r="A320" s="18"/>
      <c r="B320" s="18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 ht="12.75" customHeight="1">
      <c r="A321" s="18"/>
      <c r="B321" s="18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 ht="12.75" customHeight="1">
      <c r="A322" s="18"/>
      <c r="B322" s="18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 ht="12.75" customHeight="1">
      <c r="A323" s="18"/>
      <c r="B323" s="18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 ht="12.75" customHeight="1">
      <c r="A324" s="18"/>
      <c r="B324" s="18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 ht="12.75" customHeight="1">
      <c r="A325" s="18"/>
      <c r="B325" s="18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 ht="12.75" customHeight="1">
      <c r="A326" s="18"/>
      <c r="B326" s="18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 ht="12.75" customHeight="1">
      <c r="A327" s="18"/>
      <c r="B327" s="18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 ht="12.75" customHeight="1">
      <c r="A328" s="18"/>
      <c r="B328" s="18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 ht="12.75" customHeight="1">
      <c r="A329" s="18"/>
      <c r="B329" s="18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 ht="12.75" customHeight="1">
      <c r="A330" s="18"/>
      <c r="B330" s="18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 ht="12.75" customHeight="1">
      <c r="A331" s="18"/>
      <c r="B331" s="18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 ht="12.75" customHeight="1">
      <c r="A332" s="18"/>
      <c r="B332" s="18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 ht="12.75" customHeight="1">
      <c r="A333" s="18"/>
      <c r="B333" s="18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 ht="12.75" customHeight="1">
      <c r="A334" s="18"/>
      <c r="B334" s="18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 ht="12.75" customHeight="1">
      <c r="A335" s="18"/>
      <c r="B335" s="18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 ht="12.75" customHeight="1">
      <c r="A336" s="18"/>
      <c r="B336" s="18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 ht="12.75" customHeight="1">
      <c r="A337" s="18"/>
      <c r="B337" s="18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 ht="12.75" customHeight="1">
      <c r="A338" s="18"/>
      <c r="B338" s="18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 ht="12.75" customHeight="1">
      <c r="A339" s="18"/>
      <c r="B339" s="18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 ht="12.75" customHeight="1">
      <c r="A340" s="18"/>
      <c r="B340" s="18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 ht="12.75" customHeight="1">
      <c r="A341" s="18"/>
      <c r="B341" s="18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 ht="12.75" customHeight="1">
      <c r="A342" s="18"/>
      <c r="B342" s="18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 ht="12.75" customHeight="1">
      <c r="A343" s="18"/>
      <c r="B343" s="18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 ht="12.75" customHeight="1">
      <c r="A344" s="18"/>
      <c r="B344" s="18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 ht="12.75" customHeight="1">
      <c r="A345" s="18"/>
      <c r="B345" s="18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 ht="12.75" customHeight="1">
      <c r="A346" s="18"/>
      <c r="B346" s="18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 ht="12.75" customHeight="1">
      <c r="A347" s="18"/>
      <c r="B347" s="18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 ht="12.75" customHeight="1">
      <c r="A348" s="18"/>
      <c r="B348" s="18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 ht="12.75" customHeight="1">
      <c r="A349" s="18"/>
      <c r="B349" s="18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 ht="12.75" customHeight="1">
      <c r="A350" s="18"/>
      <c r="B350" s="18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 ht="12.75" customHeight="1">
      <c r="A351" s="18"/>
      <c r="B351" s="18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 ht="12.75" customHeight="1">
      <c r="A352" s="18"/>
      <c r="B352" s="18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 ht="12.75" customHeight="1">
      <c r="A353" s="18"/>
      <c r="B353" s="18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 ht="12.75" customHeight="1">
      <c r="A354" s="18"/>
      <c r="B354" s="18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 ht="12.75" customHeight="1">
      <c r="A355" s="18"/>
      <c r="B355" s="18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 ht="12.75" customHeight="1">
      <c r="A356" s="18"/>
      <c r="B356" s="18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 ht="12.75" customHeight="1">
      <c r="A357" s="18"/>
      <c r="B357" s="18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 ht="12.75" customHeight="1">
      <c r="A358" s="18"/>
      <c r="B358" s="18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 ht="12.75" customHeight="1">
      <c r="A359" s="18"/>
      <c r="B359" s="18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 ht="12.75" customHeight="1">
      <c r="A360" s="18"/>
      <c r="B360" s="18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 ht="12.75" customHeight="1">
      <c r="A361" s="18"/>
      <c r="B361" s="18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 ht="12.75" customHeight="1">
      <c r="A362" s="18"/>
      <c r="B362" s="18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 ht="12.75" customHeight="1">
      <c r="A363" s="18"/>
      <c r="B363" s="18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 ht="12.75" customHeight="1">
      <c r="A364" s="18"/>
      <c r="B364" s="18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 ht="12.75" customHeight="1">
      <c r="A365" s="18"/>
      <c r="B365" s="18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 ht="12.75" customHeight="1">
      <c r="A366" s="18"/>
      <c r="B366" s="18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 ht="12.75" customHeight="1">
      <c r="A367" s="18"/>
      <c r="B367" s="18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 ht="12.75" customHeight="1">
      <c r="A368" s="18"/>
      <c r="B368" s="18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 ht="12.75" customHeight="1">
      <c r="A369" s="18"/>
      <c r="B369" s="18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 ht="12.75" customHeight="1">
      <c r="A370" s="18"/>
      <c r="B370" s="18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 ht="12.75" customHeight="1">
      <c r="A371" s="18"/>
      <c r="B371" s="18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 ht="12.75" customHeight="1">
      <c r="A372" s="18"/>
      <c r="B372" s="18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 ht="12.75" customHeight="1">
      <c r="A373" s="18"/>
      <c r="B373" s="18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 ht="12.75" customHeight="1">
      <c r="A374" s="18"/>
      <c r="B374" s="18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 ht="12.75" customHeight="1">
      <c r="A375" s="18"/>
      <c r="B375" s="18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 ht="12.75" customHeight="1">
      <c r="A376" s="18"/>
      <c r="B376" s="18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 ht="12.75" customHeight="1">
      <c r="A377" s="18"/>
      <c r="B377" s="18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 ht="12.75" customHeight="1">
      <c r="A378" s="18"/>
      <c r="B378" s="18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 ht="12.75" customHeight="1">
      <c r="A379" s="18"/>
      <c r="B379" s="18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 ht="12.75" customHeight="1">
      <c r="A380" s="18"/>
      <c r="B380" s="18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 ht="12.75" customHeight="1">
      <c r="A381" s="18"/>
      <c r="B381" s="18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 ht="12.75" customHeight="1">
      <c r="A382" s="18"/>
      <c r="B382" s="18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 ht="12.75" customHeight="1">
      <c r="A383" s="18"/>
      <c r="B383" s="18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 ht="12.75" customHeight="1">
      <c r="A384" s="18"/>
      <c r="B384" s="18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 ht="12.75" customHeight="1">
      <c r="A385" s="18"/>
      <c r="B385" s="18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 ht="12.75" customHeight="1">
      <c r="A386" s="18"/>
      <c r="B386" s="18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 ht="12.75" customHeight="1">
      <c r="A387" s="18"/>
      <c r="B387" s="18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 ht="12.75" customHeight="1">
      <c r="A388" s="18"/>
      <c r="B388" s="18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 ht="12.75" customHeight="1">
      <c r="A389" s="18"/>
      <c r="B389" s="18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 ht="12.75" customHeight="1">
      <c r="A390" s="18"/>
      <c r="B390" s="18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 ht="12.75" customHeight="1">
      <c r="A391" s="18"/>
      <c r="B391" s="18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 ht="12.75" customHeight="1">
      <c r="A392" s="18"/>
      <c r="B392" s="18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 ht="12.75" customHeight="1">
      <c r="A393" s="18"/>
      <c r="B393" s="18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 ht="12.75" customHeight="1">
      <c r="A394" s="18"/>
      <c r="B394" s="18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 ht="12.75" customHeight="1">
      <c r="A395" s="18"/>
      <c r="B395" s="18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 ht="12.75" customHeight="1">
      <c r="A396" s="18"/>
      <c r="B396" s="18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 ht="12.75" customHeight="1">
      <c r="A397" s="18"/>
      <c r="B397" s="18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 ht="12.75" customHeight="1">
      <c r="A398" s="18"/>
      <c r="B398" s="18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 ht="12.75" customHeight="1">
      <c r="A399" s="18"/>
      <c r="B399" s="18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 ht="12.75" customHeight="1">
      <c r="A400" s="18"/>
      <c r="B400" s="18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 ht="12.75" customHeight="1">
      <c r="A401" s="18"/>
      <c r="B401" s="18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 ht="12.75" customHeight="1">
      <c r="A402" s="18"/>
      <c r="B402" s="18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 ht="12.75" customHeight="1">
      <c r="A403" s="18"/>
      <c r="B403" s="18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 ht="12.75" customHeight="1">
      <c r="A404" s="18"/>
      <c r="B404" s="18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 ht="12.75" customHeight="1">
      <c r="A405" s="18"/>
      <c r="B405" s="18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 ht="12.75" customHeight="1">
      <c r="A406" s="18"/>
      <c r="B406" s="18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 ht="12.75" customHeight="1">
      <c r="A407" s="18"/>
      <c r="B407" s="18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 ht="12.75" customHeight="1">
      <c r="A408" s="18"/>
      <c r="B408" s="18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 ht="12.75" customHeight="1">
      <c r="A409" s="18"/>
      <c r="B409" s="18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 ht="12.75" customHeight="1">
      <c r="A410" s="18"/>
      <c r="B410" s="18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 ht="12.75" customHeight="1">
      <c r="A411" s="18"/>
      <c r="B411" s="18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 ht="12.75" customHeight="1">
      <c r="A412" s="18"/>
      <c r="B412" s="18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 ht="12.75" customHeight="1">
      <c r="A413" s="18"/>
      <c r="B413" s="18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 ht="12.75" customHeight="1">
      <c r="A414" s="18"/>
      <c r="B414" s="18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 ht="12.75" customHeight="1">
      <c r="A415" s="18"/>
      <c r="B415" s="18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 ht="12.75" customHeight="1">
      <c r="A416" s="18"/>
      <c r="B416" s="18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 ht="12.75" customHeight="1">
      <c r="A417" s="18"/>
      <c r="B417" s="18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 ht="12.75" customHeight="1">
      <c r="A418" s="18"/>
      <c r="B418" s="18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 ht="12.75" customHeight="1">
      <c r="A419" s="18"/>
      <c r="B419" s="18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 ht="12.75" customHeight="1">
      <c r="A420" s="18"/>
      <c r="B420" s="18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 ht="12.75" customHeight="1">
      <c r="A421" s="18"/>
      <c r="B421" s="18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 ht="12.75" customHeight="1">
      <c r="A422" s="18"/>
      <c r="B422" s="18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 ht="12.75" customHeight="1">
      <c r="A423" s="18"/>
      <c r="B423" s="18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 ht="12.75" customHeight="1">
      <c r="A424" s="18"/>
      <c r="B424" s="18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 ht="12.75" customHeight="1">
      <c r="A425" s="18"/>
      <c r="B425" s="18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 ht="12.75" customHeight="1">
      <c r="A426" s="18"/>
      <c r="B426" s="18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 ht="12.75" customHeight="1">
      <c r="A427" s="18"/>
      <c r="B427" s="18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 ht="12.75" customHeight="1">
      <c r="A428" s="18"/>
      <c r="B428" s="18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 ht="12.75" customHeight="1">
      <c r="A429" s="18"/>
      <c r="B429" s="18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 ht="12.75" customHeight="1">
      <c r="A430" s="18"/>
      <c r="B430" s="18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 ht="12.75" customHeight="1">
      <c r="A431" s="18"/>
      <c r="B431" s="18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 ht="12.75" customHeight="1">
      <c r="A432" s="18"/>
      <c r="B432" s="18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 ht="12.75" customHeight="1">
      <c r="A433" s="18"/>
      <c r="B433" s="18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 ht="12.75" customHeight="1">
      <c r="A434" s="18"/>
      <c r="B434" s="18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 ht="12.75" customHeight="1">
      <c r="A435" s="18"/>
      <c r="B435" s="18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 ht="12.75" customHeight="1">
      <c r="A436" s="18"/>
      <c r="B436" s="18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 ht="12.75" customHeight="1">
      <c r="A437" s="18"/>
      <c r="B437" s="18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 ht="12.75" customHeight="1">
      <c r="A438" s="18"/>
      <c r="B438" s="18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 ht="12.75" customHeight="1">
      <c r="A439" s="18"/>
      <c r="B439" s="18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 ht="12.75" customHeight="1">
      <c r="A440" s="18"/>
      <c r="B440" s="18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 ht="12.75" customHeight="1">
      <c r="A441" s="18"/>
      <c r="B441" s="18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 ht="12.75" customHeight="1">
      <c r="A442" s="18"/>
      <c r="B442" s="18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 ht="12.75" customHeight="1">
      <c r="A443" s="18"/>
      <c r="B443" s="18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 ht="12.75" customHeight="1">
      <c r="A444" s="18"/>
      <c r="B444" s="18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 ht="12.75" customHeight="1">
      <c r="A445" s="18"/>
      <c r="B445" s="18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 ht="12.75" customHeight="1">
      <c r="A446" s="18"/>
      <c r="B446" s="18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 ht="12.75" customHeight="1">
      <c r="A447" s="18"/>
      <c r="B447" s="18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 ht="12.75" customHeight="1">
      <c r="A448" s="18"/>
      <c r="B448" s="18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 ht="12.75" customHeight="1">
      <c r="A449" s="18"/>
      <c r="B449" s="18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 ht="12.75" customHeight="1">
      <c r="A450" s="18"/>
      <c r="B450" s="18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 ht="12.75" customHeight="1">
      <c r="A451" s="18"/>
      <c r="B451" s="18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 ht="12.75" customHeight="1">
      <c r="A452" s="18"/>
      <c r="B452" s="18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 ht="12.75" customHeight="1">
      <c r="A453" s="18"/>
      <c r="B453" s="18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 ht="12.75" customHeight="1">
      <c r="A454" s="18"/>
      <c r="B454" s="18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 ht="12.75" customHeight="1">
      <c r="A455" s="18"/>
      <c r="B455" s="18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 ht="12.75" customHeight="1">
      <c r="A456" s="18"/>
      <c r="B456" s="18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 ht="12.75" customHeight="1">
      <c r="A457" s="18"/>
      <c r="B457" s="18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 ht="12.75" customHeight="1">
      <c r="A458" s="18"/>
      <c r="B458" s="18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 ht="12.75" customHeight="1">
      <c r="A459" s="18"/>
      <c r="B459" s="18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 ht="12.75" customHeight="1">
      <c r="A460" s="18"/>
      <c r="B460" s="18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 ht="12.75" customHeight="1">
      <c r="A461" s="18"/>
      <c r="B461" s="18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 ht="12.75" customHeight="1">
      <c r="A462" s="18"/>
      <c r="B462" s="18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 ht="12.75" customHeight="1">
      <c r="A463" s="18"/>
      <c r="B463" s="18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 ht="12.75" customHeight="1">
      <c r="A464" s="18"/>
      <c r="B464" s="18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 ht="12.75" customHeight="1">
      <c r="A465" s="18"/>
      <c r="B465" s="18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 ht="12.75" customHeight="1">
      <c r="A466" s="18"/>
      <c r="B466" s="18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 ht="12.75" customHeight="1">
      <c r="A467" s="18"/>
      <c r="B467" s="18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 ht="12.75" customHeight="1">
      <c r="A468" s="18"/>
      <c r="B468" s="18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 ht="12.75" customHeight="1">
      <c r="A469" s="18"/>
      <c r="B469" s="18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 ht="12.75" customHeight="1">
      <c r="A470" s="18"/>
      <c r="B470" s="18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 ht="12.75" customHeight="1">
      <c r="A471" s="18"/>
      <c r="B471" s="18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 ht="12.75" customHeight="1">
      <c r="A472" s="18"/>
      <c r="B472" s="18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 ht="12.75" customHeight="1">
      <c r="A473" s="18"/>
      <c r="B473" s="18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 ht="12.75" customHeight="1">
      <c r="A474" s="18"/>
      <c r="B474" s="18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 ht="12.75" customHeight="1">
      <c r="A475" s="18"/>
      <c r="B475" s="18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 ht="12.75" customHeight="1">
      <c r="A476" s="18"/>
      <c r="B476" s="18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 ht="12.75" customHeight="1">
      <c r="A477" s="18"/>
      <c r="B477" s="18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 ht="12.75" customHeight="1">
      <c r="A478" s="18"/>
      <c r="B478" s="18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 ht="12.75" customHeight="1">
      <c r="A479" s="18"/>
      <c r="B479" s="18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 ht="12.75" customHeight="1">
      <c r="A480" s="18"/>
      <c r="B480" s="18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 ht="12.75" customHeight="1">
      <c r="A481" s="18"/>
      <c r="B481" s="18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 ht="12.75" customHeight="1">
      <c r="A482" s="18"/>
      <c r="B482" s="18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 ht="12.75" customHeight="1">
      <c r="A483" s="18"/>
      <c r="B483" s="18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 ht="12.75" customHeight="1">
      <c r="A484" s="18"/>
      <c r="B484" s="18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 ht="12.75" customHeight="1">
      <c r="A485" s="18"/>
      <c r="B485" s="18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 ht="12.75" customHeight="1">
      <c r="A486" s="18"/>
      <c r="B486" s="18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 ht="12.75" customHeight="1">
      <c r="A487" s="18"/>
      <c r="B487" s="18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 ht="12.75" customHeight="1">
      <c r="A488" s="18"/>
      <c r="B488" s="18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 ht="12.75" customHeight="1">
      <c r="A489" s="18"/>
      <c r="B489" s="18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 ht="12.75" customHeight="1">
      <c r="A490" s="18"/>
      <c r="B490" s="18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 ht="12.75" customHeight="1">
      <c r="A491" s="18"/>
      <c r="B491" s="18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 ht="12.75" customHeight="1">
      <c r="A492" s="18"/>
      <c r="B492" s="18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 ht="12.75" customHeight="1">
      <c r="A493" s="18"/>
      <c r="B493" s="18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 ht="12.75" customHeight="1">
      <c r="A494" s="18"/>
      <c r="B494" s="18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 ht="12.75" customHeight="1">
      <c r="A495" s="18"/>
      <c r="B495" s="18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 ht="12.75" customHeight="1">
      <c r="A496" s="18"/>
      <c r="B496" s="18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 ht="12.75" customHeight="1">
      <c r="A497" s="18"/>
      <c r="B497" s="18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 ht="12.75" customHeight="1">
      <c r="A498" s="18"/>
      <c r="B498" s="18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 ht="12.75" customHeight="1">
      <c r="A499" s="18"/>
      <c r="B499" s="18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 ht="12.75" customHeight="1">
      <c r="A500" s="18"/>
      <c r="B500" s="18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 ht="12.75" customHeight="1">
      <c r="A501" s="18"/>
      <c r="B501" s="18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 ht="12.75" customHeight="1">
      <c r="A502" s="18"/>
      <c r="B502" s="18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 ht="12.75" customHeight="1">
      <c r="A503" s="18"/>
      <c r="B503" s="18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 ht="12.75" customHeight="1">
      <c r="A504" s="18"/>
      <c r="B504" s="18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 ht="12.75" customHeight="1">
      <c r="A505" s="18"/>
      <c r="B505" s="18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 ht="12.75" customHeight="1">
      <c r="A506" s="18"/>
      <c r="B506" s="18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 ht="12.75" customHeight="1">
      <c r="A507" s="18"/>
      <c r="B507" s="18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 ht="12.75" customHeight="1">
      <c r="A508" s="18"/>
      <c r="B508" s="18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 ht="12.75" customHeight="1">
      <c r="A509" s="18"/>
      <c r="B509" s="18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 ht="12.75" customHeight="1">
      <c r="A510" s="18"/>
      <c r="B510" s="18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 ht="12.75" customHeight="1">
      <c r="A511" s="18"/>
      <c r="B511" s="18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 ht="12.75" customHeight="1">
      <c r="A512" s="18"/>
      <c r="B512" s="18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 ht="12.75" customHeight="1">
      <c r="A513" s="18"/>
      <c r="B513" s="18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 ht="12.75" customHeight="1">
      <c r="A514" s="18"/>
      <c r="B514" s="18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 ht="12.75" customHeight="1">
      <c r="A515" s="18"/>
      <c r="B515" s="18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 ht="12.75" customHeight="1">
      <c r="A516" s="18"/>
      <c r="B516" s="18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 ht="12.75" customHeight="1">
      <c r="A517" s="18"/>
      <c r="B517" s="18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 ht="12.75" customHeight="1">
      <c r="A518" s="18"/>
      <c r="B518" s="18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 ht="12.75" customHeight="1">
      <c r="A519" s="18"/>
      <c r="B519" s="18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 ht="12.75" customHeight="1">
      <c r="A520" s="18"/>
      <c r="B520" s="18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 ht="12.75" customHeight="1">
      <c r="A521" s="18"/>
      <c r="B521" s="18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 ht="12.75" customHeight="1">
      <c r="A522" s="18"/>
      <c r="B522" s="18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 ht="12.75" customHeight="1">
      <c r="A523" s="18"/>
      <c r="B523" s="18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 ht="12.75" customHeight="1">
      <c r="A524" s="18"/>
      <c r="B524" s="18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 ht="12.75" customHeight="1">
      <c r="A525" s="18"/>
      <c r="B525" s="18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 ht="12.75" customHeight="1">
      <c r="A526" s="18"/>
      <c r="B526" s="18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 ht="12.75" customHeight="1">
      <c r="A527" s="18"/>
      <c r="B527" s="18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 ht="12.75" customHeight="1">
      <c r="A528" s="18"/>
      <c r="B528" s="18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 ht="12.75" customHeight="1">
      <c r="A529" s="18"/>
      <c r="B529" s="18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 ht="12.75" customHeight="1">
      <c r="A530" s="18"/>
      <c r="B530" s="18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 ht="12.75" customHeight="1">
      <c r="A531" s="18"/>
      <c r="B531" s="18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 ht="12.75" customHeight="1">
      <c r="A532" s="18"/>
      <c r="B532" s="18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 ht="12.75" customHeight="1">
      <c r="A533" s="18"/>
      <c r="B533" s="18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 ht="12.75" customHeight="1">
      <c r="A534" s="18"/>
      <c r="B534" s="18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 ht="12.75" customHeight="1">
      <c r="A535" s="18"/>
      <c r="B535" s="18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 ht="12.75" customHeight="1">
      <c r="A536" s="18"/>
      <c r="B536" s="18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 ht="12.75" customHeight="1">
      <c r="A537" s="18"/>
      <c r="B537" s="18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 ht="12.75" customHeight="1">
      <c r="A538" s="18"/>
      <c r="B538" s="18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 ht="12.75" customHeight="1">
      <c r="A539" s="18"/>
      <c r="B539" s="18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 ht="12.75" customHeight="1">
      <c r="A540" s="18"/>
      <c r="B540" s="18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 ht="12.75" customHeight="1">
      <c r="A541" s="18"/>
      <c r="B541" s="18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 ht="12.75" customHeight="1">
      <c r="A542" s="18"/>
      <c r="B542" s="18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 ht="12.75" customHeight="1">
      <c r="A543" s="18"/>
      <c r="B543" s="18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 ht="12.75" customHeight="1">
      <c r="A544" s="18"/>
      <c r="B544" s="18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 ht="12.75" customHeight="1">
      <c r="A545" s="18"/>
      <c r="B545" s="18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 ht="12.75" customHeight="1">
      <c r="A546" s="18"/>
      <c r="B546" s="18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 ht="12.75" customHeight="1">
      <c r="A547" s="18"/>
      <c r="B547" s="18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 ht="12.75" customHeight="1">
      <c r="A548" s="18"/>
      <c r="B548" s="18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 ht="12.75" customHeight="1">
      <c r="A549" s="18"/>
      <c r="B549" s="18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 ht="12.75" customHeight="1">
      <c r="A550" s="18"/>
      <c r="B550" s="18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 ht="12.75" customHeight="1">
      <c r="A551" s="18"/>
      <c r="B551" s="18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 ht="12.75" customHeight="1">
      <c r="A552" s="18"/>
      <c r="B552" s="18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 ht="12.75" customHeight="1">
      <c r="A553" s="18"/>
      <c r="B553" s="18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 ht="12.75" customHeight="1">
      <c r="A554" s="18"/>
      <c r="B554" s="18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 ht="12.75" customHeight="1">
      <c r="A555" s="18"/>
      <c r="B555" s="18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 ht="12.75" customHeight="1">
      <c r="A556" s="18"/>
      <c r="B556" s="18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 ht="12.75" customHeight="1">
      <c r="A557" s="18"/>
      <c r="B557" s="18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 ht="12.75" customHeight="1">
      <c r="A558" s="18"/>
      <c r="B558" s="18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 ht="12.75" customHeight="1">
      <c r="A559" s="18"/>
      <c r="B559" s="18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 ht="12.75" customHeight="1">
      <c r="A560" s="18"/>
      <c r="B560" s="18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 ht="12.75" customHeight="1">
      <c r="A561" s="18"/>
      <c r="B561" s="18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 ht="12.75" customHeight="1">
      <c r="A562" s="18"/>
      <c r="B562" s="18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 ht="12.75" customHeight="1">
      <c r="A563" s="18"/>
      <c r="B563" s="18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 ht="12.75" customHeight="1">
      <c r="A564" s="18"/>
      <c r="B564" s="18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 ht="12.75" customHeight="1">
      <c r="A565" s="18"/>
      <c r="B565" s="18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 ht="12.75" customHeight="1">
      <c r="A566" s="18"/>
      <c r="B566" s="18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 ht="12.75" customHeight="1">
      <c r="A567" s="18"/>
      <c r="B567" s="18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 ht="12.75" customHeight="1">
      <c r="A568" s="18"/>
      <c r="B568" s="18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 ht="12.75" customHeight="1">
      <c r="A569" s="18"/>
      <c r="B569" s="18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 ht="12.75" customHeight="1">
      <c r="A570" s="18"/>
      <c r="B570" s="18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 ht="12.75" customHeight="1">
      <c r="A571" s="18"/>
      <c r="B571" s="18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 ht="12.75" customHeight="1">
      <c r="A572" s="18"/>
      <c r="B572" s="18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 ht="12.75" customHeight="1">
      <c r="A573" s="18"/>
      <c r="B573" s="18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 ht="12.75" customHeight="1">
      <c r="A574" s="18"/>
      <c r="B574" s="18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 ht="12.75" customHeight="1">
      <c r="A575" s="18"/>
      <c r="B575" s="18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 ht="12.75" customHeight="1">
      <c r="A576" s="18"/>
      <c r="B576" s="18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 ht="12.75" customHeight="1">
      <c r="A577" s="18"/>
      <c r="B577" s="18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 ht="12.75" customHeight="1">
      <c r="A578" s="18"/>
      <c r="B578" s="18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 ht="12.75" customHeight="1">
      <c r="A579" s="18"/>
      <c r="B579" s="18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 ht="12.75" customHeight="1">
      <c r="A580" s="18"/>
      <c r="B580" s="18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 ht="12.75" customHeight="1">
      <c r="A581" s="18"/>
      <c r="B581" s="18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 ht="12.75" customHeight="1">
      <c r="A582" s="18"/>
      <c r="B582" s="18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 ht="12.75" customHeight="1">
      <c r="A583" s="18"/>
      <c r="B583" s="18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 ht="12.75" customHeight="1">
      <c r="A584" s="18"/>
      <c r="B584" s="18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 ht="12.75" customHeight="1">
      <c r="A585" s="18"/>
      <c r="B585" s="18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 ht="12.75" customHeight="1">
      <c r="A586" s="18"/>
      <c r="B586" s="18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 ht="12.75" customHeight="1">
      <c r="A587" s="18"/>
      <c r="B587" s="18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 ht="12.75" customHeight="1">
      <c r="A588" s="18"/>
      <c r="B588" s="18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 ht="12.75" customHeight="1">
      <c r="A589" s="18"/>
      <c r="B589" s="18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 ht="12.75" customHeight="1">
      <c r="A590" s="18"/>
      <c r="B590" s="18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 ht="12.75" customHeight="1">
      <c r="A591" s="18"/>
      <c r="B591" s="18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 ht="12.75" customHeight="1">
      <c r="A592" s="18"/>
      <c r="B592" s="18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 ht="12.75" customHeight="1">
      <c r="A593" s="18"/>
      <c r="B593" s="18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 ht="12.75" customHeight="1">
      <c r="A594" s="18"/>
      <c r="B594" s="18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 ht="12.75" customHeight="1">
      <c r="A595" s="18"/>
      <c r="B595" s="18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 ht="12.75" customHeight="1">
      <c r="A596" s="18"/>
      <c r="B596" s="18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 ht="12.75" customHeight="1">
      <c r="A597" s="18"/>
      <c r="B597" s="18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 ht="12.75" customHeight="1">
      <c r="A598" s="18"/>
      <c r="B598" s="18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 ht="12.75" customHeight="1">
      <c r="A599" s="18"/>
      <c r="B599" s="18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 ht="12.75" customHeight="1">
      <c r="A600" s="18"/>
      <c r="B600" s="18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 ht="12.75" customHeight="1">
      <c r="A601" s="18"/>
      <c r="B601" s="18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 ht="12.75" customHeight="1">
      <c r="A602" s="18"/>
      <c r="B602" s="18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 ht="12.75" customHeight="1">
      <c r="A603" s="18"/>
      <c r="B603" s="18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 ht="12.75" customHeight="1">
      <c r="A604" s="18"/>
      <c r="B604" s="18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 ht="12.75" customHeight="1">
      <c r="A605" s="18"/>
      <c r="B605" s="18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 ht="12.75" customHeight="1">
      <c r="A606" s="18"/>
      <c r="B606" s="18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 ht="12.75" customHeight="1">
      <c r="A607" s="18"/>
      <c r="B607" s="18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 ht="12.75" customHeight="1">
      <c r="A608" s="18"/>
      <c r="B608" s="18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 ht="12.75" customHeight="1">
      <c r="A609" s="18"/>
      <c r="B609" s="18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 ht="12.75" customHeight="1">
      <c r="A610" s="18"/>
      <c r="B610" s="18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 ht="12.75" customHeight="1">
      <c r="A611" s="18"/>
      <c r="B611" s="18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 ht="12.75" customHeight="1">
      <c r="A612" s="18"/>
      <c r="B612" s="18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 ht="12.75" customHeight="1">
      <c r="A613" s="18"/>
      <c r="B613" s="18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 ht="12.75" customHeight="1">
      <c r="A614" s="18"/>
      <c r="B614" s="18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 ht="12.75" customHeight="1">
      <c r="A615" s="18"/>
      <c r="B615" s="18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 ht="12.75" customHeight="1">
      <c r="A616" s="18"/>
      <c r="B616" s="18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 ht="12.75" customHeight="1">
      <c r="A617" s="18"/>
      <c r="B617" s="18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 ht="12.75" customHeight="1">
      <c r="A618" s="18"/>
      <c r="B618" s="18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 ht="12.75" customHeight="1">
      <c r="A619" s="18"/>
      <c r="B619" s="18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 ht="12.75" customHeight="1">
      <c r="A620" s="18"/>
      <c r="B620" s="18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 ht="12.75" customHeight="1">
      <c r="A621" s="18"/>
      <c r="B621" s="18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 ht="12.75" customHeight="1">
      <c r="A622" s="18"/>
      <c r="B622" s="18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 ht="12.75" customHeight="1">
      <c r="A623" s="18"/>
      <c r="B623" s="18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 ht="12.75" customHeight="1">
      <c r="A624" s="18"/>
      <c r="B624" s="18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 ht="12.75" customHeight="1">
      <c r="A625" s="18"/>
      <c r="B625" s="18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 ht="12.75" customHeight="1">
      <c r="A626" s="18"/>
      <c r="B626" s="18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 ht="12.75" customHeight="1">
      <c r="A627" s="18"/>
      <c r="B627" s="18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 ht="12.75" customHeight="1">
      <c r="A628" s="18"/>
      <c r="B628" s="18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 ht="12.75" customHeight="1">
      <c r="A629" s="18"/>
      <c r="B629" s="18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 ht="12.75" customHeight="1">
      <c r="A630" s="18"/>
      <c r="B630" s="18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 ht="12.75" customHeight="1">
      <c r="A631" s="18"/>
      <c r="B631" s="18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 ht="12.75" customHeight="1">
      <c r="A632" s="18"/>
      <c r="B632" s="18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 ht="12.75" customHeight="1">
      <c r="A633" s="18"/>
      <c r="B633" s="18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 ht="12.75" customHeight="1">
      <c r="A634" s="18"/>
      <c r="B634" s="18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 ht="12.75" customHeight="1">
      <c r="A635" s="18"/>
      <c r="B635" s="18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 ht="12.75" customHeight="1">
      <c r="A636" s="18"/>
      <c r="B636" s="18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 ht="12.75" customHeight="1">
      <c r="A637" s="18"/>
      <c r="B637" s="18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 ht="12.75" customHeight="1">
      <c r="A638" s="18"/>
      <c r="B638" s="18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 ht="12.75" customHeight="1">
      <c r="A639" s="18"/>
      <c r="B639" s="18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 ht="12.75" customHeight="1">
      <c r="A640" s="18"/>
      <c r="B640" s="18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 ht="12.75" customHeight="1">
      <c r="A641" s="18"/>
      <c r="B641" s="18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 ht="12.75" customHeight="1">
      <c r="A642" s="18"/>
      <c r="B642" s="18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 ht="12.75" customHeight="1">
      <c r="A643" s="18"/>
      <c r="B643" s="18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 ht="12.75" customHeight="1">
      <c r="A644" s="18"/>
      <c r="B644" s="18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 ht="12.75" customHeight="1">
      <c r="A645" s="18"/>
      <c r="B645" s="18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 ht="12.75" customHeight="1">
      <c r="A646" s="18"/>
      <c r="B646" s="18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 ht="12.75" customHeight="1">
      <c r="A647" s="18"/>
      <c r="B647" s="18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 ht="12.75" customHeight="1">
      <c r="A648" s="18"/>
      <c r="B648" s="18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 ht="12.75" customHeight="1">
      <c r="A649" s="18"/>
      <c r="B649" s="18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 ht="12.75" customHeight="1">
      <c r="A650" s="18"/>
      <c r="B650" s="18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 ht="12.75" customHeight="1">
      <c r="A651" s="18"/>
      <c r="B651" s="18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 ht="12.75" customHeight="1">
      <c r="A652" s="18"/>
      <c r="B652" s="18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 ht="12.75" customHeight="1">
      <c r="A653" s="18"/>
      <c r="B653" s="18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 ht="12.75" customHeight="1">
      <c r="A654" s="18"/>
      <c r="B654" s="18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 ht="12.75" customHeight="1">
      <c r="A655" s="18"/>
      <c r="B655" s="18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 ht="12.75" customHeight="1">
      <c r="A656" s="18"/>
      <c r="B656" s="18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 ht="12.75" customHeight="1">
      <c r="A657" s="18"/>
      <c r="B657" s="18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 ht="12.75" customHeight="1">
      <c r="A658" s="18"/>
      <c r="B658" s="18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 ht="12.75" customHeight="1">
      <c r="A659" s="18"/>
      <c r="B659" s="18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 ht="12.75" customHeight="1">
      <c r="A660" s="18"/>
      <c r="B660" s="18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 ht="12.75" customHeight="1">
      <c r="A661" s="18"/>
      <c r="B661" s="18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 ht="12.75" customHeight="1">
      <c r="A662" s="18"/>
      <c r="B662" s="18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 ht="12.75" customHeight="1">
      <c r="A663" s="18"/>
      <c r="B663" s="18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 ht="12.75" customHeight="1">
      <c r="A664" s="18"/>
      <c r="B664" s="18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 ht="12.75" customHeight="1">
      <c r="A665" s="18"/>
      <c r="B665" s="18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 ht="12.75" customHeight="1">
      <c r="A666" s="18"/>
      <c r="B666" s="18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 ht="12.75" customHeight="1">
      <c r="A667" s="18"/>
      <c r="B667" s="18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 ht="12.75" customHeight="1">
      <c r="A668" s="18"/>
      <c r="B668" s="18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 ht="12.75" customHeight="1">
      <c r="A669" s="18"/>
      <c r="B669" s="18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 ht="12.75" customHeight="1">
      <c r="A670" s="18"/>
      <c r="B670" s="18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 ht="12.75" customHeight="1">
      <c r="A671" s="18"/>
      <c r="B671" s="18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 ht="12.75" customHeight="1">
      <c r="A672" s="18"/>
      <c r="B672" s="18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 ht="12.75" customHeight="1">
      <c r="A673" s="18"/>
      <c r="B673" s="18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 ht="12.75" customHeight="1">
      <c r="A674" s="18"/>
      <c r="B674" s="18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 ht="12.75" customHeight="1">
      <c r="A675" s="18"/>
      <c r="B675" s="18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 ht="12.75" customHeight="1">
      <c r="A676" s="18"/>
      <c r="B676" s="18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 ht="12.75" customHeight="1">
      <c r="A677" s="18"/>
      <c r="B677" s="18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 ht="12.75" customHeight="1">
      <c r="A678" s="18"/>
      <c r="B678" s="18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 ht="12.75" customHeight="1">
      <c r="A679" s="18"/>
      <c r="B679" s="18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 ht="12.75" customHeight="1">
      <c r="A680" s="18"/>
      <c r="B680" s="18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 ht="12.75" customHeight="1">
      <c r="A681" s="18"/>
      <c r="B681" s="18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 ht="12.75" customHeight="1">
      <c r="A682" s="18"/>
      <c r="B682" s="18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 ht="12.75" customHeight="1">
      <c r="A683" s="18"/>
      <c r="B683" s="18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 ht="12.75" customHeight="1">
      <c r="A684" s="18"/>
      <c r="B684" s="18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 ht="12.75" customHeight="1">
      <c r="A685" s="18"/>
      <c r="B685" s="18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 ht="12.75" customHeight="1">
      <c r="A686" s="18"/>
      <c r="B686" s="18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 ht="12.75" customHeight="1">
      <c r="A687" s="18"/>
      <c r="B687" s="18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 ht="12.75" customHeight="1">
      <c r="A688" s="18"/>
      <c r="B688" s="18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 ht="12.75" customHeight="1">
      <c r="A689" s="18"/>
      <c r="B689" s="18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 ht="12.75" customHeight="1">
      <c r="A690" s="18"/>
      <c r="B690" s="18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 ht="12.75" customHeight="1">
      <c r="A691" s="18"/>
      <c r="B691" s="18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 ht="12.75" customHeight="1">
      <c r="A692" s="18"/>
      <c r="B692" s="18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 ht="12.75" customHeight="1">
      <c r="A693" s="18"/>
      <c r="B693" s="18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 ht="12.75" customHeight="1">
      <c r="A694" s="18"/>
      <c r="B694" s="18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 ht="12.75" customHeight="1">
      <c r="A695" s="18"/>
      <c r="B695" s="18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 ht="12.75" customHeight="1">
      <c r="A696" s="18"/>
      <c r="B696" s="18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 ht="12.75" customHeight="1">
      <c r="A697" s="18"/>
      <c r="B697" s="18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 ht="12.75" customHeight="1">
      <c r="A698" s="18"/>
      <c r="B698" s="18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 ht="12.75" customHeight="1">
      <c r="A699" s="18"/>
      <c r="B699" s="18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 ht="12.75" customHeight="1">
      <c r="A700" s="18"/>
      <c r="B700" s="18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 ht="12.75" customHeight="1">
      <c r="A701" s="18"/>
      <c r="B701" s="18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 ht="12.75" customHeight="1">
      <c r="A702" s="18"/>
      <c r="B702" s="18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 ht="12.75" customHeight="1">
      <c r="A703" s="18"/>
      <c r="B703" s="18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 ht="12.75" customHeight="1">
      <c r="A704" s="18"/>
      <c r="B704" s="18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 ht="12.75" customHeight="1">
      <c r="A705" s="18"/>
      <c r="B705" s="18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 ht="12.75" customHeight="1">
      <c r="A706" s="18"/>
      <c r="B706" s="18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 ht="12.75" customHeight="1">
      <c r="A707" s="18"/>
      <c r="B707" s="18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 ht="12.75" customHeight="1">
      <c r="A708" s="18"/>
      <c r="B708" s="18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 ht="12.75" customHeight="1">
      <c r="A709" s="18"/>
      <c r="B709" s="18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 ht="12.75" customHeight="1">
      <c r="A710" s="18"/>
      <c r="B710" s="18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 ht="12.75" customHeight="1">
      <c r="A711" s="18"/>
      <c r="B711" s="18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 ht="12.75" customHeight="1">
      <c r="A712" s="18"/>
      <c r="B712" s="18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 ht="12.75" customHeight="1">
      <c r="A713" s="18"/>
      <c r="B713" s="18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 ht="12.75" customHeight="1">
      <c r="A714" s="18"/>
      <c r="B714" s="18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 ht="12.75" customHeight="1">
      <c r="A715" s="18"/>
      <c r="B715" s="18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 ht="12.75" customHeight="1">
      <c r="A716" s="18"/>
      <c r="B716" s="18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 ht="12.75" customHeight="1">
      <c r="A717" s="18"/>
      <c r="B717" s="18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 ht="12.75" customHeight="1">
      <c r="A718" s="18"/>
      <c r="B718" s="18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 ht="12.75" customHeight="1">
      <c r="A719" s="18"/>
      <c r="B719" s="18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 ht="12.75" customHeight="1">
      <c r="A720" s="18"/>
      <c r="B720" s="18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 ht="12.75" customHeight="1">
      <c r="A721" s="18"/>
      <c r="B721" s="18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 ht="12.75" customHeight="1">
      <c r="A722" s="18"/>
      <c r="B722" s="18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 ht="12.75" customHeight="1">
      <c r="A723" s="18"/>
      <c r="B723" s="18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 ht="12.75" customHeight="1">
      <c r="A724" s="18"/>
      <c r="B724" s="18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 ht="12.75" customHeight="1">
      <c r="A725" s="18"/>
      <c r="B725" s="18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 ht="12.75" customHeight="1">
      <c r="A726" s="18"/>
      <c r="B726" s="18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 ht="12.75" customHeight="1">
      <c r="A727" s="18"/>
      <c r="B727" s="18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 ht="12.75" customHeight="1">
      <c r="A728" s="18"/>
      <c r="B728" s="18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 ht="12.75" customHeight="1">
      <c r="A729" s="18"/>
      <c r="B729" s="18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 ht="12.75" customHeight="1">
      <c r="A730" s="18"/>
      <c r="B730" s="18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 ht="12.75" customHeight="1">
      <c r="A731" s="18"/>
      <c r="B731" s="18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 ht="12.75" customHeight="1">
      <c r="A732" s="18"/>
      <c r="B732" s="18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 ht="12.75" customHeight="1">
      <c r="A733" s="18"/>
      <c r="B733" s="18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 ht="12.75" customHeight="1">
      <c r="A734" s="18"/>
      <c r="B734" s="18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 ht="12.75" customHeight="1">
      <c r="A735" s="18"/>
      <c r="B735" s="18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 ht="12.75" customHeight="1">
      <c r="A736" s="18"/>
      <c r="B736" s="18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 ht="12.75" customHeight="1">
      <c r="A737" s="18"/>
      <c r="B737" s="18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 ht="12.75" customHeight="1">
      <c r="A738" s="18"/>
      <c r="B738" s="18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 ht="12.75" customHeight="1">
      <c r="A739" s="18"/>
      <c r="B739" s="18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 ht="12.75" customHeight="1">
      <c r="A740" s="18"/>
      <c r="B740" s="18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 ht="12.75" customHeight="1">
      <c r="A741" s="18"/>
      <c r="B741" s="18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 ht="12.75" customHeight="1">
      <c r="A742" s="18"/>
      <c r="B742" s="18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 ht="12.75" customHeight="1">
      <c r="A743" s="18"/>
      <c r="B743" s="18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 ht="12.75" customHeight="1">
      <c r="A744" s="18"/>
      <c r="B744" s="18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 ht="12.75" customHeight="1">
      <c r="A745" s="18"/>
      <c r="B745" s="18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 ht="12.75" customHeight="1">
      <c r="A746" s="18"/>
      <c r="B746" s="18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 ht="12.75" customHeight="1">
      <c r="A747" s="18"/>
      <c r="B747" s="18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 ht="12.75" customHeight="1">
      <c r="A748" s="18"/>
      <c r="B748" s="18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 ht="12.75" customHeight="1">
      <c r="A749" s="18"/>
      <c r="B749" s="18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 ht="12.75" customHeight="1">
      <c r="A750" s="18"/>
      <c r="B750" s="18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 ht="12.75" customHeight="1">
      <c r="A751" s="18"/>
      <c r="B751" s="18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 ht="12.75" customHeight="1">
      <c r="A752" s="18"/>
      <c r="B752" s="18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 ht="12.75" customHeight="1">
      <c r="A753" s="18"/>
      <c r="B753" s="18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 ht="12.75" customHeight="1">
      <c r="A754" s="18"/>
      <c r="B754" s="18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 ht="12.75" customHeight="1">
      <c r="A755" s="18"/>
      <c r="B755" s="18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 ht="12.75" customHeight="1">
      <c r="A756" s="18"/>
      <c r="B756" s="18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 ht="12.75" customHeight="1">
      <c r="A757" s="18"/>
      <c r="B757" s="18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 ht="12.75" customHeight="1">
      <c r="A758" s="18"/>
      <c r="B758" s="18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 ht="12.75" customHeight="1">
      <c r="A759" s="18"/>
      <c r="B759" s="18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 ht="12.75" customHeight="1">
      <c r="A760" s="18"/>
      <c r="B760" s="18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 ht="12.75" customHeight="1">
      <c r="A761" s="18"/>
      <c r="B761" s="18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 ht="12.75" customHeight="1">
      <c r="A762" s="18"/>
      <c r="B762" s="18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 ht="12.75" customHeight="1">
      <c r="A763" s="18"/>
      <c r="B763" s="18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 ht="12.75" customHeight="1">
      <c r="A764" s="18"/>
      <c r="B764" s="18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 ht="12.75" customHeight="1">
      <c r="A765" s="18"/>
      <c r="B765" s="18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 ht="12.75" customHeight="1">
      <c r="A766" s="18"/>
      <c r="B766" s="18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 ht="12.75" customHeight="1">
      <c r="A767" s="18"/>
      <c r="B767" s="18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 ht="12.75" customHeight="1">
      <c r="A768" s="18"/>
      <c r="B768" s="18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 ht="12.75" customHeight="1">
      <c r="A769" s="18"/>
      <c r="B769" s="18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 ht="12.75" customHeight="1">
      <c r="A770" s="18"/>
      <c r="B770" s="18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 ht="12.75" customHeight="1">
      <c r="A771" s="18"/>
      <c r="B771" s="18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 ht="12.75" customHeight="1">
      <c r="A772" s="18"/>
      <c r="B772" s="18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 ht="12.75" customHeight="1">
      <c r="A773" s="18"/>
      <c r="B773" s="18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 ht="12.75" customHeight="1">
      <c r="A774" s="18"/>
      <c r="B774" s="18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 ht="12.75" customHeight="1">
      <c r="A775" s="18"/>
      <c r="B775" s="18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 ht="12.75" customHeight="1">
      <c r="A776" s="18"/>
      <c r="B776" s="18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 ht="12.75" customHeight="1">
      <c r="A777" s="18"/>
      <c r="B777" s="18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 ht="12.75" customHeight="1">
      <c r="A778" s="18"/>
      <c r="B778" s="18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 ht="12.75" customHeight="1">
      <c r="A779" s="18"/>
      <c r="B779" s="18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 ht="12.75" customHeight="1">
      <c r="A780" s="18"/>
      <c r="B780" s="18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 ht="12.75" customHeight="1">
      <c r="A781" s="18"/>
      <c r="B781" s="18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 ht="12.75" customHeight="1">
      <c r="A782" s="18"/>
      <c r="B782" s="18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 ht="12.75" customHeight="1">
      <c r="A783" s="18"/>
      <c r="B783" s="18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 ht="12.75" customHeight="1">
      <c r="A784" s="18"/>
      <c r="B784" s="18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 ht="12.75" customHeight="1">
      <c r="A785" s="18"/>
      <c r="B785" s="18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 ht="12.75" customHeight="1">
      <c r="A786" s="18"/>
      <c r="B786" s="18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 ht="12.75" customHeight="1">
      <c r="A787" s="18"/>
      <c r="B787" s="18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 ht="12.75" customHeight="1">
      <c r="A788" s="18"/>
      <c r="B788" s="18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 ht="12.75" customHeight="1">
      <c r="A789" s="18"/>
      <c r="B789" s="18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 ht="12.75" customHeight="1">
      <c r="A790" s="18"/>
      <c r="B790" s="18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 ht="12.75" customHeight="1">
      <c r="A791" s="18"/>
      <c r="B791" s="18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 ht="12.75" customHeight="1">
      <c r="A792" s="18"/>
      <c r="B792" s="18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 ht="12.75" customHeight="1">
      <c r="A793" s="18"/>
      <c r="B793" s="18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 ht="12.75" customHeight="1">
      <c r="A794" s="18"/>
      <c r="B794" s="18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 ht="12.75" customHeight="1">
      <c r="A795" s="18"/>
      <c r="B795" s="18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 ht="12.75" customHeight="1">
      <c r="A796" s="18"/>
      <c r="B796" s="18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 ht="12.75" customHeight="1">
      <c r="A797" s="18"/>
      <c r="B797" s="18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 ht="12.75" customHeight="1">
      <c r="A798" s="18"/>
      <c r="B798" s="18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 ht="12.75" customHeight="1">
      <c r="A799" s="18"/>
      <c r="B799" s="18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 ht="12.75" customHeight="1">
      <c r="A800" s="18"/>
      <c r="B800" s="18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 ht="12.75" customHeight="1">
      <c r="A801" s="18"/>
      <c r="B801" s="18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 ht="12.75" customHeight="1">
      <c r="A802" s="18"/>
      <c r="B802" s="18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 ht="12.75" customHeight="1">
      <c r="A803" s="18"/>
      <c r="B803" s="18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 ht="12.75" customHeight="1">
      <c r="A804" s="18"/>
      <c r="B804" s="18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 ht="12.75" customHeight="1">
      <c r="A805" s="18"/>
      <c r="B805" s="18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 ht="12.75" customHeight="1">
      <c r="A806" s="18"/>
      <c r="B806" s="18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 ht="12.75" customHeight="1">
      <c r="A807" s="18"/>
      <c r="B807" s="18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 ht="12.75" customHeight="1">
      <c r="A808" s="18"/>
      <c r="B808" s="18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 ht="12.75" customHeight="1">
      <c r="A809" s="18"/>
      <c r="B809" s="18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 ht="12.75" customHeight="1">
      <c r="A810" s="18"/>
      <c r="B810" s="18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 ht="12.75" customHeight="1">
      <c r="A811" s="18"/>
      <c r="B811" s="18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 ht="12.75" customHeight="1">
      <c r="A812" s="18"/>
      <c r="B812" s="18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 ht="12.75" customHeight="1">
      <c r="A813" s="18"/>
      <c r="B813" s="18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 ht="12.75" customHeight="1">
      <c r="A814" s="18"/>
      <c r="B814" s="18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 ht="12.75" customHeight="1">
      <c r="A815" s="18"/>
      <c r="B815" s="18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 ht="12.75" customHeight="1">
      <c r="A816" s="18"/>
      <c r="B816" s="18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 ht="12.75" customHeight="1">
      <c r="A817" s="18"/>
      <c r="B817" s="18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 ht="12.75" customHeight="1">
      <c r="A818" s="18"/>
      <c r="B818" s="18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 ht="12.75" customHeight="1">
      <c r="A819" s="18"/>
      <c r="B819" s="18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 ht="12.75" customHeight="1">
      <c r="A820" s="18"/>
      <c r="B820" s="18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 ht="12.75" customHeight="1">
      <c r="A821" s="18"/>
      <c r="B821" s="18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 ht="12.75" customHeight="1">
      <c r="A822" s="18"/>
      <c r="B822" s="18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 ht="12.75" customHeight="1">
      <c r="A823" s="18"/>
      <c r="B823" s="18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 ht="12.75" customHeight="1">
      <c r="A824" s="18"/>
      <c r="B824" s="18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 ht="12.75" customHeight="1">
      <c r="A825" s="18"/>
      <c r="B825" s="18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 ht="12.75" customHeight="1">
      <c r="A826" s="18"/>
      <c r="B826" s="18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 ht="12.75" customHeight="1">
      <c r="A827" s="18"/>
      <c r="B827" s="18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 ht="12.75" customHeight="1">
      <c r="A828" s="18"/>
      <c r="B828" s="18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 ht="12.75" customHeight="1">
      <c r="A829" s="18"/>
      <c r="B829" s="18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 ht="12.75" customHeight="1">
      <c r="A830" s="18"/>
      <c r="B830" s="18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 ht="12.75" customHeight="1">
      <c r="A831" s="18"/>
      <c r="B831" s="18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 ht="12.75" customHeight="1">
      <c r="A832" s="18"/>
      <c r="B832" s="18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 ht="12.75" customHeight="1">
      <c r="A833" s="18"/>
      <c r="B833" s="18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 ht="12.75" customHeight="1">
      <c r="A834" s="18"/>
      <c r="B834" s="18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 ht="12.75" customHeight="1">
      <c r="A835" s="18"/>
      <c r="B835" s="18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 ht="12.75" customHeight="1">
      <c r="A836" s="18"/>
      <c r="B836" s="18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 ht="12.75" customHeight="1">
      <c r="A837" s="18"/>
      <c r="B837" s="18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 ht="12.75" customHeight="1">
      <c r="A838" s="18"/>
      <c r="B838" s="18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 ht="12.75" customHeight="1">
      <c r="A839" s="18"/>
      <c r="B839" s="18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 ht="12.75" customHeight="1">
      <c r="A840" s="18"/>
      <c r="B840" s="18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 ht="12.75" customHeight="1">
      <c r="A841" s="18"/>
      <c r="B841" s="18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 ht="12.75" customHeight="1">
      <c r="A842" s="18"/>
      <c r="B842" s="18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 ht="12.75" customHeight="1">
      <c r="A843" s="18"/>
      <c r="B843" s="18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 ht="12.75" customHeight="1">
      <c r="A844" s="18"/>
      <c r="B844" s="18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 ht="12.75" customHeight="1">
      <c r="A845" s="18"/>
      <c r="B845" s="18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 ht="12.75" customHeight="1">
      <c r="A846" s="18"/>
      <c r="B846" s="18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 ht="12.75" customHeight="1">
      <c r="A847" s="18"/>
      <c r="B847" s="18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 ht="12.75" customHeight="1">
      <c r="A848" s="18"/>
      <c r="B848" s="18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 ht="12.75" customHeight="1">
      <c r="A849" s="18"/>
      <c r="B849" s="18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 ht="12.75" customHeight="1">
      <c r="A850" s="18"/>
      <c r="B850" s="18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 ht="12.75" customHeight="1">
      <c r="A851" s="18"/>
      <c r="B851" s="18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 ht="12.75" customHeight="1">
      <c r="A852" s="18"/>
      <c r="B852" s="18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 ht="12.75" customHeight="1">
      <c r="A853" s="18"/>
      <c r="B853" s="18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 ht="12.75" customHeight="1">
      <c r="A854" s="18"/>
      <c r="B854" s="18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 ht="12.75" customHeight="1">
      <c r="A855" s="18"/>
      <c r="B855" s="18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 ht="12.75" customHeight="1">
      <c r="A856" s="18"/>
      <c r="B856" s="18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 ht="12.75" customHeight="1">
      <c r="A857" s="18"/>
      <c r="B857" s="18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 ht="12.75" customHeight="1">
      <c r="A858" s="18"/>
      <c r="B858" s="18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 ht="12.75" customHeight="1">
      <c r="A859" s="18"/>
      <c r="B859" s="18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 ht="12.75" customHeight="1">
      <c r="A860" s="18"/>
      <c r="B860" s="18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 ht="12.75" customHeight="1">
      <c r="A861" s="18"/>
      <c r="B861" s="18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 ht="12.75" customHeight="1">
      <c r="A862" s="18"/>
      <c r="B862" s="18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 ht="12.75" customHeight="1">
      <c r="A863" s="18"/>
      <c r="B863" s="18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 ht="12.75" customHeight="1">
      <c r="A864" s="18"/>
      <c r="B864" s="18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 ht="12.75" customHeight="1">
      <c r="A865" s="18"/>
      <c r="B865" s="18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 ht="12.75" customHeight="1">
      <c r="A866" s="18"/>
      <c r="B866" s="18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 ht="12.75" customHeight="1">
      <c r="A867" s="18"/>
      <c r="B867" s="18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 ht="12.75" customHeight="1">
      <c r="A868" s="18"/>
      <c r="B868" s="18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 ht="12.75" customHeight="1">
      <c r="A869" s="18"/>
      <c r="B869" s="18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 ht="12.75" customHeight="1">
      <c r="A870" s="18"/>
      <c r="B870" s="18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 ht="12.75" customHeight="1">
      <c r="A871" s="18"/>
      <c r="B871" s="18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 ht="12.75" customHeight="1">
      <c r="A872" s="18"/>
      <c r="B872" s="18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 ht="12.75" customHeight="1">
      <c r="A873" s="18"/>
      <c r="B873" s="18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 ht="12.75" customHeight="1">
      <c r="A874" s="18"/>
      <c r="B874" s="18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 ht="12.75" customHeight="1">
      <c r="A875" s="18"/>
      <c r="B875" s="18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 ht="12.75" customHeight="1">
      <c r="A876" s="18"/>
      <c r="B876" s="18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 ht="12.75" customHeight="1">
      <c r="A877" s="18"/>
      <c r="B877" s="18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 ht="12.75" customHeight="1">
      <c r="A878" s="18"/>
      <c r="B878" s="18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 ht="12.75" customHeight="1">
      <c r="A879" s="18"/>
      <c r="B879" s="18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 ht="12.75" customHeight="1">
      <c r="A880" s="18"/>
      <c r="B880" s="18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 ht="12.75" customHeight="1">
      <c r="A881" s="18"/>
      <c r="B881" s="18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 ht="12.75" customHeight="1">
      <c r="A882" s="18"/>
      <c r="B882" s="18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 ht="12.75" customHeight="1">
      <c r="A883" s="18"/>
      <c r="B883" s="18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 ht="12.75" customHeight="1">
      <c r="A884" s="18"/>
      <c r="B884" s="18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 ht="12.75" customHeight="1">
      <c r="A885" s="18"/>
      <c r="B885" s="18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 ht="12.75" customHeight="1">
      <c r="A886" s="18"/>
      <c r="B886" s="18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 ht="12.75" customHeight="1">
      <c r="A887" s="18"/>
      <c r="B887" s="18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 ht="12.75" customHeight="1">
      <c r="A888" s="18"/>
      <c r="B888" s="18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 ht="12.75" customHeight="1">
      <c r="A889" s="18"/>
      <c r="B889" s="18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 ht="12.75" customHeight="1">
      <c r="A890" s="18"/>
      <c r="B890" s="18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 ht="12.75" customHeight="1">
      <c r="A891" s="18"/>
      <c r="B891" s="18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 ht="12.75" customHeight="1">
      <c r="A892" s="18"/>
      <c r="B892" s="18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 ht="12.75" customHeight="1">
      <c r="A893" s="18"/>
      <c r="B893" s="18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 ht="12.75" customHeight="1">
      <c r="A894" s="18"/>
      <c r="B894" s="18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 ht="12.75" customHeight="1">
      <c r="A895" s="18"/>
      <c r="B895" s="18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 ht="12.75" customHeight="1">
      <c r="A896" s="18"/>
      <c r="B896" s="18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 ht="12.75" customHeight="1">
      <c r="A897" s="18"/>
      <c r="B897" s="18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 ht="12.75" customHeight="1">
      <c r="A898" s="18"/>
      <c r="B898" s="18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 ht="12.75" customHeight="1">
      <c r="A899" s="18"/>
      <c r="B899" s="18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 ht="12.75" customHeight="1">
      <c r="A900" s="18"/>
      <c r="B900" s="18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 ht="12.75" customHeight="1">
      <c r="A901" s="18"/>
      <c r="B901" s="18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 ht="12.75" customHeight="1">
      <c r="A902" s="18"/>
      <c r="B902" s="18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 ht="12.75" customHeight="1">
      <c r="A903" s="18"/>
      <c r="B903" s="18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 ht="12.75" customHeight="1">
      <c r="A904" s="18"/>
      <c r="B904" s="18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 ht="12.75" customHeight="1">
      <c r="A905" s="18"/>
      <c r="B905" s="18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 ht="12.75" customHeight="1">
      <c r="A906" s="18"/>
      <c r="B906" s="18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 ht="12.75" customHeight="1">
      <c r="A907" s="18"/>
      <c r="B907" s="18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 ht="12.75" customHeight="1">
      <c r="A908" s="18"/>
      <c r="B908" s="18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 ht="12.75" customHeight="1">
      <c r="A909" s="18"/>
      <c r="B909" s="18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 ht="12.75" customHeight="1">
      <c r="A910" s="18"/>
      <c r="B910" s="18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 ht="12.75" customHeight="1">
      <c r="A911" s="18"/>
      <c r="B911" s="18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 ht="12.75" customHeight="1">
      <c r="A912" s="18"/>
      <c r="B912" s="18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 ht="12.75" customHeight="1">
      <c r="A913" s="18"/>
      <c r="B913" s="18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 ht="12.75" customHeight="1">
      <c r="A914" s="18"/>
      <c r="B914" s="18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 ht="12.75" customHeight="1">
      <c r="A915" s="18"/>
      <c r="B915" s="18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 ht="12.75" customHeight="1">
      <c r="A916" s="18"/>
      <c r="B916" s="18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 ht="12.75" customHeight="1">
      <c r="A917" s="18"/>
      <c r="B917" s="18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 ht="12.75" customHeight="1">
      <c r="A918" s="18"/>
      <c r="B918" s="18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 ht="12.75" customHeight="1">
      <c r="A919" s="18"/>
      <c r="B919" s="18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 ht="12.75" customHeight="1">
      <c r="A920" s="18"/>
      <c r="B920" s="18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 ht="12.75" customHeight="1">
      <c r="A921" s="18"/>
      <c r="B921" s="18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 ht="12.75" customHeight="1">
      <c r="A922" s="18"/>
      <c r="B922" s="18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 ht="12.75" customHeight="1">
      <c r="A923" s="18"/>
      <c r="B923" s="18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 ht="12.75" customHeight="1">
      <c r="A924" s="18"/>
      <c r="B924" s="18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 ht="12.75" customHeight="1">
      <c r="A925" s="18"/>
      <c r="B925" s="18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 ht="12.75" customHeight="1">
      <c r="A926" s="18"/>
      <c r="B926" s="18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 ht="12.75" customHeight="1">
      <c r="A927" s="18"/>
      <c r="B927" s="18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 ht="12.75" customHeight="1">
      <c r="A928" s="18"/>
      <c r="B928" s="18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 ht="12.75" customHeight="1">
      <c r="A929" s="18"/>
      <c r="B929" s="18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 ht="12.75" customHeight="1">
      <c r="A930" s="18"/>
      <c r="B930" s="18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 ht="12.75" customHeight="1">
      <c r="A931" s="18"/>
      <c r="B931" s="18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 ht="12.75" customHeight="1">
      <c r="A932" s="18"/>
      <c r="B932" s="18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 ht="12.75" customHeight="1">
      <c r="A933" s="18"/>
      <c r="B933" s="18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 ht="12.75" customHeight="1">
      <c r="A934" s="18"/>
      <c r="B934" s="18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 ht="12.75" customHeight="1">
      <c r="A935" s="18"/>
      <c r="B935" s="18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 ht="12.75" customHeight="1">
      <c r="A936" s="18"/>
      <c r="B936" s="18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 ht="12.75" customHeight="1">
      <c r="A937" s="18"/>
      <c r="B937" s="18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 ht="12.75" customHeight="1">
      <c r="A938" s="18"/>
      <c r="B938" s="18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 ht="12.75" customHeight="1">
      <c r="A939" s="18"/>
      <c r="B939" s="18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 ht="12.75" customHeight="1">
      <c r="A940" s="18"/>
      <c r="B940" s="18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 ht="12.75" customHeight="1">
      <c r="A941" s="18"/>
      <c r="B941" s="18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 ht="12.75" customHeight="1">
      <c r="A942" s="18"/>
      <c r="B942" s="18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 ht="12.75" customHeight="1">
      <c r="A943" s="18"/>
      <c r="B943" s="18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 ht="12.75" customHeight="1">
      <c r="A944" s="18"/>
      <c r="B944" s="18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 ht="12.75" customHeight="1">
      <c r="A945" s="18"/>
      <c r="B945" s="18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 ht="12.75" customHeight="1">
      <c r="A946" s="18"/>
      <c r="B946" s="18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 ht="12.75" customHeight="1">
      <c r="A947" s="18"/>
      <c r="B947" s="18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 ht="12.75" customHeight="1">
      <c r="A948" s="18"/>
      <c r="B948" s="18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 ht="12.75" customHeight="1">
      <c r="A949" s="18"/>
      <c r="B949" s="18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 ht="12.75" customHeight="1">
      <c r="A950" s="18"/>
      <c r="B950" s="18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 ht="12.75" customHeight="1">
      <c r="A951" s="18"/>
      <c r="B951" s="18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 ht="12.75" customHeight="1">
      <c r="A952" s="18"/>
      <c r="B952" s="18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 ht="12.75" customHeight="1">
      <c r="A953" s="18"/>
      <c r="B953" s="18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 ht="12.75" customHeight="1">
      <c r="A954" s="18"/>
      <c r="B954" s="18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 ht="12.75" customHeight="1">
      <c r="A955" s="18"/>
      <c r="B955" s="18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 ht="12.75" customHeight="1">
      <c r="A956" s="18"/>
      <c r="B956" s="18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 ht="12.75" customHeight="1">
      <c r="A957" s="18"/>
      <c r="B957" s="18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 ht="12.75" customHeight="1">
      <c r="A958" s="18"/>
      <c r="B958" s="18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 ht="12.75" customHeight="1">
      <c r="A959" s="18"/>
      <c r="B959" s="18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 ht="12.75" customHeight="1">
      <c r="A960" s="18"/>
      <c r="B960" s="18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 ht="12.75" customHeight="1">
      <c r="A961" s="18"/>
      <c r="B961" s="18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 ht="12.75" customHeight="1">
      <c r="A962" s="18"/>
      <c r="B962" s="18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 ht="12.75" customHeight="1">
      <c r="A963" s="18"/>
      <c r="B963" s="18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 ht="12.75" customHeight="1">
      <c r="A964" s="18"/>
      <c r="B964" s="18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 ht="12.75" customHeight="1">
      <c r="A965" s="18"/>
      <c r="B965" s="18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 ht="12.75" customHeight="1">
      <c r="A966" s="18"/>
      <c r="B966" s="18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 ht="12.75" customHeight="1">
      <c r="A967" s="18"/>
      <c r="B967" s="18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 ht="12.75" customHeight="1">
      <c r="A968" s="18"/>
      <c r="B968" s="18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 ht="12.75" customHeight="1">
      <c r="A969" s="18"/>
      <c r="B969" s="18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 ht="12.75" customHeight="1">
      <c r="A970" s="18"/>
      <c r="B970" s="18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 ht="12.75" customHeight="1">
      <c r="A971" s="18"/>
      <c r="B971" s="18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 ht="12.75" customHeight="1">
      <c r="A972" s="18"/>
      <c r="B972" s="18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 ht="12.75" customHeight="1">
      <c r="A973" s="18"/>
      <c r="B973" s="18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 ht="12.75" customHeight="1">
      <c r="A974" s="18"/>
      <c r="B974" s="18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 ht="12.75" customHeight="1">
      <c r="A975" s="18"/>
      <c r="B975" s="18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 ht="12.75" customHeight="1">
      <c r="A976" s="18"/>
      <c r="B976" s="18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 ht="12.75" customHeight="1">
      <c r="A977" s="18"/>
      <c r="B977" s="18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 ht="12.75" customHeight="1">
      <c r="A978" s="18"/>
      <c r="B978" s="18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 ht="12.75" customHeight="1">
      <c r="A979" s="18"/>
      <c r="B979" s="18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 ht="12.75" customHeight="1">
      <c r="A980" s="18"/>
      <c r="B980" s="18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 ht="12.75" customHeight="1">
      <c r="A981" s="18"/>
      <c r="B981" s="18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 ht="12.75" customHeight="1">
      <c r="A982" s="18"/>
      <c r="B982" s="18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 ht="12.75" customHeight="1">
      <c r="A983" s="18"/>
      <c r="B983" s="18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 ht="12.75" customHeight="1">
      <c r="A984" s="18"/>
      <c r="B984" s="18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 ht="12.75" customHeight="1">
      <c r="A985" s="18"/>
      <c r="B985" s="18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 ht="12.75" customHeight="1">
      <c r="A986" s="18"/>
      <c r="B986" s="18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 ht="12.75" customHeight="1">
      <c r="A987" s="18"/>
      <c r="B987" s="18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 ht="12.75" customHeight="1">
      <c r="A988" s="18"/>
      <c r="B988" s="18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 ht="12.75" customHeight="1">
      <c r="A989" s="18"/>
      <c r="B989" s="18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 ht="12.75" customHeight="1">
      <c r="A990" s="18"/>
      <c r="B990" s="18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 ht="12.75" customHeight="1">
      <c r="A991" s="18"/>
      <c r="B991" s="18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 ht="12.75" customHeight="1">
      <c r="A992" s="18"/>
      <c r="B992" s="18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r="993" ht="12.75" customHeight="1">
      <c r="A993" s="18"/>
      <c r="B993" s="18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</row>
    <row r="994" ht="12.75" customHeight="1">
      <c r="A994" s="18"/>
      <c r="B994" s="18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  <row r="995" ht="12.75" customHeight="1">
      <c r="A995" s="18"/>
      <c r="B995" s="18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</row>
    <row r="996" ht="12.75" customHeight="1">
      <c r="A996" s="18"/>
      <c r="B996" s="18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</row>
    <row r="997" ht="12.75" customHeight="1">
      <c r="A997" s="18"/>
      <c r="B997" s="18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</row>
    <row r="998" ht="12.75" customHeight="1">
      <c r="A998" s="18"/>
      <c r="B998" s="18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</row>
    <row r="999" ht="12.75" customHeight="1">
      <c r="A999" s="18"/>
      <c r="B999" s="18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</row>
    <row r="1000" ht="12.75" customHeight="1">
      <c r="A1000" s="18"/>
      <c r="B1000" s="18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</row>
    <row r="1001" ht="12.75" customHeight="1">
      <c r="A1001" s="18"/>
      <c r="B1001" s="18"/>
      <c r="C1001" s="22"/>
      <c r="D1001" s="22"/>
      <c r="E1001" s="22"/>
      <c r="F1001" s="22"/>
      <c r="G1001" s="22"/>
      <c r="H1001" s="22"/>
      <c r="I1001" s="22"/>
      <c r="J1001" s="22"/>
      <c r="K1001" s="22"/>
      <c r="L1001" s="22"/>
      <c r="M1001" s="22"/>
      <c r="N1001" s="22"/>
      <c r="O1001" s="22"/>
      <c r="P1001" s="22"/>
      <c r="Q1001" s="22"/>
      <c r="R1001" s="22"/>
      <c r="S1001" s="22"/>
      <c r="T1001" s="22"/>
      <c r="U1001" s="22"/>
      <c r="V1001" s="22"/>
      <c r="W1001" s="22"/>
      <c r="X1001" s="22"/>
      <c r="Y1001" s="22"/>
      <c r="Z1001" s="22"/>
    </row>
    <row r="1002" ht="12.75" customHeight="1">
      <c r="A1002" s="18"/>
      <c r="B1002" s="18"/>
      <c r="C1002" s="22"/>
      <c r="D1002" s="22"/>
      <c r="E1002" s="22"/>
      <c r="F1002" s="22"/>
      <c r="G1002" s="22"/>
      <c r="H1002" s="22"/>
      <c r="I1002" s="22"/>
      <c r="J1002" s="22"/>
      <c r="K1002" s="22"/>
      <c r="L1002" s="22"/>
      <c r="M1002" s="22"/>
      <c r="N1002" s="22"/>
      <c r="O1002" s="22"/>
      <c r="P1002" s="22"/>
      <c r="Q1002" s="22"/>
      <c r="R1002" s="22"/>
      <c r="S1002" s="22"/>
      <c r="T1002" s="22"/>
      <c r="U1002" s="22"/>
      <c r="V1002" s="22"/>
      <c r="W1002" s="22"/>
      <c r="X1002" s="22"/>
      <c r="Y1002" s="22"/>
      <c r="Z1002" s="22"/>
    </row>
    <row r="1003" ht="12.75" customHeight="1">
      <c r="A1003" s="18"/>
      <c r="B1003" s="18"/>
      <c r="C1003" s="22"/>
      <c r="D1003" s="22"/>
      <c r="E1003" s="22"/>
      <c r="F1003" s="22"/>
      <c r="G1003" s="22"/>
      <c r="H1003" s="22"/>
      <c r="I1003" s="22"/>
      <c r="J1003" s="22"/>
      <c r="K1003" s="22"/>
      <c r="L1003" s="22"/>
      <c r="M1003" s="22"/>
      <c r="N1003" s="22"/>
      <c r="O1003" s="22"/>
      <c r="P1003" s="22"/>
      <c r="Q1003" s="22"/>
      <c r="R1003" s="22"/>
      <c r="S1003" s="22"/>
      <c r="T1003" s="22"/>
      <c r="U1003" s="22"/>
      <c r="V1003" s="22"/>
      <c r="W1003" s="22"/>
      <c r="X1003" s="22"/>
      <c r="Y1003" s="22"/>
      <c r="Z1003" s="22"/>
    </row>
  </sheetData>
  <hyperlinks>
    <hyperlink display="Main" location="Main!A1" ref="A1"/>
  </hyperlin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