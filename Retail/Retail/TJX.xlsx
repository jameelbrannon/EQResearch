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Model" sheetId="2" r:id="rId6"/>
  </sheets>
  <definedNames/>
  <calcPr/>
</workbook>
</file>

<file path=xl/sharedStrings.xml><?xml version="1.0" encoding="utf-8"?>
<sst xmlns="http://schemas.openxmlformats.org/spreadsheetml/2006/main" count="140" uniqueCount="122">
  <si>
    <t>IR</t>
  </si>
  <si>
    <t>Main</t>
  </si>
  <si>
    <t>CEO: Mr. Ernie L. Herrman</t>
  </si>
  <si>
    <t>P</t>
  </si>
  <si>
    <t>$M</t>
  </si>
  <si>
    <t>CFO: Mitch Nadler</t>
  </si>
  <si>
    <t>S</t>
  </si>
  <si>
    <t>Q127</t>
  </si>
  <si>
    <t>MC</t>
  </si>
  <si>
    <t>C</t>
  </si>
  <si>
    <t>D</t>
  </si>
  <si>
    <t>EV</t>
  </si>
  <si>
    <t>Q125</t>
  </si>
  <si>
    <t>Q225</t>
  </si>
  <si>
    <t>Q325</t>
  </si>
  <si>
    <t>Q425</t>
  </si>
  <si>
    <t>Q126</t>
  </si>
  <si>
    <t>Q226</t>
  </si>
  <si>
    <t>Q326</t>
  </si>
  <si>
    <t>Q426</t>
  </si>
  <si>
    <t>Q127E</t>
  </si>
  <si>
    <t>Q227E</t>
  </si>
  <si>
    <t>Q327E</t>
  </si>
  <si>
    <t>Q427E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</si>
  <si>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</si>
  <si>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</si>
  <si>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</si>
  <si>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</si>
  <si>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</si>
  <si>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</si>
  <si>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</si>
  <si>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</si>
  <si>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</si>
  <si>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2036E</t>
  </si>
  <si>
    <t>Marmaxx</t>
  </si>
  <si>
    <t>TJ Maxx</t>
  </si>
  <si>
    <t>Marshalls</t>
  </si>
  <si>
    <t>Homegoods</t>
  </si>
  <si>
    <t>HomeGoods</t>
  </si>
  <si>
    <t>Sierra</t>
  </si>
  <si>
    <t>Homesense</t>
  </si>
  <si>
    <t>U.S. Stores</t>
  </si>
  <si>
    <t xml:space="preserve">Winners </t>
  </si>
  <si>
    <t>HomeSense</t>
  </si>
  <si>
    <t>Canada Stores</t>
  </si>
  <si>
    <t>TK Maxx</t>
  </si>
  <si>
    <t>Europe Stores</t>
  </si>
  <si>
    <t>Austrailia Stores</t>
  </si>
  <si>
    <t>Total Stores</t>
  </si>
  <si>
    <t>SSS</t>
  </si>
  <si>
    <t>TJX Canada</t>
  </si>
  <si>
    <t xml:space="preserve">TJX International </t>
  </si>
  <si>
    <t xml:space="preserve">Net Sales </t>
  </si>
  <si>
    <t>CoS</t>
  </si>
  <si>
    <t>SG&amp;A</t>
  </si>
  <si>
    <t>Interest Expense</t>
  </si>
  <si>
    <t>Earnings Before Taxes</t>
  </si>
  <si>
    <t>Taxes</t>
  </si>
  <si>
    <t xml:space="preserve">Net Income </t>
  </si>
  <si>
    <t>Diluted</t>
  </si>
  <si>
    <t>EPS</t>
  </si>
  <si>
    <t xml:space="preserve">Terminal </t>
  </si>
  <si>
    <t xml:space="preserve">Growth YY </t>
  </si>
  <si>
    <t>Discount</t>
  </si>
  <si>
    <t>NPV</t>
  </si>
  <si>
    <t>Shares</t>
  </si>
  <si>
    <t>Estimate</t>
  </si>
  <si>
    <t>Current</t>
  </si>
  <si>
    <t>Upside</t>
  </si>
  <si>
    <t>Merchandise Inventory</t>
  </si>
  <si>
    <t>A/R</t>
  </si>
  <si>
    <t>Gross Margin</t>
  </si>
  <si>
    <t>Operating Margin</t>
  </si>
  <si>
    <t>Pretax Margin</t>
  </si>
  <si>
    <t xml:space="preserve">Cash </t>
  </si>
  <si>
    <t>A/R &amp; OCA</t>
  </si>
  <si>
    <t>PPE</t>
  </si>
  <si>
    <t xml:space="preserve">Op Lease </t>
  </si>
  <si>
    <t>Goodwill</t>
  </si>
  <si>
    <t>OA</t>
  </si>
  <si>
    <t xml:space="preserve">Total Assets </t>
  </si>
  <si>
    <t>A/P</t>
  </si>
  <si>
    <t>Accrued Expenses &amp; OCL</t>
  </si>
  <si>
    <t>Current Op Lease</t>
  </si>
  <si>
    <t>Current Debt</t>
  </si>
  <si>
    <t>OLTL</t>
  </si>
  <si>
    <t>NC Deferred I/T</t>
  </si>
  <si>
    <t>LT Op Lease</t>
  </si>
  <si>
    <t>LTD</t>
  </si>
  <si>
    <t>Equity</t>
  </si>
  <si>
    <t>Total Liabilities + Equity</t>
  </si>
  <si>
    <t>Total Debt</t>
  </si>
  <si>
    <t>Total Cash</t>
  </si>
  <si>
    <t>Net Cash</t>
  </si>
  <si>
    <t>DSO</t>
  </si>
  <si>
    <t xml:space="preserve">DIO </t>
  </si>
  <si>
    <t>DPO</t>
  </si>
  <si>
    <t>CCC</t>
  </si>
  <si>
    <t xml:space="preserve">Model NI </t>
  </si>
  <si>
    <t>D&amp;A</t>
  </si>
  <si>
    <t>Deferred I/T</t>
  </si>
  <si>
    <t>SBC</t>
  </si>
  <si>
    <t>Merch Inventory</t>
  </si>
  <si>
    <t>Incom Tax recoverable</t>
  </si>
  <si>
    <t>Accrued Exp &amp; Other</t>
  </si>
  <si>
    <t>Net Op Lease</t>
  </si>
  <si>
    <t>Other</t>
  </si>
  <si>
    <t>CFFO</t>
  </si>
  <si>
    <t>CapEx</t>
  </si>
  <si>
    <t>Purchase of EQ Investments</t>
  </si>
  <si>
    <t>Purchases of Investments</t>
  </si>
  <si>
    <t>Sales and Maturities of Investments</t>
  </si>
  <si>
    <t>CFFI</t>
  </si>
  <si>
    <t>Buybacks</t>
  </si>
  <si>
    <t xml:space="preserve">Cash Dividends Paid </t>
  </si>
  <si>
    <t>Proceeds from Issuance of Common</t>
  </si>
  <si>
    <t>CFFF</t>
  </si>
  <si>
    <t>Fx</t>
  </si>
  <si>
    <t>Net Cash Increase</t>
  </si>
  <si>
    <t>Cash @ Begin</t>
  </si>
  <si>
    <t xml:space="preserve">Ending Cash </t>
  </si>
  <si>
    <t xml:space="preserve">Free Cash Flow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</si>
</sst>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&quot;/&quot;yy"/>
    <numFmt numFmtId="165" formatCode="yyyy/m"/>
    <numFmt numFmtId="166" formatCode="#,##0.0"/>
    <numFmt numFmtId="167" formatCode="0.0%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CCCCCC"/>
      <name val="Arial"/>
      <scheme val="minor"/>
    </font>
    <font>
      <color rgb="FF1C4587"/>
      <name val="Arial"/>
      <scheme val="minor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3" xfId="0" applyAlignment="1" applyFont="1" applyNumberFormat="1">
      <alignment horizontal="right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5" numFmtId="3" xfId="0" applyAlignment="1" applyFont="1" applyNumberFormat="1">
      <alignment horizontal="right" readingOrder="0"/>
    </xf>
    <xf borderId="0" fillId="0" fontId="1" numFmtId="10" xfId="0" applyAlignment="1" applyFont="1" applyNumberFormat="1">
      <alignment readingOrder="0"/>
    </xf>
    <xf borderId="0" fillId="0" fontId="1" numFmtId="10" xfId="0" applyAlignment="1" applyFont="1" applyNumberFormat="1">
      <alignment horizontal="right" readingOrder="0"/>
    </xf>
    <xf borderId="0" fillId="0" fontId="1" numFmtId="10" xfId="0" applyAlignment="1" applyFont="1" applyNumberFormat="1">
      <alignment horizontal="right"/>
    </xf>
    <xf borderId="0" fillId="0" fontId="1" numFmtId="165" xfId="0" applyAlignment="1" applyFont="1" applyNumberFormat="1">
      <alignment horizontal="right" readingOrder="0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5" numFmtId="3" xfId="0" applyAlignment="1" applyFont="1" applyNumberFormat="1">
      <alignment horizontal="right"/>
    </xf>
    <xf borderId="0" fillId="0" fontId="5" numFmtId="166" xfId="0" applyAlignment="1" applyFont="1" applyNumberFormat="1">
      <alignment horizontal="right" readingOrder="0"/>
    </xf>
    <xf borderId="0" fillId="0" fontId="5" numFmtId="166" xfId="0" applyAlignment="1" applyFont="1" applyNumberFormat="1">
      <alignment horizontal="right"/>
    </xf>
    <xf borderId="0" fillId="0" fontId="1" numFmtId="166" xfId="0" applyAlignment="1" applyFont="1" applyNumberFormat="1">
      <alignment horizontal="right"/>
    </xf>
    <xf borderId="0" fillId="0" fontId="1" numFmtId="4" xfId="0" applyFont="1" applyNumberFormat="1"/>
    <xf borderId="0" fillId="0" fontId="6" numFmtId="9" xfId="0" applyFont="1" applyNumberFormat="1"/>
    <xf borderId="0" fillId="0" fontId="6" numFmtId="3" xfId="0" applyAlignment="1" applyFont="1" applyNumberFormat="1">
      <alignment readingOrder="0"/>
    </xf>
    <xf borderId="0" fillId="0" fontId="6" numFmtId="9" xfId="0" applyAlignment="1" applyFont="1" applyNumberFormat="1">
      <alignment horizontal="right"/>
    </xf>
    <xf borderId="0" fillId="0" fontId="6" numFmtId="9" xfId="0" applyAlignment="1" applyFont="1" applyNumberFormat="1">
      <alignment horizontal="right" readingOrder="0"/>
    </xf>
    <xf borderId="0" fillId="0" fontId="6" numFmtId="0" xfId="0" applyAlignment="1" applyFont="1">
      <alignment readingOrder="0"/>
    </xf>
    <xf borderId="0" fillId="0" fontId="6" numFmtId="3" xfId="0" applyFont="1" applyNumberFormat="1"/>
    <xf borderId="0" fillId="0" fontId="6" numFmtId="9" xfId="0" applyAlignment="1" applyFont="1" applyNumberFormat="1">
      <alignment readingOrder="0"/>
    </xf>
    <xf borderId="0" fillId="0" fontId="6" numFmtId="167" xfId="0" applyAlignment="1" applyFont="1" applyNumberFormat="1">
      <alignment horizontal="right"/>
    </xf>
    <xf borderId="0" fillId="0" fontId="6" numFmtId="167" xfId="0" applyFont="1" applyNumberFormat="1"/>
    <xf borderId="0" fillId="2" fontId="5" numFmtId="3" xfId="0" applyAlignment="1" applyFill="1" applyFont="1" applyNumberFormat="1">
      <alignment horizontal="right" readingOrder="0"/>
    </xf>
    <xf borderId="0" fillId="2" fontId="1" numFmtId="3" xfId="0" applyAlignment="1" applyFill="1" applyFont="1" applyNumberFormat="1">
      <alignment horizontal="right"/>
    </xf>
    <xf borderId="0" fillId="0" fontId="1" numFmtId="3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vestor.tjx.com/investors/press-releases?3a25328c53384b549deca104ca03d4316e4e2e65769942b4d7b353b637b845ec_year%5Bvalue%5D=2025&amp;3a25328c53384b549deca104ca03d4316e4e2e65769942b4d7b353b637b845ec_widget_id=3a25328c53384b549deca104ca03d4316e4e2e65769942b4d7b353b637b845ec&amp;form_build_id=form-YxNBrT3Qepkj736KBggYMWMuucSnCPMIH9lZ8U0P20c&amp;form_id=widget_form_bas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13"/>
    <col customWidth="1" min="2" max="2" width="5.13"/>
    <col customWidth="1" min="10" max="10" width="5.0"/>
    <col customWidth="1" min="12" max="12" width="5.13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" t="s">
        <v>2</v>
      </c>
      <c r="C2" s="1"/>
      <c r="D2" s="1"/>
      <c r="E2" s="1"/>
      <c r="F2" s="1"/>
      <c r="G2" s="1"/>
      <c r="H2" s="1"/>
      <c r="I2" s="1"/>
      <c r="J2" s="6" t="s">
        <v>3</v>
      </c>
      <c r="K2" s="6">
        <v>145.85</v>
      </c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 t="s">
        <v>5</v>
      </c>
      <c r="C3" s="1"/>
      <c r="D3" s="1"/>
      <c r="E3" s="1"/>
      <c r="F3" s="1"/>
      <c r="G3" s="1"/>
      <c r="H3" s="1"/>
      <c r="I3" s="1"/>
      <c r="J3" s="6" t="s">
        <v>6</v>
      </c>
      <c r="K3" s="6">
        <v>1104.704446</v>
      </c>
      <c r="L3" s="11" t="s">
        <v>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6" t="s">
        <v>8</v>
      </c>
      <c r="K4" s="1">
        <f>K2*K3</f>
        <v>161121.1434</v>
      </c>
      <c r="L4" s="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6" t="s">
        <v>9</v>
      </c>
      <c r="K5" s="1">
        <f>5580+0</f>
        <v>5580</v>
      </c>
      <c r="L5" s="5" t="str">
        <f>L3</f>
        <v>Q127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6" t="s">
        <v>10</v>
      </c>
      <c r="K6" s="1">
        <f>999+1871</f>
        <v>2870</v>
      </c>
      <c r="L6" s="5" t="str">
        <f>L5</f>
        <v>Q127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6" t="s">
        <v>11</v>
      </c>
      <c r="K7" s="1">
        <f>K4-K5+K6</f>
        <v>158411.1434</v>
      </c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6"/>
      <c r="C11" s="6"/>
      <c r="D11" s="6"/>
      <c r="E11" s="1"/>
      <c r="F11" s="1"/>
      <c r="G11" s="1"/>
      <c r="H11" s="1"/>
      <c r="I11" s="1"/>
      <c r="J11" s="1"/>
      <c r="K11" s="1"/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6"/>
      <c r="C12" s="6"/>
      <c r="D12" s="6"/>
      <c r="E12" s="1"/>
      <c r="F12" s="1"/>
      <c r="G12" s="1"/>
      <c r="H12" s="1"/>
      <c r="I12" s="1"/>
      <c r="J12" s="1"/>
      <c r="K12" s="1"/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6"/>
      <c r="C13" s="6"/>
      <c r="D13" s="6"/>
      <c r="E13" s="1"/>
      <c r="F13" s="1"/>
      <c r="G13" s="1"/>
      <c r="H13" s="1"/>
      <c r="I13" s="1"/>
      <c r="J13" s="1"/>
      <c r="K13" s="1"/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6"/>
      <c r="C14" s="6"/>
      <c r="D14" s="6"/>
      <c r="E14" s="1"/>
      <c r="F14" s="1"/>
      <c r="G14" s="1"/>
      <c r="H14" s="1"/>
      <c r="I14" s="1"/>
      <c r="J14" s="1"/>
      <c r="K14" s="1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5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5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5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5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5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5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5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5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5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5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5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5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5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5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5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5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5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5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5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5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5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5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5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5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5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5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5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5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5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5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5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5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5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5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5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5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5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5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5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5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5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5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5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5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5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5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5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5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5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5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5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5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5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5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5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5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5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5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5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5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5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5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5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5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5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5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5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5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5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5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5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5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5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5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5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5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5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5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5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5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5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5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5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5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5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5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5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5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5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5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5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5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5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5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5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5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5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5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5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5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5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5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5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5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5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5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5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5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5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5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5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5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5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5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5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5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5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5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5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5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5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5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5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5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5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5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5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5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5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5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5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5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5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5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5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5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5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5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5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5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5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5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5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5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5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5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5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5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5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5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5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5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5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5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5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5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5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5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5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5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5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5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5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5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5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5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5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5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5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5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5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5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5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5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5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5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5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5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5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5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5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5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5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5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5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5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5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5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5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5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5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5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5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5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5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5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5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5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5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5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5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5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5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5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5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5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5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5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5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5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5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5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5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5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5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5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5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5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5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5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5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5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5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5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5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5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5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5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5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5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5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5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5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5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5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5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5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5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5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5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5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5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5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5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5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5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5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5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5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5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5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5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5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5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5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5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5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5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5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5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5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5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5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5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5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5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5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5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5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5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5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5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5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5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5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5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5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5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5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5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5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5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5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5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5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5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5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5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5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5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5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5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5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5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5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5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5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5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5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5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5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5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5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5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5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5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5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5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5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5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5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5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5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5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5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5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5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5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5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5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5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5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5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5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5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5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5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5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5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5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5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5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5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5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5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5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5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5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5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5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5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5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5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5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5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5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5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5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5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5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5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5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5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5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5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5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5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5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5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5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5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5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5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5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5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5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5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5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5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5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5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5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5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5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5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5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5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5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5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5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5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5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5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5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5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5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5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5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5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5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5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5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5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5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5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5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5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5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5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5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5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5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5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5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5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5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5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5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5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5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5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5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5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5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5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5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5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5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5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5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5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5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5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5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5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5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5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5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5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5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5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5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5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5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5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5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5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5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5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5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5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5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5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5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5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5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5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5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5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5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5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5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5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5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5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5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5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5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5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5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5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5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5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5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5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5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5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5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5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5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5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5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5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5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5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5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5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5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5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5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5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5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5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5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5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5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5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5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5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5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5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5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5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5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5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5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5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5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5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5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5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5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5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5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5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5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5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5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5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5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5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5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5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5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5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5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5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5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5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5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5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5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5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5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5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5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5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5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5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5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5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5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5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5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5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5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5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5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5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5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5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5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5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5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5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5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5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5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5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5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5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5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5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5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5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5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5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5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5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5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5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5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5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5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5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5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5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5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5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5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5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5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5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5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5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5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5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5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5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5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5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5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5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5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5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5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5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5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5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5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5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5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5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5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5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5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5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5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5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5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5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5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5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5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5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5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5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5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5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5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5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5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5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5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5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5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5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5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5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5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5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5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5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5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5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5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5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5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5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5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5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5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5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5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5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5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5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5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5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5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5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5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5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5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5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5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5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5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5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5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5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5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5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5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5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5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5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5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5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5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5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5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5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5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5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5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5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5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5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5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5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5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5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5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5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5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5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5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5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5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5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5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5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5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5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5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5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5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5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5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5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5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5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5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5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5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5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5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5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5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5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5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5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5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5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5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5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5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5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5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5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5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5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5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5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5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5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5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5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5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5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5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5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5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5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5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5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5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5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5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5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5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5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5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5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5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5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5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5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5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5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5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5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5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5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5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5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5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5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5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5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5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5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5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5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5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5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5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5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5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5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5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5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5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5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5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5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5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5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5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5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5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5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5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5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5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5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5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5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5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5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5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5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5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5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5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5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5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5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5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5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5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5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5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5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5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5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5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5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5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5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5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5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5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5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5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5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5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5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5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5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5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5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5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5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5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5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5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5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5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5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5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5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5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5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5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5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5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5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5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5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5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5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5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5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5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5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5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5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5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5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5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5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5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5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5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5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5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5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5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5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5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5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5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5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5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5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5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5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5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5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5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5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5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5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5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5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5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5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5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5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5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5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5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5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5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5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5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5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5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5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5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5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5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5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5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5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5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5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5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5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5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5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5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5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5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5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5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5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5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5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5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5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5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5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5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5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5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5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5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5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5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5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5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5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5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5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5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5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5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5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5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5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5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5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5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5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5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5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5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location="widget-form-base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4.63"/>
    <col customWidth="1" min="2" max="2" width="27.38"/>
    <col customWidth="1" min="3" max="6" width="6.13"/>
    <col customWidth="1" min="7" max="7" width="5.88"/>
    <col customWidth="1" min="8" max="14" width="6.13"/>
    <col customWidth="1" min="15" max="16" width="4.38"/>
    <col customWidth="1" min="17" max="29" width="6.13"/>
    <col customWidth="1" min="30" max="30" width="7.0"/>
    <col customWidth="1" min="31" max="31" width="6.88"/>
    <col customWidth="1" min="32" max="34" width="7.0"/>
    <col customWidth="1" min="35" max="35" width="6.13"/>
    <col customWidth="1" min="37" max="37" width="7.0"/>
  </cols>
  <sheetData>
    <row r="1">
      <c r="A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>
      <c r="A2" s="7" t="s">
        <v>4</v>
      </c>
      <c r="B2" s="8"/>
      <c r="C2" s="9">
        <v>45416.0</v>
      </c>
      <c r="D2" s="9">
        <v>45507.0</v>
      </c>
      <c r="E2" s="9">
        <v>45598.0</v>
      </c>
      <c r="F2" s="9">
        <v>45689.0</v>
      </c>
      <c r="G2" s="9">
        <v>45780.0</v>
      </c>
      <c r="H2" s="9">
        <v>45871.0</v>
      </c>
      <c r="I2" s="9">
        <v>45962.0</v>
      </c>
      <c r="J2" s="9">
        <v>46053.0</v>
      </c>
      <c r="K2" s="9">
        <v>46144.0</v>
      </c>
      <c r="L2" s="9">
        <v>46253.0</v>
      </c>
      <c r="M2" s="9"/>
      <c r="N2" s="9"/>
      <c r="O2" s="9"/>
      <c r="P2" s="10"/>
      <c r="Q2" s="10"/>
      <c r="R2" s="10"/>
      <c r="S2" s="10"/>
      <c r="T2" s="8"/>
      <c r="U2" s="8"/>
      <c r="V2" s="10">
        <v>45325.0</v>
      </c>
      <c r="W2" s="10">
        <v>45689.0</v>
      </c>
      <c r="X2" s="10">
        <v>46053.0</v>
      </c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</row>
    <row r="3">
      <c r="C3" s="12" t="s">
        <v>12</v>
      </c>
      <c r="D3" s="12" t="s">
        <v>13</v>
      </c>
      <c r="E3" s="12" t="s">
        <v>14</v>
      </c>
      <c r="F3" s="12" t="s">
        <v>15</v>
      </c>
      <c r="G3" s="12" t="s">
        <v>16</v>
      </c>
      <c r="H3" s="12" t="s">
        <v>17</v>
      </c>
      <c r="I3" s="12" t="s">
        <v>18</v>
      </c>
      <c r="J3" s="12" t="s">
        <v>19</v>
      </c>
      <c r="K3" s="12" t="s">
        <v>20</v>
      </c>
      <c r="L3" s="12" t="s">
        <v>21</v>
      </c>
      <c r="M3" s="12" t="s">
        <v>22</v>
      </c>
      <c r="N3" s="12" t="s">
        <v>23</v>
      </c>
      <c r="O3" s="12"/>
      <c r="P3" s="7"/>
      <c r="Q3" s="7">
        <v>2019.0</v>
      </c>
      <c r="R3" s="7">
        <f t="shared" ref="R3:X3" si="1">Q3+1</f>
        <v>2020</v>
      </c>
      <c r="S3" s="7">
        <f t="shared" si="1"/>
        <v>2021</v>
      </c>
      <c r="T3" s="7">
        <f t="shared" si="1"/>
        <v>2022</v>
      </c>
      <c r="U3" s="7">
        <f t="shared" si="1"/>
        <v>2023</v>
      </c>
      <c r="V3" s="7">
        <f t="shared" si="1"/>
        <v>2024</v>
      </c>
      <c r="W3" s="7">
        <f t="shared" si="1"/>
        <v>2025</v>
      </c>
      <c r="X3" s="7">
        <f t="shared" si="1"/>
        <v>2026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</row>
    <row r="4">
      <c r="A4" s="13" t="s">
        <v>34</v>
      </c>
      <c r="B4" s="6" t="s">
        <v>35</v>
      </c>
      <c r="C4" s="14">
        <v>1322.0</v>
      </c>
      <c r="D4" s="14">
        <v>1326.0</v>
      </c>
      <c r="E4" s="14">
        <v>1331.0</v>
      </c>
      <c r="F4" s="14">
        <v>1333.0</v>
      </c>
      <c r="G4" s="14">
        <v>1338.0</v>
      </c>
      <c r="H4" s="14">
        <v>1340.0</v>
      </c>
      <c r="I4" s="14">
        <v>1346.0</v>
      </c>
      <c r="J4" s="14">
        <v>1348.0</v>
      </c>
      <c r="K4" s="14">
        <v>1354.0</v>
      </c>
      <c r="L4" s="14">
        <v>1359.0</v>
      </c>
      <c r="M4" s="5"/>
      <c r="N4" s="5"/>
      <c r="O4" s="4"/>
      <c r="V4" s="11"/>
      <c r="W4" s="11">
        <f t="shared" ref="W4:W9" si="2">F4</f>
        <v>1333</v>
      </c>
      <c r="X4" s="11">
        <f t="shared" ref="X4:X9" si="3">J4</f>
        <v>1348</v>
      </c>
    </row>
    <row r="5">
      <c r="A5" s="13" t="s">
        <v>34</v>
      </c>
      <c r="B5" s="6" t="s">
        <v>36</v>
      </c>
      <c r="C5" s="14">
        <v>1201.0</v>
      </c>
      <c r="D5" s="14">
        <v>1204.0</v>
      </c>
      <c r="E5" s="14">
        <v>1219.0</v>
      </c>
      <c r="F5" s="14">
        <v>1230.0</v>
      </c>
      <c r="G5" s="14">
        <v>1234.0</v>
      </c>
      <c r="H5" s="14">
        <v>1234.0</v>
      </c>
      <c r="I5" s="14">
        <v>1248.0</v>
      </c>
      <c r="J5" s="14">
        <v>1255.0</v>
      </c>
      <c r="K5" s="14">
        <v>1265.0</v>
      </c>
      <c r="L5" s="14">
        <v>1267.0</v>
      </c>
      <c r="M5" s="5"/>
      <c r="N5" s="5"/>
      <c r="O5" s="4"/>
      <c r="V5" s="11"/>
      <c r="W5" s="11">
        <f t="shared" si="2"/>
        <v>1230</v>
      </c>
      <c r="X5" s="11">
        <f t="shared" si="3"/>
        <v>1255</v>
      </c>
    </row>
    <row r="6">
      <c r="A6" s="13" t="s">
        <v>37</v>
      </c>
      <c r="B6" s="6" t="s">
        <v>38</v>
      </c>
      <c r="C6" s="14">
        <v>922.0</v>
      </c>
      <c r="D6" s="14">
        <v>930.0</v>
      </c>
      <c r="E6" s="14">
        <v>941.0</v>
      </c>
      <c r="F6" s="14">
        <v>943.0</v>
      </c>
      <c r="G6" s="14">
        <v>950.0</v>
      </c>
      <c r="H6" s="14">
        <v>952.0</v>
      </c>
      <c r="I6" s="14">
        <v>958.0</v>
      </c>
      <c r="J6" s="14">
        <v>963.0</v>
      </c>
      <c r="K6" s="14">
        <v>969.0</v>
      </c>
      <c r="L6" s="14">
        <v>973.0</v>
      </c>
      <c r="M6" s="5"/>
      <c r="N6" s="5"/>
      <c r="O6" s="4"/>
      <c r="V6" s="11"/>
      <c r="W6" s="11">
        <f t="shared" si="2"/>
        <v>943</v>
      </c>
      <c r="X6" s="11">
        <f t="shared" si="3"/>
        <v>963</v>
      </c>
    </row>
    <row r="7">
      <c r="A7" s="13" t="s">
        <v>34</v>
      </c>
      <c r="B7" s="6" t="s">
        <v>39</v>
      </c>
      <c r="C7" s="14">
        <v>97.0</v>
      </c>
      <c r="D7" s="14">
        <v>101.0</v>
      </c>
      <c r="E7" s="14">
        <v>109.0</v>
      </c>
      <c r="F7" s="14">
        <v>117.0</v>
      </c>
      <c r="G7" s="14">
        <v>123.0</v>
      </c>
      <c r="H7" s="14">
        <v>127.0</v>
      </c>
      <c r="I7" s="14">
        <v>141.0</v>
      </c>
      <c r="J7" s="14">
        <v>145.0</v>
      </c>
      <c r="K7" s="14">
        <v>153.0</v>
      </c>
      <c r="L7" s="14">
        <v>156.0</v>
      </c>
      <c r="M7" s="5"/>
      <c r="N7" s="5"/>
      <c r="O7" s="4"/>
      <c r="V7" s="11"/>
      <c r="W7" s="11">
        <f t="shared" si="2"/>
        <v>117</v>
      </c>
      <c r="X7" s="11">
        <f t="shared" si="3"/>
        <v>145</v>
      </c>
    </row>
    <row r="8">
      <c r="A8" s="13" t="s">
        <v>37</v>
      </c>
      <c r="B8" s="6" t="s">
        <v>40</v>
      </c>
      <c r="C8" s="14">
        <v>59.0</v>
      </c>
      <c r="D8" s="14">
        <v>62.0</v>
      </c>
      <c r="E8" s="14">
        <v>67.0</v>
      </c>
      <c r="F8" s="14">
        <v>72.0</v>
      </c>
      <c r="G8" s="14">
        <v>75.0</v>
      </c>
      <c r="H8" s="14">
        <v>76.0</v>
      </c>
      <c r="I8" s="14">
        <v>77.0</v>
      </c>
      <c r="J8" s="14">
        <v>79.0</v>
      </c>
      <c r="K8" s="14">
        <v>84.0</v>
      </c>
      <c r="L8" s="14">
        <v>86.0</v>
      </c>
      <c r="M8" s="5"/>
      <c r="N8" s="5"/>
      <c r="O8" s="4"/>
      <c r="V8" s="11"/>
      <c r="W8" s="11">
        <f t="shared" si="2"/>
        <v>72</v>
      </c>
      <c r="X8" s="11">
        <f t="shared" si="3"/>
        <v>79</v>
      </c>
    </row>
    <row r="9">
      <c r="B9" s="6" t="s">
        <v>41</v>
      </c>
      <c r="C9" s="11">
        <f t="shared" ref="C9:N9" si="4">sum(C4:C8)</f>
        <v>3601</v>
      </c>
      <c r="D9" s="11">
        <f t="shared" si="4"/>
        <v>3623</v>
      </c>
      <c r="E9" s="11">
        <f t="shared" si="4"/>
        <v>3667</v>
      </c>
      <c r="F9" s="11">
        <f t="shared" si="4"/>
        <v>3695</v>
      </c>
      <c r="G9" s="11">
        <f t="shared" si="4"/>
        <v>3720</v>
      </c>
      <c r="H9" s="11">
        <f t="shared" si="4"/>
        <v>3729</v>
      </c>
      <c r="I9" s="11">
        <f t="shared" si="4"/>
        <v>3770</v>
      </c>
      <c r="J9" s="11">
        <f t="shared" si="4"/>
        <v>3790</v>
      </c>
      <c r="K9" s="11">
        <f t="shared" si="4"/>
        <v>3825</v>
      </c>
      <c r="L9" s="11">
        <f t="shared" si="4"/>
        <v>3841</v>
      </c>
      <c r="M9" s="11">
        <f t="shared" si="4"/>
        <v>0</v>
      </c>
      <c r="N9" s="11">
        <f t="shared" si="4"/>
        <v>0</v>
      </c>
      <c r="O9" s="4"/>
      <c r="V9" s="11"/>
      <c r="W9" s="11">
        <f t="shared" si="2"/>
        <v>3695</v>
      </c>
      <c r="X9" s="11">
        <f t="shared" si="3"/>
        <v>3790</v>
      </c>
    </row>
    <row r="10">
      <c r="B10" s="6"/>
      <c r="C10" s="11"/>
      <c r="D10" s="11"/>
      <c r="E10" s="11"/>
      <c r="F10" s="5"/>
      <c r="G10" s="11"/>
      <c r="H10" s="11"/>
      <c r="I10" s="11"/>
      <c r="J10" s="5"/>
      <c r="K10" s="11"/>
      <c r="L10" s="11"/>
      <c r="M10" s="5"/>
      <c r="N10" s="5"/>
      <c r="O10" s="4"/>
      <c r="V10" s="11"/>
      <c r="W10" s="11"/>
      <c r="X10" s="11"/>
    </row>
    <row r="11">
      <c r="B11" s="6" t="s">
        <v>42</v>
      </c>
      <c r="C11" s="14">
        <v>303.0</v>
      </c>
      <c r="D11" s="14">
        <v>304.0</v>
      </c>
      <c r="E11" s="14">
        <v>307.0</v>
      </c>
      <c r="F11" s="14">
        <v>307.0</v>
      </c>
      <c r="G11" s="14">
        <v>310.0</v>
      </c>
      <c r="H11" s="14">
        <v>311.0</v>
      </c>
      <c r="I11" s="14">
        <v>315.0</v>
      </c>
      <c r="J11" s="14">
        <v>316.0</v>
      </c>
      <c r="K11" s="14">
        <v>319.0</v>
      </c>
      <c r="L11" s="14">
        <v>320.0</v>
      </c>
      <c r="M11" s="5"/>
      <c r="N11" s="5"/>
      <c r="O11" s="4"/>
      <c r="V11" s="11"/>
      <c r="W11" s="11">
        <f t="shared" ref="W11:W14" si="5">F11</f>
        <v>307</v>
      </c>
      <c r="X11" s="11">
        <f t="shared" ref="X11:X14" si="6">J11</f>
        <v>316</v>
      </c>
    </row>
    <row r="12">
      <c r="B12" s="6" t="s">
        <v>43</v>
      </c>
      <c r="C12" s="14">
        <v>158.0</v>
      </c>
      <c r="D12" s="14">
        <v>160.0</v>
      </c>
      <c r="E12" s="14">
        <v>160.0</v>
      </c>
      <c r="F12" s="14">
        <v>160.0</v>
      </c>
      <c r="G12" s="14">
        <v>161.0</v>
      </c>
      <c r="H12" s="14">
        <v>161.0</v>
      </c>
      <c r="I12" s="14">
        <v>162.0</v>
      </c>
      <c r="J12" s="14">
        <v>162.0</v>
      </c>
      <c r="K12" s="14">
        <v>162.0</v>
      </c>
      <c r="L12" s="14">
        <v>162.0</v>
      </c>
      <c r="M12" s="5"/>
      <c r="N12" s="5"/>
      <c r="O12" s="4"/>
      <c r="V12" s="11"/>
      <c r="W12" s="11">
        <f t="shared" si="5"/>
        <v>160</v>
      </c>
      <c r="X12" s="11">
        <f t="shared" si="6"/>
        <v>162</v>
      </c>
    </row>
    <row r="13">
      <c r="B13" s="6" t="s">
        <v>36</v>
      </c>
      <c r="C13" s="14">
        <v>106.0</v>
      </c>
      <c r="D13" s="14">
        <v>108.0</v>
      </c>
      <c r="E13" s="14">
        <v>109.0</v>
      </c>
      <c r="F13" s="14">
        <v>109.0</v>
      </c>
      <c r="G13" s="14">
        <v>110.0</v>
      </c>
      <c r="H13" s="14">
        <v>110.0</v>
      </c>
      <c r="I13" s="14">
        <v>111.0</v>
      </c>
      <c r="J13" s="14">
        <v>111.0</v>
      </c>
      <c r="K13" s="14">
        <v>112.0</v>
      </c>
      <c r="L13" s="14">
        <v>112.0</v>
      </c>
      <c r="M13" s="5"/>
      <c r="N13" s="5"/>
      <c r="O13" s="4"/>
      <c r="V13" s="11"/>
      <c r="W13" s="11">
        <f t="shared" si="5"/>
        <v>109</v>
      </c>
      <c r="X13" s="11">
        <f t="shared" si="6"/>
        <v>111</v>
      </c>
    </row>
    <row r="14">
      <c r="B14" s="6" t="s">
        <v>44</v>
      </c>
      <c r="C14" s="11">
        <f t="shared" ref="C14:N14" si="7">sum(C11:C13)</f>
        <v>567</v>
      </c>
      <c r="D14" s="11">
        <f t="shared" si="7"/>
        <v>572</v>
      </c>
      <c r="E14" s="11">
        <f t="shared" si="7"/>
        <v>576</v>
      </c>
      <c r="F14" s="11">
        <f t="shared" si="7"/>
        <v>576</v>
      </c>
      <c r="G14" s="11">
        <f t="shared" si="7"/>
        <v>581</v>
      </c>
      <c r="H14" s="11">
        <f t="shared" si="7"/>
        <v>582</v>
      </c>
      <c r="I14" s="11">
        <f t="shared" si="7"/>
        <v>588</v>
      </c>
      <c r="J14" s="11">
        <f t="shared" si="7"/>
        <v>589</v>
      </c>
      <c r="K14" s="11">
        <f t="shared" si="7"/>
        <v>593</v>
      </c>
      <c r="L14" s="11">
        <f t="shared" si="7"/>
        <v>594</v>
      </c>
      <c r="M14" s="11">
        <f t="shared" si="7"/>
        <v>0</v>
      </c>
      <c r="N14" s="11">
        <f t="shared" si="7"/>
        <v>0</v>
      </c>
      <c r="O14" s="4"/>
      <c r="V14" s="11"/>
      <c r="W14" s="11">
        <f t="shared" si="5"/>
        <v>576</v>
      </c>
      <c r="X14" s="11">
        <f t="shared" si="6"/>
        <v>589</v>
      </c>
    </row>
    <row r="15">
      <c r="B15" s="6"/>
      <c r="C15" s="11"/>
      <c r="D15" s="11"/>
      <c r="E15" s="11"/>
      <c r="F15" s="5"/>
      <c r="G15" s="11"/>
      <c r="H15" s="11"/>
      <c r="I15" s="11"/>
      <c r="J15" s="5"/>
      <c r="K15" s="11"/>
      <c r="L15" s="11"/>
      <c r="M15" s="5"/>
      <c r="N15" s="5"/>
      <c r="O15" s="4"/>
      <c r="V15" s="11"/>
      <c r="W15" s="11"/>
      <c r="X15" s="11"/>
    </row>
    <row r="16">
      <c r="B16" s="6" t="s">
        <v>45</v>
      </c>
      <c r="C16" s="14">
        <v>644.0</v>
      </c>
      <c r="D16" s="14">
        <v>645.0</v>
      </c>
      <c r="E16" s="14">
        <v>653.0</v>
      </c>
      <c r="F16" s="14">
        <v>655.0</v>
      </c>
      <c r="G16" s="14">
        <v>662.0</v>
      </c>
      <c r="H16" s="14">
        <v>664.0</v>
      </c>
      <c r="I16" s="14">
        <v>672.0</v>
      </c>
      <c r="J16" s="14">
        <v>673.0</v>
      </c>
      <c r="K16" s="14">
        <v>679.0</v>
      </c>
      <c r="L16" s="14">
        <v>685.0</v>
      </c>
      <c r="M16" s="5"/>
      <c r="N16" s="5"/>
      <c r="O16" s="4"/>
      <c r="V16" s="11"/>
      <c r="W16" s="11">
        <f t="shared" ref="W16:W18" si="8">F16</f>
        <v>655</v>
      </c>
      <c r="X16" s="11">
        <f t="shared" ref="X16:X18" si="9">J16</f>
        <v>673</v>
      </c>
    </row>
    <row r="17">
      <c r="B17" s="6" t="s">
        <v>40</v>
      </c>
      <c r="C17" s="14">
        <v>78.0</v>
      </c>
      <c r="D17" s="14">
        <v>77.0</v>
      </c>
      <c r="E17" s="14">
        <v>77.0</v>
      </c>
      <c r="F17" s="14">
        <v>75.0</v>
      </c>
      <c r="G17" s="14">
        <v>74.0</v>
      </c>
      <c r="H17" s="14">
        <v>74.0</v>
      </c>
      <c r="I17" s="14">
        <v>74.0</v>
      </c>
      <c r="J17" s="14">
        <v>74.0</v>
      </c>
      <c r="K17" s="14">
        <v>74.0</v>
      </c>
      <c r="L17" s="14">
        <v>74.0</v>
      </c>
      <c r="M17" s="5"/>
      <c r="N17" s="5"/>
      <c r="O17" s="4"/>
      <c r="V17" s="11"/>
      <c r="W17" s="11">
        <f t="shared" si="8"/>
        <v>75</v>
      </c>
      <c r="X17" s="11">
        <f t="shared" si="9"/>
        <v>74</v>
      </c>
    </row>
    <row r="18">
      <c r="B18" s="6" t="s">
        <v>46</v>
      </c>
      <c r="C18" s="11">
        <f t="shared" ref="C18:N18" si="10">sum(C16:C17)</f>
        <v>722</v>
      </c>
      <c r="D18" s="11">
        <f t="shared" si="10"/>
        <v>722</v>
      </c>
      <c r="E18" s="11">
        <f t="shared" si="10"/>
        <v>730</v>
      </c>
      <c r="F18" s="11">
        <f t="shared" si="10"/>
        <v>730</v>
      </c>
      <c r="G18" s="11">
        <f t="shared" si="10"/>
        <v>736</v>
      </c>
      <c r="H18" s="11">
        <f t="shared" si="10"/>
        <v>738</v>
      </c>
      <c r="I18" s="11">
        <f t="shared" si="10"/>
        <v>746</v>
      </c>
      <c r="J18" s="11">
        <f t="shared" si="10"/>
        <v>747</v>
      </c>
      <c r="K18" s="11">
        <f t="shared" si="10"/>
        <v>753</v>
      </c>
      <c r="L18" s="11">
        <f t="shared" si="10"/>
        <v>759</v>
      </c>
      <c r="M18" s="11">
        <f t="shared" si="10"/>
        <v>0</v>
      </c>
      <c r="N18" s="11">
        <f t="shared" si="10"/>
        <v>0</v>
      </c>
      <c r="O18" s="4"/>
      <c r="V18" s="11"/>
      <c r="W18" s="11">
        <f t="shared" si="8"/>
        <v>730</v>
      </c>
      <c r="X18" s="11">
        <f t="shared" si="9"/>
        <v>747</v>
      </c>
    </row>
    <row r="19">
      <c r="B19" s="6"/>
      <c r="C19" s="11"/>
      <c r="D19" s="11"/>
      <c r="E19" s="11"/>
      <c r="F19" s="5"/>
      <c r="G19" s="11"/>
      <c r="H19" s="11"/>
      <c r="I19" s="11"/>
      <c r="J19" s="5"/>
      <c r="K19" s="11"/>
      <c r="L19" s="11"/>
      <c r="M19" s="5"/>
      <c r="N19" s="5"/>
      <c r="O19" s="4"/>
      <c r="V19" s="11"/>
      <c r="W19" s="11"/>
      <c r="X19" s="11"/>
    </row>
    <row r="20">
      <c r="B20" s="6" t="s">
        <v>45</v>
      </c>
      <c r="C20" s="14">
        <v>82.0</v>
      </c>
      <c r="D20" s="14">
        <v>84.0</v>
      </c>
      <c r="E20" s="14">
        <v>84.0</v>
      </c>
      <c r="F20" s="14">
        <v>84.0</v>
      </c>
      <c r="G20" s="14">
        <v>84.0</v>
      </c>
      <c r="H20" s="14">
        <v>85.0</v>
      </c>
      <c r="I20" s="14">
        <v>87.0</v>
      </c>
      <c r="J20" s="14">
        <v>88.0</v>
      </c>
      <c r="K20" s="14">
        <v>91.0</v>
      </c>
      <c r="L20" s="14">
        <v>91.0</v>
      </c>
      <c r="M20" s="5"/>
      <c r="N20" s="5"/>
      <c r="O20" s="4"/>
      <c r="V20" s="11"/>
      <c r="W20" s="11">
        <f t="shared" ref="W20:W21" si="12">F20</f>
        <v>84</v>
      </c>
      <c r="X20" s="11">
        <f t="shared" ref="X20:X21" si="13">J20</f>
        <v>88</v>
      </c>
    </row>
    <row r="21">
      <c r="B21" s="6" t="s">
        <v>47</v>
      </c>
      <c r="C21" s="11">
        <f t="shared" ref="C21:N21" si="11">C20</f>
        <v>82</v>
      </c>
      <c r="D21" s="11">
        <f t="shared" si="11"/>
        <v>84</v>
      </c>
      <c r="E21" s="11">
        <f t="shared" si="11"/>
        <v>84</v>
      </c>
      <c r="F21" s="11">
        <f t="shared" si="11"/>
        <v>84</v>
      </c>
      <c r="G21" s="11">
        <f t="shared" si="11"/>
        <v>84</v>
      </c>
      <c r="H21" s="11">
        <f t="shared" si="11"/>
        <v>85</v>
      </c>
      <c r="I21" s="11">
        <f t="shared" si="11"/>
        <v>87</v>
      </c>
      <c r="J21" s="11">
        <f t="shared" si="11"/>
        <v>88</v>
      </c>
      <c r="K21" s="11">
        <f t="shared" si="11"/>
        <v>91</v>
      </c>
      <c r="L21" s="11">
        <f t="shared" si="11"/>
        <v>91</v>
      </c>
      <c r="M21" s="11" t="str">
        <f t="shared" si="11"/>
        <v/>
      </c>
      <c r="N21" s="11" t="str">
        <f t="shared" si="11"/>
        <v/>
      </c>
      <c r="O21" s="4"/>
      <c r="V21" s="11"/>
      <c r="W21" s="11">
        <f t="shared" si="12"/>
        <v>84</v>
      </c>
      <c r="X21" s="11">
        <f t="shared" si="13"/>
        <v>88</v>
      </c>
    </row>
    <row r="22">
      <c r="B22" s="6"/>
      <c r="C22" s="11"/>
      <c r="D22" s="11"/>
      <c r="E22" s="11"/>
      <c r="F22" s="5"/>
      <c r="G22" s="11"/>
      <c r="H22" s="11"/>
      <c r="I22" s="11"/>
      <c r="J22" s="5"/>
      <c r="K22" s="11"/>
      <c r="L22" s="11"/>
      <c r="M22" s="5"/>
      <c r="N22" s="5"/>
      <c r="O22" s="4"/>
      <c r="V22" s="11"/>
      <c r="W22" s="11"/>
      <c r="X22" s="11"/>
    </row>
    <row r="23">
      <c r="B23" s="6" t="s">
        <v>48</v>
      </c>
      <c r="C23" s="11">
        <f t="shared" ref="C23:N23" si="14">sum(C21,C18,C14,C9)</f>
        <v>4972</v>
      </c>
      <c r="D23" s="11">
        <f t="shared" si="14"/>
        <v>5001</v>
      </c>
      <c r="E23" s="11">
        <f t="shared" si="14"/>
        <v>5057</v>
      </c>
      <c r="F23" s="11">
        <f t="shared" si="14"/>
        <v>5085</v>
      </c>
      <c r="G23" s="11">
        <f t="shared" si="14"/>
        <v>5121</v>
      </c>
      <c r="H23" s="11">
        <f t="shared" si="14"/>
        <v>5134</v>
      </c>
      <c r="I23" s="11">
        <f t="shared" si="14"/>
        <v>5191</v>
      </c>
      <c r="J23" s="11">
        <f t="shared" si="14"/>
        <v>5214</v>
      </c>
      <c r="K23" s="11">
        <f t="shared" si="14"/>
        <v>5262</v>
      </c>
      <c r="L23" s="11">
        <f t="shared" si="14"/>
        <v>5285</v>
      </c>
      <c r="M23" s="11">
        <f t="shared" si="14"/>
        <v>0</v>
      </c>
      <c r="N23" s="11">
        <f t="shared" si="14"/>
        <v>0</v>
      </c>
      <c r="O23" s="4"/>
      <c r="V23" s="11"/>
      <c r="W23" s="11">
        <f>F23</f>
        <v>5085</v>
      </c>
      <c r="X23" s="11">
        <f>J23</f>
        <v>5214</v>
      </c>
      <c r="Y23" s="1">
        <f t="shared" ref="Y23:AH23" si="15">X23+221</f>
        <v>5435</v>
      </c>
      <c r="Z23" s="1">
        <f t="shared" si="15"/>
        <v>5656</v>
      </c>
      <c r="AA23" s="1">
        <f t="shared" si="15"/>
        <v>5877</v>
      </c>
      <c r="AB23" s="1">
        <f t="shared" si="15"/>
        <v>6098</v>
      </c>
      <c r="AC23" s="1">
        <f t="shared" si="15"/>
        <v>6319</v>
      </c>
      <c r="AD23" s="1">
        <f t="shared" si="15"/>
        <v>6540</v>
      </c>
      <c r="AE23" s="1">
        <f t="shared" si="15"/>
        <v>6761</v>
      </c>
      <c r="AF23" s="1">
        <f t="shared" si="15"/>
        <v>6982</v>
      </c>
      <c r="AG23" s="1">
        <f t="shared" si="15"/>
        <v>7203</v>
      </c>
      <c r="AH23" s="1">
        <f t="shared" si="15"/>
        <v>7424</v>
      </c>
    </row>
    <row r="24">
      <c r="B24" s="15"/>
      <c r="C24" s="16"/>
      <c r="D24" s="16"/>
      <c r="E24" s="16"/>
      <c r="F24" s="17"/>
      <c r="G24" s="16"/>
      <c r="H24" s="16"/>
      <c r="I24" s="16"/>
      <c r="J24" s="17"/>
      <c r="K24" s="16"/>
      <c r="L24" s="16"/>
      <c r="M24" s="17"/>
      <c r="N24" s="17"/>
      <c r="O24" s="4"/>
      <c r="V24" s="11"/>
      <c r="W24" s="18"/>
      <c r="X24" s="11"/>
      <c r="Y24" s="19">
        <f t="shared" ref="Y24:AH24" si="16">Y30/Y23</f>
        <v>12.01847286</v>
      </c>
      <c r="Z24" s="19">
        <f t="shared" si="16"/>
        <v>12.58826662</v>
      </c>
      <c r="AA24" s="19">
        <f t="shared" si="16"/>
        <v>13.20523519</v>
      </c>
      <c r="AB24" s="19">
        <f t="shared" si="16"/>
        <v>13.87205843</v>
      </c>
      <c r="AC24" s="19">
        <f t="shared" si="16"/>
        <v>14.59171948</v>
      </c>
      <c r="AD24" s="19">
        <f t="shared" si="16"/>
        <v>15.36751257</v>
      </c>
      <c r="AE24" s="19">
        <f t="shared" si="16"/>
        <v>16.20305429</v>
      </c>
      <c r="AF24" s="19">
        <f t="shared" si="16"/>
        <v>17.10229828</v>
      </c>
      <c r="AG24" s="19">
        <f t="shared" si="16"/>
        <v>18.06955279</v>
      </c>
      <c r="AH24" s="19">
        <f t="shared" si="16"/>
        <v>19.10950132</v>
      </c>
    </row>
    <row r="25">
      <c r="B25" s="15" t="s">
        <v>49</v>
      </c>
      <c r="C25" s="16"/>
      <c r="D25" s="16"/>
      <c r="E25" s="16"/>
      <c r="F25" s="17"/>
      <c r="G25" s="16"/>
      <c r="H25" s="16"/>
      <c r="I25" s="16"/>
      <c r="J25" s="17"/>
      <c r="K25" s="16">
        <v>0.06</v>
      </c>
      <c r="L25" s="16">
        <v>0.04</v>
      </c>
      <c r="M25" s="17"/>
      <c r="N25" s="17"/>
      <c r="O25" s="4"/>
      <c r="V25" s="11"/>
      <c r="W25" s="18"/>
      <c r="X25" s="11"/>
      <c r="Y25" s="20"/>
    </row>
    <row r="26">
      <c r="A26" s="1"/>
      <c r="B26" s="6" t="s">
        <v>34</v>
      </c>
      <c r="C26" s="14">
        <v>7750.0</v>
      </c>
      <c r="D26" s="14">
        <v>8445.0</v>
      </c>
      <c r="E26" s="14">
        <v>8438.0</v>
      </c>
      <c r="F26" s="14">
        <v>9971.0</v>
      </c>
      <c r="G26" s="14">
        <v>8052.0</v>
      </c>
      <c r="H26" s="14">
        <v>8841.0</v>
      </c>
      <c r="I26" s="14">
        <v>9037.0</v>
      </c>
      <c r="J26" s="14">
        <v>10655.0</v>
      </c>
      <c r="K26" s="14">
        <v>8650.0</v>
      </c>
      <c r="L26" s="14">
        <v>9109.0</v>
      </c>
      <c r="M26" s="5"/>
      <c r="N26" s="5"/>
      <c r="O26" s="5"/>
      <c r="P26" s="1"/>
      <c r="Q26" s="1"/>
      <c r="R26" s="1"/>
      <c r="S26" s="1"/>
      <c r="T26" s="1"/>
      <c r="U26" s="1"/>
      <c r="V26" s="11"/>
      <c r="W26" s="11">
        <f t="shared" ref="W26:W29" si="17">sum(C26:F26)</f>
        <v>34604</v>
      </c>
      <c r="X26" s="11">
        <f t="shared" ref="X26:X29" si="18">sum(G26:J26)</f>
        <v>36585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</row>
    <row r="27">
      <c r="A27" s="1"/>
      <c r="B27" s="6" t="s">
        <v>38</v>
      </c>
      <c r="C27" s="14">
        <v>2079.0</v>
      </c>
      <c r="D27" s="14">
        <v>2101.0</v>
      </c>
      <c r="E27" s="14">
        <v>2355.0</v>
      </c>
      <c r="F27" s="14">
        <v>2851.0</v>
      </c>
      <c r="G27" s="14">
        <v>2254.0</v>
      </c>
      <c r="H27" s="14">
        <v>2286.0</v>
      </c>
      <c r="I27" s="14">
        <v>2539.0</v>
      </c>
      <c r="J27" s="14">
        <v>3093.0</v>
      </c>
      <c r="K27" s="14">
        <v>2506.0</v>
      </c>
      <c r="L27" s="14">
        <v>2507.0</v>
      </c>
      <c r="M27" s="5"/>
      <c r="N27" s="5"/>
      <c r="O27" s="5"/>
      <c r="P27" s="1"/>
      <c r="Q27" s="1"/>
      <c r="R27" s="1"/>
      <c r="S27" s="1"/>
      <c r="T27" s="1"/>
      <c r="U27" s="1"/>
      <c r="V27" s="11"/>
      <c r="W27" s="11">
        <f t="shared" si="17"/>
        <v>9386</v>
      </c>
      <c r="X27" s="11">
        <f t="shared" si="18"/>
        <v>10172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</row>
    <row r="28">
      <c r="A28" s="1"/>
      <c r="B28" s="6" t="s">
        <v>50</v>
      </c>
      <c r="C28" s="14">
        <v>1113.0</v>
      </c>
      <c r="D28" s="14">
        <v>1244.0</v>
      </c>
      <c r="E28" s="14">
        <v>1382.0</v>
      </c>
      <c r="F28" s="14">
        <v>1450.0</v>
      </c>
      <c r="G28" s="14">
        <v>1144.0</v>
      </c>
      <c r="H28" s="14">
        <v>1381.0</v>
      </c>
      <c r="I28" s="14">
        <v>1492.0</v>
      </c>
      <c r="J28" s="14">
        <v>1612.0</v>
      </c>
      <c r="K28" s="14">
        <v>1285.0</v>
      </c>
      <c r="L28" s="14">
        <v>1470.0</v>
      </c>
      <c r="M28" s="5"/>
      <c r="N28" s="5"/>
      <c r="O28" s="5"/>
      <c r="P28" s="1"/>
      <c r="Q28" s="1"/>
      <c r="R28" s="1"/>
      <c r="S28" s="1"/>
      <c r="T28" s="1"/>
      <c r="U28" s="1"/>
      <c r="V28" s="11"/>
      <c r="W28" s="11">
        <f t="shared" si="17"/>
        <v>5189</v>
      </c>
      <c r="X28" s="11">
        <f t="shared" si="18"/>
        <v>5629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</row>
    <row r="29">
      <c r="A29" s="1"/>
      <c r="B29" s="6" t="s">
        <v>51</v>
      </c>
      <c r="C29" s="14">
        <v>1537.0</v>
      </c>
      <c r="D29" s="14">
        <v>1678.0</v>
      </c>
      <c r="E29" s="14">
        <v>1888.0</v>
      </c>
      <c r="F29" s="14">
        <v>2078.0</v>
      </c>
      <c r="G29" s="14">
        <v>1661.0</v>
      </c>
      <c r="H29" s="14">
        <v>1893.0</v>
      </c>
      <c r="I29" s="14">
        <v>2049.0</v>
      </c>
      <c r="J29" s="14">
        <v>2383.0</v>
      </c>
      <c r="K29" s="14">
        <v>1882.0</v>
      </c>
      <c r="L29" s="14">
        <v>2094.0</v>
      </c>
      <c r="M29" s="5"/>
      <c r="N29" s="5"/>
      <c r="O29" s="5"/>
      <c r="P29" s="1"/>
      <c r="Q29" s="1"/>
      <c r="R29" s="1"/>
      <c r="S29" s="1"/>
      <c r="T29" s="1"/>
      <c r="U29" s="1"/>
      <c r="V29" s="11"/>
      <c r="W29" s="11">
        <f t="shared" si="17"/>
        <v>7181</v>
      </c>
      <c r="X29" s="11">
        <f t="shared" si="18"/>
        <v>7986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</row>
    <row r="30">
      <c r="A30" s="1"/>
      <c r="B30" s="6" t="s">
        <v>52</v>
      </c>
      <c r="C30" s="11">
        <f t="shared" ref="C30:L30" si="19">sum(C26:C29)</f>
        <v>12479</v>
      </c>
      <c r="D30" s="11">
        <f t="shared" si="19"/>
        <v>13468</v>
      </c>
      <c r="E30" s="11">
        <f t="shared" si="19"/>
        <v>14063</v>
      </c>
      <c r="F30" s="11">
        <f t="shared" si="19"/>
        <v>16350</v>
      </c>
      <c r="G30" s="11">
        <f t="shared" si="19"/>
        <v>13111</v>
      </c>
      <c r="H30" s="11">
        <f t="shared" si="19"/>
        <v>14401</v>
      </c>
      <c r="I30" s="11">
        <f t="shared" si="19"/>
        <v>15117</v>
      </c>
      <c r="J30" s="11">
        <f t="shared" si="19"/>
        <v>17743</v>
      </c>
      <c r="K30" s="11">
        <f t="shared" si="19"/>
        <v>14323</v>
      </c>
      <c r="L30" s="11">
        <f t="shared" si="19"/>
        <v>15180</v>
      </c>
      <c r="M30" s="5">
        <f t="shared" ref="M30:N30" si="20">I30*1.09</f>
        <v>16477.53</v>
      </c>
      <c r="N30" s="5">
        <f t="shared" si="20"/>
        <v>19339.87</v>
      </c>
      <c r="O30" s="5"/>
      <c r="P30" s="1"/>
      <c r="Q30" s="6">
        <v>38973.0</v>
      </c>
      <c r="R30" s="6">
        <v>41717.0</v>
      </c>
      <c r="S30" s="6">
        <v>32137.0</v>
      </c>
      <c r="T30" s="6">
        <v>48550.0</v>
      </c>
      <c r="U30" s="6">
        <v>49936.0</v>
      </c>
      <c r="V30" s="11">
        <v>54217.0</v>
      </c>
      <c r="W30" s="11">
        <v>56360.0</v>
      </c>
      <c r="X30" s="11">
        <v>60372.0</v>
      </c>
      <c r="Y30" s="1">
        <f t="shared" ref="Y30:Y36" si="23">sum(K30:N30)</f>
        <v>65320.4</v>
      </c>
      <c r="Z30" s="1">
        <f t="shared" ref="Z30:AH30" si="21">Y30*1.09</f>
        <v>71199.236</v>
      </c>
      <c r="AA30" s="1">
        <f t="shared" si="21"/>
        <v>77607.16724</v>
      </c>
      <c r="AB30" s="1">
        <f t="shared" si="21"/>
        <v>84591.81229</v>
      </c>
      <c r="AC30" s="1">
        <f t="shared" si="21"/>
        <v>92205.0754</v>
      </c>
      <c r="AD30" s="1">
        <f t="shared" si="21"/>
        <v>100503.5322</v>
      </c>
      <c r="AE30" s="1">
        <f t="shared" si="21"/>
        <v>109548.8501</v>
      </c>
      <c r="AF30" s="1">
        <f t="shared" si="21"/>
        <v>119408.2466</v>
      </c>
      <c r="AG30" s="1">
        <f t="shared" si="21"/>
        <v>130154.9888</v>
      </c>
      <c r="AH30" s="1">
        <f t="shared" si="21"/>
        <v>141868.9378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</row>
    <row r="31">
      <c r="A31" s="1"/>
      <c r="B31" s="6" t="s">
        <v>53</v>
      </c>
      <c r="C31" s="14">
        <v>8739.0</v>
      </c>
      <c r="D31" s="14">
        <v>9380.0</v>
      </c>
      <c r="E31" s="14">
        <v>9622.0</v>
      </c>
      <c r="F31" s="21">
        <f t="shared" ref="F31:F33" si="25">W31-sum(C31:E31)</f>
        <v>11371</v>
      </c>
      <c r="G31" s="14">
        <v>9246.0</v>
      </c>
      <c r="H31" s="14">
        <v>9976.0</v>
      </c>
      <c r="I31" s="14">
        <v>10190.0</v>
      </c>
      <c r="J31" s="21">
        <f t="shared" ref="J31:J33" si="26">X31-sum(G31:I31)</f>
        <v>12267</v>
      </c>
      <c r="K31" s="14">
        <v>9843.0</v>
      </c>
      <c r="L31" s="14">
        <v>10108.0</v>
      </c>
      <c r="M31" s="5">
        <f t="shared" ref="M31:N31" si="22">M$30*(I31/I$30)</f>
        <v>11107.1</v>
      </c>
      <c r="N31" s="5">
        <f t="shared" si="22"/>
        <v>13371.03</v>
      </c>
      <c r="O31" s="5"/>
      <c r="P31" s="1"/>
      <c r="Q31" s="6">
        <v>27831.0</v>
      </c>
      <c r="R31" s="6">
        <v>29846.0</v>
      </c>
      <c r="S31" s="6">
        <v>24534.0</v>
      </c>
      <c r="T31" s="6">
        <v>34714.0</v>
      </c>
      <c r="U31" s="6">
        <v>36149.0</v>
      </c>
      <c r="V31" s="11">
        <v>37951.0</v>
      </c>
      <c r="W31" s="11">
        <v>39112.0</v>
      </c>
      <c r="X31" s="11">
        <v>41679.0</v>
      </c>
      <c r="Y31" s="1">
        <f t="shared" si="23"/>
        <v>44429.13</v>
      </c>
      <c r="Z31" s="1">
        <f t="shared" ref="Z31:AH31" si="24">Z$30*(Y31/Y$30)</f>
        <v>48427.7517</v>
      </c>
      <c r="AA31" s="1">
        <f t="shared" si="24"/>
        <v>52786.24935</v>
      </c>
      <c r="AB31" s="1">
        <f t="shared" si="24"/>
        <v>57537.01179</v>
      </c>
      <c r="AC31" s="1">
        <f t="shared" si="24"/>
        <v>62715.34286</v>
      </c>
      <c r="AD31" s="1">
        <f t="shared" si="24"/>
        <v>68359.72371</v>
      </c>
      <c r="AE31" s="1">
        <f t="shared" si="24"/>
        <v>74512.09885</v>
      </c>
      <c r="AF31" s="1">
        <f t="shared" si="24"/>
        <v>81218.18774</v>
      </c>
      <c r="AG31" s="1">
        <f t="shared" si="24"/>
        <v>88527.82464</v>
      </c>
      <c r="AH31" s="1">
        <f t="shared" si="24"/>
        <v>96495.32886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</row>
    <row r="32">
      <c r="A32" s="1"/>
      <c r="B32" s="6" t="s">
        <v>54</v>
      </c>
      <c r="C32" s="14">
        <v>2400.0</v>
      </c>
      <c r="D32" s="14">
        <v>2666.0</v>
      </c>
      <c r="E32" s="14">
        <v>2748.0</v>
      </c>
      <c r="F32" s="21">
        <f t="shared" si="25"/>
        <v>3132</v>
      </c>
      <c r="G32" s="14">
        <v>2549.0</v>
      </c>
      <c r="H32" s="14">
        <v>2805.0</v>
      </c>
      <c r="I32" s="14">
        <v>3039.0</v>
      </c>
      <c r="J32" s="21">
        <f t="shared" si="26"/>
        <v>3122</v>
      </c>
      <c r="K32" s="14">
        <v>2794.0</v>
      </c>
      <c r="L32" s="14">
        <v>3085.0</v>
      </c>
      <c r="M32" s="5">
        <f t="shared" ref="M32:N32" si="27">M$30*(I32/I$30)</f>
        <v>3312.51</v>
      </c>
      <c r="N32" s="5">
        <f t="shared" si="27"/>
        <v>3402.98</v>
      </c>
      <c r="O32" s="5"/>
      <c r="P32" s="1"/>
      <c r="Q32" s="1"/>
      <c r="R32" s="1"/>
      <c r="S32" s="1"/>
      <c r="T32" s="1"/>
      <c r="U32" s="1"/>
      <c r="V32" s="11">
        <v>10469.0</v>
      </c>
      <c r="W32" s="11">
        <v>10946.0</v>
      </c>
      <c r="X32" s="11">
        <v>11515.0</v>
      </c>
      <c r="Y32" s="1">
        <f t="shared" si="23"/>
        <v>12594.49</v>
      </c>
      <c r="Z32" s="1">
        <f t="shared" ref="Z32:AH32" si="28">Z$30*(Y32/Y$30)</f>
        <v>13727.9941</v>
      </c>
      <c r="AA32" s="1">
        <f t="shared" si="28"/>
        <v>14963.51357</v>
      </c>
      <c r="AB32" s="1">
        <f t="shared" si="28"/>
        <v>16310.22979</v>
      </c>
      <c r="AC32" s="1">
        <f t="shared" si="28"/>
        <v>17778.15047</v>
      </c>
      <c r="AD32" s="1">
        <f t="shared" si="28"/>
        <v>19378.18401</v>
      </c>
      <c r="AE32" s="1">
        <f t="shared" si="28"/>
        <v>21122.22057</v>
      </c>
      <c r="AF32" s="1">
        <f t="shared" si="28"/>
        <v>23023.22043</v>
      </c>
      <c r="AG32" s="1">
        <f t="shared" si="28"/>
        <v>25095.31027</v>
      </c>
      <c r="AH32" s="1">
        <f t="shared" si="28"/>
        <v>27353.88819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</row>
    <row r="33">
      <c r="A33" s="1"/>
      <c r="B33" s="6" t="s">
        <v>55</v>
      </c>
      <c r="C33" s="14">
        <v>-50.0</v>
      </c>
      <c r="D33" s="14">
        <v>-46.0</v>
      </c>
      <c r="E33" s="14">
        <v>-43.0</v>
      </c>
      <c r="F33" s="21">
        <f t="shared" si="25"/>
        <v>-42</v>
      </c>
      <c r="G33" s="14">
        <v>-30.0</v>
      </c>
      <c r="H33" s="14">
        <v>-27.0</v>
      </c>
      <c r="I33" s="14">
        <v>-28.0</v>
      </c>
      <c r="J33" s="21">
        <f t="shared" si="26"/>
        <v>-36</v>
      </c>
      <c r="K33" s="14">
        <v>-35.0</v>
      </c>
      <c r="L33" s="14">
        <v>-31.0</v>
      </c>
      <c r="M33" s="5">
        <f t="shared" ref="M33:N33" si="29">M$30*(I33/I$30)</f>
        <v>-30.52</v>
      </c>
      <c r="N33" s="5">
        <f t="shared" si="29"/>
        <v>-39.24</v>
      </c>
      <c r="O33" s="5"/>
      <c r="P33" s="1"/>
      <c r="Q33" s="1"/>
      <c r="R33" s="1"/>
      <c r="S33" s="1"/>
      <c r="T33" s="1"/>
      <c r="U33" s="1"/>
      <c r="V33" s="11">
        <v>-170.0</v>
      </c>
      <c r="W33" s="11">
        <v>-181.0</v>
      </c>
      <c r="X33" s="11">
        <v>-121.0</v>
      </c>
      <c r="Y33" s="1">
        <f t="shared" si="23"/>
        <v>-135.76</v>
      </c>
      <c r="Z33" s="1">
        <f t="shared" ref="Z33:AH33" si="30">Z$30*(Y33/Y$30)</f>
        <v>-147.9784</v>
      </c>
      <c r="AA33" s="1">
        <f t="shared" si="30"/>
        <v>-161.296456</v>
      </c>
      <c r="AB33" s="1">
        <f t="shared" si="30"/>
        <v>-175.813137</v>
      </c>
      <c r="AC33" s="1">
        <f t="shared" si="30"/>
        <v>-191.6363194</v>
      </c>
      <c r="AD33" s="1">
        <f t="shared" si="30"/>
        <v>-208.8835881</v>
      </c>
      <c r="AE33" s="1">
        <f t="shared" si="30"/>
        <v>-227.683111</v>
      </c>
      <c r="AF33" s="1">
        <f t="shared" si="30"/>
        <v>-248.174591</v>
      </c>
      <c r="AG33" s="1">
        <f t="shared" si="30"/>
        <v>-270.5103042</v>
      </c>
      <c r="AH33" s="1">
        <f t="shared" si="30"/>
        <v>-294.8562316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</row>
    <row r="34">
      <c r="A34" s="1"/>
      <c r="B34" s="6" t="s">
        <v>56</v>
      </c>
      <c r="C34" s="5">
        <f t="shared" ref="C34:N34" si="31">C30-SUM(C31:C33)</f>
        <v>1390</v>
      </c>
      <c r="D34" s="5">
        <f t="shared" si="31"/>
        <v>1468</v>
      </c>
      <c r="E34" s="5">
        <f t="shared" si="31"/>
        <v>1736</v>
      </c>
      <c r="F34" s="5">
        <f t="shared" si="31"/>
        <v>1889</v>
      </c>
      <c r="G34" s="5">
        <f t="shared" si="31"/>
        <v>1346</v>
      </c>
      <c r="H34" s="5">
        <f t="shared" si="31"/>
        <v>1647</v>
      </c>
      <c r="I34" s="5">
        <f t="shared" si="31"/>
        <v>1916</v>
      </c>
      <c r="J34" s="5">
        <f t="shared" si="31"/>
        <v>2390</v>
      </c>
      <c r="K34" s="5">
        <f t="shared" si="31"/>
        <v>1721</v>
      </c>
      <c r="L34" s="5">
        <f t="shared" si="31"/>
        <v>2018</v>
      </c>
      <c r="M34" s="5">
        <f t="shared" si="31"/>
        <v>2088.44</v>
      </c>
      <c r="N34" s="5">
        <f t="shared" si="31"/>
        <v>2605.1</v>
      </c>
      <c r="O34" s="5"/>
      <c r="P34" s="1"/>
      <c r="Q34" s="1"/>
      <c r="R34" s="1"/>
      <c r="S34" s="1"/>
      <c r="T34" s="1"/>
      <c r="U34" s="1"/>
      <c r="V34" s="5">
        <f t="shared" ref="V34:X34" si="32">V30-SUM(V31:V33)</f>
        <v>5967</v>
      </c>
      <c r="W34" s="5">
        <f t="shared" si="32"/>
        <v>6483</v>
      </c>
      <c r="X34" s="5">
        <f t="shared" si="32"/>
        <v>7299</v>
      </c>
      <c r="Y34" s="1">
        <f t="shared" si="23"/>
        <v>8432.54</v>
      </c>
      <c r="Z34" s="5">
        <f t="shared" ref="Z34:AH34" si="33">Z30-SUM(Z31:Z33)</f>
        <v>9191.4686</v>
      </c>
      <c r="AA34" s="5">
        <f t="shared" si="33"/>
        <v>10018.70077</v>
      </c>
      <c r="AB34" s="5">
        <f t="shared" si="33"/>
        <v>10920.38384</v>
      </c>
      <c r="AC34" s="5">
        <f t="shared" si="33"/>
        <v>11903.21839</v>
      </c>
      <c r="AD34" s="5">
        <f t="shared" si="33"/>
        <v>12974.50804</v>
      </c>
      <c r="AE34" s="5">
        <f t="shared" si="33"/>
        <v>14142.21377</v>
      </c>
      <c r="AF34" s="5">
        <f t="shared" si="33"/>
        <v>15415.01301</v>
      </c>
      <c r="AG34" s="5">
        <f t="shared" si="33"/>
        <v>16802.36418</v>
      </c>
      <c r="AH34" s="5">
        <f t="shared" si="33"/>
        <v>18314.57695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</row>
    <row r="35">
      <c r="A35" s="1"/>
      <c r="B35" s="6" t="s">
        <v>57</v>
      </c>
      <c r="C35" s="14">
        <v>320.0</v>
      </c>
      <c r="D35" s="14">
        <v>369.0</v>
      </c>
      <c r="E35" s="14">
        <v>439.0</v>
      </c>
      <c r="F35" s="21">
        <f>W35-sum(C35:E35)</f>
        <v>491</v>
      </c>
      <c r="G35" s="14">
        <v>310.0</v>
      </c>
      <c r="H35" s="14">
        <v>404.0</v>
      </c>
      <c r="I35" s="14">
        <v>474.0</v>
      </c>
      <c r="J35" s="21">
        <f>X35-sum(G35:I35)</f>
        <v>617</v>
      </c>
      <c r="K35" s="14">
        <v>389.0</v>
      </c>
      <c r="L35" s="14">
        <v>498.0</v>
      </c>
      <c r="M35" s="5">
        <f t="shared" ref="M35:N35" si="34">M34*(L35/L34)</f>
        <v>515.383112</v>
      </c>
      <c r="N35" s="5">
        <f t="shared" si="34"/>
        <v>642.8839445</v>
      </c>
      <c r="O35" s="5"/>
      <c r="P35" s="1"/>
      <c r="Q35" s="1"/>
      <c r="R35" s="1"/>
      <c r="S35" s="1"/>
      <c r="T35" s="1"/>
      <c r="U35" s="1"/>
      <c r="V35" s="11">
        <v>1493.0</v>
      </c>
      <c r="W35" s="11">
        <v>1619.0</v>
      </c>
      <c r="X35" s="11">
        <v>1805.0</v>
      </c>
      <c r="Y35" s="1">
        <f t="shared" si="23"/>
        <v>2045.267056</v>
      </c>
      <c r="Z35" s="1">
        <f t="shared" ref="Z35:AH35" si="35">Z34*(Y35/Y34)</f>
        <v>2229.341092</v>
      </c>
      <c r="AA35" s="1">
        <f t="shared" si="35"/>
        <v>2429.98179</v>
      </c>
      <c r="AB35" s="1">
        <f t="shared" si="35"/>
        <v>2648.680151</v>
      </c>
      <c r="AC35" s="1">
        <f t="shared" si="35"/>
        <v>2887.061364</v>
      </c>
      <c r="AD35" s="1">
        <f t="shared" si="35"/>
        <v>3146.896887</v>
      </c>
      <c r="AE35" s="1">
        <f t="shared" si="35"/>
        <v>3430.117607</v>
      </c>
      <c r="AF35" s="1">
        <f t="shared" si="35"/>
        <v>3738.828192</v>
      </c>
      <c r="AG35" s="1">
        <f t="shared" si="35"/>
        <v>4075.322729</v>
      </c>
      <c r="AH35" s="1">
        <f t="shared" si="35"/>
        <v>4442.101775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</row>
    <row r="36">
      <c r="A36" s="1"/>
      <c r="B36" s="6" t="s">
        <v>58</v>
      </c>
      <c r="C36" s="5">
        <f t="shared" ref="C36:N36" si="36">C34-C35</f>
        <v>1070</v>
      </c>
      <c r="D36" s="5">
        <f t="shared" si="36"/>
        <v>1099</v>
      </c>
      <c r="E36" s="5">
        <f t="shared" si="36"/>
        <v>1297</v>
      </c>
      <c r="F36" s="5">
        <f t="shared" si="36"/>
        <v>1398</v>
      </c>
      <c r="G36" s="5">
        <f t="shared" si="36"/>
        <v>1036</v>
      </c>
      <c r="H36" s="5">
        <f t="shared" si="36"/>
        <v>1243</v>
      </c>
      <c r="I36" s="5">
        <f t="shared" si="36"/>
        <v>1442</v>
      </c>
      <c r="J36" s="5">
        <f t="shared" si="36"/>
        <v>1773</v>
      </c>
      <c r="K36" s="5">
        <f t="shared" si="36"/>
        <v>1332</v>
      </c>
      <c r="L36" s="5">
        <f t="shared" si="36"/>
        <v>1520</v>
      </c>
      <c r="M36" s="5">
        <f t="shared" si="36"/>
        <v>1573.056888</v>
      </c>
      <c r="N36" s="5">
        <f t="shared" si="36"/>
        <v>1962.216056</v>
      </c>
      <c r="O36" s="5"/>
      <c r="P36" s="1"/>
      <c r="Q36" s="1"/>
      <c r="R36" s="1"/>
      <c r="S36" s="1"/>
      <c r="T36" s="1"/>
      <c r="U36" s="1"/>
      <c r="V36" s="5">
        <f t="shared" ref="V36:X36" si="37">V34-V35</f>
        <v>4474</v>
      </c>
      <c r="W36" s="5">
        <f t="shared" si="37"/>
        <v>4864</v>
      </c>
      <c r="X36" s="5">
        <f t="shared" si="37"/>
        <v>5494</v>
      </c>
      <c r="Y36" s="1">
        <f t="shared" si="23"/>
        <v>6387.272944</v>
      </c>
      <c r="Z36" s="5">
        <f t="shared" ref="Z36:AH36" si="38">Z34-Z35</f>
        <v>6962.127508</v>
      </c>
      <c r="AA36" s="5">
        <f t="shared" si="38"/>
        <v>7588.718984</v>
      </c>
      <c r="AB36" s="5">
        <f t="shared" si="38"/>
        <v>8271.703693</v>
      </c>
      <c r="AC36" s="5">
        <f t="shared" si="38"/>
        <v>9016.157025</v>
      </c>
      <c r="AD36" s="5">
        <f t="shared" si="38"/>
        <v>9827.611157</v>
      </c>
      <c r="AE36" s="5">
        <f t="shared" si="38"/>
        <v>10712.09616</v>
      </c>
      <c r="AF36" s="5">
        <f t="shared" si="38"/>
        <v>11676.18482</v>
      </c>
      <c r="AG36" s="5">
        <f t="shared" si="38"/>
        <v>12727.04145</v>
      </c>
      <c r="AH36" s="5">
        <f t="shared" si="38"/>
        <v>13872.47518</v>
      </c>
      <c r="AI36" s="1">
        <f t="shared" ref="AI36:ON36" si="39">AH36*(1+$AK$39)</f>
        <v>14011.19993</v>
      </c>
      <c r="AJ36" s="1">
        <f t="shared" si="39"/>
        <v>14151.31193</v>
      </c>
      <c r="AK36" s="1">
        <f t="shared" si="39"/>
        <v>14292.82505</v>
      </c>
      <c r="AL36" s="1">
        <f t="shared" si="39"/>
        <v>14435.7533</v>
      </c>
      <c r="AM36" s="1">
        <f t="shared" si="39"/>
        <v>14580.11083</v>
      </c>
      <c r="AN36" s="1">
        <f t="shared" si="39"/>
        <v>14725.91194</v>
      </c>
      <c r="AO36" s="1">
        <f t="shared" si="39"/>
        <v>14873.17106</v>
      </c>
      <c r="AP36" s="1">
        <f t="shared" si="39"/>
        <v>15021.90277</v>
      </c>
      <c r="AQ36" s="1">
        <f t="shared" si="39"/>
        <v>15172.1218</v>
      </c>
      <c r="AR36" s="1">
        <f t="shared" si="39"/>
        <v>15323.84302</v>
      </c>
      <c r="AS36" s="1">
        <f t="shared" si="39"/>
        <v>15477.08145</v>
      </c>
      <c r="AT36" s="1">
        <f t="shared" si="39"/>
        <v>15631.85226</v>
      </c>
      <c r="AU36" s="1">
        <f t="shared" si="39"/>
        <v>15788.17079</v>
      </c>
      <c r="AV36" s="1">
        <f t="shared" si="39"/>
        <v>15946.05249</v>
      </c>
      <c r="AW36" s="1">
        <f t="shared" si="39"/>
        <v>16105.51302</v>
      </c>
      <c r="AX36" s="1">
        <f t="shared" si="39"/>
        <v>16266.56815</v>
      </c>
      <c r="AY36" s="1">
        <f t="shared" si="39"/>
        <v>16429.23383</v>
      </c>
      <c r="AZ36" s="1">
        <f t="shared" si="39"/>
        <v>16593.52617</v>
      </c>
      <c r="BA36" s="1">
        <f t="shared" si="39"/>
        <v>16759.46143</v>
      </c>
      <c r="BB36" s="1">
        <f t="shared" si="39"/>
        <v>16927.05604</v>
      </c>
      <c r="BC36" s="1">
        <f t="shared" si="39"/>
        <v>17096.3266</v>
      </c>
      <c r="BD36" s="1">
        <f t="shared" si="39"/>
        <v>17267.28987</v>
      </c>
      <c r="BE36" s="1">
        <f t="shared" si="39"/>
        <v>17439.96277</v>
      </c>
      <c r="BF36" s="1">
        <f t="shared" si="39"/>
        <v>17614.3624</v>
      </c>
      <c r="BG36" s="1">
        <f t="shared" si="39"/>
        <v>17790.50602</v>
      </c>
      <c r="BH36" s="1">
        <f t="shared" si="39"/>
        <v>17968.41108</v>
      </c>
      <c r="BI36" s="1">
        <f t="shared" si="39"/>
        <v>18148.09519</v>
      </c>
      <c r="BJ36" s="1">
        <f t="shared" si="39"/>
        <v>18329.57614</v>
      </c>
      <c r="BK36" s="1">
        <f t="shared" si="39"/>
        <v>18512.87191</v>
      </c>
      <c r="BL36" s="1">
        <f t="shared" si="39"/>
        <v>18698.00062</v>
      </c>
      <c r="BM36" s="1">
        <f t="shared" si="39"/>
        <v>18884.98063</v>
      </c>
      <c r="BN36" s="1">
        <f t="shared" si="39"/>
        <v>19073.83044</v>
      </c>
      <c r="BO36" s="1">
        <f t="shared" si="39"/>
        <v>19264.56874</v>
      </c>
      <c r="BP36" s="1">
        <f t="shared" si="39"/>
        <v>19457.21443</v>
      </c>
      <c r="BQ36" s="1">
        <f t="shared" si="39"/>
        <v>19651.78657</v>
      </c>
      <c r="BR36" s="1">
        <f t="shared" si="39"/>
        <v>19848.30444</v>
      </c>
      <c r="BS36" s="1">
        <f t="shared" si="39"/>
        <v>20046.78748</v>
      </c>
      <c r="BT36" s="1">
        <f t="shared" si="39"/>
        <v>20247.25536</v>
      </c>
      <c r="BU36" s="1">
        <f t="shared" si="39"/>
        <v>20449.72791</v>
      </c>
      <c r="BV36" s="1">
        <f t="shared" si="39"/>
        <v>20654.22519</v>
      </c>
      <c r="BW36" s="1">
        <f t="shared" si="39"/>
        <v>20860.76744</v>
      </c>
      <c r="BX36" s="1">
        <f t="shared" si="39"/>
        <v>21069.37512</v>
      </c>
      <c r="BY36" s="1">
        <f t="shared" si="39"/>
        <v>21280.06887</v>
      </c>
      <c r="BZ36" s="1">
        <f t="shared" si="39"/>
        <v>21492.86956</v>
      </c>
      <c r="CA36" s="1">
        <f t="shared" si="39"/>
        <v>21707.79825</v>
      </c>
      <c r="CB36" s="1">
        <f t="shared" si="39"/>
        <v>21924.87623</v>
      </c>
      <c r="CC36" s="1">
        <f t="shared" si="39"/>
        <v>22144.125</v>
      </c>
      <c r="CD36" s="1">
        <f t="shared" si="39"/>
        <v>22365.56625</v>
      </c>
      <c r="CE36" s="1">
        <f t="shared" si="39"/>
        <v>22589.22191</v>
      </c>
      <c r="CF36" s="1">
        <f t="shared" si="39"/>
        <v>22815.11413</v>
      </c>
      <c r="CG36" s="1">
        <f t="shared" si="39"/>
        <v>23043.26527</v>
      </c>
      <c r="CH36" s="1">
        <f t="shared" si="39"/>
        <v>23273.69792</v>
      </c>
      <c r="CI36" s="1">
        <f t="shared" si="39"/>
        <v>23506.4349</v>
      </c>
      <c r="CJ36" s="1">
        <f t="shared" si="39"/>
        <v>23741.49925</v>
      </c>
      <c r="CK36" s="1">
        <f t="shared" si="39"/>
        <v>23978.91424</v>
      </c>
      <c r="CL36" s="1">
        <f t="shared" si="39"/>
        <v>24218.70339</v>
      </c>
      <c r="CM36" s="1">
        <f t="shared" si="39"/>
        <v>24460.89042</v>
      </c>
      <c r="CN36" s="1">
        <f t="shared" si="39"/>
        <v>24705.49932</v>
      </c>
      <c r="CO36" s="1">
        <f t="shared" si="39"/>
        <v>24952.55432</v>
      </c>
      <c r="CP36" s="1">
        <f t="shared" si="39"/>
        <v>25202.07986</v>
      </c>
      <c r="CQ36" s="1">
        <f t="shared" si="39"/>
        <v>25454.10066</v>
      </c>
      <c r="CR36" s="1">
        <f t="shared" si="39"/>
        <v>25708.64167</v>
      </c>
      <c r="CS36" s="1">
        <f t="shared" si="39"/>
        <v>25965.72808</v>
      </c>
      <c r="CT36" s="1">
        <f t="shared" si="39"/>
        <v>26225.38536</v>
      </c>
      <c r="CU36" s="1">
        <f t="shared" si="39"/>
        <v>26487.63922</v>
      </c>
      <c r="CV36" s="1">
        <f t="shared" si="39"/>
        <v>26752.51561</v>
      </c>
      <c r="CW36" s="1">
        <f t="shared" si="39"/>
        <v>27020.04076</v>
      </c>
      <c r="CX36" s="1">
        <f t="shared" si="39"/>
        <v>27290.24117</v>
      </c>
      <c r="CY36" s="1">
        <f t="shared" si="39"/>
        <v>27563.14358</v>
      </c>
      <c r="CZ36" s="1">
        <f t="shared" si="39"/>
        <v>27838.77502</v>
      </c>
      <c r="DA36" s="1">
        <f t="shared" si="39"/>
        <v>28117.16277</v>
      </c>
      <c r="DB36" s="1">
        <f t="shared" si="39"/>
        <v>28398.3344</v>
      </c>
      <c r="DC36" s="1">
        <f t="shared" si="39"/>
        <v>28682.31774</v>
      </c>
      <c r="DD36" s="1">
        <f t="shared" si="39"/>
        <v>28969.14092</v>
      </c>
      <c r="DE36" s="1">
        <f t="shared" si="39"/>
        <v>29258.83233</v>
      </c>
      <c r="DF36" s="1">
        <f t="shared" si="39"/>
        <v>29551.42065</v>
      </c>
      <c r="DG36" s="1">
        <f t="shared" si="39"/>
        <v>29846.93486</v>
      </c>
      <c r="DH36" s="1">
        <f t="shared" si="39"/>
        <v>30145.40421</v>
      </c>
      <c r="DI36" s="1">
        <f t="shared" si="39"/>
        <v>30446.85825</v>
      </c>
      <c r="DJ36" s="1">
        <f t="shared" si="39"/>
        <v>30751.32683</v>
      </c>
      <c r="DK36" s="1">
        <f t="shared" si="39"/>
        <v>31058.8401</v>
      </c>
      <c r="DL36" s="1">
        <f t="shared" si="39"/>
        <v>31369.4285</v>
      </c>
      <c r="DM36" s="1">
        <f t="shared" si="39"/>
        <v>31683.12279</v>
      </c>
      <c r="DN36" s="1">
        <f t="shared" si="39"/>
        <v>31999.95401</v>
      </c>
      <c r="DO36" s="1">
        <f t="shared" si="39"/>
        <v>32319.95355</v>
      </c>
      <c r="DP36" s="1">
        <f t="shared" si="39"/>
        <v>32643.15309</v>
      </c>
      <c r="DQ36" s="1">
        <f t="shared" si="39"/>
        <v>32969.58462</v>
      </c>
      <c r="DR36" s="1">
        <f t="shared" si="39"/>
        <v>33299.28047</v>
      </c>
      <c r="DS36" s="1">
        <f t="shared" si="39"/>
        <v>33632.27327</v>
      </c>
      <c r="DT36" s="1">
        <f t="shared" si="39"/>
        <v>33968.596</v>
      </c>
      <c r="DU36" s="1">
        <f t="shared" si="39"/>
        <v>34308.28196</v>
      </c>
      <c r="DV36" s="1">
        <f t="shared" si="39"/>
        <v>34651.36478</v>
      </c>
      <c r="DW36" s="1">
        <f t="shared" si="39"/>
        <v>34997.87843</v>
      </c>
      <c r="DX36" s="1">
        <f t="shared" si="39"/>
        <v>35347.85722</v>
      </c>
      <c r="DY36" s="1">
        <f t="shared" si="39"/>
        <v>35701.33579</v>
      </c>
      <c r="DZ36" s="1">
        <f t="shared" si="39"/>
        <v>36058.34915</v>
      </c>
      <c r="EA36" s="1">
        <f t="shared" si="39"/>
        <v>36418.93264</v>
      </c>
      <c r="EB36" s="1">
        <f t="shared" si="39"/>
        <v>36783.12196</v>
      </c>
      <c r="EC36" s="1">
        <f t="shared" si="39"/>
        <v>37150.95318</v>
      </c>
      <c r="ED36" s="1">
        <f t="shared" si="39"/>
        <v>37522.46272</v>
      </c>
      <c r="EE36" s="1">
        <f t="shared" si="39"/>
        <v>37897.68734</v>
      </c>
      <c r="EF36" s="1">
        <f t="shared" si="39"/>
        <v>38276.66422</v>
      </c>
      <c r="EG36" s="1">
        <f t="shared" si="39"/>
        <v>38659.43086</v>
      </c>
      <c r="EH36" s="1">
        <f t="shared" si="39"/>
        <v>39046.02517</v>
      </c>
      <c r="EI36" s="1">
        <f t="shared" si="39"/>
        <v>39436.48542</v>
      </c>
      <c r="EJ36" s="1">
        <f t="shared" si="39"/>
        <v>39830.85027</v>
      </c>
      <c r="EK36" s="1">
        <f t="shared" si="39"/>
        <v>40229.15877</v>
      </c>
      <c r="EL36" s="1">
        <f t="shared" si="39"/>
        <v>40631.45036</v>
      </c>
      <c r="EM36" s="1">
        <f t="shared" si="39"/>
        <v>41037.76487</v>
      </c>
      <c r="EN36" s="1">
        <f t="shared" si="39"/>
        <v>41448.14252</v>
      </c>
      <c r="EO36" s="1">
        <f t="shared" si="39"/>
        <v>41862.62394</v>
      </c>
      <c r="EP36" s="1">
        <f t="shared" si="39"/>
        <v>42281.25018</v>
      </c>
      <c r="EQ36" s="1">
        <f t="shared" si="39"/>
        <v>42704.06268</v>
      </c>
      <c r="ER36" s="1">
        <f t="shared" si="39"/>
        <v>43131.10331</v>
      </c>
      <c r="ES36" s="1">
        <f t="shared" si="39"/>
        <v>43562.41434</v>
      </c>
      <c r="ET36" s="1">
        <f t="shared" si="39"/>
        <v>43998.03848</v>
      </c>
      <c r="EU36" s="1">
        <f t="shared" si="39"/>
        <v>44438.01887</v>
      </c>
      <c r="EV36" s="1">
        <f t="shared" si="39"/>
        <v>44882.39906</v>
      </c>
      <c r="EW36" s="1">
        <f t="shared" si="39"/>
        <v>45331.22305</v>
      </c>
      <c r="EX36" s="1">
        <f t="shared" si="39"/>
        <v>45784.53528</v>
      </c>
      <c r="EY36" s="1">
        <f t="shared" si="39"/>
        <v>46242.38063</v>
      </c>
      <c r="EZ36" s="1">
        <f t="shared" si="39"/>
        <v>46704.80444</v>
      </c>
      <c r="FA36" s="1">
        <f t="shared" si="39"/>
        <v>47171.85248</v>
      </c>
      <c r="FB36" s="1">
        <f t="shared" si="39"/>
        <v>47643.57101</v>
      </c>
      <c r="FC36" s="1">
        <f t="shared" si="39"/>
        <v>48120.00672</v>
      </c>
      <c r="FD36" s="1">
        <f t="shared" si="39"/>
        <v>48601.20678</v>
      </c>
      <c r="FE36" s="1">
        <f t="shared" si="39"/>
        <v>49087.21885</v>
      </c>
      <c r="FF36" s="1">
        <f t="shared" si="39"/>
        <v>49578.09104</v>
      </c>
      <c r="FG36" s="1">
        <f t="shared" si="39"/>
        <v>50073.87195</v>
      </c>
      <c r="FH36" s="1">
        <f t="shared" si="39"/>
        <v>50574.61067</v>
      </c>
      <c r="FI36" s="1">
        <f t="shared" si="39"/>
        <v>51080.35678</v>
      </c>
      <c r="FJ36" s="1">
        <f t="shared" si="39"/>
        <v>51591.16035</v>
      </c>
      <c r="FK36" s="1">
        <f t="shared" si="39"/>
        <v>52107.07195</v>
      </c>
      <c r="FL36" s="1">
        <f t="shared" si="39"/>
        <v>52628.14267</v>
      </c>
      <c r="FM36" s="1">
        <f t="shared" si="39"/>
        <v>53154.4241</v>
      </c>
      <c r="FN36" s="1">
        <f t="shared" si="39"/>
        <v>53685.96834</v>
      </c>
      <c r="FO36" s="1">
        <f t="shared" si="39"/>
        <v>54222.82802</v>
      </c>
      <c r="FP36" s="1">
        <f t="shared" si="39"/>
        <v>54765.0563</v>
      </c>
      <c r="FQ36" s="1">
        <f t="shared" si="39"/>
        <v>55312.70686</v>
      </c>
      <c r="FR36" s="1">
        <f t="shared" si="39"/>
        <v>55865.83393</v>
      </c>
      <c r="FS36" s="1">
        <f t="shared" si="39"/>
        <v>56424.49227</v>
      </c>
      <c r="FT36" s="1">
        <f t="shared" si="39"/>
        <v>56988.73719</v>
      </c>
      <c r="FU36" s="1">
        <f t="shared" si="39"/>
        <v>57558.62457</v>
      </c>
      <c r="FV36" s="1">
        <f t="shared" si="39"/>
        <v>58134.21081</v>
      </c>
      <c r="FW36" s="1">
        <f t="shared" si="39"/>
        <v>58715.55292</v>
      </c>
      <c r="FX36" s="1">
        <f t="shared" si="39"/>
        <v>59302.70845</v>
      </c>
      <c r="FY36" s="1">
        <f t="shared" si="39"/>
        <v>59895.73553</v>
      </c>
      <c r="FZ36" s="1">
        <f t="shared" si="39"/>
        <v>60494.69289</v>
      </c>
      <c r="GA36" s="1">
        <f t="shared" si="39"/>
        <v>61099.63982</v>
      </c>
      <c r="GB36" s="1">
        <f t="shared" si="39"/>
        <v>61710.63622</v>
      </c>
      <c r="GC36" s="1">
        <f t="shared" si="39"/>
        <v>62327.74258</v>
      </c>
      <c r="GD36" s="1">
        <f t="shared" si="39"/>
        <v>62951.02</v>
      </c>
      <c r="GE36" s="1">
        <f t="shared" si="39"/>
        <v>63580.5302</v>
      </c>
      <c r="GF36" s="1">
        <f t="shared" si="39"/>
        <v>64216.33551</v>
      </c>
      <c r="GG36" s="1">
        <f t="shared" si="39"/>
        <v>64858.49886</v>
      </c>
      <c r="GH36" s="1">
        <f t="shared" si="39"/>
        <v>65507.08385</v>
      </c>
      <c r="GI36" s="1">
        <f t="shared" si="39"/>
        <v>66162.15469</v>
      </c>
      <c r="GJ36" s="1">
        <f t="shared" si="39"/>
        <v>66823.77623</v>
      </c>
      <c r="GK36" s="1">
        <f t="shared" si="39"/>
        <v>67492.014</v>
      </c>
      <c r="GL36" s="1">
        <f t="shared" si="39"/>
        <v>68166.93414</v>
      </c>
      <c r="GM36" s="1">
        <f t="shared" si="39"/>
        <v>68848.60348</v>
      </c>
      <c r="GN36" s="1">
        <f t="shared" si="39"/>
        <v>69537.08951</v>
      </c>
      <c r="GO36" s="1">
        <f t="shared" si="39"/>
        <v>70232.46041</v>
      </c>
      <c r="GP36" s="1">
        <f t="shared" si="39"/>
        <v>70934.78501</v>
      </c>
      <c r="GQ36" s="1">
        <f t="shared" si="39"/>
        <v>71644.13286</v>
      </c>
      <c r="GR36" s="1">
        <f t="shared" si="39"/>
        <v>72360.57419</v>
      </c>
      <c r="GS36" s="1">
        <f t="shared" si="39"/>
        <v>73084.17993</v>
      </c>
      <c r="GT36" s="1">
        <f t="shared" si="39"/>
        <v>73815.02173</v>
      </c>
      <c r="GU36" s="1">
        <f t="shared" si="39"/>
        <v>74553.17195</v>
      </c>
      <c r="GV36" s="1">
        <f t="shared" si="39"/>
        <v>75298.70367</v>
      </c>
      <c r="GW36" s="1">
        <f t="shared" si="39"/>
        <v>76051.69071</v>
      </c>
      <c r="GX36" s="1">
        <f t="shared" si="39"/>
        <v>76812.20761</v>
      </c>
      <c r="GY36" s="1">
        <f t="shared" si="39"/>
        <v>77580.32969</v>
      </c>
      <c r="GZ36" s="1">
        <f t="shared" si="39"/>
        <v>78356.13299</v>
      </c>
      <c r="HA36" s="1">
        <f t="shared" si="39"/>
        <v>79139.69432</v>
      </c>
      <c r="HB36" s="1">
        <f t="shared" si="39"/>
        <v>79931.09126</v>
      </c>
      <c r="HC36" s="1">
        <f t="shared" si="39"/>
        <v>80730.40217</v>
      </c>
      <c r="HD36" s="1">
        <f t="shared" si="39"/>
        <v>81537.70619</v>
      </c>
      <c r="HE36" s="1">
        <f t="shared" si="39"/>
        <v>82353.08325</v>
      </c>
      <c r="HF36" s="1">
        <f t="shared" si="39"/>
        <v>83176.61409</v>
      </c>
      <c r="HG36" s="1">
        <f t="shared" si="39"/>
        <v>84008.38023</v>
      </c>
      <c r="HH36" s="1">
        <f t="shared" si="39"/>
        <v>84848.46403</v>
      </c>
      <c r="HI36" s="1">
        <f t="shared" si="39"/>
        <v>85696.94867</v>
      </c>
      <c r="HJ36" s="1">
        <f t="shared" si="39"/>
        <v>86553.91816</v>
      </c>
      <c r="HK36" s="1">
        <f t="shared" si="39"/>
        <v>87419.45734</v>
      </c>
      <c r="HL36" s="1">
        <f t="shared" si="39"/>
        <v>88293.65191</v>
      </c>
      <c r="HM36" s="1">
        <f t="shared" si="39"/>
        <v>89176.58843</v>
      </c>
      <c r="HN36" s="1">
        <f t="shared" si="39"/>
        <v>90068.35432</v>
      </c>
      <c r="HO36" s="1">
        <f t="shared" si="39"/>
        <v>90969.03786</v>
      </c>
      <c r="HP36" s="1">
        <f t="shared" si="39"/>
        <v>91878.72824</v>
      </c>
      <c r="HQ36" s="1">
        <f t="shared" si="39"/>
        <v>92797.51552</v>
      </c>
      <c r="HR36" s="1">
        <f t="shared" si="39"/>
        <v>93725.49068</v>
      </c>
      <c r="HS36" s="1">
        <f t="shared" si="39"/>
        <v>94662.74558</v>
      </c>
      <c r="HT36" s="1">
        <f t="shared" si="39"/>
        <v>95609.37304</v>
      </c>
      <c r="HU36" s="1">
        <f t="shared" si="39"/>
        <v>96565.46677</v>
      </c>
      <c r="HV36" s="1">
        <f t="shared" si="39"/>
        <v>97531.12144</v>
      </c>
      <c r="HW36" s="1">
        <f t="shared" si="39"/>
        <v>98506.43265</v>
      </c>
      <c r="HX36" s="1">
        <f t="shared" si="39"/>
        <v>99491.49698</v>
      </c>
      <c r="HY36" s="1">
        <f t="shared" si="39"/>
        <v>100486.4119</v>
      </c>
      <c r="HZ36" s="1">
        <f t="shared" si="39"/>
        <v>101491.2761</v>
      </c>
      <c r="IA36" s="1">
        <f t="shared" si="39"/>
        <v>102506.1888</v>
      </c>
      <c r="IB36" s="1">
        <f t="shared" si="39"/>
        <v>103531.2507</v>
      </c>
      <c r="IC36" s="1">
        <f t="shared" si="39"/>
        <v>104566.5632</v>
      </c>
      <c r="ID36" s="1">
        <f t="shared" si="39"/>
        <v>105612.2289</v>
      </c>
      <c r="IE36" s="1">
        <f t="shared" si="39"/>
        <v>106668.3511</v>
      </c>
      <c r="IF36" s="1">
        <f t="shared" si="39"/>
        <v>107735.0347</v>
      </c>
      <c r="IG36" s="1">
        <f t="shared" si="39"/>
        <v>108812.385</v>
      </c>
      <c r="IH36" s="1">
        <f t="shared" si="39"/>
        <v>109900.5089</v>
      </c>
      <c r="II36" s="1">
        <f t="shared" si="39"/>
        <v>110999.5139</v>
      </c>
      <c r="IJ36" s="1">
        <f t="shared" si="39"/>
        <v>112109.5091</v>
      </c>
      <c r="IK36" s="1">
        <f t="shared" si="39"/>
        <v>113230.6042</v>
      </c>
      <c r="IL36" s="1">
        <f t="shared" si="39"/>
        <v>114362.9102</v>
      </c>
      <c r="IM36" s="1">
        <f t="shared" si="39"/>
        <v>115506.5393</v>
      </c>
      <c r="IN36" s="1">
        <f t="shared" si="39"/>
        <v>116661.6047</v>
      </c>
      <c r="IO36" s="1">
        <f t="shared" si="39"/>
        <v>117828.2208</v>
      </c>
      <c r="IP36" s="1">
        <f t="shared" si="39"/>
        <v>119006.503</v>
      </c>
      <c r="IQ36" s="1">
        <f t="shared" si="39"/>
        <v>120196.568</v>
      </c>
      <c r="IR36" s="1">
        <f t="shared" si="39"/>
        <v>121398.5337</v>
      </c>
      <c r="IS36" s="1">
        <f t="shared" si="39"/>
        <v>122612.519</v>
      </c>
      <c r="IT36" s="1">
        <f t="shared" si="39"/>
        <v>123838.6442</v>
      </c>
      <c r="IU36" s="1">
        <f t="shared" si="39"/>
        <v>125077.0306</v>
      </c>
      <c r="IV36" s="1">
        <f t="shared" si="39"/>
        <v>126327.8009</v>
      </c>
      <c r="IW36" s="1">
        <f t="shared" si="39"/>
        <v>127591.079</v>
      </c>
      <c r="IX36" s="1">
        <f t="shared" si="39"/>
        <v>128866.9897</v>
      </c>
      <c r="IY36" s="1">
        <f t="shared" si="39"/>
        <v>130155.6596</v>
      </c>
      <c r="IZ36" s="1">
        <f t="shared" si="39"/>
        <v>131457.2162</v>
      </c>
      <c r="JA36" s="1">
        <f t="shared" si="39"/>
        <v>132771.7884</v>
      </c>
      <c r="JB36" s="1">
        <f t="shared" si="39"/>
        <v>134099.5063</v>
      </c>
      <c r="JC36" s="1">
        <f t="shared" si="39"/>
        <v>135440.5013</v>
      </c>
      <c r="JD36" s="1">
        <f t="shared" si="39"/>
        <v>136794.9064</v>
      </c>
      <c r="JE36" s="1">
        <f t="shared" si="39"/>
        <v>138162.8554</v>
      </c>
      <c r="JF36" s="1">
        <f t="shared" si="39"/>
        <v>139544.484</v>
      </c>
      <c r="JG36" s="1">
        <f t="shared" si="39"/>
        <v>140939.9288</v>
      </c>
      <c r="JH36" s="1">
        <f t="shared" si="39"/>
        <v>142349.3281</v>
      </c>
      <c r="JI36" s="1">
        <f t="shared" si="39"/>
        <v>143772.8214</v>
      </c>
      <c r="JJ36" s="1">
        <f t="shared" si="39"/>
        <v>145210.5496</v>
      </c>
      <c r="JK36" s="1">
        <f t="shared" si="39"/>
        <v>146662.6551</v>
      </c>
      <c r="JL36" s="1">
        <f t="shared" si="39"/>
        <v>148129.2816</v>
      </c>
      <c r="JM36" s="1">
        <f t="shared" si="39"/>
        <v>149610.5745</v>
      </c>
      <c r="JN36" s="1">
        <f t="shared" si="39"/>
        <v>151106.6802</v>
      </c>
      <c r="JO36" s="1">
        <f t="shared" si="39"/>
        <v>152617.747</v>
      </c>
      <c r="JP36" s="1">
        <f t="shared" si="39"/>
        <v>154143.9245</v>
      </c>
      <c r="JQ36" s="1">
        <f t="shared" si="39"/>
        <v>155685.3637</v>
      </c>
      <c r="JR36" s="1">
        <f t="shared" si="39"/>
        <v>157242.2174</v>
      </c>
      <c r="JS36" s="1">
        <f t="shared" si="39"/>
        <v>158814.6395</v>
      </c>
      <c r="JT36" s="1">
        <f t="shared" si="39"/>
        <v>160402.7859</v>
      </c>
      <c r="JU36" s="1">
        <f t="shared" si="39"/>
        <v>162006.8138</v>
      </c>
      <c r="JV36" s="1">
        <f t="shared" si="39"/>
        <v>163626.8819</v>
      </c>
      <c r="JW36" s="1">
        <f t="shared" si="39"/>
        <v>165263.1507</v>
      </c>
      <c r="JX36" s="1">
        <f t="shared" si="39"/>
        <v>166915.7823</v>
      </c>
      <c r="JY36" s="1">
        <f t="shared" si="39"/>
        <v>168584.9401</v>
      </c>
      <c r="JZ36" s="1">
        <f t="shared" si="39"/>
        <v>170270.7895</v>
      </c>
      <c r="KA36" s="1">
        <f t="shared" si="39"/>
        <v>171973.4974</v>
      </c>
      <c r="KB36" s="1">
        <f t="shared" si="39"/>
        <v>173693.2323</v>
      </c>
      <c r="KC36" s="1">
        <f t="shared" si="39"/>
        <v>175430.1647</v>
      </c>
      <c r="KD36" s="1">
        <f t="shared" si="39"/>
        <v>177184.4663</v>
      </c>
      <c r="KE36" s="1">
        <f t="shared" si="39"/>
        <v>178956.311</v>
      </c>
      <c r="KF36" s="1">
        <f t="shared" si="39"/>
        <v>180745.8741</v>
      </c>
      <c r="KG36" s="1">
        <f t="shared" si="39"/>
        <v>182553.3328</v>
      </c>
      <c r="KH36" s="1">
        <f t="shared" si="39"/>
        <v>184378.8662</v>
      </c>
      <c r="KI36" s="1">
        <f t="shared" si="39"/>
        <v>186222.6548</v>
      </c>
      <c r="KJ36" s="1">
        <f t="shared" si="39"/>
        <v>188084.8814</v>
      </c>
      <c r="KK36" s="1">
        <f t="shared" si="39"/>
        <v>189965.7302</v>
      </c>
      <c r="KL36" s="1">
        <f t="shared" si="39"/>
        <v>191865.3875</v>
      </c>
      <c r="KM36" s="1">
        <f t="shared" si="39"/>
        <v>193784.0414</v>
      </c>
      <c r="KN36" s="1">
        <f t="shared" si="39"/>
        <v>195721.8818</v>
      </c>
      <c r="KO36" s="1">
        <f t="shared" si="39"/>
        <v>197679.1006</v>
      </c>
      <c r="KP36" s="1">
        <f t="shared" si="39"/>
        <v>199655.8916</v>
      </c>
      <c r="KQ36" s="1">
        <f t="shared" si="39"/>
        <v>201652.4505</v>
      </c>
      <c r="KR36" s="1">
        <f t="shared" si="39"/>
        <v>203668.975</v>
      </c>
      <c r="KS36" s="1">
        <f t="shared" si="39"/>
        <v>205705.6648</v>
      </c>
      <c r="KT36" s="1">
        <f t="shared" si="39"/>
        <v>207762.7214</v>
      </c>
      <c r="KU36" s="1">
        <f t="shared" si="39"/>
        <v>209840.3486</v>
      </c>
      <c r="KV36" s="1">
        <f t="shared" si="39"/>
        <v>211938.7521</v>
      </c>
      <c r="KW36" s="1">
        <f t="shared" si="39"/>
        <v>214058.1396</v>
      </c>
      <c r="KX36" s="1">
        <f t="shared" si="39"/>
        <v>216198.721</v>
      </c>
      <c r="KY36" s="1">
        <f t="shared" si="39"/>
        <v>218360.7082</v>
      </c>
      <c r="KZ36" s="1">
        <f t="shared" si="39"/>
        <v>220544.3153</v>
      </c>
      <c r="LA36" s="1">
        <f t="shared" si="39"/>
        <v>222749.7585</v>
      </c>
      <c r="LB36" s="1">
        <f t="shared" si="39"/>
        <v>224977.2561</v>
      </c>
      <c r="LC36" s="1">
        <f t="shared" si="39"/>
        <v>227227.0286</v>
      </c>
      <c r="LD36" s="1">
        <f t="shared" si="39"/>
        <v>229499.2989</v>
      </c>
      <c r="LE36" s="1">
        <f t="shared" si="39"/>
        <v>231794.2919</v>
      </c>
      <c r="LF36" s="1">
        <f t="shared" si="39"/>
        <v>234112.2348</v>
      </c>
      <c r="LG36" s="1">
        <f t="shared" si="39"/>
        <v>236453.3572</v>
      </c>
      <c r="LH36" s="1">
        <f t="shared" si="39"/>
        <v>238817.8907</v>
      </c>
      <c r="LI36" s="1">
        <f t="shared" si="39"/>
        <v>241206.0696</v>
      </c>
      <c r="LJ36" s="1">
        <f t="shared" si="39"/>
        <v>243618.1303</v>
      </c>
      <c r="LK36" s="1">
        <f t="shared" si="39"/>
        <v>246054.3116</v>
      </c>
      <c r="LL36" s="1">
        <f t="shared" si="39"/>
        <v>248514.8548</v>
      </c>
      <c r="LM36" s="1">
        <f t="shared" si="39"/>
        <v>251000.0033</v>
      </c>
      <c r="LN36" s="1">
        <f t="shared" si="39"/>
        <v>253510.0033</v>
      </c>
      <c r="LO36" s="1">
        <f t="shared" si="39"/>
        <v>256045.1034</v>
      </c>
      <c r="LP36" s="1">
        <f t="shared" si="39"/>
        <v>258605.5544</v>
      </c>
      <c r="LQ36" s="1">
        <f t="shared" si="39"/>
        <v>261191.61</v>
      </c>
      <c r="LR36" s="1">
        <f t="shared" si="39"/>
        <v>263803.5261</v>
      </c>
      <c r="LS36" s="1">
        <f t="shared" si="39"/>
        <v>266441.5613</v>
      </c>
      <c r="LT36" s="1">
        <f t="shared" si="39"/>
        <v>269105.9769</v>
      </c>
      <c r="LU36" s="1">
        <f t="shared" si="39"/>
        <v>271797.0367</v>
      </c>
      <c r="LV36" s="1">
        <f t="shared" si="39"/>
        <v>274515.0071</v>
      </c>
      <c r="LW36" s="1">
        <f t="shared" si="39"/>
        <v>277260.1571</v>
      </c>
      <c r="LX36" s="1">
        <f t="shared" si="39"/>
        <v>280032.7587</v>
      </c>
      <c r="LY36" s="1">
        <f t="shared" si="39"/>
        <v>282833.0863</v>
      </c>
      <c r="LZ36" s="1">
        <f t="shared" si="39"/>
        <v>285661.4172</v>
      </c>
      <c r="MA36" s="1">
        <f t="shared" si="39"/>
        <v>288518.0313</v>
      </c>
      <c r="MB36" s="1">
        <f t="shared" si="39"/>
        <v>291403.2116</v>
      </c>
      <c r="MC36" s="1">
        <f t="shared" si="39"/>
        <v>294317.2438</v>
      </c>
      <c r="MD36" s="1">
        <f t="shared" si="39"/>
        <v>297260.4162</v>
      </c>
      <c r="ME36" s="1">
        <f t="shared" si="39"/>
        <v>300233.0204</v>
      </c>
      <c r="MF36" s="1">
        <f t="shared" si="39"/>
        <v>303235.3506</v>
      </c>
      <c r="MG36" s="1">
        <f t="shared" si="39"/>
        <v>306267.7041</v>
      </c>
      <c r="MH36" s="1">
        <f t="shared" si="39"/>
        <v>309330.3811</v>
      </c>
      <c r="MI36" s="1">
        <f t="shared" si="39"/>
        <v>312423.6849</v>
      </c>
      <c r="MJ36" s="1">
        <f t="shared" si="39"/>
        <v>315547.9218</v>
      </c>
      <c r="MK36" s="1">
        <f t="shared" si="39"/>
        <v>318703.401</v>
      </c>
      <c r="ML36" s="1">
        <f t="shared" si="39"/>
        <v>321890.435</v>
      </c>
      <c r="MM36" s="1">
        <f t="shared" si="39"/>
        <v>325109.3393</v>
      </c>
      <c r="MN36" s="1">
        <f t="shared" si="39"/>
        <v>328360.4327</v>
      </c>
      <c r="MO36" s="1">
        <f t="shared" si="39"/>
        <v>331644.0371</v>
      </c>
      <c r="MP36" s="1">
        <f t="shared" si="39"/>
        <v>334960.4774</v>
      </c>
      <c r="MQ36" s="1">
        <f t="shared" si="39"/>
        <v>338310.0822</v>
      </c>
      <c r="MR36" s="1">
        <f t="shared" si="39"/>
        <v>341693.183</v>
      </c>
      <c r="MS36" s="1">
        <f t="shared" si="39"/>
        <v>345110.1149</v>
      </c>
      <c r="MT36" s="1">
        <f t="shared" si="39"/>
        <v>348561.216</v>
      </c>
      <c r="MU36" s="1">
        <f t="shared" si="39"/>
        <v>352046.8282</v>
      </c>
      <c r="MV36" s="1">
        <f t="shared" si="39"/>
        <v>355567.2965</v>
      </c>
      <c r="MW36" s="1">
        <f t="shared" si="39"/>
        <v>359122.9694</v>
      </c>
      <c r="MX36" s="1">
        <f t="shared" si="39"/>
        <v>362714.1991</v>
      </c>
      <c r="MY36" s="1">
        <f t="shared" si="39"/>
        <v>366341.3411</v>
      </c>
      <c r="MZ36" s="1">
        <f t="shared" si="39"/>
        <v>370004.7545</v>
      </c>
      <c r="NA36" s="1">
        <f t="shared" si="39"/>
        <v>373704.8021</v>
      </c>
      <c r="NB36" s="1">
        <f t="shared" si="39"/>
        <v>377441.8501</v>
      </c>
      <c r="NC36" s="1">
        <f t="shared" si="39"/>
        <v>381216.2686</v>
      </c>
      <c r="ND36" s="1">
        <f t="shared" si="39"/>
        <v>385028.4313</v>
      </c>
      <c r="NE36" s="1">
        <f t="shared" si="39"/>
        <v>388878.7156</v>
      </c>
      <c r="NF36" s="1">
        <f t="shared" si="39"/>
        <v>392767.5027</v>
      </c>
      <c r="NG36" s="1">
        <f t="shared" si="39"/>
        <v>396695.1778</v>
      </c>
      <c r="NH36" s="1">
        <f t="shared" si="39"/>
        <v>400662.1295</v>
      </c>
      <c r="NI36" s="1">
        <f t="shared" si="39"/>
        <v>404668.7508</v>
      </c>
      <c r="NJ36" s="1">
        <f t="shared" si="39"/>
        <v>408715.4383</v>
      </c>
      <c r="NK36" s="1">
        <f t="shared" si="39"/>
        <v>412802.5927</v>
      </c>
      <c r="NL36" s="1">
        <f t="shared" si="39"/>
        <v>416930.6187</v>
      </c>
      <c r="NM36" s="1">
        <f t="shared" si="39"/>
        <v>421099.9248</v>
      </c>
      <c r="NN36" s="1">
        <f t="shared" si="39"/>
        <v>425310.9241</v>
      </c>
      <c r="NO36" s="1">
        <f t="shared" si="39"/>
        <v>429564.0333</v>
      </c>
      <c r="NP36" s="1">
        <f t="shared" si="39"/>
        <v>433859.6737</v>
      </c>
      <c r="NQ36" s="1">
        <f t="shared" si="39"/>
        <v>438198.2704</v>
      </c>
      <c r="NR36" s="1">
        <f t="shared" si="39"/>
        <v>442580.2531</v>
      </c>
      <c r="NS36" s="1">
        <f t="shared" si="39"/>
        <v>447006.0556</v>
      </c>
      <c r="NT36" s="1">
        <f t="shared" si="39"/>
        <v>451476.1162</v>
      </c>
      <c r="NU36" s="1">
        <f t="shared" si="39"/>
        <v>455990.8774</v>
      </c>
      <c r="NV36" s="1">
        <f t="shared" si="39"/>
        <v>460550.7861</v>
      </c>
      <c r="NW36" s="1">
        <f t="shared" si="39"/>
        <v>465156.294</v>
      </c>
      <c r="NX36" s="1">
        <f t="shared" si="39"/>
        <v>469807.8569</v>
      </c>
      <c r="NY36" s="1">
        <f t="shared" si="39"/>
        <v>474505.9355</v>
      </c>
      <c r="NZ36" s="1">
        <f t="shared" si="39"/>
        <v>479250.9949</v>
      </c>
      <c r="OA36" s="1">
        <f t="shared" si="39"/>
        <v>484043.5048</v>
      </c>
      <c r="OB36" s="1">
        <f t="shared" si="39"/>
        <v>488883.9399</v>
      </c>
      <c r="OC36" s="1">
        <f t="shared" si="39"/>
        <v>493772.7793</v>
      </c>
      <c r="OD36" s="1">
        <f t="shared" si="39"/>
        <v>498710.507</v>
      </c>
      <c r="OE36" s="1">
        <f t="shared" si="39"/>
        <v>503697.6121</v>
      </c>
      <c r="OF36" s="1">
        <f t="shared" si="39"/>
        <v>508734.5882</v>
      </c>
      <c r="OG36" s="1">
        <f t="shared" si="39"/>
        <v>513821.9341</v>
      </c>
      <c r="OH36" s="1">
        <f t="shared" si="39"/>
        <v>518960.1535</v>
      </c>
      <c r="OI36" s="1">
        <f t="shared" si="39"/>
        <v>524149.755</v>
      </c>
      <c r="OJ36" s="1">
        <f t="shared" si="39"/>
        <v>529391.2525</v>
      </c>
      <c r="OK36" s="1">
        <f t="shared" si="39"/>
        <v>534685.1651</v>
      </c>
      <c r="OL36" s="1">
        <f t="shared" si="39"/>
        <v>540032.0167</v>
      </c>
      <c r="OM36" s="1">
        <f t="shared" si="39"/>
        <v>545432.3369</v>
      </c>
      <c r="ON36" s="1">
        <f t="shared" si="39"/>
        <v>550886.6603</v>
      </c>
    </row>
    <row r="37">
      <c r="A37" s="1"/>
      <c r="B37" s="6" t="s">
        <v>59</v>
      </c>
      <c r="C37" s="22">
        <v>0.93</v>
      </c>
      <c r="D37" s="22">
        <v>0.96</v>
      </c>
      <c r="E37" s="22">
        <v>1.14</v>
      </c>
      <c r="F37" s="23">
        <f>W37-sum(C37:E37)</f>
        <v>1.23</v>
      </c>
      <c r="G37" s="22">
        <v>0.92</v>
      </c>
      <c r="H37" s="22">
        <v>1.1</v>
      </c>
      <c r="I37" s="22">
        <v>1.28</v>
      </c>
      <c r="J37" s="23">
        <f>X37-sum(G37:I37)</f>
        <v>1.57</v>
      </c>
      <c r="K37" s="22">
        <v>1.19</v>
      </c>
      <c r="L37" s="22">
        <v>1.36</v>
      </c>
      <c r="M37" s="24">
        <f t="shared" ref="M37:N37" si="40">M36/M38</f>
        <v>1.407471952</v>
      </c>
      <c r="N37" s="24">
        <f t="shared" si="40"/>
        <v>1.755666997</v>
      </c>
      <c r="O37" s="5"/>
      <c r="P37" s="1"/>
      <c r="Q37" s="1"/>
      <c r="R37" s="1"/>
      <c r="S37" s="1"/>
      <c r="T37" s="1"/>
      <c r="U37" s="1"/>
      <c r="V37" s="11">
        <v>3.86</v>
      </c>
      <c r="W37" s="11">
        <v>4.26</v>
      </c>
      <c r="X37" s="11">
        <v>4.87</v>
      </c>
      <c r="Y37" s="25">
        <f t="shared" ref="Y37:AH37" si="41">Y36/Y38</f>
        <v>5.712780761</v>
      </c>
      <c r="Z37" s="1">
        <f t="shared" si="41"/>
        <v>6.22693103</v>
      </c>
      <c r="AA37" s="1">
        <f t="shared" si="41"/>
        <v>6.787354822</v>
      </c>
      <c r="AB37" s="1">
        <f t="shared" si="41"/>
        <v>7.398216756</v>
      </c>
      <c r="AC37" s="1">
        <f t="shared" si="41"/>
        <v>8.064056264</v>
      </c>
      <c r="AD37" s="1">
        <f t="shared" si="41"/>
        <v>8.789821328</v>
      </c>
      <c r="AE37" s="1">
        <f t="shared" si="41"/>
        <v>9.580905248</v>
      </c>
      <c r="AF37" s="1">
        <f t="shared" si="41"/>
        <v>10.44318672</v>
      </c>
      <c r="AG37" s="1">
        <f t="shared" si="41"/>
        <v>11.38307352</v>
      </c>
      <c r="AH37" s="1">
        <f t="shared" si="41"/>
        <v>12.40755014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</row>
    <row r="38">
      <c r="A38" s="1"/>
      <c r="B38" s="6" t="s">
        <v>60</v>
      </c>
      <c r="C38" s="5">
        <f t="shared" ref="C38:L38" si="42">C36/C37</f>
        <v>1150.537634</v>
      </c>
      <c r="D38" s="5">
        <f t="shared" si="42"/>
        <v>1144.791667</v>
      </c>
      <c r="E38" s="5">
        <f t="shared" si="42"/>
        <v>1137.719298</v>
      </c>
      <c r="F38" s="5">
        <f t="shared" si="42"/>
        <v>1136.585366</v>
      </c>
      <c r="G38" s="5">
        <f t="shared" si="42"/>
        <v>1126.086957</v>
      </c>
      <c r="H38" s="5">
        <f t="shared" si="42"/>
        <v>1130</v>
      </c>
      <c r="I38" s="5">
        <f t="shared" si="42"/>
        <v>1126.5625</v>
      </c>
      <c r="J38" s="5">
        <f t="shared" si="42"/>
        <v>1129.299363</v>
      </c>
      <c r="K38" s="5">
        <f t="shared" si="42"/>
        <v>1119.327731</v>
      </c>
      <c r="L38" s="5">
        <f t="shared" si="42"/>
        <v>1117.647059</v>
      </c>
      <c r="M38" s="5">
        <f t="shared" ref="M38:N38" si="43">L38</f>
        <v>1117.647059</v>
      </c>
      <c r="N38" s="5">
        <f t="shared" si="43"/>
        <v>1117.647059</v>
      </c>
      <c r="O38" s="5"/>
      <c r="P38" s="1"/>
      <c r="Q38" s="1"/>
      <c r="R38" s="1"/>
      <c r="S38" s="1"/>
      <c r="T38" s="1"/>
      <c r="U38" s="1"/>
      <c r="V38" s="5">
        <f t="shared" ref="V38:X38" si="44">V36/V37</f>
        <v>1159.067358</v>
      </c>
      <c r="W38" s="5">
        <f t="shared" si="44"/>
        <v>1141.784038</v>
      </c>
      <c r="X38" s="5">
        <f t="shared" si="44"/>
        <v>1128.131417</v>
      </c>
      <c r="Y38" s="1">
        <f>AVERAGE(K38:N38)</f>
        <v>1118.067227</v>
      </c>
      <c r="Z38" s="1">
        <f t="shared" ref="Z38:AH38" si="45">Y38</f>
        <v>1118.067227</v>
      </c>
      <c r="AA38" s="1">
        <f t="shared" si="45"/>
        <v>1118.067227</v>
      </c>
      <c r="AB38" s="1">
        <f t="shared" si="45"/>
        <v>1118.067227</v>
      </c>
      <c r="AC38" s="1">
        <f t="shared" si="45"/>
        <v>1118.067227</v>
      </c>
      <c r="AD38" s="1">
        <f t="shared" si="45"/>
        <v>1118.067227</v>
      </c>
      <c r="AE38" s="1">
        <f t="shared" si="45"/>
        <v>1118.067227</v>
      </c>
      <c r="AF38" s="1">
        <f t="shared" si="45"/>
        <v>1118.067227</v>
      </c>
      <c r="AG38" s="1">
        <f t="shared" si="45"/>
        <v>1118.067227</v>
      </c>
      <c r="AH38" s="1">
        <f t="shared" si="45"/>
        <v>1118.067227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</row>
    <row r="39">
      <c r="B39" s="1"/>
      <c r="C39" s="5"/>
      <c r="D39" s="5"/>
      <c r="E39" s="5"/>
      <c r="F39" s="11"/>
      <c r="G39" s="5"/>
      <c r="H39" s="5"/>
      <c r="I39" s="5"/>
      <c r="J39" s="11"/>
      <c r="K39" s="5"/>
      <c r="L39" s="5"/>
      <c r="M39" s="5"/>
      <c r="N39" s="5"/>
      <c r="O39" s="4"/>
      <c r="AJ39" s="7" t="s">
        <v>61</v>
      </c>
      <c r="AK39" s="15">
        <v>0.01</v>
      </c>
    </row>
    <row r="40">
      <c r="B40" s="6" t="s">
        <v>62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4"/>
      <c r="AJ40" s="7" t="s">
        <v>63</v>
      </c>
      <c r="AK40" s="15">
        <v>0.08</v>
      </c>
    </row>
    <row r="41">
      <c r="A41" s="26"/>
      <c r="B41" s="27" t="s">
        <v>34</v>
      </c>
      <c r="C41" s="28"/>
      <c r="D41" s="28"/>
      <c r="E41" s="28"/>
      <c r="F41" s="29"/>
      <c r="G41" s="28"/>
      <c r="H41" s="28"/>
      <c r="I41" s="28"/>
      <c r="J41" s="28">
        <f t="shared" ref="J41:L41" si="46">J26/F26-1</f>
        <v>0.06859893692</v>
      </c>
      <c r="K41" s="28">
        <f t="shared" si="46"/>
        <v>0.07426726279</v>
      </c>
      <c r="L41" s="28">
        <f t="shared" si="46"/>
        <v>0.03031331297</v>
      </c>
      <c r="M41" s="28"/>
      <c r="N41" s="28"/>
      <c r="O41" s="28"/>
      <c r="P41" s="26"/>
      <c r="Q41" s="26"/>
      <c r="R41" s="26"/>
      <c r="S41" s="26"/>
      <c r="T41" s="26"/>
      <c r="U41" s="26"/>
      <c r="V41" s="26"/>
      <c r="W41" s="26"/>
      <c r="X41" s="26">
        <f t="shared" ref="X41:X44" si="48">X26/W26-1</f>
        <v>0.05724771703</v>
      </c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30" t="s">
        <v>64</v>
      </c>
      <c r="AK41" s="31">
        <f t="array" ref="AK41">NPV(AK40,Y36:ON36)</f>
        <v>154380.292</v>
      </c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6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  <c r="IH41" s="26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  <c r="IU41" s="26"/>
      <c r="IV41" s="26"/>
      <c r="IW41" s="26"/>
      <c r="IX41" s="26"/>
      <c r="IY41" s="26"/>
      <c r="IZ41" s="26"/>
      <c r="JA41" s="26"/>
      <c r="JB41" s="26"/>
      <c r="JC41" s="26"/>
      <c r="JD41" s="26"/>
      <c r="JE41" s="26"/>
      <c r="JF41" s="26"/>
      <c r="JG41" s="26"/>
      <c r="JH41" s="26"/>
      <c r="JI41" s="26"/>
      <c r="JJ41" s="26"/>
      <c r="JK41" s="26"/>
      <c r="JL41" s="26"/>
      <c r="JM41" s="26"/>
      <c r="JN41" s="26"/>
      <c r="JO41" s="26"/>
      <c r="JP41" s="26"/>
      <c r="JQ41" s="26"/>
      <c r="JR41" s="26"/>
      <c r="JS41" s="26"/>
      <c r="JT41" s="26"/>
      <c r="JU41" s="26"/>
      <c r="JV41" s="26"/>
      <c r="JW41" s="26"/>
      <c r="JX41" s="26"/>
      <c r="JY41" s="26"/>
      <c r="JZ41" s="26"/>
      <c r="KA41" s="26"/>
      <c r="KB41" s="26"/>
      <c r="KC41" s="26"/>
      <c r="KD41" s="26"/>
      <c r="KE41" s="26"/>
      <c r="KF41" s="26"/>
      <c r="KG41" s="26"/>
      <c r="KH41" s="26"/>
      <c r="KI41" s="26"/>
      <c r="KJ41" s="26"/>
      <c r="KK41" s="26"/>
      <c r="KL41" s="26"/>
      <c r="KM41" s="26"/>
      <c r="KN41" s="26"/>
      <c r="KO41" s="26"/>
      <c r="KP41" s="26"/>
      <c r="KQ41" s="26"/>
      <c r="KR41" s="26"/>
      <c r="KS41" s="26"/>
      <c r="KT41" s="26"/>
      <c r="KU41" s="26"/>
      <c r="KV41" s="26"/>
      <c r="KW41" s="26"/>
      <c r="KX41" s="26"/>
      <c r="KY41" s="26"/>
      <c r="KZ41" s="26"/>
      <c r="LA41" s="26"/>
      <c r="LB41" s="26"/>
      <c r="LC41" s="26"/>
      <c r="LD41" s="26"/>
      <c r="LE41" s="26"/>
      <c r="LF41" s="26"/>
      <c r="LG41" s="26"/>
      <c r="LH41" s="26"/>
      <c r="LI41" s="26"/>
      <c r="LJ41" s="26"/>
      <c r="LK41" s="26"/>
      <c r="LL41" s="26"/>
      <c r="LM41" s="26"/>
      <c r="LN41" s="26"/>
      <c r="LO41" s="26"/>
      <c r="LP41" s="26"/>
      <c r="LQ41" s="26"/>
      <c r="LR41" s="26"/>
      <c r="LS41" s="26"/>
      <c r="LT41" s="26"/>
      <c r="LU41" s="26"/>
      <c r="LV41" s="26"/>
      <c r="LW41" s="26"/>
      <c r="LX41" s="26"/>
      <c r="LY41" s="26"/>
      <c r="LZ41" s="26"/>
      <c r="MA41" s="26"/>
      <c r="MB41" s="26"/>
      <c r="MC41" s="26"/>
      <c r="MD41" s="26"/>
      <c r="ME41" s="26"/>
      <c r="MF41" s="26"/>
      <c r="MG41" s="26"/>
      <c r="MH41" s="26"/>
      <c r="MI41" s="26"/>
      <c r="MJ41" s="26"/>
      <c r="MK41" s="26"/>
      <c r="ML41" s="26"/>
      <c r="MM41" s="26"/>
      <c r="MN41" s="26"/>
      <c r="MO41" s="26"/>
      <c r="MP41" s="26"/>
      <c r="MQ41" s="26"/>
      <c r="MR41" s="26"/>
      <c r="MS41" s="26"/>
      <c r="MT41" s="26"/>
      <c r="MU41" s="26"/>
      <c r="MV41" s="26"/>
      <c r="MW41" s="26"/>
      <c r="MX41" s="26"/>
      <c r="MY41" s="26"/>
      <c r="MZ41" s="26"/>
      <c r="NA41" s="26"/>
      <c r="NB41" s="26"/>
      <c r="NC41" s="26"/>
      <c r="ND41" s="26"/>
      <c r="NE41" s="26"/>
      <c r="NF41" s="26"/>
      <c r="NG41" s="26"/>
      <c r="NH41" s="26"/>
      <c r="NI41" s="26"/>
      <c r="NJ41" s="26"/>
      <c r="NK41" s="26"/>
      <c r="NL41" s="26"/>
      <c r="NM41" s="26"/>
      <c r="NN41" s="26"/>
      <c r="NO41" s="26"/>
      <c r="NP41" s="26"/>
      <c r="NQ41" s="26"/>
      <c r="NR41" s="26"/>
      <c r="NS41" s="26"/>
      <c r="NT41" s="26"/>
      <c r="NU41" s="26"/>
      <c r="NV41" s="26"/>
      <c r="NW41" s="26"/>
      <c r="NX41" s="26"/>
      <c r="NY41" s="26"/>
      <c r="NZ41" s="26"/>
      <c r="OA41" s="26"/>
      <c r="OB41" s="26"/>
      <c r="OC41" s="26"/>
      <c r="OD41" s="26"/>
      <c r="OE41" s="26"/>
      <c r="OF41" s="26"/>
      <c r="OG41" s="26"/>
      <c r="OH41" s="26"/>
      <c r="OI41" s="26"/>
      <c r="OJ41" s="26"/>
      <c r="OK41" s="26"/>
      <c r="OL41" s="26"/>
      <c r="OM41" s="26"/>
      <c r="ON41" s="26"/>
    </row>
    <row r="42">
      <c r="A42" s="26"/>
      <c r="B42" s="27" t="s">
        <v>38</v>
      </c>
      <c r="C42" s="28"/>
      <c r="D42" s="28"/>
      <c r="E42" s="28"/>
      <c r="F42" s="29"/>
      <c r="G42" s="28"/>
      <c r="H42" s="28"/>
      <c r="I42" s="28"/>
      <c r="J42" s="28">
        <f t="shared" ref="J42:L42" si="47">J27/F27-1</f>
        <v>0.08488249737</v>
      </c>
      <c r="K42" s="28">
        <f t="shared" si="47"/>
        <v>0.1118012422</v>
      </c>
      <c r="L42" s="28">
        <f t="shared" si="47"/>
        <v>0.09667541557</v>
      </c>
      <c r="M42" s="28"/>
      <c r="N42" s="28"/>
      <c r="O42" s="28"/>
      <c r="P42" s="26"/>
      <c r="Q42" s="26"/>
      <c r="R42" s="26"/>
      <c r="S42" s="26"/>
      <c r="T42" s="26"/>
      <c r="U42" s="26"/>
      <c r="V42" s="26"/>
      <c r="W42" s="26"/>
      <c r="X42" s="26">
        <f t="shared" si="48"/>
        <v>0.08374174302</v>
      </c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30" t="s">
        <v>65</v>
      </c>
      <c r="AK42" s="31">
        <f>Main!K3</f>
        <v>1104.704446</v>
      </c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6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/>
      <c r="HZ42" s="26"/>
      <c r="IA42" s="26"/>
      <c r="IB42" s="26"/>
      <c r="IC42" s="26"/>
      <c r="ID42" s="26"/>
      <c r="IE42" s="26"/>
      <c r="IF42" s="26"/>
      <c r="IG42" s="26"/>
      <c r="IH42" s="26"/>
      <c r="II42" s="26"/>
      <c r="IJ42" s="26"/>
      <c r="IK42" s="26"/>
      <c r="IL42" s="26"/>
      <c r="IM42" s="26"/>
      <c r="IN42" s="26"/>
      <c r="IO42" s="26"/>
      <c r="IP42" s="26"/>
      <c r="IQ42" s="26"/>
      <c r="IR42" s="26"/>
      <c r="IS42" s="26"/>
      <c r="IT42" s="26"/>
      <c r="IU42" s="26"/>
      <c r="IV42" s="26"/>
      <c r="IW42" s="26"/>
      <c r="IX42" s="26"/>
      <c r="IY42" s="26"/>
      <c r="IZ42" s="26"/>
      <c r="JA42" s="26"/>
      <c r="JB42" s="26"/>
      <c r="JC42" s="26"/>
      <c r="JD42" s="26"/>
      <c r="JE42" s="26"/>
      <c r="JF42" s="26"/>
      <c r="JG42" s="26"/>
      <c r="JH42" s="26"/>
      <c r="JI42" s="26"/>
      <c r="JJ42" s="26"/>
      <c r="JK42" s="26"/>
      <c r="JL42" s="26"/>
      <c r="JM42" s="26"/>
      <c r="JN42" s="26"/>
      <c r="JO42" s="26"/>
      <c r="JP42" s="26"/>
      <c r="JQ42" s="26"/>
      <c r="JR42" s="26"/>
      <c r="JS42" s="26"/>
      <c r="JT42" s="26"/>
      <c r="JU42" s="26"/>
      <c r="JV42" s="26"/>
      <c r="JW42" s="26"/>
      <c r="JX42" s="26"/>
      <c r="JY42" s="26"/>
      <c r="JZ42" s="26"/>
      <c r="KA42" s="26"/>
      <c r="KB42" s="26"/>
      <c r="KC42" s="26"/>
      <c r="KD42" s="26"/>
      <c r="KE42" s="26"/>
      <c r="KF42" s="26"/>
      <c r="KG42" s="26"/>
      <c r="KH42" s="26"/>
      <c r="KI42" s="26"/>
      <c r="KJ42" s="26"/>
      <c r="KK42" s="26"/>
      <c r="KL42" s="26"/>
      <c r="KM42" s="26"/>
      <c r="KN42" s="26"/>
      <c r="KO42" s="26"/>
      <c r="KP42" s="26"/>
      <c r="KQ42" s="26"/>
      <c r="KR42" s="26"/>
      <c r="KS42" s="26"/>
      <c r="KT42" s="26"/>
      <c r="KU42" s="26"/>
      <c r="KV42" s="26"/>
      <c r="KW42" s="26"/>
      <c r="KX42" s="26"/>
      <c r="KY42" s="26"/>
      <c r="KZ42" s="26"/>
      <c r="LA42" s="26"/>
      <c r="LB42" s="26"/>
      <c r="LC42" s="26"/>
      <c r="LD42" s="26"/>
      <c r="LE42" s="26"/>
      <c r="LF42" s="26"/>
      <c r="LG42" s="26"/>
      <c r="LH42" s="26"/>
      <c r="LI42" s="26"/>
      <c r="LJ42" s="26"/>
      <c r="LK42" s="26"/>
      <c r="LL42" s="26"/>
      <c r="LM42" s="26"/>
      <c r="LN42" s="26"/>
      <c r="LO42" s="26"/>
      <c r="LP42" s="26"/>
      <c r="LQ42" s="26"/>
      <c r="LR42" s="26"/>
      <c r="LS42" s="26"/>
      <c r="LT42" s="26"/>
      <c r="LU42" s="26"/>
      <c r="LV42" s="26"/>
      <c r="LW42" s="26"/>
      <c r="LX42" s="26"/>
      <c r="LY42" s="26"/>
      <c r="LZ42" s="26"/>
      <c r="MA42" s="26"/>
      <c r="MB42" s="26"/>
      <c r="MC42" s="26"/>
      <c r="MD42" s="26"/>
      <c r="ME42" s="26"/>
      <c r="MF42" s="26"/>
      <c r="MG42" s="26"/>
      <c r="MH42" s="26"/>
      <c r="MI42" s="26"/>
      <c r="MJ42" s="26"/>
      <c r="MK42" s="26"/>
      <c r="ML42" s="26"/>
      <c r="MM42" s="26"/>
      <c r="MN42" s="26"/>
      <c r="MO42" s="26"/>
      <c r="MP42" s="26"/>
      <c r="MQ42" s="26"/>
      <c r="MR42" s="26"/>
      <c r="MS42" s="26"/>
      <c r="MT42" s="26"/>
      <c r="MU42" s="26"/>
      <c r="MV42" s="26"/>
      <c r="MW42" s="26"/>
      <c r="MX42" s="26"/>
      <c r="MY42" s="26"/>
      <c r="MZ42" s="26"/>
      <c r="NA42" s="26"/>
      <c r="NB42" s="26"/>
      <c r="NC42" s="26"/>
      <c r="ND42" s="26"/>
      <c r="NE42" s="26"/>
      <c r="NF42" s="26"/>
      <c r="NG42" s="26"/>
      <c r="NH42" s="26"/>
      <c r="NI42" s="26"/>
      <c r="NJ42" s="26"/>
      <c r="NK42" s="26"/>
      <c r="NL42" s="26"/>
      <c r="NM42" s="26"/>
      <c r="NN42" s="26"/>
      <c r="NO42" s="26"/>
      <c r="NP42" s="26"/>
      <c r="NQ42" s="26"/>
      <c r="NR42" s="26"/>
      <c r="NS42" s="26"/>
      <c r="NT42" s="26"/>
      <c r="NU42" s="26"/>
      <c r="NV42" s="26"/>
      <c r="NW42" s="26"/>
      <c r="NX42" s="26"/>
      <c r="NY42" s="26"/>
      <c r="NZ42" s="26"/>
      <c r="OA42" s="26"/>
      <c r="OB42" s="26"/>
      <c r="OC42" s="26"/>
      <c r="OD42" s="26"/>
      <c r="OE42" s="26"/>
      <c r="OF42" s="26"/>
      <c r="OG42" s="26"/>
      <c r="OH42" s="26"/>
      <c r="OI42" s="26"/>
      <c r="OJ42" s="26"/>
      <c r="OK42" s="26"/>
      <c r="OL42" s="26"/>
      <c r="OM42" s="26"/>
      <c r="ON42" s="26"/>
    </row>
    <row r="43">
      <c r="A43" s="26"/>
      <c r="B43" s="27" t="s">
        <v>50</v>
      </c>
      <c r="C43" s="28"/>
      <c r="D43" s="28"/>
      <c r="E43" s="28"/>
      <c r="F43" s="29"/>
      <c r="G43" s="28"/>
      <c r="H43" s="28"/>
      <c r="I43" s="28"/>
      <c r="J43" s="28">
        <f t="shared" ref="J43:L43" si="49">J28/F28-1</f>
        <v>0.1117241379</v>
      </c>
      <c r="K43" s="28">
        <f t="shared" si="49"/>
        <v>0.1232517483</v>
      </c>
      <c r="L43" s="28">
        <f t="shared" si="49"/>
        <v>0.06444605358</v>
      </c>
      <c r="M43" s="28"/>
      <c r="N43" s="28"/>
      <c r="O43" s="28"/>
      <c r="P43" s="26"/>
      <c r="Q43" s="26"/>
      <c r="R43" s="26"/>
      <c r="S43" s="26"/>
      <c r="T43" s="26"/>
      <c r="U43" s="26"/>
      <c r="V43" s="26"/>
      <c r="W43" s="26"/>
      <c r="X43" s="26">
        <f t="shared" si="48"/>
        <v>0.08479475814</v>
      </c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30" t="s">
        <v>66</v>
      </c>
      <c r="AK43" s="31">
        <f>AK41/AK42</f>
        <v>139.7480498</v>
      </c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  <c r="JD43" s="26"/>
      <c r="JE43" s="26"/>
      <c r="JF43" s="26"/>
      <c r="JG43" s="26"/>
      <c r="JH43" s="26"/>
      <c r="JI43" s="26"/>
      <c r="JJ43" s="26"/>
      <c r="JK43" s="26"/>
      <c r="JL43" s="26"/>
      <c r="JM43" s="26"/>
      <c r="JN43" s="26"/>
      <c r="JO43" s="26"/>
      <c r="JP43" s="26"/>
      <c r="JQ43" s="26"/>
      <c r="JR43" s="26"/>
      <c r="JS43" s="26"/>
      <c r="JT43" s="26"/>
      <c r="JU43" s="26"/>
      <c r="JV43" s="26"/>
      <c r="JW43" s="26"/>
      <c r="JX43" s="26"/>
      <c r="JY43" s="26"/>
      <c r="JZ43" s="26"/>
      <c r="KA43" s="26"/>
      <c r="KB43" s="26"/>
      <c r="KC43" s="26"/>
      <c r="KD43" s="26"/>
      <c r="KE43" s="26"/>
      <c r="KF43" s="26"/>
      <c r="KG43" s="26"/>
      <c r="KH43" s="26"/>
      <c r="KI43" s="26"/>
      <c r="KJ43" s="26"/>
      <c r="KK43" s="26"/>
      <c r="KL43" s="26"/>
      <c r="KM43" s="26"/>
      <c r="KN43" s="26"/>
      <c r="KO43" s="26"/>
      <c r="KP43" s="26"/>
      <c r="KQ43" s="26"/>
      <c r="KR43" s="26"/>
      <c r="KS43" s="26"/>
      <c r="KT43" s="26"/>
      <c r="KU43" s="26"/>
      <c r="KV43" s="26"/>
      <c r="KW43" s="26"/>
      <c r="KX43" s="26"/>
      <c r="KY43" s="26"/>
      <c r="KZ43" s="26"/>
      <c r="LA43" s="26"/>
      <c r="LB43" s="26"/>
      <c r="LC43" s="26"/>
      <c r="LD43" s="26"/>
      <c r="LE43" s="26"/>
      <c r="LF43" s="26"/>
      <c r="LG43" s="26"/>
      <c r="LH43" s="26"/>
      <c r="LI43" s="26"/>
      <c r="LJ43" s="26"/>
      <c r="LK43" s="26"/>
      <c r="LL43" s="26"/>
      <c r="LM43" s="26"/>
      <c r="LN43" s="26"/>
      <c r="LO43" s="26"/>
      <c r="LP43" s="26"/>
      <c r="LQ43" s="26"/>
      <c r="LR43" s="26"/>
      <c r="LS43" s="26"/>
      <c r="LT43" s="26"/>
      <c r="LU43" s="26"/>
      <c r="LV43" s="26"/>
      <c r="LW43" s="26"/>
      <c r="LX43" s="26"/>
      <c r="LY43" s="26"/>
      <c r="LZ43" s="26"/>
      <c r="MA43" s="26"/>
      <c r="MB43" s="26"/>
      <c r="MC43" s="26"/>
      <c r="MD43" s="26"/>
      <c r="ME43" s="26"/>
      <c r="MF43" s="26"/>
      <c r="MG43" s="26"/>
      <c r="MH43" s="26"/>
      <c r="MI43" s="26"/>
      <c r="MJ43" s="26"/>
      <c r="MK43" s="26"/>
      <c r="ML43" s="26"/>
      <c r="MM43" s="26"/>
      <c r="MN43" s="26"/>
      <c r="MO43" s="26"/>
      <c r="MP43" s="26"/>
      <c r="MQ43" s="26"/>
      <c r="MR43" s="26"/>
      <c r="MS43" s="26"/>
      <c r="MT43" s="26"/>
      <c r="MU43" s="26"/>
      <c r="MV43" s="26"/>
      <c r="MW43" s="26"/>
      <c r="MX43" s="26"/>
      <c r="MY43" s="26"/>
      <c r="MZ43" s="26"/>
      <c r="NA43" s="26"/>
      <c r="NB43" s="26"/>
      <c r="NC43" s="26"/>
      <c r="ND43" s="26"/>
      <c r="NE43" s="26"/>
      <c r="NF43" s="26"/>
      <c r="NG43" s="26"/>
      <c r="NH43" s="26"/>
      <c r="NI43" s="26"/>
      <c r="NJ43" s="26"/>
      <c r="NK43" s="26"/>
      <c r="NL43" s="26"/>
      <c r="NM43" s="26"/>
      <c r="NN43" s="26"/>
      <c r="NO43" s="26"/>
      <c r="NP43" s="26"/>
      <c r="NQ43" s="26"/>
      <c r="NR43" s="26"/>
      <c r="NS43" s="26"/>
      <c r="NT43" s="26"/>
      <c r="NU43" s="26"/>
      <c r="NV43" s="26"/>
      <c r="NW43" s="26"/>
      <c r="NX43" s="26"/>
      <c r="NY43" s="26"/>
      <c r="NZ43" s="26"/>
      <c r="OA43" s="26"/>
      <c r="OB43" s="26"/>
      <c r="OC43" s="26"/>
      <c r="OD43" s="26"/>
      <c r="OE43" s="26"/>
      <c r="OF43" s="26"/>
      <c r="OG43" s="26"/>
      <c r="OH43" s="26"/>
      <c r="OI43" s="26"/>
      <c r="OJ43" s="26"/>
      <c r="OK43" s="26"/>
      <c r="OL43" s="26"/>
      <c r="OM43" s="26"/>
      <c r="ON43" s="26"/>
    </row>
    <row r="44">
      <c r="A44" s="26"/>
      <c r="B44" s="27" t="s">
        <v>51</v>
      </c>
      <c r="C44" s="28"/>
      <c r="D44" s="28"/>
      <c r="E44" s="28"/>
      <c r="F44" s="29"/>
      <c r="G44" s="28"/>
      <c r="H44" s="28"/>
      <c r="I44" s="28"/>
      <c r="J44" s="28">
        <f t="shared" ref="J44:L44" si="50">J29/F29-1</f>
        <v>0.1467757459</v>
      </c>
      <c r="K44" s="28">
        <f t="shared" si="50"/>
        <v>0.1330523781</v>
      </c>
      <c r="L44" s="28">
        <f t="shared" si="50"/>
        <v>0.1061806656</v>
      </c>
      <c r="M44" s="28"/>
      <c r="N44" s="28"/>
      <c r="O44" s="28"/>
      <c r="P44" s="26"/>
      <c r="Q44" s="26"/>
      <c r="R44" s="26"/>
      <c r="S44" s="26"/>
      <c r="T44" s="26"/>
      <c r="U44" s="26"/>
      <c r="V44" s="26"/>
      <c r="W44" s="26"/>
      <c r="X44" s="26">
        <f t="shared" si="48"/>
        <v>0.1121013786</v>
      </c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30" t="s">
        <v>67</v>
      </c>
      <c r="AK44" s="31">
        <f>Main!K2</f>
        <v>145.85</v>
      </c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  <c r="IU44" s="26"/>
      <c r="IV44" s="26"/>
      <c r="IW44" s="26"/>
      <c r="IX44" s="26"/>
      <c r="IY44" s="26"/>
      <c r="IZ44" s="26"/>
      <c r="JA44" s="26"/>
      <c r="JB44" s="26"/>
      <c r="JC44" s="26"/>
      <c r="JD44" s="26"/>
      <c r="JE44" s="26"/>
      <c r="JF44" s="26"/>
      <c r="JG44" s="26"/>
      <c r="JH44" s="26"/>
      <c r="JI44" s="26"/>
      <c r="JJ44" s="26"/>
      <c r="JK44" s="26"/>
      <c r="JL44" s="26"/>
      <c r="JM44" s="26"/>
      <c r="JN44" s="26"/>
      <c r="JO44" s="26"/>
      <c r="JP44" s="26"/>
      <c r="JQ44" s="26"/>
      <c r="JR44" s="26"/>
      <c r="JS44" s="26"/>
      <c r="JT44" s="26"/>
      <c r="JU44" s="26"/>
      <c r="JV44" s="26"/>
      <c r="JW44" s="26"/>
      <c r="JX44" s="26"/>
      <c r="JY44" s="26"/>
      <c r="JZ44" s="26"/>
      <c r="KA44" s="26"/>
      <c r="KB44" s="26"/>
      <c r="KC44" s="26"/>
      <c r="KD44" s="26"/>
      <c r="KE44" s="26"/>
      <c r="KF44" s="26"/>
      <c r="KG44" s="26"/>
      <c r="KH44" s="26"/>
      <c r="KI44" s="26"/>
      <c r="KJ44" s="26"/>
      <c r="KK44" s="26"/>
      <c r="KL44" s="26"/>
      <c r="KM44" s="26"/>
      <c r="KN44" s="26"/>
      <c r="KO44" s="26"/>
      <c r="KP44" s="26"/>
      <c r="KQ44" s="26"/>
      <c r="KR44" s="26"/>
      <c r="KS44" s="26"/>
      <c r="KT44" s="26"/>
      <c r="KU44" s="26"/>
      <c r="KV44" s="26"/>
      <c r="KW44" s="26"/>
      <c r="KX44" s="26"/>
      <c r="KY44" s="26"/>
      <c r="KZ44" s="26"/>
      <c r="LA44" s="26"/>
      <c r="LB44" s="26"/>
      <c r="LC44" s="26"/>
      <c r="LD44" s="26"/>
      <c r="LE44" s="26"/>
      <c r="LF44" s="26"/>
      <c r="LG44" s="26"/>
      <c r="LH44" s="26"/>
      <c r="LI44" s="26"/>
      <c r="LJ44" s="26"/>
      <c r="LK44" s="26"/>
      <c r="LL44" s="26"/>
      <c r="LM44" s="26"/>
      <c r="LN44" s="26"/>
      <c r="LO44" s="26"/>
      <c r="LP44" s="26"/>
      <c r="LQ44" s="26"/>
      <c r="LR44" s="26"/>
      <c r="LS44" s="26"/>
      <c r="LT44" s="26"/>
      <c r="LU44" s="26"/>
      <c r="LV44" s="26"/>
      <c r="LW44" s="26"/>
      <c r="LX44" s="26"/>
      <c r="LY44" s="26"/>
      <c r="LZ44" s="26"/>
      <c r="MA44" s="26"/>
      <c r="MB44" s="26"/>
      <c r="MC44" s="26"/>
      <c r="MD44" s="26"/>
      <c r="ME44" s="26"/>
      <c r="MF44" s="26"/>
      <c r="MG44" s="26"/>
      <c r="MH44" s="26"/>
      <c r="MI44" s="26"/>
      <c r="MJ44" s="26"/>
      <c r="MK44" s="26"/>
      <c r="ML44" s="26"/>
      <c r="MM44" s="26"/>
      <c r="MN44" s="26"/>
      <c r="MO44" s="26"/>
      <c r="MP44" s="26"/>
      <c r="MQ44" s="26"/>
      <c r="MR44" s="26"/>
      <c r="MS44" s="26"/>
      <c r="MT44" s="26"/>
      <c r="MU44" s="26"/>
      <c r="MV44" s="26"/>
      <c r="MW44" s="26"/>
      <c r="MX44" s="26"/>
      <c r="MY44" s="26"/>
      <c r="MZ44" s="26"/>
      <c r="NA44" s="26"/>
      <c r="NB44" s="26"/>
      <c r="NC44" s="26"/>
      <c r="ND44" s="26"/>
      <c r="NE44" s="26"/>
      <c r="NF44" s="26"/>
      <c r="NG44" s="26"/>
      <c r="NH44" s="26"/>
      <c r="NI44" s="26"/>
      <c r="NJ44" s="26"/>
      <c r="NK44" s="26"/>
      <c r="NL44" s="26"/>
      <c r="NM44" s="26"/>
      <c r="NN44" s="26"/>
      <c r="NO44" s="26"/>
      <c r="NP44" s="26"/>
      <c r="NQ44" s="26"/>
      <c r="NR44" s="26"/>
      <c r="NS44" s="26"/>
      <c r="NT44" s="26"/>
      <c r="NU44" s="26"/>
      <c r="NV44" s="26"/>
      <c r="NW44" s="26"/>
      <c r="NX44" s="26"/>
      <c r="NY44" s="26"/>
      <c r="NZ44" s="26"/>
      <c r="OA44" s="26"/>
      <c r="OB44" s="26"/>
      <c r="OC44" s="26"/>
      <c r="OD44" s="26"/>
      <c r="OE44" s="26"/>
      <c r="OF44" s="26"/>
      <c r="OG44" s="26"/>
      <c r="OH44" s="26"/>
      <c r="OI44" s="26"/>
      <c r="OJ44" s="26"/>
      <c r="OK44" s="26"/>
      <c r="OL44" s="26"/>
      <c r="OM44" s="26"/>
      <c r="ON44" s="26"/>
    </row>
    <row r="45">
      <c r="A45" s="26"/>
      <c r="B45" s="32" t="s">
        <v>52</v>
      </c>
      <c r="C45" s="28"/>
      <c r="D45" s="28"/>
      <c r="E45" s="28"/>
      <c r="F45" s="29">
        <v>0.0</v>
      </c>
      <c r="G45" s="28">
        <f t="shared" ref="G45:N45" si="51">G30/C30-1</f>
        <v>0.05064508374</v>
      </c>
      <c r="H45" s="28">
        <f t="shared" si="51"/>
        <v>0.06927531928</v>
      </c>
      <c r="I45" s="28">
        <f t="shared" si="51"/>
        <v>0.07494844628</v>
      </c>
      <c r="J45" s="28">
        <f t="shared" si="51"/>
        <v>0.08519877676</v>
      </c>
      <c r="K45" s="28">
        <f t="shared" si="51"/>
        <v>0.09244146137</v>
      </c>
      <c r="L45" s="28">
        <f t="shared" si="51"/>
        <v>0.05409346573</v>
      </c>
      <c r="M45" s="28">
        <f t="shared" si="51"/>
        <v>0.09</v>
      </c>
      <c r="N45" s="28">
        <f t="shared" si="51"/>
        <v>0.09</v>
      </c>
      <c r="O45" s="28"/>
      <c r="P45" s="26"/>
      <c r="Q45" s="26"/>
      <c r="R45" s="26">
        <f t="shared" ref="R45:AH45" si="52">R30/Q30-1</f>
        <v>0.07040771816</v>
      </c>
      <c r="S45" s="26">
        <f t="shared" si="52"/>
        <v>-0.2296425917</v>
      </c>
      <c r="T45" s="26">
        <f t="shared" si="52"/>
        <v>0.5107197312</v>
      </c>
      <c r="U45" s="26">
        <f t="shared" si="52"/>
        <v>0.02854788877</v>
      </c>
      <c r="V45" s="26">
        <f t="shared" si="52"/>
        <v>0.08572973406</v>
      </c>
      <c r="W45" s="26">
        <f t="shared" si="52"/>
        <v>0.03952634782</v>
      </c>
      <c r="X45" s="26">
        <f t="shared" si="52"/>
        <v>0.07118523776</v>
      </c>
      <c r="Y45" s="26">
        <f t="shared" si="52"/>
        <v>0.08196514941</v>
      </c>
      <c r="Z45" s="26">
        <f t="shared" si="52"/>
        <v>0.09</v>
      </c>
      <c r="AA45" s="26">
        <f t="shared" si="52"/>
        <v>0.09</v>
      </c>
      <c r="AB45" s="26">
        <f t="shared" si="52"/>
        <v>0.09</v>
      </c>
      <c r="AC45" s="26">
        <f t="shared" si="52"/>
        <v>0.09</v>
      </c>
      <c r="AD45" s="26">
        <f t="shared" si="52"/>
        <v>0.09</v>
      </c>
      <c r="AE45" s="26">
        <f t="shared" si="52"/>
        <v>0.09</v>
      </c>
      <c r="AF45" s="26">
        <f t="shared" si="52"/>
        <v>0.09</v>
      </c>
      <c r="AG45" s="26">
        <f t="shared" si="52"/>
        <v>0.09</v>
      </c>
      <c r="AH45" s="26">
        <f t="shared" si="52"/>
        <v>0.09</v>
      </c>
      <c r="AI45" s="26"/>
      <c r="AJ45" s="30" t="s">
        <v>68</v>
      </c>
      <c r="AK45" s="26">
        <f>AK43/AK44-1</f>
        <v>-0.0418371626</v>
      </c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26"/>
      <c r="JE45" s="26"/>
      <c r="JF45" s="26"/>
      <c r="JG45" s="26"/>
      <c r="JH45" s="26"/>
      <c r="JI45" s="26"/>
      <c r="JJ45" s="26"/>
      <c r="JK45" s="26"/>
      <c r="JL45" s="26"/>
      <c r="JM45" s="26"/>
      <c r="JN45" s="26"/>
      <c r="JO45" s="26"/>
      <c r="JP45" s="26"/>
      <c r="JQ45" s="26"/>
      <c r="JR45" s="26"/>
      <c r="JS45" s="26"/>
      <c r="JT45" s="26"/>
      <c r="JU45" s="26"/>
      <c r="JV45" s="26"/>
      <c r="JW45" s="26"/>
      <c r="JX45" s="26"/>
      <c r="JY45" s="26"/>
      <c r="JZ45" s="26"/>
      <c r="KA45" s="26"/>
      <c r="KB45" s="26"/>
      <c r="KC45" s="26"/>
      <c r="KD45" s="26"/>
      <c r="KE45" s="26"/>
      <c r="KF45" s="26"/>
      <c r="KG45" s="26"/>
      <c r="KH45" s="26"/>
      <c r="KI45" s="26"/>
      <c r="KJ45" s="26"/>
      <c r="KK45" s="26"/>
      <c r="KL45" s="26"/>
      <c r="KM45" s="26"/>
      <c r="KN45" s="26"/>
      <c r="KO45" s="26"/>
      <c r="KP45" s="26"/>
      <c r="KQ45" s="26"/>
      <c r="KR45" s="26"/>
      <c r="KS45" s="26"/>
      <c r="KT45" s="26"/>
      <c r="KU45" s="26"/>
      <c r="KV45" s="26"/>
      <c r="KW45" s="26"/>
      <c r="KX45" s="26"/>
      <c r="KY45" s="26"/>
      <c r="KZ45" s="26"/>
      <c r="LA45" s="26"/>
      <c r="LB45" s="26"/>
      <c r="LC45" s="26"/>
      <c r="LD45" s="26"/>
      <c r="LE45" s="26"/>
      <c r="LF45" s="26"/>
      <c r="LG45" s="26"/>
      <c r="LH45" s="26"/>
      <c r="LI45" s="26"/>
      <c r="LJ45" s="26"/>
      <c r="LK45" s="26"/>
      <c r="LL45" s="26"/>
      <c r="LM45" s="26"/>
      <c r="LN45" s="26"/>
      <c r="LO45" s="26"/>
      <c r="LP45" s="26"/>
      <c r="LQ45" s="26"/>
      <c r="LR45" s="26"/>
      <c r="LS45" s="26"/>
      <c r="LT45" s="26"/>
      <c r="LU45" s="26"/>
      <c r="LV45" s="26"/>
      <c r="LW45" s="26"/>
      <c r="LX45" s="26"/>
      <c r="LY45" s="26"/>
      <c r="LZ45" s="26"/>
      <c r="MA45" s="26"/>
      <c r="MB45" s="26"/>
      <c r="MC45" s="26"/>
      <c r="MD45" s="26"/>
      <c r="ME45" s="26"/>
      <c r="MF45" s="26"/>
      <c r="MG45" s="26"/>
      <c r="MH45" s="26"/>
      <c r="MI45" s="26"/>
      <c r="MJ45" s="26"/>
      <c r="MK45" s="26"/>
      <c r="ML45" s="26"/>
      <c r="MM45" s="26"/>
      <c r="MN45" s="26"/>
      <c r="MO45" s="26"/>
      <c r="MP45" s="26"/>
      <c r="MQ45" s="26"/>
      <c r="MR45" s="26"/>
      <c r="MS45" s="26"/>
      <c r="MT45" s="26"/>
      <c r="MU45" s="26"/>
      <c r="MV45" s="26"/>
      <c r="MW45" s="26"/>
      <c r="MX45" s="26"/>
      <c r="MY45" s="26"/>
      <c r="MZ45" s="26"/>
      <c r="NA45" s="26"/>
      <c r="NB45" s="26"/>
      <c r="NC45" s="26"/>
      <c r="ND45" s="26"/>
      <c r="NE45" s="26"/>
      <c r="NF45" s="26"/>
      <c r="NG45" s="26"/>
      <c r="NH45" s="26"/>
      <c r="NI45" s="26"/>
      <c r="NJ45" s="26"/>
      <c r="NK45" s="26"/>
      <c r="NL45" s="26"/>
      <c r="NM45" s="26"/>
      <c r="NN45" s="26"/>
      <c r="NO45" s="26"/>
      <c r="NP45" s="26"/>
      <c r="NQ45" s="26"/>
      <c r="NR45" s="26"/>
      <c r="NS45" s="26"/>
      <c r="NT45" s="26"/>
      <c r="NU45" s="26"/>
      <c r="NV45" s="26"/>
      <c r="NW45" s="26"/>
      <c r="NX45" s="26"/>
      <c r="NY45" s="26"/>
      <c r="NZ45" s="26"/>
      <c r="OA45" s="26"/>
      <c r="OB45" s="26"/>
      <c r="OC45" s="26"/>
      <c r="OD45" s="26"/>
      <c r="OE45" s="26"/>
      <c r="OF45" s="26"/>
      <c r="OG45" s="26"/>
      <c r="OH45" s="26"/>
      <c r="OI45" s="26"/>
      <c r="OJ45" s="26"/>
      <c r="OK45" s="26"/>
      <c r="OL45" s="26"/>
      <c r="OM45" s="26"/>
      <c r="ON45" s="26"/>
    </row>
    <row r="46">
      <c r="A46" s="26"/>
      <c r="B46" s="27" t="s">
        <v>69</v>
      </c>
      <c r="C46" s="28"/>
      <c r="D46" s="28"/>
      <c r="E46" s="28"/>
      <c r="F46" s="28"/>
      <c r="G46" s="28">
        <f t="shared" ref="G46:L46" si="53">G56/C56-1</f>
        <v>0.146188485</v>
      </c>
      <c r="H46" s="28">
        <f t="shared" si="53"/>
        <v>0.1394126739</v>
      </c>
      <c r="I46" s="28">
        <f t="shared" si="53"/>
        <v>0.1173097599</v>
      </c>
      <c r="J46" s="28">
        <f t="shared" si="53"/>
        <v>0.1364273478</v>
      </c>
      <c r="K46" s="28">
        <f t="shared" si="53"/>
        <v>0.07689069735</v>
      </c>
      <c r="L46" s="28">
        <f t="shared" si="53"/>
        <v>0.06646771568</v>
      </c>
      <c r="M46" s="28"/>
      <c r="N46" s="28"/>
      <c r="O46" s="28"/>
      <c r="P46" s="26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  <c r="IU46" s="26"/>
      <c r="IV46" s="26"/>
      <c r="IW46" s="26"/>
      <c r="IX46" s="26"/>
      <c r="IY46" s="26"/>
      <c r="IZ46" s="26"/>
      <c r="JA46" s="26"/>
      <c r="JB46" s="26"/>
      <c r="JC46" s="26"/>
      <c r="JD46" s="26"/>
      <c r="JE46" s="26"/>
      <c r="JF46" s="26"/>
      <c r="JG46" s="26"/>
      <c r="JH46" s="26"/>
      <c r="JI46" s="26"/>
      <c r="JJ46" s="26"/>
      <c r="JK46" s="26"/>
      <c r="JL46" s="26"/>
      <c r="JM46" s="26"/>
      <c r="JN46" s="26"/>
      <c r="JO46" s="26"/>
      <c r="JP46" s="26"/>
      <c r="JQ46" s="26"/>
      <c r="JR46" s="26"/>
      <c r="JS46" s="26"/>
      <c r="JT46" s="26"/>
      <c r="JU46" s="26"/>
      <c r="JV46" s="26"/>
      <c r="JW46" s="26"/>
      <c r="JX46" s="26"/>
      <c r="JY46" s="26"/>
      <c r="JZ46" s="26"/>
      <c r="KA46" s="26"/>
      <c r="KB46" s="26"/>
      <c r="KC46" s="26"/>
      <c r="KD46" s="26"/>
      <c r="KE46" s="26"/>
      <c r="KF46" s="26"/>
      <c r="KG46" s="26"/>
      <c r="KH46" s="26"/>
      <c r="KI46" s="26"/>
      <c r="KJ46" s="26"/>
      <c r="KK46" s="26"/>
      <c r="KL46" s="26"/>
      <c r="KM46" s="26"/>
      <c r="KN46" s="26"/>
      <c r="KO46" s="26"/>
      <c r="KP46" s="26"/>
      <c r="KQ46" s="26"/>
      <c r="KR46" s="26"/>
      <c r="KS46" s="26"/>
      <c r="KT46" s="26"/>
      <c r="KU46" s="26"/>
      <c r="KV46" s="26"/>
      <c r="KW46" s="26"/>
      <c r="KX46" s="26"/>
      <c r="KY46" s="26"/>
      <c r="KZ46" s="26"/>
      <c r="LA46" s="26"/>
      <c r="LB46" s="26"/>
      <c r="LC46" s="26"/>
      <c r="LD46" s="26"/>
      <c r="LE46" s="26"/>
      <c r="LF46" s="26"/>
      <c r="LG46" s="26"/>
      <c r="LH46" s="26"/>
      <c r="LI46" s="26"/>
      <c r="LJ46" s="26"/>
      <c r="LK46" s="26"/>
      <c r="LL46" s="26"/>
      <c r="LM46" s="26"/>
      <c r="LN46" s="26"/>
      <c r="LO46" s="26"/>
      <c r="LP46" s="26"/>
      <c r="LQ46" s="26"/>
      <c r="LR46" s="26"/>
      <c r="LS46" s="26"/>
      <c r="LT46" s="26"/>
      <c r="LU46" s="26"/>
      <c r="LV46" s="26"/>
      <c r="LW46" s="26"/>
      <c r="LX46" s="26"/>
      <c r="LY46" s="26"/>
      <c r="LZ46" s="26"/>
      <c r="MA46" s="26"/>
      <c r="MB46" s="26"/>
      <c r="MC46" s="26"/>
      <c r="MD46" s="26"/>
      <c r="ME46" s="26"/>
      <c r="MF46" s="26"/>
      <c r="MG46" s="26"/>
      <c r="MH46" s="26"/>
      <c r="MI46" s="26"/>
      <c r="MJ46" s="26"/>
      <c r="MK46" s="26"/>
      <c r="ML46" s="26"/>
      <c r="MM46" s="26"/>
      <c r="MN46" s="26"/>
      <c r="MO46" s="26"/>
      <c r="MP46" s="26"/>
      <c r="MQ46" s="26"/>
      <c r="MR46" s="26"/>
      <c r="MS46" s="26"/>
      <c r="MT46" s="26"/>
      <c r="MU46" s="26"/>
      <c r="MV46" s="26"/>
      <c r="MW46" s="26"/>
      <c r="MX46" s="26"/>
      <c r="MY46" s="26"/>
      <c r="MZ46" s="26"/>
      <c r="NA46" s="26"/>
      <c r="NB46" s="26"/>
      <c r="NC46" s="26"/>
      <c r="ND46" s="26"/>
      <c r="NE46" s="26"/>
      <c r="NF46" s="26"/>
      <c r="NG46" s="26"/>
      <c r="NH46" s="26"/>
      <c r="NI46" s="26"/>
      <c r="NJ46" s="26"/>
      <c r="NK46" s="26"/>
      <c r="NL46" s="26"/>
      <c r="NM46" s="26"/>
      <c r="NN46" s="26"/>
      <c r="NO46" s="26"/>
      <c r="NP46" s="26"/>
      <c r="NQ46" s="26"/>
      <c r="NR46" s="26"/>
      <c r="NS46" s="26"/>
      <c r="NT46" s="26"/>
      <c r="NU46" s="26"/>
      <c r="NV46" s="26"/>
      <c r="NW46" s="26"/>
      <c r="NX46" s="26"/>
      <c r="NY46" s="26"/>
      <c r="NZ46" s="26"/>
      <c r="OA46" s="26"/>
      <c r="OB46" s="26"/>
      <c r="OC46" s="26"/>
      <c r="OD46" s="26"/>
      <c r="OE46" s="26"/>
      <c r="OF46" s="26"/>
      <c r="OG46" s="26"/>
      <c r="OH46" s="26"/>
      <c r="OI46" s="26"/>
      <c r="OJ46" s="26"/>
      <c r="OK46" s="26"/>
      <c r="OL46" s="26"/>
      <c r="OM46" s="26"/>
      <c r="ON46" s="26"/>
    </row>
    <row r="47">
      <c r="A47" s="26"/>
      <c r="B47" s="30" t="s">
        <v>70</v>
      </c>
      <c r="C47" s="28"/>
      <c r="D47" s="28"/>
      <c r="E47" s="28"/>
      <c r="F47" s="28"/>
      <c r="G47" s="28">
        <f t="shared" ref="G47:L47" si="54">G55/C55-1</f>
        <v>0.07155477032</v>
      </c>
      <c r="H47" s="28">
        <f t="shared" si="54"/>
        <v>0.08290598291</v>
      </c>
      <c r="I47" s="28">
        <f t="shared" si="54"/>
        <v>0.04592240697</v>
      </c>
      <c r="J47" s="28">
        <f t="shared" si="54"/>
        <v>0.3562753036</v>
      </c>
      <c r="K47" s="28">
        <f t="shared" si="54"/>
        <v>0.141797197</v>
      </c>
      <c r="L47" s="28">
        <f t="shared" si="54"/>
        <v>0.1546961326</v>
      </c>
      <c r="M47" s="28"/>
      <c r="N47" s="28"/>
      <c r="O47" s="28"/>
      <c r="P47" s="26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  <c r="GR47" s="26"/>
      <c r="GS47" s="26"/>
      <c r="GT47" s="26"/>
      <c r="GU47" s="26"/>
      <c r="GV47" s="26"/>
      <c r="GW47" s="26"/>
      <c r="GX47" s="26"/>
      <c r="GY47" s="26"/>
      <c r="GZ47" s="26"/>
      <c r="HA47" s="26"/>
      <c r="HB47" s="26"/>
      <c r="HC47" s="26"/>
      <c r="HD47" s="26"/>
      <c r="HE47" s="26"/>
      <c r="HF47" s="26"/>
      <c r="HG47" s="26"/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  <c r="KK47" s="26"/>
      <c r="KL47" s="26"/>
      <c r="KM47" s="26"/>
      <c r="KN47" s="26"/>
      <c r="KO47" s="26"/>
      <c r="KP47" s="26"/>
      <c r="KQ47" s="26"/>
      <c r="KR47" s="26"/>
      <c r="KS47" s="26"/>
      <c r="KT47" s="26"/>
      <c r="KU47" s="26"/>
      <c r="KV47" s="26"/>
      <c r="KW47" s="26"/>
      <c r="KX47" s="26"/>
      <c r="KY47" s="26"/>
      <c r="KZ47" s="26"/>
      <c r="LA47" s="26"/>
      <c r="LB47" s="26"/>
      <c r="LC47" s="26"/>
      <c r="LD47" s="26"/>
      <c r="LE47" s="26"/>
      <c r="LF47" s="26"/>
      <c r="LG47" s="26"/>
      <c r="LH47" s="26"/>
      <c r="LI47" s="26"/>
      <c r="LJ47" s="26"/>
      <c r="LK47" s="26"/>
      <c r="LL47" s="26"/>
      <c r="LM47" s="26"/>
      <c r="LN47" s="26"/>
      <c r="LO47" s="26"/>
      <c r="LP47" s="26"/>
      <c r="LQ47" s="26"/>
      <c r="LR47" s="26"/>
      <c r="LS47" s="26"/>
      <c r="LT47" s="26"/>
      <c r="LU47" s="26"/>
      <c r="LV47" s="26"/>
      <c r="LW47" s="26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  <c r="MN47" s="26"/>
      <c r="MO47" s="26"/>
      <c r="MP47" s="26"/>
      <c r="MQ47" s="26"/>
      <c r="MR47" s="26"/>
      <c r="MS47" s="26"/>
      <c r="MT47" s="26"/>
      <c r="MU47" s="26"/>
      <c r="MV47" s="26"/>
      <c r="MW47" s="26"/>
      <c r="MX47" s="26"/>
      <c r="MY47" s="26"/>
      <c r="MZ47" s="26"/>
      <c r="NA47" s="26"/>
      <c r="NB47" s="26"/>
      <c r="NC47" s="26"/>
      <c r="ND47" s="26"/>
      <c r="NE47" s="26"/>
      <c r="NF47" s="26"/>
      <c r="NG47" s="26"/>
      <c r="NH47" s="26"/>
      <c r="NI47" s="26"/>
      <c r="NJ47" s="26"/>
      <c r="NK47" s="26"/>
      <c r="NL47" s="26"/>
      <c r="NM47" s="26"/>
      <c r="NN47" s="26"/>
      <c r="NO47" s="26"/>
      <c r="NP47" s="26"/>
      <c r="NQ47" s="26"/>
      <c r="NR47" s="26"/>
      <c r="NS47" s="26"/>
      <c r="NT47" s="26"/>
      <c r="NU47" s="26"/>
      <c r="NV47" s="26"/>
      <c r="NW47" s="26"/>
      <c r="NX47" s="26"/>
      <c r="NY47" s="26"/>
      <c r="NZ47" s="26"/>
      <c r="OA47" s="26"/>
      <c r="OB47" s="26"/>
      <c r="OC47" s="26"/>
      <c r="OD47" s="26"/>
      <c r="OE47" s="26"/>
      <c r="OF47" s="26"/>
      <c r="OG47" s="26"/>
      <c r="OH47" s="26"/>
      <c r="OI47" s="26"/>
      <c r="OJ47" s="26"/>
      <c r="OK47" s="26"/>
      <c r="OL47" s="26"/>
      <c r="OM47" s="26"/>
      <c r="ON47" s="26"/>
    </row>
    <row r="48">
      <c r="A48" s="26"/>
      <c r="B48" s="30" t="s">
        <v>71</v>
      </c>
      <c r="C48" s="28">
        <f t="shared" ref="C48:M48" si="55">(C30-C31)/C30</f>
        <v>0.2997035019</v>
      </c>
      <c r="D48" s="28">
        <f t="shared" si="55"/>
        <v>0.3035343035</v>
      </c>
      <c r="E48" s="28">
        <f t="shared" si="55"/>
        <v>0.3157932162</v>
      </c>
      <c r="F48" s="28">
        <f t="shared" si="55"/>
        <v>0.3045259939</v>
      </c>
      <c r="G48" s="28">
        <f t="shared" si="55"/>
        <v>0.2947906338</v>
      </c>
      <c r="H48" s="28">
        <f t="shared" si="55"/>
        <v>0.3072703284</v>
      </c>
      <c r="I48" s="28">
        <f t="shared" si="55"/>
        <v>0.3259244559</v>
      </c>
      <c r="J48" s="28">
        <f t="shared" si="55"/>
        <v>0.308628755</v>
      </c>
      <c r="K48" s="28">
        <f t="shared" si="55"/>
        <v>0.3127836347</v>
      </c>
      <c r="L48" s="28">
        <f t="shared" si="55"/>
        <v>0.3341238472</v>
      </c>
      <c r="M48" s="28">
        <f t="shared" si="55"/>
        <v>0.3259244559</v>
      </c>
      <c r="N48" s="28"/>
      <c r="O48" s="28"/>
      <c r="P48" s="26"/>
      <c r="Q48" s="28">
        <f t="shared" ref="Q48:AH48" si="56">(Q30-Q31)/Q30</f>
        <v>0.2858902317</v>
      </c>
      <c r="R48" s="28">
        <f t="shared" si="56"/>
        <v>0.2845602512</v>
      </c>
      <c r="S48" s="28">
        <f t="shared" si="56"/>
        <v>0.2365808881</v>
      </c>
      <c r="T48" s="28">
        <f t="shared" si="56"/>
        <v>0.284984552</v>
      </c>
      <c r="U48" s="28">
        <f t="shared" si="56"/>
        <v>0.2760933996</v>
      </c>
      <c r="V48" s="28">
        <f t="shared" si="56"/>
        <v>0.3000166</v>
      </c>
      <c r="W48" s="28">
        <f t="shared" si="56"/>
        <v>0.3060326473</v>
      </c>
      <c r="X48" s="28">
        <f t="shared" si="56"/>
        <v>0.3096302922</v>
      </c>
      <c r="Y48" s="28">
        <f t="shared" si="56"/>
        <v>0.3198276496</v>
      </c>
      <c r="Z48" s="28">
        <f t="shared" si="56"/>
        <v>0.3198276496</v>
      </c>
      <c r="AA48" s="28">
        <f t="shared" si="56"/>
        <v>0.3198276496</v>
      </c>
      <c r="AB48" s="28">
        <f t="shared" si="56"/>
        <v>0.3198276496</v>
      </c>
      <c r="AC48" s="28">
        <f t="shared" si="56"/>
        <v>0.3198276496</v>
      </c>
      <c r="AD48" s="28">
        <f t="shared" si="56"/>
        <v>0.3198276496</v>
      </c>
      <c r="AE48" s="28">
        <f t="shared" si="56"/>
        <v>0.3198276496</v>
      </c>
      <c r="AF48" s="28">
        <f t="shared" si="56"/>
        <v>0.3198276496</v>
      </c>
      <c r="AG48" s="28">
        <f t="shared" si="56"/>
        <v>0.3198276496</v>
      </c>
      <c r="AH48" s="28">
        <f t="shared" si="56"/>
        <v>0.3198276496</v>
      </c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6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  <c r="IH48" s="26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  <c r="IU48" s="26"/>
      <c r="IV48" s="26"/>
      <c r="IW48" s="26"/>
      <c r="IX48" s="26"/>
      <c r="IY48" s="26"/>
      <c r="IZ48" s="26"/>
      <c r="JA48" s="26"/>
      <c r="JB48" s="26"/>
      <c r="JC48" s="26"/>
      <c r="JD48" s="26"/>
      <c r="JE48" s="26"/>
      <c r="JF48" s="26"/>
      <c r="JG48" s="26"/>
      <c r="JH48" s="26"/>
      <c r="JI48" s="26"/>
      <c r="JJ48" s="26"/>
      <c r="JK48" s="26"/>
      <c r="JL48" s="26"/>
      <c r="JM48" s="26"/>
      <c r="JN48" s="26"/>
      <c r="JO48" s="26"/>
      <c r="JP48" s="26"/>
      <c r="JQ48" s="26"/>
      <c r="JR48" s="26"/>
      <c r="JS48" s="26"/>
      <c r="JT48" s="26"/>
      <c r="JU48" s="26"/>
      <c r="JV48" s="26"/>
      <c r="JW48" s="26"/>
      <c r="JX48" s="26"/>
      <c r="JY48" s="26"/>
      <c r="JZ48" s="26"/>
      <c r="KA48" s="26"/>
      <c r="KB48" s="26"/>
      <c r="KC48" s="26"/>
      <c r="KD48" s="26"/>
      <c r="KE48" s="26"/>
      <c r="KF48" s="26"/>
      <c r="KG48" s="26"/>
      <c r="KH48" s="26"/>
      <c r="KI48" s="26"/>
      <c r="KJ48" s="26"/>
      <c r="KK48" s="26"/>
      <c r="KL48" s="26"/>
      <c r="KM48" s="26"/>
      <c r="KN48" s="26"/>
      <c r="KO48" s="26"/>
      <c r="KP48" s="26"/>
      <c r="KQ48" s="26"/>
      <c r="KR48" s="26"/>
      <c r="KS48" s="26"/>
      <c r="KT48" s="26"/>
      <c r="KU48" s="26"/>
      <c r="KV48" s="26"/>
      <c r="KW48" s="26"/>
      <c r="KX48" s="26"/>
      <c r="KY48" s="26"/>
      <c r="KZ48" s="26"/>
      <c r="LA48" s="26"/>
      <c r="LB48" s="26"/>
      <c r="LC48" s="26"/>
      <c r="LD48" s="26"/>
      <c r="LE48" s="26"/>
      <c r="LF48" s="26"/>
      <c r="LG48" s="26"/>
      <c r="LH48" s="26"/>
      <c r="LI48" s="26"/>
      <c r="LJ48" s="26"/>
      <c r="LK48" s="26"/>
      <c r="LL48" s="26"/>
      <c r="LM48" s="26"/>
      <c r="LN48" s="26"/>
      <c r="LO48" s="26"/>
      <c r="LP48" s="26"/>
      <c r="LQ48" s="26"/>
      <c r="LR48" s="26"/>
      <c r="LS48" s="26"/>
      <c r="LT48" s="26"/>
      <c r="LU48" s="26"/>
      <c r="LV48" s="26"/>
      <c r="LW48" s="26"/>
      <c r="LX48" s="26"/>
      <c r="LY48" s="26"/>
      <c r="LZ48" s="26"/>
      <c r="MA48" s="26"/>
      <c r="MB48" s="26"/>
      <c r="MC48" s="26"/>
      <c r="MD48" s="26"/>
      <c r="ME48" s="26"/>
      <c r="MF48" s="26"/>
      <c r="MG48" s="26"/>
      <c r="MH48" s="26"/>
      <c r="MI48" s="26"/>
      <c r="MJ48" s="26"/>
      <c r="MK48" s="26"/>
      <c r="ML48" s="26"/>
      <c r="MM48" s="26"/>
      <c r="MN48" s="26"/>
      <c r="MO48" s="26"/>
      <c r="MP48" s="26"/>
      <c r="MQ48" s="26"/>
      <c r="MR48" s="26"/>
      <c r="MS48" s="26"/>
      <c r="MT48" s="26"/>
      <c r="MU48" s="26"/>
      <c r="MV48" s="26"/>
      <c r="MW48" s="26"/>
      <c r="MX48" s="26"/>
      <c r="MY48" s="26"/>
      <c r="MZ48" s="26"/>
      <c r="NA48" s="26"/>
      <c r="NB48" s="26"/>
      <c r="NC48" s="26"/>
      <c r="ND48" s="26"/>
      <c r="NE48" s="26"/>
      <c r="NF48" s="26"/>
      <c r="NG48" s="26"/>
      <c r="NH48" s="26"/>
      <c r="NI48" s="26"/>
      <c r="NJ48" s="26"/>
      <c r="NK48" s="26"/>
      <c r="NL48" s="26"/>
      <c r="NM48" s="26"/>
      <c r="NN48" s="26"/>
      <c r="NO48" s="26"/>
      <c r="NP48" s="26"/>
      <c r="NQ48" s="26"/>
      <c r="NR48" s="26"/>
      <c r="NS48" s="26"/>
      <c r="NT48" s="26"/>
      <c r="NU48" s="26"/>
      <c r="NV48" s="26"/>
      <c r="NW48" s="26"/>
      <c r="NX48" s="26"/>
      <c r="NY48" s="26"/>
      <c r="NZ48" s="26"/>
      <c r="OA48" s="26"/>
      <c r="OB48" s="26"/>
      <c r="OC48" s="26"/>
      <c r="OD48" s="26"/>
      <c r="OE48" s="26"/>
      <c r="OF48" s="26"/>
      <c r="OG48" s="26"/>
      <c r="OH48" s="26"/>
      <c r="OI48" s="26"/>
      <c r="OJ48" s="26"/>
      <c r="OK48" s="26"/>
      <c r="OL48" s="26"/>
      <c r="OM48" s="26"/>
      <c r="ON48" s="26"/>
    </row>
    <row r="49">
      <c r="A49" s="26"/>
      <c r="B49" s="30" t="s">
        <v>72</v>
      </c>
      <c r="C49" s="28">
        <f t="shared" ref="C49:M49" si="57">(C30-sum(C31:C32))/C30</f>
        <v>0.1073803991</v>
      </c>
      <c r="D49" s="28">
        <f t="shared" si="57"/>
        <v>0.1055836056</v>
      </c>
      <c r="E49" s="28">
        <f t="shared" si="57"/>
        <v>0.1203868307</v>
      </c>
      <c r="F49" s="28">
        <f t="shared" si="57"/>
        <v>0.1129663609</v>
      </c>
      <c r="G49" s="28">
        <f t="shared" si="57"/>
        <v>0.100373732</v>
      </c>
      <c r="H49" s="28">
        <f t="shared" si="57"/>
        <v>0.112492188</v>
      </c>
      <c r="I49" s="28">
        <f t="shared" si="57"/>
        <v>0.1248925051</v>
      </c>
      <c r="J49" s="28">
        <f t="shared" si="57"/>
        <v>0.1326720397</v>
      </c>
      <c r="K49" s="28">
        <f t="shared" si="57"/>
        <v>0.1177127697</v>
      </c>
      <c r="L49" s="28">
        <f t="shared" si="57"/>
        <v>0.1308959157</v>
      </c>
      <c r="M49" s="28">
        <f t="shared" si="57"/>
        <v>0.1248925051</v>
      </c>
      <c r="N49" s="28"/>
      <c r="O49" s="28"/>
      <c r="P49" s="26"/>
      <c r="Q49" s="28">
        <f t="shared" ref="Q49:AH49" si="58">(Q30-sum(Q31:Q32))/Q30</f>
        <v>0.2858902317</v>
      </c>
      <c r="R49" s="28">
        <f t="shared" si="58"/>
        <v>0.2845602512</v>
      </c>
      <c r="S49" s="28">
        <f t="shared" si="58"/>
        <v>0.2365808881</v>
      </c>
      <c r="T49" s="28">
        <f t="shared" si="58"/>
        <v>0.284984552</v>
      </c>
      <c r="U49" s="28">
        <f t="shared" si="58"/>
        <v>0.2760933996</v>
      </c>
      <c r="V49" s="28">
        <f t="shared" si="58"/>
        <v>0.1069221831</v>
      </c>
      <c r="W49" s="28">
        <f t="shared" si="58"/>
        <v>0.1118168914</v>
      </c>
      <c r="X49" s="28">
        <f t="shared" si="58"/>
        <v>0.118896177</v>
      </c>
      <c r="Y49" s="28">
        <f t="shared" si="58"/>
        <v>0.1270166747</v>
      </c>
      <c r="Z49" s="28">
        <f t="shared" si="58"/>
        <v>0.1270166747</v>
      </c>
      <c r="AA49" s="28">
        <f t="shared" si="58"/>
        <v>0.1270166747</v>
      </c>
      <c r="AB49" s="28">
        <f t="shared" si="58"/>
        <v>0.1270166747</v>
      </c>
      <c r="AC49" s="28">
        <f t="shared" si="58"/>
        <v>0.1270166747</v>
      </c>
      <c r="AD49" s="28">
        <f t="shared" si="58"/>
        <v>0.1270166747</v>
      </c>
      <c r="AE49" s="28">
        <f t="shared" si="58"/>
        <v>0.1270166747</v>
      </c>
      <c r="AF49" s="28">
        <f t="shared" si="58"/>
        <v>0.1270166747</v>
      </c>
      <c r="AG49" s="28">
        <f t="shared" si="58"/>
        <v>0.1270166747</v>
      </c>
      <c r="AH49" s="28">
        <f t="shared" si="58"/>
        <v>0.1270166747</v>
      </c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6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  <c r="HZ49" s="26"/>
      <c r="IA49" s="26"/>
      <c r="IB49" s="26"/>
      <c r="IC49" s="26"/>
      <c r="ID49" s="26"/>
      <c r="IE49" s="26"/>
      <c r="IF49" s="26"/>
      <c r="IG49" s="26"/>
      <c r="IH49" s="26"/>
      <c r="II49" s="26"/>
      <c r="IJ49" s="26"/>
      <c r="IK49" s="26"/>
      <c r="IL49" s="26"/>
      <c r="IM49" s="26"/>
      <c r="IN49" s="26"/>
      <c r="IO49" s="26"/>
      <c r="IP49" s="26"/>
      <c r="IQ49" s="26"/>
      <c r="IR49" s="26"/>
      <c r="IS49" s="26"/>
      <c r="IT49" s="26"/>
      <c r="IU49" s="26"/>
      <c r="IV49" s="26"/>
      <c r="IW49" s="26"/>
      <c r="IX49" s="26"/>
      <c r="IY49" s="26"/>
      <c r="IZ49" s="26"/>
      <c r="JA49" s="26"/>
      <c r="JB49" s="26"/>
      <c r="JC49" s="26"/>
      <c r="JD49" s="26"/>
      <c r="JE49" s="26"/>
      <c r="JF49" s="26"/>
      <c r="JG49" s="26"/>
      <c r="JH49" s="26"/>
      <c r="JI49" s="26"/>
      <c r="JJ49" s="26"/>
      <c r="JK49" s="26"/>
      <c r="JL49" s="26"/>
      <c r="JM49" s="26"/>
      <c r="JN49" s="26"/>
      <c r="JO49" s="26"/>
      <c r="JP49" s="26"/>
      <c r="JQ49" s="26"/>
      <c r="JR49" s="26"/>
      <c r="JS49" s="26"/>
      <c r="JT49" s="26"/>
      <c r="JU49" s="26"/>
      <c r="JV49" s="26"/>
      <c r="JW49" s="26"/>
      <c r="JX49" s="26"/>
      <c r="JY49" s="26"/>
      <c r="JZ49" s="26"/>
      <c r="KA49" s="26"/>
      <c r="KB49" s="26"/>
      <c r="KC49" s="26"/>
      <c r="KD49" s="26"/>
      <c r="KE49" s="26"/>
      <c r="KF49" s="26"/>
      <c r="KG49" s="26"/>
      <c r="KH49" s="26"/>
      <c r="KI49" s="26"/>
      <c r="KJ49" s="26"/>
      <c r="KK49" s="26"/>
      <c r="KL49" s="26"/>
      <c r="KM49" s="26"/>
      <c r="KN49" s="26"/>
      <c r="KO49" s="26"/>
      <c r="KP49" s="26"/>
      <c r="KQ49" s="26"/>
      <c r="KR49" s="26"/>
      <c r="KS49" s="26"/>
      <c r="KT49" s="26"/>
      <c r="KU49" s="26"/>
      <c r="KV49" s="26"/>
      <c r="KW49" s="26"/>
      <c r="KX49" s="26"/>
      <c r="KY49" s="26"/>
      <c r="KZ49" s="26"/>
      <c r="LA49" s="26"/>
      <c r="LB49" s="26"/>
      <c r="LC49" s="26"/>
      <c r="LD49" s="26"/>
      <c r="LE49" s="26"/>
      <c r="LF49" s="26"/>
      <c r="LG49" s="26"/>
      <c r="LH49" s="26"/>
      <c r="LI49" s="26"/>
      <c r="LJ49" s="26"/>
      <c r="LK49" s="26"/>
      <c r="LL49" s="26"/>
      <c r="LM49" s="26"/>
      <c r="LN49" s="26"/>
      <c r="LO49" s="26"/>
      <c r="LP49" s="26"/>
      <c r="LQ49" s="26"/>
      <c r="LR49" s="26"/>
      <c r="LS49" s="26"/>
      <c r="LT49" s="26"/>
      <c r="LU49" s="26"/>
      <c r="LV49" s="26"/>
      <c r="LW49" s="26"/>
      <c r="LX49" s="26"/>
      <c r="LY49" s="26"/>
      <c r="LZ49" s="26"/>
      <c r="MA49" s="26"/>
      <c r="MB49" s="26"/>
      <c r="MC49" s="26"/>
      <c r="MD49" s="26"/>
      <c r="ME49" s="26"/>
      <c r="MF49" s="26"/>
      <c r="MG49" s="26"/>
      <c r="MH49" s="26"/>
      <c r="MI49" s="26"/>
      <c r="MJ49" s="26"/>
      <c r="MK49" s="26"/>
      <c r="ML49" s="26"/>
      <c r="MM49" s="26"/>
      <c r="MN49" s="26"/>
      <c r="MO49" s="26"/>
      <c r="MP49" s="26"/>
      <c r="MQ49" s="26"/>
      <c r="MR49" s="26"/>
      <c r="MS49" s="26"/>
      <c r="MT49" s="26"/>
      <c r="MU49" s="26"/>
      <c r="MV49" s="26"/>
      <c r="MW49" s="26"/>
      <c r="MX49" s="26"/>
      <c r="MY49" s="26"/>
      <c r="MZ49" s="26"/>
      <c r="NA49" s="26"/>
      <c r="NB49" s="26"/>
      <c r="NC49" s="26"/>
      <c r="ND49" s="26"/>
      <c r="NE49" s="26"/>
      <c r="NF49" s="26"/>
      <c r="NG49" s="26"/>
      <c r="NH49" s="26"/>
      <c r="NI49" s="26"/>
      <c r="NJ49" s="26"/>
      <c r="NK49" s="26"/>
      <c r="NL49" s="26"/>
      <c r="NM49" s="26"/>
      <c r="NN49" s="26"/>
      <c r="NO49" s="26"/>
      <c r="NP49" s="26"/>
      <c r="NQ49" s="26"/>
      <c r="NR49" s="26"/>
      <c r="NS49" s="26"/>
      <c r="NT49" s="26"/>
      <c r="NU49" s="26"/>
      <c r="NV49" s="26"/>
      <c r="NW49" s="26"/>
      <c r="NX49" s="26"/>
      <c r="NY49" s="26"/>
      <c r="NZ49" s="26"/>
      <c r="OA49" s="26"/>
      <c r="OB49" s="26"/>
      <c r="OC49" s="26"/>
      <c r="OD49" s="26"/>
      <c r="OE49" s="26"/>
      <c r="OF49" s="26"/>
      <c r="OG49" s="26"/>
      <c r="OH49" s="26"/>
      <c r="OI49" s="26"/>
      <c r="OJ49" s="26"/>
      <c r="OK49" s="26"/>
      <c r="OL49" s="26"/>
      <c r="OM49" s="26"/>
      <c r="ON49" s="26"/>
    </row>
    <row r="50">
      <c r="A50" s="26"/>
      <c r="B50" s="30" t="s">
        <v>73</v>
      </c>
      <c r="C50" s="28">
        <f t="shared" ref="C50:M50" si="59">C34/C30</f>
        <v>0.1113871304</v>
      </c>
      <c r="D50" s="28">
        <f t="shared" si="59"/>
        <v>0.108999109</v>
      </c>
      <c r="E50" s="28">
        <f t="shared" si="59"/>
        <v>0.1234444998</v>
      </c>
      <c r="F50" s="28">
        <f t="shared" si="59"/>
        <v>0.1155351682</v>
      </c>
      <c r="G50" s="28">
        <f t="shared" si="59"/>
        <v>0.102661887</v>
      </c>
      <c r="H50" s="28">
        <f t="shared" si="59"/>
        <v>0.1143670578</v>
      </c>
      <c r="I50" s="28">
        <f t="shared" si="59"/>
        <v>0.1267447245</v>
      </c>
      <c r="J50" s="28">
        <f t="shared" si="59"/>
        <v>0.1347010088</v>
      </c>
      <c r="K50" s="28">
        <f t="shared" si="59"/>
        <v>0.1201563918</v>
      </c>
      <c r="L50" s="28">
        <f t="shared" si="59"/>
        <v>0.1329380764</v>
      </c>
      <c r="M50" s="33">
        <f t="shared" si="59"/>
        <v>0.1267447245</v>
      </c>
      <c r="N50" s="28"/>
      <c r="O50" s="28"/>
      <c r="P50" s="26"/>
      <c r="Q50" s="33">
        <f t="shared" ref="Q50:AH50" si="60">Q34/Q30</f>
        <v>0</v>
      </c>
      <c r="R50" s="33">
        <f t="shared" si="60"/>
        <v>0</v>
      </c>
      <c r="S50" s="33">
        <f t="shared" si="60"/>
        <v>0</v>
      </c>
      <c r="T50" s="33">
        <f t="shared" si="60"/>
        <v>0</v>
      </c>
      <c r="U50" s="33">
        <f t="shared" si="60"/>
        <v>0</v>
      </c>
      <c r="V50" s="33">
        <f t="shared" si="60"/>
        <v>0.110057731</v>
      </c>
      <c r="W50" s="33">
        <f t="shared" si="60"/>
        <v>0.1150283889</v>
      </c>
      <c r="X50" s="33">
        <f t="shared" si="60"/>
        <v>0.1209004174</v>
      </c>
      <c r="Y50" s="33">
        <f t="shared" si="60"/>
        <v>0.1290950453</v>
      </c>
      <c r="Z50" s="33">
        <f t="shared" si="60"/>
        <v>0.1290950453</v>
      </c>
      <c r="AA50" s="33">
        <f t="shared" si="60"/>
        <v>0.1290950453</v>
      </c>
      <c r="AB50" s="33">
        <f t="shared" si="60"/>
        <v>0.1290950453</v>
      </c>
      <c r="AC50" s="33">
        <f t="shared" si="60"/>
        <v>0.1290950453</v>
      </c>
      <c r="AD50" s="33">
        <f t="shared" si="60"/>
        <v>0.1290950453</v>
      </c>
      <c r="AE50" s="33">
        <f t="shared" si="60"/>
        <v>0.1290950453</v>
      </c>
      <c r="AF50" s="33">
        <f t="shared" si="60"/>
        <v>0.1290950453</v>
      </c>
      <c r="AG50" s="33">
        <f t="shared" si="60"/>
        <v>0.1290950453</v>
      </c>
      <c r="AH50" s="33">
        <f t="shared" si="60"/>
        <v>0.1290950453</v>
      </c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6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  <c r="HZ50" s="26"/>
      <c r="IA50" s="26"/>
      <c r="IB50" s="26"/>
      <c r="IC50" s="26"/>
      <c r="ID50" s="26"/>
      <c r="IE50" s="26"/>
      <c r="IF50" s="26"/>
      <c r="IG50" s="26"/>
      <c r="IH50" s="26"/>
      <c r="II50" s="26"/>
      <c r="IJ50" s="26"/>
      <c r="IK50" s="26"/>
      <c r="IL50" s="26"/>
      <c r="IM50" s="26"/>
      <c r="IN50" s="26"/>
      <c r="IO50" s="26"/>
      <c r="IP50" s="26"/>
      <c r="IQ50" s="26"/>
      <c r="IR50" s="26"/>
      <c r="IS50" s="26"/>
      <c r="IT50" s="26"/>
      <c r="IU50" s="26"/>
      <c r="IV50" s="26"/>
      <c r="IW50" s="26"/>
      <c r="IX50" s="26"/>
      <c r="IY50" s="26"/>
      <c r="IZ50" s="26"/>
      <c r="JA50" s="26"/>
      <c r="JB50" s="26"/>
      <c r="JC50" s="26"/>
      <c r="JD50" s="26"/>
      <c r="JE50" s="26"/>
      <c r="JF50" s="26"/>
      <c r="JG50" s="26"/>
      <c r="JH50" s="26"/>
      <c r="JI50" s="26"/>
      <c r="JJ50" s="26"/>
      <c r="JK50" s="26"/>
      <c r="JL50" s="26"/>
      <c r="JM50" s="26"/>
      <c r="JN50" s="26"/>
      <c r="JO50" s="26"/>
      <c r="JP50" s="26"/>
      <c r="JQ50" s="26"/>
      <c r="JR50" s="26"/>
      <c r="JS50" s="26"/>
      <c r="JT50" s="26"/>
      <c r="JU50" s="26"/>
      <c r="JV50" s="26"/>
      <c r="JW50" s="26"/>
      <c r="JX50" s="26"/>
      <c r="JY50" s="26"/>
      <c r="JZ50" s="26"/>
      <c r="KA50" s="26"/>
      <c r="KB50" s="26"/>
      <c r="KC50" s="26"/>
      <c r="KD50" s="26"/>
      <c r="KE50" s="26"/>
      <c r="KF50" s="26"/>
      <c r="KG50" s="26"/>
      <c r="KH50" s="26"/>
      <c r="KI50" s="26"/>
      <c r="KJ50" s="26"/>
      <c r="KK50" s="26"/>
      <c r="KL50" s="26"/>
      <c r="KM50" s="26"/>
      <c r="KN50" s="26"/>
      <c r="KO50" s="26"/>
      <c r="KP50" s="26"/>
      <c r="KQ50" s="26"/>
      <c r="KR50" s="26"/>
      <c r="KS50" s="26"/>
      <c r="KT50" s="26"/>
      <c r="KU50" s="26"/>
      <c r="KV50" s="26"/>
      <c r="KW50" s="26"/>
      <c r="KX50" s="26"/>
      <c r="KY50" s="26"/>
      <c r="KZ50" s="26"/>
      <c r="LA50" s="26"/>
      <c r="LB50" s="26"/>
      <c r="LC50" s="26"/>
      <c r="LD50" s="26"/>
      <c r="LE50" s="26"/>
      <c r="LF50" s="26"/>
      <c r="LG50" s="26"/>
      <c r="LH50" s="26"/>
      <c r="LI50" s="26"/>
      <c r="LJ50" s="26"/>
      <c r="LK50" s="26"/>
      <c r="LL50" s="26"/>
      <c r="LM50" s="26"/>
      <c r="LN50" s="26"/>
      <c r="LO50" s="26"/>
      <c r="LP50" s="26"/>
      <c r="LQ50" s="26"/>
      <c r="LR50" s="26"/>
      <c r="LS50" s="26"/>
      <c r="LT50" s="26"/>
      <c r="LU50" s="26"/>
      <c r="LV50" s="26"/>
      <c r="LW50" s="26"/>
      <c r="LX50" s="26"/>
      <c r="LY50" s="26"/>
      <c r="LZ50" s="26"/>
      <c r="MA50" s="26"/>
      <c r="MB50" s="26"/>
      <c r="MC50" s="26"/>
      <c r="MD50" s="26"/>
      <c r="ME50" s="26"/>
      <c r="MF50" s="26"/>
      <c r="MG50" s="26"/>
      <c r="MH50" s="26"/>
      <c r="MI50" s="26"/>
      <c r="MJ50" s="26"/>
      <c r="MK50" s="26"/>
      <c r="ML50" s="26"/>
      <c r="MM50" s="26"/>
      <c r="MN50" s="26"/>
      <c r="MO50" s="26"/>
      <c r="MP50" s="26"/>
      <c r="MQ50" s="26"/>
      <c r="MR50" s="26"/>
      <c r="MS50" s="26"/>
      <c r="MT50" s="26"/>
      <c r="MU50" s="26"/>
      <c r="MV50" s="26"/>
      <c r="MW50" s="26"/>
      <c r="MX50" s="26"/>
      <c r="MY50" s="26"/>
      <c r="MZ50" s="26"/>
      <c r="NA50" s="26"/>
      <c r="NB50" s="26"/>
      <c r="NC50" s="26"/>
      <c r="ND50" s="26"/>
      <c r="NE50" s="26"/>
      <c r="NF50" s="26"/>
      <c r="NG50" s="26"/>
      <c r="NH50" s="26"/>
      <c r="NI50" s="26"/>
      <c r="NJ50" s="26"/>
      <c r="NK50" s="26"/>
      <c r="NL50" s="26"/>
      <c r="NM50" s="26"/>
      <c r="NN50" s="26"/>
      <c r="NO50" s="26"/>
      <c r="NP50" s="26"/>
      <c r="NQ50" s="26"/>
      <c r="NR50" s="26"/>
      <c r="NS50" s="26"/>
      <c r="NT50" s="26"/>
      <c r="NU50" s="26"/>
      <c r="NV50" s="26"/>
      <c r="NW50" s="26"/>
      <c r="NX50" s="26"/>
      <c r="NY50" s="26"/>
      <c r="NZ50" s="26"/>
      <c r="OA50" s="26"/>
      <c r="OB50" s="26"/>
      <c r="OC50" s="26"/>
      <c r="OD50" s="26"/>
      <c r="OE50" s="26"/>
      <c r="OF50" s="26"/>
      <c r="OG50" s="26"/>
      <c r="OH50" s="26"/>
      <c r="OI50" s="26"/>
      <c r="OJ50" s="26"/>
      <c r="OK50" s="26"/>
      <c r="OL50" s="26"/>
      <c r="OM50" s="26"/>
      <c r="ON50" s="26"/>
    </row>
    <row r="51">
      <c r="A51" s="26"/>
      <c r="B51" s="26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6"/>
      <c r="Q51" s="26"/>
      <c r="R51" s="26"/>
      <c r="S51" s="26"/>
      <c r="T51" s="26"/>
      <c r="U51" s="26"/>
      <c r="V51" s="26"/>
      <c r="W51" s="26"/>
      <c r="X51" s="34">
        <f t="shared" ref="X51:Y51" si="61">X32/X30</f>
        <v>0.1907341152</v>
      </c>
      <c r="Y51" s="34">
        <f t="shared" si="61"/>
        <v>0.1928109748</v>
      </c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6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  <c r="HW51" s="26"/>
      <c r="HX51" s="26"/>
      <c r="HY51" s="26"/>
      <c r="HZ51" s="26"/>
      <c r="IA51" s="26"/>
      <c r="IB51" s="26"/>
      <c r="IC51" s="26"/>
      <c r="ID51" s="26"/>
      <c r="IE51" s="26"/>
      <c r="IF51" s="26"/>
      <c r="IG51" s="26"/>
      <c r="IH51" s="26"/>
      <c r="II51" s="26"/>
      <c r="IJ51" s="26"/>
      <c r="IK51" s="26"/>
      <c r="IL51" s="26"/>
      <c r="IM51" s="26"/>
      <c r="IN51" s="26"/>
      <c r="IO51" s="26"/>
      <c r="IP51" s="26"/>
      <c r="IQ51" s="26"/>
      <c r="IR51" s="26"/>
      <c r="IS51" s="26"/>
      <c r="IT51" s="26"/>
      <c r="IU51" s="26"/>
      <c r="IV51" s="26"/>
      <c r="IW51" s="26"/>
      <c r="IX51" s="26"/>
      <c r="IY51" s="26"/>
      <c r="IZ51" s="26"/>
      <c r="JA51" s="26"/>
      <c r="JB51" s="26"/>
      <c r="JC51" s="26"/>
      <c r="JD51" s="26"/>
      <c r="JE51" s="26"/>
      <c r="JF51" s="26"/>
      <c r="JG51" s="26"/>
      <c r="JH51" s="26"/>
      <c r="JI51" s="26"/>
      <c r="JJ51" s="26"/>
      <c r="JK51" s="26"/>
      <c r="JL51" s="26"/>
      <c r="JM51" s="26"/>
      <c r="JN51" s="26"/>
      <c r="JO51" s="26"/>
      <c r="JP51" s="26"/>
      <c r="JQ51" s="26"/>
      <c r="JR51" s="26"/>
      <c r="JS51" s="26"/>
      <c r="JT51" s="26"/>
      <c r="JU51" s="26"/>
      <c r="JV51" s="26"/>
      <c r="JW51" s="26"/>
      <c r="JX51" s="26"/>
      <c r="JY51" s="26"/>
      <c r="JZ51" s="26"/>
      <c r="KA51" s="26"/>
      <c r="KB51" s="26"/>
      <c r="KC51" s="26"/>
      <c r="KD51" s="26"/>
      <c r="KE51" s="26"/>
      <c r="KF51" s="26"/>
      <c r="KG51" s="26"/>
      <c r="KH51" s="26"/>
      <c r="KI51" s="26"/>
      <c r="KJ51" s="26"/>
      <c r="KK51" s="26"/>
      <c r="KL51" s="26"/>
      <c r="KM51" s="26"/>
      <c r="KN51" s="26"/>
      <c r="KO51" s="26"/>
      <c r="KP51" s="26"/>
      <c r="KQ51" s="26"/>
      <c r="KR51" s="26"/>
      <c r="KS51" s="26"/>
      <c r="KT51" s="26"/>
      <c r="KU51" s="26"/>
      <c r="KV51" s="26"/>
      <c r="KW51" s="26"/>
      <c r="KX51" s="26"/>
      <c r="KY51" s="26"/>
      <c r="KZ51" s="26"/>
      <c r="LA51" s="26"/>
      <c r="LB51" s="26"/>
      <c r="LC51" s="26"/>
      <c r="LD51" s="26"/>
      <c r="LE51" s="26"/>
      <c r="LF51" s="26"/>
      <c r="LG51" s="26"/>
      <c r="LH51" s="26"/>
      <c r="LI51" s="26"/>
      <c r="LJ51" s="26"/>
      <c r="LK51" s="26"/>
      <c r="LL51" s="26"/>
      <c r="LM51" s="26"/>
      <c r="LN51" s="26"/>
      <c r="LO51" s="26"/>
      <c r="LP51" s="26"/>
      <c r="LQ51" s="26"/>
      <c r="LR51" s="26"/>
      <c r="LS51" s="26"/>
      <c r="LT51" s="26"/>
      <c r="LU51" s="26"/>
      <c r="LV51" s="26"/>
      <c r="LW51" s="26"/>
      <c r="LX51" s="26"/>
      <c r="LY51" s="26"/>
      <c r="LZ51" s="26"/>
      <c r="MA51" s="26"/>
      <c r="MB51" s="26"/>
      <c r="MC51" s="26"/>
      <c r="MD51" s="26"/>
      <c r="ME51" s="26"/>
      <c r="MF51" s="26"/>
      <c r="MG51" s="26"/>
      <c r="MH51" s="26"/>
      <c r="MI51" s="26"/>
      <c r="MJ51" s="26"/>
      <c r="MK51" s="26"/>
      <c r="ML51" s="26"/>
      <c r="MM51" s="26"/>
      <c r="MN51" s="26"/>
      <c r="MO51" s="26"/>
      <c r="MP51" s="26"/>
      <c r="MQ51" s="26"/>
      <c r="MR51" s="26"/>
      <c r="MS51" s="26"/>
      <c r="MT51" s="26"/>
      <c r="MU51" s="26"/>
      <c r="MV51" s="26"/>
      <c r="MW51" s="26"/>
      <c r="MX51" s="26"/>
      <c r="MY51" s="26"/>
      <c r="MZ51" s="26"/>
      <c r="NA51" s="26"/>
      <c r="NB51" s="26"/>
      <c r="NC51" s="26"/>
      <c r="ND51" s="26"/>
      <c r="NE51" s="26"/>
      <c r="NF51" s="26"/>
      <c r="NG51" s="26"/>
      <c r="NH51" s="26"/>
      <c r="NI51" s="26"/>
      <c r="NJ51" s="26"/>
      <c r="NK51" s="26"/>
      <c r="NL51" s="26"/>
      <c r="NM51" s="26"/>
      <c r="NN51" s="26"/>
      <c r="NO51" s="26"/>
      <c r="NP51" s="26"/>
      <c r="NQ51" s="26"/>
      <c r="NR51" s="26"/>
      <c r="NS51" s="26"/>
      <c r="NT51" s="26"/>
      <c r="NU51" s="26"/>
      <c r="NV51" s="26"/>
      <c r="NW51" s="26"/>
      <c r="NX51" s="26"/>
      <c r="NY51" s="26"/>
      <c r="NZ51" s="26"/>
      <c r="OA51" s="26"/>
      <c r="OB51" s="26"/>
      <c r="OC51" s="26"/>
      <c r="OD51" s="26"/>
      <c r="OE51" s="26"/>
      <c r="OF51" s="26"/>
      <c r="OG51" s="26"/>
      <c r="OH51" s="26"/>
      <c r="OI51" s="26"/>
      <c r="OJ51" s="26"/>
      <c r="OK51" s="26"/>
      <c r="OL51" s="26"/>
      <c r="OM51" s="26"/>
      <c r="ON51" s="26"/>
    </row>
    <row r="52">
      <c r="A52" s="26"/>
      <c r="B52" s="26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  <c r="GR52" s="26"/>
      <c r="GS52" s="26"/>
      <c r="GT52" s="26"/>
      <c r="GU52" s="26"/>
      <c r="GV52" s="26"/>
      <c r="GW52" s="26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6"/>
      <c r="HI52" s="26"/>
      <c r="HJ52" s="26"/>
      <c r="HK52" s="26"/>
      <c r="HL52" s="26"/>
      <c r="HM52" s="26"/>
      <c r="HN52" s="26"/>
      <c r="HO52" s="26"/>
      <c r="HP52" s="26"/>
      <c r="HQ52" s="26"/>
      <c r="HR52" s="26"/>
      <c r="HS52" s="26"/>
      <c r="HT52" s="26"/>
      <c r="HU52" s="26"/>
      <c r="HV52" s="26"/>
      <c r="HW52" s="26"/>
      <c r="HX52" s="26"/>
      <c r="HY52" s="26"/>
      <c r="HZ52" s="26"/>
      <c r="IA52" s="26"/>
      <c r="IB52" s="26"/>
      <c r="IC52" s="26"/>
      <c r="ID52" s="26"/>
      <c r="IE52" s="26"/>
      <c r="IF52" s="26"/>
      <c r="IG52" s="26"/>
      <c r="IH52" s="26"/>
      <c r="II52" s="26"/>
      <c r="IJ52" s="26"/>
      <c r="IK52" s="26"/>
      <c r="IL52" s="26"/>
      <c r="IM52" s="26"/>
      <c r="IN52" s="26"/>
      <c r="IO52" s="26"/>
      <c r="IP52" s="26"/>
      <c r="IQ52" s="26"/>
      <c r="IR52" s="26"/>
      <c r="IS52" s="26"/>
      <c r="IT52" s="26"/>
      <c r="IU52" s="26"/>
      <c r="IV52" s="26"/>
      <c r="IW52" s="26"/>
      <c r="IX52" s="26"/>
      <c r="IY52" s="26"/>
      <c r="IZ52" s="26"/>
      <c r="JA52" s="26"/>
      <c r="JB52" s="26"/>
      <c r="JC52" s="26"/>
      <c r="JD52" s="26"/>
      <c r="JE52" s="26"/>
      <c r="JF52" s="26"/>
      <c r="JG52" s="26"/>
      <c r="JH52" s="26"/>
      <c r="JI52" s="26"/>
      <c r="JJ52" s="26"/>
      <c r="JK52" s="26"/>
      <c r="JL52" s="26"/>
      <c r="JM52" s="26"/>
      <c r="JN52" s="26"/>
      <c r="JO52" s="26"/>
      <c r="JP52" s="26"/>
      <c r="JQ52" s="26"/>
      <c r="JR52" s="26"/>
      <c r="JS52" s="26"/>
      <c r="JT52" s="26"/>
      <c r="JU52" s="26"/>
      <c r="JV52" s="26"/>
      <c r="JW52" s="26"/>
      <c r="JX52" s="26"/>
      <c r="JY52" s="26"/>
      <c r="JZ52" s="26"/>
      <c r="KA52" s="26"/>
      <c r="KB52" s="26"/>
      <c r="KC52" s="26"/>
      <c r="KD52" s="26"/>
      <c r="KE52" s="26"/>
      <c r="KF52" s="26"/>
      <c r="KG52" s="26"/>
      <c r="KH52" s="26"/>
      <c r="KI52" s="26"/>
      <c r="KJ52" s="26"/>
      <c r="KK52" s="26"/>
      <c r="KL52" s="26"/>
      <c r="KM52" s="26"/>
      <c r="KN52" s="26"/>
      <c r="KO52" s="26"/>
      <c r="KP52" s="26"/>
      <c r="KQ52" s="26"/>
      <c r="KR52" s="26"/>
      <c r="KS52" s="26"/>
      <c r="KT52" s="26"/>
      <c r="KU52" s="26"/>
      <c r="KV52" s="26"/>
      <c r="KW52" s="26"/>
      <c r="KX52" s="26"/>
      <c r="KY52" s="26"/>
      <c r="KZ52" s="26"/>
      <c r="LA52" s="26"/>
      <c r="LB52" s="26"/>
      <c r="LC52" s="26"/>
      <c r="LD52" s="26"/>
      <c r="LE52" s="26"/>
      <c r="LF52" s="26"/>
      <c r="LG52" s="26"/>
      <c r="LH52" s="26"/>
      <c r="LI52" s="26"/>
      <c r="LJ52" s="26"/>
      <c r="LK52" s="26"/>
      <c r="LL52" s="26"/>
      <c r="LM52" s="26"/>
      <c r="LN52" s="26"/>
      <c r="LO52" s="26"/>
      <c r="LP52" s="26"/>
      <c r="LQ52" s="26"/>
      <c r="LR52" s="26"/>
      <c r="LS52" s="26"/>
      <c r="LT52" s="26"/>
      <c r="LU52" s="26"/>
      <c r="LV52" s="26"/>
      <c r="LW52" s="26"/>
      <c r="LX52" s="26"/>
      <c r="LY52" s="26"/>
      <c r="LZ52" s="26"/>
      <c r="MA52" s="26"/>
      <c r="MB52" s="26"/>
      <c r="MC52" s="26"/>
      <c r="MD52" s="26"/>
      <c r="ME52" s="26"/>
      <c r="MF52" s="26"/>
      <c r="MG52" s="26"/>
      <c r="MH52" s="26"/>
      <c r="MI52" s="26"/>
      <c r="MJ52" s="26"/>
      <c r="MK52" s="26"/>
      <c r="ML52" s="26"/>
      <c r="MM52" s="26"/>
      <c r="MN52" s="26"/>
      <c r="MO52" s="26"/>
      <c r="MP52" s="26"/>
      <c r="MQ52" s="26"/>
      <c r="MR52" s="26"/>
      <c r="MS52" s="26"/>
      <c r="MT52" s="26"/>
      <c r="MU52" s="26"/>
      <c r="MV52" s="26"/>
      <c r="MW52" s="26"/>
      <c r="MX52" s="26"/>
      <c r="MY52" s="26"/>
      <c r="MZ52" s="26"/>
      <c r="NA52" s="26"/>
      <c r="NB52" s="26"/>
      <c r="NC52" s="26"/>
      <c r="ND52" s="26"/>
      <c r="NE52" s="26"/>
      <c r="NF52" s="26"/>
      <c r="NG52" s="26"/>
      <c r="NH52" s="26"/>
      <c r="NI52" s="26"/>
      <c r="NJ52" s="26"/>
      <c r="NK52" s="26"/>
      <c r="NL52" s="26"/>
      <c r="NM52" s="26"/>
      <c r="NN52" s="26"/>
      <c r="NO52" s="26"/>
      <c r="NP52" s="26"/>
      <c r="NQ52" s="26"/>
      <c r="NR52" s="26"/>
      <c r="NS52" s="26"/>
      <c r="NT52" s="26"/>
      <c r="NU52" s="26"/>
      <c r="NV52" s="26"/>
      <c r="NW52" s="26"/>
      <c r="NX52" s="26"/>
      <c r="NY52" s="26"/>
      <c r="NZ52" s="26"/>
      <c r="OA52" s="26"/>
      <c r="OB52" s="26"/>
      <c r="OC52" s="26"/>
      <c r="OD52" s="26"/>
      <c r="OE52" s="26"/>
      <c r="OF52" s="26"/>
      <c r="OG52" s="26"/>
      <c r="OH52" s="26"/>
      <c r="OI52" s="26"/>
      <c r="OJ52" s="26"/>
      <c r="OK52" s="26"/>
      <c r="OL52" s="26"/>
      <c r="OM52" s="26"/>
      <c r="ON52" s="26"/>
    </row>
    <row r="53">
      <c r="A53" s="26"/>
      <c r="B53" s="26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26"/>
      <c r="GT53" s="26"/>
      <c r="GU53" s="26"/>
      <c r="GV53" s="26"/>
      <c r="GW53" s="26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6"/>
      <c r="HI53" s="26"/>
      <c r="HJ53" s="26"/>
      <c r="HK53" s="26"/>
      <c r="HL53" s="26"/>
      <c r="HM53" s="26"/>
      <c r="HN53" s="26"/>
      <c r="HO53" s="26"/>
      <c r="HP53" s="26"/>
      <c r="HQ53" s="26"/>
      <c r="HR53" s="26"/>
      <c r="HS53" s="26"/>
      <c r="HT53" s="26"/>
      <c r="HU53" s="26"/>
      <c r="HV53" s="26"/>
      <c r="HW53" s="26"/>
      <c r="HX53" s="26"/>
      <c r="HY53" s="26"/>
      <c r="HZ53" s="26"/>
      <c r="IA53" s="26"/>
      <c r="IB53" s="26"/>
      <c r="IC53" s="26"/>
      <c r="ID53" s="26"/>
      <c r="IE53" s="26"/>
      <c r="IF53" s="26"/>
      <c r="IG53" s="26"/>
      <c r="IH53" s="26"/>
      <c r="II53" s="26"/>
      <c r="IJ53" s="26"/>
      <c r="IK53" s="26"/>
      <c r="IL53" s="26"/>
      <c r="IM53" s="26"/>
      <c r="IN53" s="26"/>
      <c r="IO53" s="26"/>
      <c r="IP53" s="26"/>
      <c r="IQ53" s="26"/>
      <c r="IR53" s="26"/>
      <c r="IS53" s="26"/>
      <c r="IT53" s="26"/>
      <c r="IU53" s="26"/>
      <c r="IV53" s="26"/>
      <c r="IW53" s="26"/>
      <c r="IX53" s="26"/>
      <c r="IY53" s="26"/>
      <c r="IZ53" s="26"/>
      <c r="JA53" s="26"/>
      <c r="JB53" s="26"/>
      <c r="JC53" s="26"/>
      <c r="JD53" s="26"/>
      <c r="JE53" s="26"/>
      <c r="JF53" s="26"/>
      <c r="JG53" s="26"/>
      <c r="JH53" s="26"/>
      <c r="JI53" s="26"/>
      <c r="JJ53" s="26"/>
      <c r="JK53" s="26"/>
      <c r="JL53" s="26"/>
      <c r="JM53" s="26"/>
      <c r="JN53" s="26"/>
      <c r="JO53" s="26"/>
      <c r="JP53" s="26"/>
      <c r="JQ53" s="26"/>
      <c r="JR53" s="26"/>
      <c r="JS53" s="26"/>
      <c r="JT53" s="26"/>
      <c r="JU53" s="26"/>
      <c r="JV53" s="26"/>
      <c r="JW53" s="26"/>
      <c r="JX53" s="26"/>
      <c r="JY53" s="26"/>
      <c r="JZ53" s="26"/>
      <c r="KA53" s="26"/>
      <c r="KB53" s="26"/>
      <c r="KC53" s="26"/>
      <c r="KD53" s="26"/>
      <c r="KE53" s="26"/>
      <c r="KF53" s="26"/>
      <c r="KG53" s="26"/>
      <c r="KH53" s="26"/>
      <c r="KI53" s="26"/>
      <c r="KJ53" s="26"/>
      <c r="KK53" s="26"/>
      <c r="KL53" s="26"/>
      <c r="KM53" s="26"/>
      <c r="KN53" s="26"/>
      <c r="KO53" s="26"/>
      <c r="KP53" s="26"/>
      <c r="KQ53" s="26"/>
      <c r="KR53" s="26"/>
      <c r="KS53" s="26"/>
      <c r="KT53" s="26"/>
      <c r="KU53" s="26"/>
      <c r="KV53" s="26"/>
      <c r="KW53" s="26"/>
      <c r="KX53" s="26"/>
      <c r="KY53" s="26"/>
      <c r="KZ53" s="26"/>
      <c r="LA53" s="26"/>
      <c r="LB53" s="26"/>
      <c r="LC53" s="26"/>
      <c r="LD53" s="26"/>
      <c r="LE53" s="26"/>
      <c r="LF53" s="26"/>
      <c r="LG53" s="26"/>
      <c r="LH53" s="26"/>
      <c r="LI53" s="26"/>
      <c r="LJ53" s="26"/>
      <c r="LK53" s="26"/>
      <c r="LL53" s="26"/>
      <c r="LM53" s="26"/>
      <c r="LN53" s="26"/>
      <c r="LO53" s="26"/>
      <c r="LP53" s="26"/>
      <c r="LQ53" s="26"/>
      <c r="LR53" s="26"/>
      <c r="LS53" s="26"/>
      <c r="LT53" s="26"/>
      <c r="LU53" s="26"/>
      <c r="LV53" s="26"/>
      <c r="LW53" s="26"/>
      <c r="LX53" s="26"/>
      <c r="LY53" s="26"/>
      <c r="LZ53" s="26"/>
      <c r="MA53" s="26"/>
      <c r="MB53" s="26"/>
      <c r="MC53" s="26"/>
      <c r="MD53" s="26"/>
      <c r="ME53" s="26"/>
      <c r="MF53" s="26"/>
      <c r="MG53" s="26"/>
      <c r="MH53" s="26"/>
      <c r="MI53" s="26"/>
      <c r="MJ53" s="26"/>
      <c r="MK53" s="26"/>
      <c r="ML53" s="26"/>
      <c r="MM53" s="26"/>
      <c r="MN53" s="26"/>
      <c r="MO53" s="26"/>
      <c r="MP53" s="26"/>
      <c r="MQ53" s="26"/>
      <c r="MR53" s="26"/>
      <c r="MS53" s="26"/>
      <c r="MT53" s="26"/>
      <c r="MU53" s="26"/>
      <c r="MV53" s="26"/>
      <c r="MW53" s="26"/>
      <c r="MX53" s="26"/>
      <c r="MY53" s="26"/>
      <c r="MZ53" s="26"/>
      <c r="NA53" s="26"/>
      <c r="NB53" s="26"/>
      <c r="NC53" s="26"/>
      <c r="ND53" s="26"/>
      <c r="NE53" s="26"/>
      <c r="NF53" s="26"/>
      <c r="NG53" s="26"/>
      <c r="NH53" s="26"/>
      <c r="NI53" s="26"/>
      <c r="NJ53" s="26"/>
      <c r="NK53" s="26"/>
      <c r="NL53" s="26"/>
      <c r="NM53" s="26"/>
      <c r="NN53" s="26"/>
      <c r="NO53" s="26"/>
      <c r="NP53" s="26"/>
      <c r="NQ53" s="26"/>
      <c r="NR53" s="26"/>
      <c r="NS53" s="26"/>
      <c r="NT53" s="26"/>
      <c r="NU53" s="26"/>
      <c r="NV53" s="26"/>
      <c r="NW53" s="26"/>
      <c r="NX53" s="26"/>
      <c r="NY53" s="26"/>
      <c r="NZ53" s="26"/>
      <c r="OA53" s="26"/>
      <c r="OB53" s="26"/>
      <c r="OC53" s="26"/>
      <c r="OD53" s="26"/>
      <c r="OE53" s="26"/>
      <c r="OF53" s="26"/>
      <c r="OG53" s="26"/>
      <c r="OH53" s="26"/>
      <c r="OI53" s="26"/>
      <c r="OJ53" s="26"/>
      <c r="OK53" s="26"/>
      <c r="OL53" s="26"/>
      <c r="OM53" s="26"/>
      <c r="ON53" s="26"/>
    </row>
    <row r="54">
      <c r="B54" s="6" t="s">
        <v>74</v>
      </c>
      <c r="C54" s="14">
        <v>5059.0</v>
      </c>
      <c r="D54" s="14">
        <v>5250.0</v>
      </c>
      <c r="E54" s="14">
        <v>4718.0</v>
      </c>
      <c r="F54" s="14">
        <v>5335.0</v>
      </c>
      <c r="G54" s="14">
        <v>4255.0</v>
      </c>
      <c r="H54" s="14">
        <v>4639.0</v>
      </c>
      <c r="I54" s="14">
        <v>4640.0</v>
      </c>
      <c r="J54" s="14">
        <v>6230.0</v>
      </c>
      <c r="K54" s="14">
        <v>5580.0</v>
      </c>
      <c r="L54" s="14">
        <v>6004.0</v>
      </c>
      <c r="M54" s="5"/>
      <c r="N54" s="5"/>
      <c r="O54" s="4"/>
    </row>
    <row r="55">
      <c r="B55" s="6" t="s">
        <v>75</v>
      </c>
      <c r="C55" s="14">
        <v>1132.0</v>
      </c>
      <c r="D55" s="14">
        <v>1170.0</v>
      </c>
      <c r="E55" s="14">
        <v>1263.0</v>
      </c>
      <c r="F55" s="14">
        <v>1235.0</v>
      </c>
      <c r="G55" s="14">
        <v>1213.0</v>
      </c>
      <c r="H55" s="14">
        <v>1267.0</v>
      </c>
      <c r="I55" s="14">
        <v>1321.0</v>
      </c>
      <c r="J55" s="14">
        <v>1675.0</v>
      </c>
      <c r="K55" s="14">
        <v>1385.0</v>
      </c>
      <c r="L55" s="14">
        <v>1463.0</v>
      </c>
      <c r="M55" s="5"/>
      <c r="N55" s="5"/>
      <c r="O55" s="4"/>
    </row>
    <row r="56">
      <c r="B56" s="6" t="s">
        <v>69</v>
      </c>
      <c r="C56" s="14">
        <v>6218.0</v>
      </c>
      <c r="D56" s="14">
        <v>6470.0</v>
      </c>
      <c r="E56" s="14">
        <v>8371.0</v>
      </c>
      <c r="F56" s="14">
        <v>6421.0</v>
      </c>
      <c r="G56" s="14">
        <v>7127.0</v>
      </c>
      <c r="H56" s="14">
        <v>7372.0</v>
      </c>
      <c r="I56" s="35">
        <v>9353.0</v>
      </c>
      <c r="J56" s="14">
        <v>7297.0</v>
      </c>
      <c r="K56" s="14">
        <v>7675.0</v>
      </c>
      <c r="L56" s="14">
        <v>7862.0</v>
      </c>
      <c r="M56" s="5"/>
      <c r="N56" s="5"/>
      <c r="O56" s="4"/>
    </row>
    <row r="57">
      <c r="B57" s="6" t="s">
        <v>76</v>
      </c>
      <c r="C57" s="14">
        <v>6622.0</v>
      </c>
      <c r="D57" s="14">
        <v>6968.0</v>
      </c>
      <c r="E57" s="14">
        <v>7136.0</v>
      </c>
      <c r="F57" s="14">
        <v>7346.0</v>
      </c>
      <c r="G57" s="14">
        <v>7554.0</v>
      </c>
      <c r="H57" s="14">
        <v>7775.0</v>
      </c>
      <c r="I57" s="14">
        <v>7926.0</v>
      </c>
      <c r="J57" s="14">
        <v>8220.0</v>
      </c>
      <c r="K57" s="14">
        <v>8447.0</v>
      </c>
      <c r="L57" s="14">
        <v>8567.0</v>
      </c>
      <c r="M57" s="5"/>
      <c r="N57" s="5"/>
      <c r="O57" s="4"/>
    </row>
    <row r="58">
      <c r="B58" s="6" t="s">
        <v>77</v>
      </c>
      <c r="C58" s="14">
        <v>9499.0</v>
      </c>
      <c r="D58" s="14">
        <v>9513.0</v>
      </c>
      <c r="E58" s="14">
        <v>9570.0</v>
      </c>
      <c r="F58" s="14">
        <v>9641.0</v>
      </c>
      <c r="G58" s="14">
        <v>9924.0</v>
      </c>
      <c r="H58" s="14">
        <v>9978.0</v>
      </c>
      <c r="I58" s="14">
        <v>10039.0</v>
      </c>
      <c r="J58" s="14">
        <v>10330.0</v>
      </c>
      <c r="K58" s="14">
        <v>11025.0</v>
      </c>
      <c r="L58" s="14">
        <v>11154.0</v>
      </c>
      <c r="M58" s="5"/>
      <c r="N58" s="5"/>
      <c r="O58" s="4"/>
    </row>
    <row r="59">
      <c r="B59" s="6" t="s">
        <v>78</v>
      </c>
      <c r="C59" s="14">
        <v>95.0</v>
      </c>
      <c r="D59" s="14">
        <v>95.0</v>
      </c>
      <c r="E59" s="14">
        <v>95.0</v>
      </c>
      <c r="F59" s="14">
        <v>94.0</v>
      </c>
      <c r="G59" s="14">
        <v>95.0</v>
      </c>
      <c r="H59" s="14">
        <v>95.0</v>
      </c>
      <c r="I59" s="14">
        <v>95.0</v>
      </c>
      <c r="J59" s="14">
        <v>96.0</v>
      </c>
      <c r="K59" s="14">
        <v>97.0</v>
      </c>
      <c r="L59" s="14">
        <v>97.0</v>
      </c>
      <c r="M59" s="5"/>
      <c r="N59" s="5"/>
      <c r="O59" s="4"/>
    </row>
    <row r="60">
      <c r="B60" s="6" t="s">
        <v>79</v>
      </c>
      <c r="C60" s="14">
        <v>1054.0</v>
      </c>
      <c r="D60" s="14">
        <v>1089.0</v>
      </c>
      <c r="E60" s="14">
        <v>1283.0</v>
      </c>
      <c r="F60" s="14">
        <v>1677.0</v>
      </c>
      <c r="G60" s="14">
        <v>1690.0</v>
      </c>
      <c r="H60" s="14">
        <v>1759.0</v>
      </c>
      <c r="I60" s="14">
        <v>1814.0</v>
      </c>
      <c r="J60" s="14">
        <v>1919.0</v>
      </c>
      <c r="K60" s="14">
        <v>1949.0</v>
      </c>
      <c r="L60" s="14">
        <v>1968.0</v>
      </c>
      <c r="M60" s="5"/>
      <c r="N60" s="5"/>
      <c r="O60" s="4"/>
    </row>
    <row r="61">
      <c r="B61" s="6" t="s">
        <v>80</v>
      </c>
      <c r="C61" s="5">
        <f t="shared" ref="C61:L61" si="62">sum(C54:C60)</f>
        <v>29679</v>
      </c>
      <c r="D61" s="5">
        <f t="shared" si="62"/>
        <v>30555</v>
      </c>
      <c r="E61" s="5">
        <f t="shared" si="62"/>
        <v>32436</v>
      </c>
      <c r="F61" s="5">
        <f t="shared" si="62"/>
        <v>31749</v>
      </c>
      <c r="G61" s="5">
        <f t="shared" si="62"/>
        <v>31858</v>
      </c>
      <c r="H61" s="5">
        <f t="shared" si="62"/>
        <v>32885</v>
      </c>
      <c r="I61" s="5">
        <f t="shared" si="62"/>
        <v>35188</v>
      </c>
      <c r="J61" s="5">
        <f t="shared" si="62"/>
        <v>35767</v>
      </c>
      <c r="K61" s="5">
        <f t="shared" si="62"/>
        <v>36158</v>
      </c>
      <c r="L61" s="5">
        <f t="shared" si="62"/>
        <v>37115</v>
      </c>
      <c r="M61" s="5"/>
      <c r="N61" s="5"/>
      <c r="O61" s="4"/>
    </row>
    <row r="62">
      <c r="B62" s="1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4"/>
    </row>
    <row r="63">
      <c r="B63" s="6" t="s">
        <v>81</v>
      </c>
      <c r="C63" s="14">
        <v>4072.0</v>
      </c>
      <c r="D63" s="14">
        <v>4503.0</v>
      </c>
      <c r="E63" s="14">
        <v>5617.0</v>
      </c>
      <c r="F63" s="14">
        <v>4257.0</v>
      </c>
      <c r="G63" s="14">
        <v>4414.0</v>
      </c>
      <c r="H63" s="14">
        <v>4698.0</v>
      </c>
      <c r="I63" s="14">
        <v>5937.0</v>
      </c>
      <c r="J63" s="14">
        <v>4575.0</v>
      </c>
      <c r="K63" s="14">
        <v>4854.0</v>
      </c>
      <c r="L63" s="14">
        <v>5024.0</v>
      </c>
      <c r="M63" s="5"/>
      <c r="N63" s="5"/>
      <c r="O63" s="4"/>
    </row>
    <row r="64">
      <c r="B64" s="6" t="s">
        <v>82</v>
      </c>
      <c r="C64" s="14">
        <v>4413.0</v>
      </c>
      <c r="D64" s="14">
        <v>4497.0</v>
      </c>
      <c r="E64" s="14">
        <v>4758.0</v>
      </c>
      <c r="F64" s="14">
        <v>5115.0</v>
      </c>
      <c r="G64" s="14">
        <v>4753.0</v>
      </c>
      <c r="H64" s="14">
        <v>4941.0</v>
      </c>
      <c r="I64" s="14">
        <v>5356.0</v>
      </c>
      <c r="J64" s="14">
        <v>6061.0</v>
      </c>
      <c r="K64" s="14">
        <v>5288.0</v>
      </c>
      <c r="L64" s="14">
        <v>5622.0</v>
      </c>
      <c r="M64" s="5"/>
      <c r="N64" s="5"/>
      <c r="O64" s="4"/>
    </row>
    <row r="65">
      <c r="B65" s="6" t="s">
        <v>83</v>
      </c>
      <c r="C65" s="14">
        <v>1615.0</v>
      </c>
      <c r="D65" s="14">
        <v>1621.0</v>
      </c>
      <c r="E65" s="14">
        <v>1642.0</v>
      </c>
      <c r="F65" s="14">
        <v>1636.0</v>
      </c>
      <c r="G65" s="14">
        <v>1660.0</v>
      </c>
      <c r="H65" s="14">
        <v>1669.0</v>
      </c>
      <c r="I65" s="14">
        <v>1709.0</v>
      </c>
      <c r="J65" s="14">
        <v>1726.0</v>
      </c>
      <c r="K65" s="14">
        <v>1714.0</v>
      </c>
      <c r="L65" s="14">
        <v>1714.0</v>
      </c>
      <c r="M65" s="5"/>
      <c r="N65" s="5"/>
      <c r="O65" s="4"/>
    </row>
    <row r="66">
      <c r="B66" s="6" t="s">
        <v>84</v>
      </c>
      <c r="C66" s="14">
        <v>0.0</v>
      </c>
      <c r="D66" s="14">
        <v>0.0</v>
      </c>
      <c r="E66" s="14">
        <v>0.0</v>
      </c>
      <c r="F66" s="14">
        <v>0.0</v>
      </c>
      <c r="G66" s="14">
        <v>0.0</v>
      </c>
      <c r="H66" s="14">
        <v>0.0</v>
      </c>
      <c r="I66" s="14">
        <v>999.0</v>
      </c>
      <c r="J66" s="14">
        <v>999.0</v>
      </c>
      <c r="K66" s="14">
        <v>999.0</v>
      </c>
      <c r="L66" s="14">
        <v>1000.0</v>
      </c>
      <c r="M66" s="5"/>
      <c r="N66" s="5"/>
      <c r="O66" s="4"/>
    </row>
    <row r="67">
      <c r="B67" s="6" t="s">
        <v>85</v>
      </c>
      <c r="C67" s="14">
        <v>894.0</v>
      </c>
      <c r="D67" s="14">
        <v>960.0</v>
      </c>
      <c r="E67" s="14">
        <v>1002.0</v>
      </c>
      <c r="F67" s="14">
        <v>1050.0</v>
      </c>
      <c r="G67" s="14">
        <v>972.0</v>
      </c>
      <c r="H67" s="14">
        <v>1042.0</v>
      </c>
      <c r="I67" s="14">
        <v>1103.0</v>
      </c>
      <c r="J67" s="14">
        <v>1184.0</v>
      </c>
      <c r="K67" s="14">
        <v>1123.0</v>
      </c>
      <c r="L67" s="14">
        <v>1168.0</v>
      </c>
      <c r="M67" s="5"/>
      <c r="N67" s="5"/>
      <c r="O67" s="4"/>
    </row>
    <row r="68">
      <c r="B68" s="6" t="s">
        <v>86</v>
      </c>
      <c r="C68" s="14">
        <v>156.0</v>
      </c>
      <c r="D68" s="14">
        <v>162.0</v>
      </c>
      <c r="E68" s="14">
        <v>172.0</v>
      </c>
      <c r="F68" s="14">
        <v>156.0</v>
      </c>
      <c r="G68" s="14">
        <v>154.0</v>
      </c>
      <c r="H68" s="14">
        <v>217.0</v>
      </c>
      <c r="I68" s="14">
        <v>239.0</v>
      </c>
      <c r="J68" s="14">
        <v>268.0</v>
      </c>
      <c r="K68" s="14">
        <v>310.0</v>
      </c>
      <c r="L68" s="14">
        <v>333.0</v>
      </c>
      <c r="M68" s="5"/>
      <c r="N68" s="5"/>
      <c r="O68" s="4"/>
    </row>
    <row r="69">
      <c r="B69" s="6" t="s">
        <v>87</v>
      </c>
      <c r="C69" s="14">
        <v>8164.0</v>
      </c>
      <c r="D69" s="14">
        <v>8166.0</v>
      </c>
      <c r="E69" s="14">
        <v>8207.0</v>
      </c>
      <c r="F69" s="14">
        <v>8276.0</v>
      </c>
      <c r="G69" s="14">
        <v>8535.0</v>
      </c>
      <c r="H69" s="14">
        <v>8585.0</v>
      </c>
      <c r="I69" s="14">
        <v>8616.0</v>
      </c>
      <c r="J69" s="14">
        <v>8894.0</v>
      </c>
      <c r="K69" s="14">
        <v>9596.0</v>
      </c>
      <c r="L69" s="14">
        <v>9732.0</v>
      </c>
      <c r="M69" s="5"/>
      <c r="N69" s="5"/>
      <c r="O69" s="4"/>
    </row>
    <row r="70">
      <c r="B70" s="6" t="s">
        <v>88</v>
      </c>
      <c r="C70" s="14">
        <v>2863.0</v>
      </c>
      <c r="D70" s="14">
        <v>2864.0</v>
      </c>
      <c r="E70" s="14">
        <v>2865.0</v>
      </c>
      <c r="F70" s="14">
        <v>2866.0</v>
      </c>
      <c r="G70" s="14">
        <v>2867.0</v>
      </c>
      <c r="H70" s="14">
        <v>2867.0</v>
      </c>
      <c r="I70" s="14">
        <v>1870.0</v>
      </c>
      <c r="J70" s="14">
        <v>1870.0</v>
      </c>
      <c r="K70" s="14">
        <v>1871.0</v>
      </c>
      <c r="L70" s="14">
        <v>1871.0</v>
      </c>
      <c r="M70" s="5"/>
      <c r="N70" s="5"/>
      <c r="O70" s="4"/>
    </row>
    <row r="71">
      <c r="B71" s="6" t="s">
        <v>89</v>
      </c>
      <c r="C71" s="14">
        <v>7502.0</v>
      </c>
      <c r="D71" s="14">
        <v>7782.0</v>
      </c>
      <c r="E71" s="14">
        <v>8173.0</v>
      </c>
      <c r="F71" s="14">
        <v>8393.0</v>
      </c>
      <c r="G71" s="14">
        <v>8503.0</v>
      </c>
      <c r="H71" s="14">
        <v>8866.0</v>
      </c>
      <c r="I71" s="14">
        <v>9359.0</v>
      </c>
      <c r="J71" s="14">
        <v>10190.0</v>
      </c>
      <c r="K71" s="14">
        <v>10403.0</v>
      </c>
      <c r="L71" s="14">
        <v>10651.0</v>
      </c>
      <c r="M71" s="5"/>
      <c r="N71" s="5"/>
      <c r="O71" s="4"/>
    </row>
    <row r="72">
      <c r="B72" s="6" t="s">
        <v>90</v>
      </c>
      <c r="C72" s="5">
        <f t="shared" ref="C72:L72" si="63">sum(C63:C71)</f>
        <v>29679</v>
      </c>
      <c r="D72" s="5">
        <f t="shared" si="63"/>
        <v>30555</v>
      </c>
      <c r="E72" s="5">
        <f t="shared" si="63"/>
        <v>32436</v>
      </c>
      <c r="F72" s="5">
        <f t="shared" si="63"/>
        <v>31749</v>
      </c>
      <c r="G72" s="5">
        <f t="shared" si="63"/>
        <v>31858</v>
      </c>
      <c r="H72" s="5">
        <f t="shared" si="63"/>
        <v>32885</v>
      </c>
      <c r="I72" s="5">
        <f t="shared" si="63"/>
        <v>35188</v>
      </c>
      <c r="J72" s="5">
        <f t="shared" si="63"/>
        <v>35767</v>
      </c>
      <c r="K72" s="5">
        <f t="shared" si="63"/>
        <v>36158</v>
      </c>
      <c r="L72" s="5">
        <f t="shared" si="63"/>
        <v>37115</v>
      </c>
      <c r="M72" s="5"/>
      <c r="N72" s="5"/>
      <c r="O72" s="4"/>
    </row>
    <row r="73">
      <c r="B73" s="1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4"/>
    </row>
    <row r="74">
      <c r="B74" s="6" t="s">
        <v>91</v>
      </c>
      <c r="C74" s="5">
        <f t="shared" ref="C74:L74" si="64">C66+C70</f>
        <v>2863</v>
      </c>
      <c r="D74" s="5">
        <f t="shared" si="64"/>
        <v>2864</v>
      </c>
      <c r="E74" s="5">
        <f t="shared" si="64"/>
        <v>2865</v>
      </c>
      <c r="F74" s="5">
        <f t="shared" si="64"/>
        <v>2866</v>
      </c>
      <c r="G74" s="5">
        <f t="shared" si="64"/>
        <v>2867</v>
      </c>
      <c r="H74" s="5">
        <f t="shared" si="64"/>
        <v>2867</v>
      </c>
      <c r="I74" s="5">
        <f t="shared" si="64"/>
        <v>2869</v>
      </c>
      <c r="J74" s="5">
        <f t="shared" si="64"/>
        <v>2869</v>
      </c>
      <c r="K74" s="5">
        <f t="shared" si="64"/>
        <v>2870</v>
      </c>
      <c r="L74" s="5">
        <f t="shared" si="64"/>
        <v>2871</v>
      </c>
      <c r="M74" s="5"/>
      <c r="N74" s="5"/>
      <c r="O74" s="4"/>
    </row>
    <row r="75">
      <c r="B75" s="6" t="s">
        <v>92</v>
      </c>
      <c r="C75" s="5">
        <f t="shared" ref="C75:L75" si="65">C54</f>
        <v>5059</v>
      </c>
      <c r="D75" s="5">
        <f t="shared" si="65"/>
        <v>5250</v>
      </c>
      <c r="E75" s="5">
        <f t="shared" si="65"/>
        <v>4718</v>
      </c>
      <c r="F75" s="5">
        <f t="shared" si="65"/>
        <v>5335</v>
      </c>
      <c r="G75" s="5">
        <f t="shared" si="65"/>
        <v>4255</v>
      </c>
      <c r="H75" s="5">
        <f t="shared" si="65"/>
        <v>4639</v>
      </c>
      <c r="I75" s="5">
        <f t="shared" si="65"/>
        <v>4640</v>
      </c>
      <c r="J75" s="5">
        <f t="shared" si="65"/>
        <v>6230</v>
      </c>
      <c r="K75" s="5">
        <f t="shared" si="65"/>
        <v>5580</v>
      </c>
      <c r="L75" s="5">
        <f t="shared" si="65"/>
        <v>6004</v>
      </c>
      <c r="M75" s="5"/>
      <c r="N75" s="5"/>
      <c r="O75" s="4"/>
    </row>
    <row r="76">
      <c r="B76" s="6" t="s">
        <v>93</v>
      </c>
      <c r="C76" s="5">
        <f t="shared" ref="C76:L76" si="66">C75-C74</f>
        <v>2196</v>
      </c>
      <c r="D76" s="5">
        <f t="shared" si="66"/>
        <v>2386</v>
      </c>
      <c r="E76" s="5">
        <f t="shared" si="66"/>
        <v>1853</v>
      </c>
      <c r="F76" s="5">
        <f t="shared" si="66"/>
        <v>2469</v>
      </c>
      <c r="G76" s="5">
        <f t="shared" si="66"/>
        <v>1388</v>
      </c>
      <c r="H76" s="5">
        <f t="shared" si="66"/>
        <v>1772</v>
      </c>
      <c r="I76" s="5">
        <f t="shared" si="66"/>
        <v>1771</v>
      </c>
      <c r="J76" s="5">
        <f t="shared" si="66"/>
        <v>3361</v>
      </c>
      <c r="K76" s="5">
        <f t="shared" si="66"/>
        <v>2710</v>
      </c>
      <c r="L76" s="5">
        <f t="shared" si="66"/>
        <v>3133</v>
      </c>
      <c r="M76" s="5"/>
      <c r="N76" s="5"/>
      <c r="O76" s="4"/>
    </row>
    <row r="77">
      <c r="B77" s="6" t="s">
        <v>94</v>
      </c>
      <c r="C77" s="5">
        <f t="shared" ref="C77:L77" si="67">(C55/C30) * 90</f>
        <v>8.164115714</v>
      </c>
      <c r="D77" s="5">
        <f t="shared" si="67"/>
        <v>7.818532819</v>
      </c>
      <c r="E77" s="5">
        <f t="shared" si="67"/>
        <v>8.082912608</v>
      </c>
      <c r="F77" s="5">
        <f t="shared" si="67"/>
        <v>6.798165138</v>
      </c>
      <c r="G77" s="5">
        <f t="shared" si="67"/>
        <v>8.326595988</v>
      </c>
      <c r="H77" s="5">
        <f t="shared" si="67"/>
        <v>7.918200125</v>
      </c>
      <c r="I77" s="5">
        <f t="shared" si="67"/>
        <v>7.864655686</v>
      </c>
      <c r="J77" s="5">
        <f t="shared" si="67"/>
        <v>8.496308403</v>
      </c>
      <c r="K77" s="5">
        <f t="shared" si="67"/>
        <v>8.702785729</v>
      </c>
      <c r="L77" s="5">
        <f t="shared" si="67"/>
        <v>8.673913043</v>
      </c>
      <c r="M77" s="5"/>
      <c r="N77" s="5"/>
      <c r="O77" s="4"/>
    </row>
    <row r="78">
      <c r="B78" s="6" t="s">
        <v>95</v>
      </c>
      <c r="C78" s="5">
        <f t="shared" ref="C78:L78" si="68">(C56/C$31) * 90</f>
        <v>64.03707518</v>
      </c>
      <c r="D78" s="5">
        <f t="shared" si="68"/>
        <v>62.07889126</v>
      </c>
      <c r="E78" s="5">
        <f t="shared" si="68"/>
        <v>78.2986905</v>
      </c>
      <c r="F78" s="5">
        <f t="shared" si="68"/>
        <v>50.82138774</v>
      </c>
      <c r="G78" s="5">
        <f t="shared" si="68"/>
        <v>69.37378326</v>
      </c>
      <c r="H78" s="5">
        <f t="shared" si="68"/>
        <v>66.50761828</v>
      </c>
      <c r="I78" s="5">
        <f t="shared" si="68"/>
        <v>82.60745829</v>
      </c>
      <c r="J78" s="5">
        <f t="shared" si="68"/>
        <v>53.53631695</v>
      </c>
      <c r="K78" s="36">
        <f t="shared" si="68"/>
        <v>70.17677537</v>
      </c>
      <c r="L78" s="36">
        <f t="shared" si="68"/>
        <v>70.00197863</v>
      </c>
      <c r="M78" s="5"/>
      <c r="N78" s="5"/>
      <c r="O78" s="4"/>
    </row>
    <row r="79">
      <c r="B79" s="6" t="s">
        <v>96</v>
      </c>
      <c r="C79" s="5">
        <f t="shared" ref="C79:L79" si="69">(C63/C$31) * 90</f>
        <v>41.9361483</v>
      </c>
      <c r="D79" s="5">
        <f t="shared" si="69"/>
        <v>43.20575693</v>
      </c>
      <c r="E79" s="5">
        <f t="shared" si="69"/>
        <v>52.53897319</v>
      </c>
      <c r="F79" s="5">
        <f t="shared" si="69"/>
        <v>33.69360654</v>
      </c>
      <c r="G79" s="5">
        <f t="shared" si="69"/>
        <v>42.96560675</v>
      </c>
      <c r="H79" s="5">
        <f t="shared" si="69"/>
        <v>42.38372093</v>
      </c>
      <c r="I79" s="5">
        <f t="shared" si="69"/>
        <v>52.43670265</v>
      </c>
      <c r="J79" s="5">
        <f t="shared" si="69"/>
        <v>33.56566398</v>
      </c>
      <c r="K79" s="36">
        <f t="shared" si="69"/>
        <v>44.38281012</v>
      </c>
      <c r="L79" s="36">
        <f t="shared" si="69"/>
        <v>44.73288484</v>
      </c>
      <c r="M79" s="5"/>
      <c r="N79" s="5"/>
      <c r="O79" s="4"/>
    </row>
    <row r="80">
      <c r="B80" s="6" t="s">
        <v>97</v>
      </c>
      <c r="C80" s="5">
        <f t="shared" ref="C80:L80" si="70">C77+C78-C79</f>
        <v>30.26504259</v>
      </c>
      <c r="D80" s="5">
        <f t="shared" si="70"/>
        <v>26.69166715</v>
      </c>
      <c r="E80" s="5">
        <f t="shared" si="70"/>
        <v>33.84262992</v>
      </c>
      <c r="F80" s="5">
        <f t="shared" si="70"/>
        <v>23.92594634</v>
      </c>
      <c r="G80" s="5">
        <f t="shared" si="70"/>
        <v>34.7347725</v>
      </c>
      <c r="H80" s="5">
        <f t="shared" si="70"/>
        <v>32.04209748</v>
      </c>
      <c r="I80" s="5">
        <f t="shared" si="70"/>
        <v>38.03541133</v>
      </c>
      <c r="J80" s="5">
        <f t="shared" si="70"/>
        <v>28.46696137</v>
      </c>
      <c r="K80" s="5">
        <f t="shared" si="70"/>
        <v>34.49675098</v>
      </c>
      <c r="L80" s="5">
        <f t="shared" si="70"/>
        <v>33.94300683</v>
      </c>
      <c r="M80" s="5"/>
      <c r="N80" s="5"/>
      <c r="O80" s="4"/>
    </row>
    <row r="81">
      <c r="B81" s="1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4"/>
    </row>
    <row r="82">
      <c r="B82" s="1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4"/>
    </row>
    <row r="83">
      <c r="B83" s="6" t="s">
        <v>98</v>
      </c>
      <c r="C83" s="5">
        <f t="shared" ref="C83:L83" si="71">C36</f>
        <v>1070</v>
      </c>
      <c r="D83" s="5">
        <f t="shared" si="71"/>
        <v>1099</v>
      </c>
      <c r="E83" s="5">
        <f t="shared" si="71"/>
        <v>1297</v>
      </c>
      <c r="F83" s="5">
        <f t="shared" si="71"/>
        <v>1398</v>
      </c>
      <c r="G83" s="5">
        <f t="shared" si="71"/>
        <v>1036</v>
      </c>
      <c r="H83" s="5">
        <f t="shared" si="71"/>
        <v>1243</v>
      </c>
      <c r="I83" s="5">
        <f t="shared" si="71"/>
        <v>1442</v>
      </c>
      <c r="J83" s="5">
        <f t="shared" si="71"/>
        <v>1773</v>
      </c>
      <c r="K83" s="5">
        <f t="shared" si="71"/>
        <v>1332</v>
      </c>
      <c r="L83" s="5">
        <f t="shared" si="71"/>
        <v>1520</v>
      </c>
      <c r="M83" s="5"/>
      <c r="N83" s="5"/>
      <c r="O83" s="4"/>
    </row>
    <row r="84">
      <c r="B84" s="6" t="s">
        <v>58</v>
      </c>
      <c r="C84" s="21"/>
      <c r="D84" s="21"/>
      <c r="E84" s="21"/>
      <c r="F84" s="21">
        <f>4864-sum(C84:E84)</f>
        <v>4864</v>
      </c>
      <c r="G84" s="14">
        <v>1036.0</v>
      </c>
      <c r="H84" s="21">
        <f>2279-G84</f>
        <v>1243</v>
      </c>
      <c r="I84" s="21">
        <f>3721-sum(G84:H84)</f>
        <v>1442</v>
      </c>
      <c r="J84" s="21">
        <f>5494-sum(G84:I84)</f>
        <v>1773</v>
      </c>
      <c r="K84" s="14">
        <v>1332.0</v>
      </c>
      <c r="L84" s="14">
        <f>2852-K84</f>
        <v>1520</v>
      </c>
      <c r="M84" s="5"/>
      <c r="N84" s="5"/>
      <c r="O84" s="4"/>
    </row>
    <row r="85">
      <c r="B85" s="6" t="s">
        <v>99</v>
      </c>
      <c r="C85" s="21"/>
      <c r="D85" s="21"/>
      <c r="E85" s="21"/>
      <c r="F85" s="21">
        <f>+1104-sum(C85:E85)</f>
        <v>1104</v>
      </c>
      <c r="G85" s="14">
        <v>296.0</v>
      </c>
      <c r="H85" s="14">
        <f>604-G86</f>
        <v>596</v>
      </c>
      <c r="I85" s="14">
        <f>920-sum(G85:H85)</f>
        <v>28</v>
      </c>
      <c r="J85" s="14">
        <f>1247-sum(G85:I85)</f>
        <v>327</v>
      </c>
      <c r="K85" s="14">
        <v>336.0</v>
      </c>
      <c r="L85" s="14">
        <f>676-K85</f>
        <v>340</v>
      </c>
      <c r="M85" s="5"/>
      <c r="N85" s="5"/>
      <c r="O85" s="4"/>
    </row>
    <row r="86">
      <c r="B86" s="6" t="s">
        <v>100</v>
      </c>
      <c r="C86" s="21"/>
      <c r="D86" s="21"/>
      <c r="E86" s="21"/>
      <c r="F86" s="21">
        <f>28-sum(C86:E86)</f>
        <v>28</v>
      </c>
      <c r="G86" s="14">
        <v>8.0</v>
      </c>
      <c r="H86" s="21">
        <f>71-G86</f>
        <v>63</v>
      </c>
      <c r="I86" s="21">
        <f>91-sum(G86:H86)</f>
        <v>20</v>
      </c>
      <c r="J86" s="21">
        <f>112-sum(G86:I86)</f>
        <v>21</v>
      </c>
      <c r="K86" s="14">
        <v>44.0</v>
      </c>
      <c r="L86" s="14">
        <f>64-K86</f>
        <v>20</v>
      </c>
      <c r="M86" s="5"/>
      <c r="N86" s="5"/>
      <c r="O86" s="4"/>
    </row>
    <row r="87">
      <c r="B87" s="6" t="s">
        <v>101</v>
      </c>
      <c r="C87" s="21"/>
      <c r="D87" s="21"/>
      <c r="E87" s="21"/>
      <c r="F87" s="21">
        <f>183-sum(C87:E87)</f>
        <v>183</v>
      </c>
      <c r="G87" s="14">
        <v>33.0</v>
      </c>
      <c r="H87" s="21">
        <f>76-G87</f>
        <v>43</v>
      </c>
      <c r="I87" s="21">
        <f>131-sum(G87:H87)</f>
        <v>55</v>
      </c>
      <c r="J87" s="21">
        <f>214-sum(G87:I87)</f>
        <v>83</v>
      </c>
      <c r="K87" s="14">
        <v>42.0</v>
      </c>
      <c r="L87" s="14">
        <f>85-K87</f>
        <v>43</v>
      </c>
      <c r="M87" s="5"/>
      <c r="N87" s="5"/>
      <c r="O87" s="4"/>
    </row>
    <row r="88">
      <c r="B88" s="6" t="s">
        <v>70</v>
      </c>
      <c r="C88" s="21"/>
      <c r="D88" s="21"/>
      <c r="E88" s="21"/>
      <c r="F88" s="21">
        <f>-57-sum(C88:E88)</f>
        <v>-57</v>
      </c>
      <c r="G88" s="14">
        <v>-34.0</v>
      </c>
      <c r="H88" s="14">
        <f>-25-G88</f>
        <v>9</v>
      </c>
      <c r="I88" s="21">
        <f>-77-sum(G88:H88)</f>
        <v>-52</v>
      </c>
      <c r="J88" s="21">
        <f>-509-sum(G88:I88)</f>
        <v>-432</v>
      </c>
      <c r="K88" s="14">
        <v>393.0</v>
      </c>
      <c r="L88" s="14">
        <f>324-K88</f>
        <v>-69</v>
      </c>
      <c r="M88" s="5"/>
      <c r="N88" s="5"/>
      <c r="O88" s="4"/>
    </row>
    <row r="89">
      <c r="B89" s="6" t="s">
        <v>102</v>
      </c>
      <c r="C89" s="21"/>
      <c r="D89" s="21"/>
      <c r="E89" s="21"/>
      <c r="F89" s="14">
        <f>-539-sum(C89:E89)</f>
        <v>-539</v>
      </c>
      <c r="G89" s="14">
        <v>-604.0</v>
      </c>
      <c r="H89" s="21">
        <f>-845-G89</f>
        <v>-241</v>
      </c>
      <c r="I89" s="21">
        <f>-2851-sum(G89:H89)</f>
        <v>-2006</v>
      </c>
      <c r="J89" s="21">
        <f>-724-sum(G89:I89)</f>
        <v>2127</v>
      </c>
      <c r="K89" s="14">
        <v>-382.0</v>
      </c>
      <c r="L89" s="14">
        <f>-603-K89</f>
        <v>-221</v>
      </c>
      <c r="M89" s="5"/>
      <c r="N89" s="5"/>
      <c r="O89" s="4"/>
    </row>
    <row r="90">
      <c r="B90" s="6" t="s">
        <v>103</v>
      </c>
      <c r="C90" s="21"/>
      <c r="D90" s="21"/>
      <c r="E90" s="21"/>
      <c r="F90" s="21">
        <f>-10-sum(C90:E90)</f>
        <v>-10</v>
      </c>
      <c r="G90" s="14">
        <v>25.0</v>
      </c>
      <c r="H90" s="14">
        <f>-36-G90</f>
        <v>-61</v>
      </c>
      <c r="I90" s="14">
        <f>-4-sum(G90:H90)</f>
        <v>32</v>
      </c>
      <c r="J90" s="21">
        <f>61-sum(G90:I90)</f>
        <v>65</v>
      </c>
      <c r="K90" s="14">
        <v>-56.0</v>
      </c>
      <c r="L90" s="14">
        <f>-60-K90</f>
        <v>-4</v>
      </c>
      <c r="M90" s="5"/>
      <c r="N90" s="5"/>
      <c r="O90" s="4"/>
    </row>
    <row r="91">
      <c r="B91" s="6" t="s">
        <v>81</v>
      </c>
      <c r="C91" s="21"/>
      <c r="D91" s="21"/>
      <c r="E91" s="21"/>
      <c r="F91" s="21">
        <f>448-sum(C91:E91)</f>
        <v>448</v>
      </c>
      <c r="G91" s="14">
        <v>101.0</v>
      </c>
      <c r="H91" s="21">
        <f>388-G91</f>
        <v>287</v>
      </c>
      <c r="I91" s="21">
        <f>1642-sum(G91:H91)</f>
        <v>1254</v>
      </c>
      <c r="J91" s="21">
        <f>239-sum(G91:I91)</f>
        <v>-1403</v>
      </c>
      <c r="K91" s="14">
        <v>282.0</v>
      </c>
      <c r="L91" s="14">
        <f>470-K91</f>
        <v>188</v>
      </c>
      <c r="M91" s="5"/>
      <c r="N91" s="5"/>
      <c r="O91" s="4"/>
    </row>
    <row r="92">
      <c r="B92" s="6" t="s">
        <v>104</v>
      </c>
      <c r="C92" s="21"/>
      <c r="D92" s="21"/>
      <c r="E92" s="21"/>
      <c r="F92" s="21">
        <f>197-sum(C92:E92)</f>
        <v>197</v>
      </c>
      <c r="G92" s="14">
        <v>-540.0</v>
      </c>
      <c r="H92" s="21">
        <f>-289-G92</f>
        <v>251</v>
      </c>
      <c r="I92" s="21">
        <f>221-sum(G92:H92)</f>
        <v>510</v>
      </c>
      <c r="J92" s="21">
        <f>802-sum(G92:I92)</f>
        <v>581</v>
      </c>
      <c r="K92" s="14">
        <v>-782.0</v>
      </c>
      <c r="L92" s="14">
        <f>-349-K92</f>
        <v>433</v>
      </c>
      <c r="M92" s="5"/>
      <c r="N92" s="5"/>
      <c r="O92" s="4"/>
    </row>
    <row r="93">
      <c r="B93" s="6" t="s">
        <v>105</v>
      </c>
      <c r="C93" s="21"/>
      <c r="D93" s="21"/>
      <c r="E93" s="21"/>
      <c r="F93" s="21">
        <f>-12-sum(C93:E93)</f>
        <v>-12</v>
      </c>
      <c r="G93" s="14">
        <v>-8.0</v>
      </c>
      <c r="H93" s="21">
        <f>-5-G93</f>
        <v>3</v>
      </c>
      <c r="I93" s="21">
        <f>6-sum(G93:H93)</f>
        <v>11</v>
      </c>
      <c r="J93" s="21">
        <f>4-sum(G93:I93)</f>
        <v>-2</v>
      </c>
      <c r="K93" s="14">
        <v>-5.0</v>
      </c>
      <c r="L93" s="14">
        <f>5-K93</f>
        <v>10</v>
      </c>
      <c r="M93" s="5"/>
      <c r="N93" s="5"/>
      <c r="O93" s="4"/>
    </row>
    <row r="94">
      <c r="B94" s="6" t="s">
        <v>106</v>
      </c>
      <c r="C94" s="21"/>
      <c r="D94" s="21"/>
      <c r="E94" s="21"/>
      <c r="F94" s="21">
        <f>-90-sum(C94:E94)</f>
        <v>-90</v>
      </c>
      <c r="G94" s="14">
        <v>81.0</v>
      </c>
      <c r="H94" s="21">
        <f>-33-G94</f>
        <v>-114</v>
      </c>
      <c r="I94" s="21">
        <f>-83-sum(G94:H94)</f>
        <v>-50</v>
      </c>
      <c r="J94" s="21">
        <f>-66-sum(G94:I94)</f>
        <v>17</v>
      </c>
      <c r="K94" s="14">
        <v>-85.0</v>
      </c>
      <c r="L94" s="14">
        <f>-119-K94</f>
        <v>-34</v>
      </c>
      <c r="M94" s="5"/>
      <c r="N94" s="5"/>
      <c r="O94" s="4"/>
    </row>
    <row r="95">
      <c r="B95" s="6" t="s">
        <v>107</v>
      </c>
      <c r="C95" s="5"/>
      <c r="D95" s="5"/>
      <c r="E95" s="5"/>
      <c r="F95" s="5">
        <f t="shared" ref="F95:L95" si="72">sum(F84:F94)</f>
        <v>6116</v>
      </c>
      <c r="G95" s="5">
        <f t="shared" si="72"/>
        <v>394</v>
      </c>
      <c r="H95" s="5">
        <f t="shared" si="72"/>
        <v>2079</v>
      </c>
      <c r="I95" s="5">
        <f t="shared" si="72"/>
        <v>1244</v>
      </c>
      <c r="J95" s="5">
        <f t="shared" si="72"/>
        <v>3157</v>
      </c>
      <c r="K95" s="5">
        <f t="shared" si="72"/>
        <v>1119</v>
      </c>
      <c r="L95" s="5">
        <f t="shared" si="72"/>
        <v>2226</v>
      </c>
      <c r="M95" s="5"/>
      <c r="N95" s="5"/>
      <c r="O95" s="4"/>
      <c r="R95" s="7">
        <v>4067.0</v>
      </c>
      <c r="S95" s="7">
        <v>4562.0</v>
      </c>
      <c r="T95" s="7">
        <v>3058.0</v>
      </c>
      <c r="U95" s="7">
        <v>4084.0</v>
      </c>
      <c r="V95" s="7">
        <v>6057.0</v>
      </c>
      <c r="W95" s="7">
        <v>6116.0</v>
      </c>
      <c r="X95" s="7">
        <v>6867.0</v>
      </c>
    </row>
    <row r="96">
      <c r="B96" s="1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4"/>
    </row>
    <row r="97">
      <c r="B97" s="6" t="s">
        <v>108</v>
      </c>
      <c r="C97" s="21"/>
      <c r="D97" s="21"/>
      <c r="E97" s="21"/>
      <c r="F97" s="21">
        <f>-1918-sum(C97:E97)</f>
        <v>-1918</v>
      </c>
      <c r="G97" s="14">
        <v>-497.0</v>
      </c>
      <c r="H97" s="21">
        <f>-958-G97</f>
        <v>-461</v>
      </c>
      <c r="I97" s="21">
        <f>-1489-sum(G97:H97)</f>
        <v>-531</v>
      </c>
      <c r="J97" s="21">
        <f>-1957-sum(G97:I97)</f>
        <v>-468</v>
      </c>
      <c r="K97" s="14">
        <v>-662.0</v>
      </c>
      <c r="L97" s="14">
        <f>-1159-K97</f>
        <v>-497</v>
      </c>
      <c r="M97" s="5"/>
      <c r="N97" s="5"/>
      <c r="O97" s="4"/>
      <c r="R97" s="7">
        <v>-1223.0</v>
      </c>
      <c r="S97" s="7">
        <v>-568.0</v>
      </c>
      <c r="T97" s="7">
        <v>-1045.0</v>
      </c>
      <c r="U97" s="7">
        <v>-1457.0</v>
      </c>
      <c r="V97" s="7">
        <v>-1722.0</v>
      </c>
      <c r="W97" s="7">
        <v>-1918.0</v>
      </c>
      <c r="X97" s="7">
        <v>-1957.0</v>
      </c>
    </row>
    <row r="98">
      <c r="B98" s="6" t="s">
        <v>109</v>
      </c>
      <c r="C98" s="21"/>
      <c r="D98" s="21"/>
      <c r="E98" s="21"/>
      <c r="F98" s="21">
        <f>-551-sum(C98:E98)</f>
        <v>-551</v>
      </c>
      <c r="G98" s="14">
        <v>0.0</v>
      </c>
      <c r="H98" s="21">
        <f>-5-G98</f>
        <v>-5</v>
      </c>
      <c r="I98" s="21">
        <f>-12-sum(G98:H98)</f>
        <v>-7</v>
      </c>
      <c r="J98" s="21">
        <f>-12-sum(G98:I98)</f>
        <v>0</v>
      </c>
      <c r="K98" s="14">
        <v>-5.0</v>
      </c>
      <c r="L98" s="14">
        <f>-5-K98</f>
        <v>0</v>
      </c>
      <c r="M98" s="5"/>
      <c r="N98" s="5"/>
      <c r="O98" s="4"/>
    </row>
    <row r="99">
      <c r="B99" s="6" t="s">
        <v>110</v>
      </c>
      <c r="C99" s="21"/>
      <c r="D99" s="21"/>
      <c r="E99" s="21"/>
      <c r="F99" s="21">
        <f>-35-sum(C99:E99)</f>
        <v>-35</v>
      </c>
      <c r="G99" s="14">
        <v>-17.0</v>
      </c>
      <c r="H99" s="21">
        <f>-21-G99</f>
        <v>-4</v>
      </c>
      <c r="I99" s="21">
        <f>-31-sum(G99:H99)</f>
        <v>-10</v>
      </c>
      <c r="J99" s="21">
        <f>-38-sum(G99:I99)</f>
        <v>-7</v>
      </c>
      <c r="K99" s="14">
        <v>-20.0</v>
      </c>
      <c r="L99" s="14">
        <f>-28-K99</f>
        <v>-8</v>
      </c>
      <c r="M99" s="5"/>
      <c r="N99" s="5"/>
      <c r="O99" s="4"/>
    </row>
    <row r="100">
      <c r="B100" s="6" t="s">
        <v>111</v>
      </c>
      <c r="C100" s="21"/>
      <c r="D100" s="21"/>
      <c r="E100" s="21"/>
      <c r="F100" s="21">
        <f>27-sum(C100:E100)</f>
        <v>27</v>
      </c>
      <c r="G100" s="14">
        <v>11.0</v>
      </c>
      <c r="H100" s="21">
        <f>15-G100</f>
        <v>4</v>
      </c>
      <c r="I100" s="21">
        <f>22-sum(G100:H100)</f>
        <v>7</v>
      </c>
      <c r="J100" s="21">
        <f>26-sum(G100:I100)</f>
        <v>4</v>
      </c>
      <c r="K100" s="14">
        <v>14.0</v>
      </c>
      <c r="L100" s="14">
        <f>24-K100</f>
        <v>10</v>
      </c>
      <c r="M100" s="5"/>
      <c r="N100" s="5"/>
      <c r="O100" s="4"/>
    </row>
    <row r="101">
      <c r="B101" s="37" t="s">
        <v>112</v>
      </c>
      <c r="C101" s="5">
        <f t="shared" ref="C101:L101" si="73">sum(C97:C100)</f>
        <v>0</v>
      </c>
      <c r="D101" s="5">
        <f t="shared" si="73"/>
        <v>0</v>
      </c>
      <c r="E101" s="5">
        <f t="shared" si="73"/>
        <v>0</v>
      </c>
      <c r="F101" s="5">
        <f t="shared" si="73"/>
        <v>-2477</v>
      </c>
      <c r="G101" s="5">
        <f t="shared" si="73"/>
        <v>-503</v>
      </c>
      <c r="H101" s="5">
        <f t="shared" si="73"/>
        <v>-466</v>
      </c>
      <c r="I101" s="5">
        <f t="shared" si="73"/>
        <v>-541</v>
      </c>
      <c r="J101" s="5">
        <f t="shared" si="73"/>
        <v>-471</v>
      </c>
      <c r="K101" s="5">
        <f t="shared" si="73"/>
        <v>-673</v>
      </c>
      <c r="L101" s="5">
        <f t="shared" si="73"/>
        <v>-495</v>
      </c>
      <c r="M101" s="5"/>
      <c r="N101" s="5"/>
      <c r="O101" s="4"/>
    </row>
    <row r="102">
      <c r="B102" s="1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4"/>
    </row>
    <row r="103">
      <c r="B103" s="6" t="s">
        <v>113</v>
      </c>
      <c r="C103" s="21"/>
      <c r="D103" s="21"/>
      <c r="E103" s="21"/>
      <c r="F103" s="21">
        <f>-2513-sum(C103:E103)</f>
        <v>-2513</v>
      </c>
      <c r="G103" s="14">
        <v>-613.0</v>
      </c>
      <c r="H103" s="21">
        <f>-1144-G103</f>
        <v>-531</v>
      </c>
      <c r="I103" s="21">
        <f>-1738-sum(G103:H103)</f>
        <v>-594</v>
      </c>
      <c r="J103" s="21">
        <f>-2522-sum(G103:I103)</f>
        <v>-784</v>
      </c>
      <c r="K103" s="14">
        <v>-604.0</v>
      </c>
      <c r="L103" s="14">
        <f>-1418-K103</f>
        <v>-814</v>
      </c>
      <c r="M103" s="5"/>
      <c r="N103" s="5"/>
      <c r="O103" s="4"/>
    </row>
    <row r="104">
      <c r="B104" s="6" t="s">
        <v>114</v>
      </c>
      <c r="C104" s="21"/>
      <c r="D104" s="21"/>
      <c r="E104" s="21"/>
      <c r="F104" s="21">
        <f>366-sum(C104:E104)</f>
        <v>366</v>
      </c>
      <c r="G104" s="14">
        <v>-424.0</v>
      </c>
      <c r="H104" s="21">
        <f>-898-G104</f>
        <v>-474</v>
      </c>
      <c r="I104" s="21">
        <f>-1371-sum(G104:H104)</f>
        <v>-473</v>
      </c>
      <c r="J104" s="21">
        <f>311-sum(G104:I104)</f>
        <v>1682</v>
      </c>
      <c r="K104" s="14">
        <v>-474.0</v>
      </c>
      <c r="L104" s="14">
        <f>-1005-K104</f>
        <v>-531</v>
      </c>
      <c r="M104" s="5"/>
      <c r="N104" s="5"/>
      <c r="O104" s="4"/>
    </row>
    <row r="105">
      <c r="B105" s="6" t="s">
        <v>115</v>
      </c>
      <c r="C105" s="21"/>
      <c r="D105" s="21"/>
      <c r="E105" s="21"/>
      <c r="F105" s="21">
        <f>-1648-sum(C105:E105)</f>
        <v>-1648</v>
      </c>
      <c r="G105" s="14">
        <v>50.0</v>
      </c>
      <c r="H105" s="21">
        <f>104-G105</f>
        <v>54</v>
      </c>
      <c r="I105" s="21">
        <f>196-sum(G105:H105)</f>
        <v>92</v>
      </c>
      <c r="J105" s="21">
        <f>-1842-sum(G105:I105)</f>
        <v>-2038</v>
      </c>
      <c r="K105" s="14">
        <v>70.0</v>
      </c>
      <c r="L105" s="14">
        <f>134-K105</f>
        <v>64</v>
      </c>
      <c r="M105" s="5"/>
      <c r="N105" s="5"/>
      <c r="O105" s="4"/>
    </row>
    <row r="106">
      <c r="B106" s="6" t="s">
        <v>106</v>
      </c>
      <c r="C106" s="21"/>
      <c r="D106" s="21"/>
      <c r="E106" s="21"/>
      <c r="F106" s="21">
        <f>-43-sum(C106:E106)</f>
        <v>-43</v>
      </c>
      <c r="G106" s="14">
        <v>-61.0</v>
      </c>
      <c r="H106" s="21">
        <f>-64-G106</f>
        <v>-3</v>
      </c>
      <c r="I106" s="21">
        <f>-64-sum(G106:H106)</f>
        <v>0</v>
      </c>
      <c r="J106" s="21">
        <f>-65-sum(G106:I106)</f>
        <v>-1</v>
      </c>
      <c r="K106" s="14">
        <v>-73.0</v>
      </c>
      <c r="L106" s="14">
        <f>-73-K106</f>
        <v>0</v>
      </c>
      <c r="M106" s="5"/>
      <c r="N106" s="5"/>
      <c r="O106" s="4"/>
    </row>
    <row r="107">
      <c r="B107" s="37" t="s">
        <v>116</v>
      </c>
      <c r="C107" s="5">
        <f t="shared" ref="C107:L107" si="74">sum(C103:C106)</f>
        <v>0</v>
      </c>
      <c r="D107" s="5">
        <f t="shared" si="74"/>
        <v>0</v>
      </c>
      <c r="E107" s="5">
        <f t="shared" si="74"/>
        <v>0</v>
      </c>
      <c r="F107" s="5">
        <f t="shared" si="74"/>
        <v>-3838</v>
      </c>
      <c r="G107" s="5">
        <f t="shared" si="74"/>
        <v>-1048</v>
      </c>
      <c r="H107" s="5">
        <f t="shared" si="74"/>
        <v>-954</v>
      </c>
      <c r="I107" s="5">
        <f t="shared" si="74"/>
        <v>-975</v>
      </c>
      <c r="J107" s="5">
        <f t="shared" si="74"/>
        <v>-1141</v>
      </c>
      <c r="K107" s="5">
        <f t="shared" si="74"/>
        <v>-1081</v>
      </c>
      <c r="L107" s="5">
        <f t="shared" si="74"/>
        <v>-1281</v>
      </c>
      <c r="M107" s="5"/>
      <c r="N107" s="5"/>
      <c r="O107" s="4"/>
    </row>
    <row r="108">
      <c r="B108" s="6" t="s">
        <v>117</v>
      </c>
      <c r="C108" s="21"/>
      <c r="D108" s="21"/>
      <c r="E108" s="21"/>
      <c r="F108" s="14">
        <f>-66-sum(C108:E108)</f>
        <v>-66</v>
      </c>
      <c r="G108" s="14">
        <v>77.0</v>
      </c>
      <c r="H108" s="21">
        <f>90-G108</f>
        <v>13</v>
      </c>
      <c r="I108" s="21">
        <f>75-sum(G108:H108)</f>
        <v>-15</v>
      </c>
      <c r="J108" s="21">
        <f>120-sum(G108:I108)</f>
        <v>45</v>
      </c>
      <c r="K108" s="14">
        <v>-15.0</v>
      </c>
      <c r="L108" s="14">
        <f>-41-K108</f>
        <v>-26</v>
      </c>
      <c r="M108" s="5"/>
      <c r="N108" s="5"/>
      <c r="O108" s="4"/>
    </row>
    <row r="109">
      <c r="B109" s="6" t="s">
        <v>118</v>
      </c>
      <c r="C109" s="5"/>
      <c r="D109" s="5"/>
      <c r="E109" s="5"/>
      <c r="F109" s="5">
        <f t="shared" ref="F109:L109" si="75">sum(F95,F101,F107,F108)</f>
        <v>-265</v>
      </c>
      <c r="G109" s="5">
        <f t="shared" si="75"/>
        <v>-1080</v>
      </c>
      <c r="H109" s="5">
        <f t="shared" si="75"/>
        <v>672</v>
      </c>
      <c r="I109" s="5">
        <f t="shared" si="75"/>
        <v>-287</v>
      </c>
      <c r="J109" s="5">
        <f t="shared" si="75"/>
        <v>1590</v>
      </c>
      <c r="K109" s="5">
        <f t="shared" si="75"/>
        <v>-650</v>
      </c>
      <c r="L109" s="5">
        <f t="shared" si="75"/>
        <v>424</v>
      </c>
      <c r="M109" s="5"/>
      <c r="N109" s="5"/>
      <c r="O109" s="4"/>
    </row>
    <row r="110">
      <c r="B110" s="6" t="s">
        <v>119</v>
      </c>
      <c r="C110" s="5"/>
      <c r="D110" s="5"/>
      <c r="E110" s="5"/>
      <c r="F110" s="11">
        <v>5600.0</v>
      </c>
      <c r="G110" s="11">
        <v>5335.0</v>
      </c>
      <c r="H110" s="5">
        <f t="shared" ref="H110:L110" si="76">G111</f>
        <v>4255</v>
      </c>
      <c r="I110" s="11">
        <f t="shared" si="76"/>
        <v>4927</v>
      </c>
      <c r="J110" s="11">
        <f t="shared" si="76"/>
        <v>4640</v>
      </c>
      <c r="K110" s="11">
        <f t="shared" si="76"/>
        <v>6230</v>
      </c>
      <c r="L110" s="11">
        <f t="shared" si="76"/>
        <v>5580</v>
      </c>
      <c r="M110" s="5"/>
      <c r="N110" s="5"/>
      <c r="O110" s="4"/>
    </row>
    <row r="111">
      <c r="B111" s="6" t="s">
        <v>120</v>
      </c>
      <c r="C111" s="5"/>
      <c r="D111" s="5"/>
      <c r="E111" s="5"/>
      <c r="F111" s="5">
        <f t="shared" ref="F111:L111" si="77">F109+F110</f>
        <v>5335</v>
      </c>
      <c r="G111" s="5">
        <f t="shared" si="77"/>
        <v>4255</v>
      </c>
      <c r="H111" s="5">
        <f t="shared" si="77"/>
        <v>4927</v>
      </c>
      <c r="I111" s="5">
        <f t="shared" si="77"/>
        <v>4640</v>
      </c>
      <c r="J111" s="5">
        <f t="shared" si="77"/>
        <v>6230</v>
      </c>
      <c r="K111" s="5">
        <f t="shared" si="77"/>
        <v>5580</v>
      </c>
      <c r="L111" s="5">
        <f t="shared" si="77"/>
        <v>6004</v>
      </c>
      <c r="M111" s="5"/>
      <c r="N111" s="5"/>
      <c r="O111" s="4"/>
    </row>
    <row r="112">
      <c r="B112" s="1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4"/>
    </row>
    <row r="113">
      <c r="B113" s="6" t="s">
        <v>121</v>
      </c>
      <c r="C113" s="5"/>
      <c r="D113" s="5"/>
      <c r="E113" s="5"/>
      <c r="F113" s="5">
        <f t="shared" ref="F113:L113" si="78">F95+F97</f>
        <v>4198</v>
      </c>
      <c r="G113" s="5">
        <f t="shared" si="78"/>
        <v>-103</v>
      </c>
      <c r="H113" s="5">
        <f t="shared" si="78"/>
        <v>1618</v>
      </c>
      <c r="I113" s="5">
        <f t="shared" si="78"/>
        <v>713</v>
      </c>
      <c r="J113" s="5">
        <f t="shared" si="78"/>
        <v>2689</v>
      </c>
      <c r="K113" s="5">
        <f t="shared" si="78"/>
        <v>457</v>
      </c>
      <c r="L113" s="5">
        <f t="shared" si="78"/>
        <v>1729</v>
      </c>
      <c r="M113" s="5"/>
      <c r="N113" s="5"/>
      <c r="O113" s="4"/>
      <c r="R113" s="5">
        <f t="shared" ref="R113:W113" si="79">R95+R97</f>
        <v>2844</v>
      </c>
      <c r="S113" s="5">
        <f t="shared" si="79"/>
        <v>3994</v>
      </c>
      <c r="T113" s="5">
        <f t="shared" si="79"/>
        <v>2013</v>
      </c>
      <c r="U113" s="5">
        <f t="shared" si="79"/>
        <v>2627</v>
      </c>
      <c r="V113" s="5">
        <f t="shared" si="79"/>
        <v>4335</v>
      </c>
      <c r="W113" s="5">
        <f t="shared" si="79"/>
        <v>4198</v>
      </c>
    </row>
    <row r="114">
      <c r="B114" s="1"/>
      <c r="C114" s="5"/>
      <c r="D114" s="5"/>
      <c r="E114" s="5"/>
      <c r="F114" s="5">
        <f t="shared" ref="F114:L114" si="80">F36</f>
        <v>1398</v>
      </c>
      <c r="G114" s="5">
        <f t="shared" si="80"/>
        <v>1036</v>
      </c>
      <c r="H114" s="5">
        <f t="shared" si="80"/>
        <v>1243</v>
      </c>
      <c r="I114" s="5">
        <f t="shared" si="80"/>
        <v>1442</v>
      </c>
      <c r="J114" s="5">
        <f t="shared" si="80"/>
        <v>1773</v>
      </c>
      <c r="K114" s="5">
        <f t="shared" si="80"/>
        <v>1332</v>
      </c>
      <c r="L114" s="5">
        <f t="shared" si="80"/>
        <v>1520</v>
      </c>
      <c r="M114" s="5"/>
      <c r="N114" s="5"/>
      <c r="O114" s="4"/>
      <c r="R114" s="1" t="str">
        <f t="shared" ref="R114:W114" si="81">R36</f>
        <v/>
      </c>
      <c r="S114" s="1" t="str">
        <f t="shared" si="81"/>
        <v/>
      </c>
      <c r="T114" s="1" t="str">
        <f t="shared" si="81"/>
        <v/>
      </c>
      <c r="U114" s="1" t="str">
        <f t="shared" si="81"/>
        <v/>
      </c>
      <c r="V114" s="1">
        <f t="shared" si="81"/>
        <v>4474</v>
      </c>
      <c r="W114" s="1">
        <f t="shared" si="81"/>
        <v>4864</v>
      </c>
    </row>
    <row r="115">
      <c r="B115" s="1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4"/>
    </row>
    <row r="116">
      <c r="B116" s="1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4"/>
    </row>
    <row r="117">
      <c r="B117" s="1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4"/>
    </row>
    <row r="118">
      <c r="B118" s="1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4"/>
    </row>
    <row r="119">
      <c r="B119" s="1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4"/>
    </row>
    <row r="120">
      <c r="B120" s="1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4"/>
    </row>
    <row r="121">
      <c r="B121" s="1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4"/>
    </row>
    <row r="122">
      <c r="B122" s="1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4"/>
    </row>
    <row r="123">
      <c r="B123" s="1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4"/>
    </row>
    <row r="124">
      <c r="B124" s="1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4"/>
    </row>
    <row r="125">
      <c r="B125" s="1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4"/>
    </row>
    <row r="126">
      <c r="B126" s="1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4"/>
    </row>
    <row r="127">
      <c r="B127" s="1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4"/>
    </row>
    <row r="128">
      <c r="B128" s="1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4"/>
    </row>
    <row r="129">
      <c r="B129" s="1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4"/>
    </row>
    <row r="130">
      <c r="B130" s="1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4"/>
    </row>
    <row r="131">
      <c r="B131" s="1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4"/>
    </row>
    <row r="132">
      <c r="B132" s="1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4"/>
    </row>
    <row r="133">
      <c r="B133" s="1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4"/>
    </row>
    <row r="134">
      <c r="B134" s="1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4"/>
    </row>
    <row r="135">
      <c r="B135" s="1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4"/>
    </row>
    <row r="136">
      <c r="B136" s="1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4"/>
    </row>
    <row r="137">
      <c r="B137" s="1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4"/>
    </row>
    <row r="138">
      <c r="B138" s="1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4"/>
    </row>
    <row r="139">
      <c r="B139" s="1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4"/>
    </row>
    <row r="140">
      <c r="B140" s="1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4"/>
    </row>
    <row r="141">
      <c r="B141" s="1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4"/>
    </row>
    <row r="142">
      <c r="B142" s="1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4"/>
    </row>
    <row r="143">
      <c r="B143" s="1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4"/>
    </row>
    <row r="144">
      <c r="B144" s="1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4"/>
    </row>
    <row r="145">
      <c r="B145" s="1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4"/>
    </row>
    <row r="146">
      <c r="B146" s="1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4"/>
    </row>
    <row r="147">
      <c r="B147" s="1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4"/>
    </row>
    <row r="148">
      <c r="B148" s="1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4"/>
    </row>
    <row r="149">
      <c r="B149" s="1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4"/>
    </row>
    <row r="150">
      <c r="B150" s="1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4"/>
    </row>
    <row r="151">
      <c r="B151" s="1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4"/>
    </row>
    <row r="152">
      <c r="B152" s="1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4"/>
    </row>
    <row r="153">
      <c r="B153" s="1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4"/>
    </row>
    <row r="154">
      <c r="B154" s="1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4"/>
    </row>
    <row r="155">
      <c r="B155" s="1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4"/>
    </row>
    <row r="156">
      <c r="B156" s="1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4"/>
    </row>
    <row r="157">
      <c r="B157" s="1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4"/>
    </row>
    <row r="158">
      <c r="B158" s="1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4"/>
    </row>
    <row r="159">
      <c r="B159" s="1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4"/>
    </row>
    <row r="160">
      <c r="B160" s="1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4"/>
    </row>
    <row r="161">
      <c r="B161" s="1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4"/>
    </row>
    <row r="162">
      <c r="B162" s="1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4"/>
    </row>
    <row r="163">
      <c r="B163" s="1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4"/>
    </row>
    <row r="164">
      <c r="B164" s="1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4"/>
    </row>
    <row r="165">
      <c r="B165" s="1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4"/>
    </row>
    <row r="166">
      <c r="B166" s="1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4"/>
    </row>
    <row r="167">
      <c r="B167" s="1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4"/>
    </row>
    <row r="168">
      <c r="B168" s="1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4"/>
    </row>
    <row r="169">
      <c r="B169" s="1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4"/>
    </row>
    <row r="170">
      <c r="B170" s="1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4"/>
    </row>
    <row r="171">
      <c r="B171" s="1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4"/>
    </row>
    <row r="172">
      <c r="B172" s="1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4"/>
    </row>
    <row r="173">
      <c r="B173" s="1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4"/>
    </row>
    <row r="174">
      <c r="B174" s="1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4"/>
    </row>
    <row r="175">
      <c r="B175" s="1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4"/>
    </row>
    <row r="176">
      <c r="B176" s="1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4"/>
    </row>
    <row r="177">
      <c r="B177" s="1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4"/>
    </row>
    <row r="178">
      <c r="B178" s="1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4"/>
    </row>
    <row r="179">
      <c r="B179" s="1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4"/>
    </row>
    <row r="180">
      <c r="B180" s="1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4"/>
    </row>
    <row r="181">
      <c r="B181" s="1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4"/>
    </row>
    <row r="182">
      <c r="B182" s="1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4"/>
    </row>
    <row r="183">
      <c r="B183" s="1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4"/>
    </row>
    <row r="184">
      <c r="B184" s="1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4"/>
    </row>
    <row r="185">
      <c r="B185" s="1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4"/>
    </row>
    <row r="186">
      <c r="B186" s="1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4"/>
    </row>
    <row r="187">
      <c r="B187" s="1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4"/>
    </row>
    <row r="188">
      <c r="B188" s="1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4"/>
    </row>
    <row r="189">
      <c r="B189" s="1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4"/>
    </row>
    <row r="190">
      <c r="B190" s="1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4"/>
    </row>
    <row r="191">
      <c r="B191" s="1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4"/>
    </row>
    <row r="192">
      <c r="B192" s="1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4"/>
    </row>
    <row r="193">
      <c r="B193" s="1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4"/>
    </row>
    <row r="194">
      <c r="B194" s="1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4"/>
    </row>
    <row r="195">
      <c r="B195" s="1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4"/>
    </row>
    <row r="196">
      <c r="B196" s="1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4"/>
    </row>
    <row r="197">
      <c r="B197" s="1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4"/>
    </row>
    <row r="198">
      <c r="B198" s="1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4"/>
    </row>
    <row r="199">
      <c r="B199" s="1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4"/>
    </row>
    <row r="200">
      <c r="B200" s="1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4"/>
    </row>
    <row r="201">
      <c r="B201" s="1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4"/>
    </row>
    <row r="202">
      <c r="B202" s="1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4"/>
    </row>
    <row r="203">
      <c r="B203" s="1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4"/>
    </row>
    <row r="204">
      <c r="B204" s="1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4"/>
    </row>
    <row r="205">
      <c r="B205" s="1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4"/>
    </row>
    <row r="206">
      <c r="B206" s="1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4"/>
    </row>
    <row r="207">
      <c r="B207" s="1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4"/>
    </row>
    <row r="208">
      <c r="B208" s="1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4"/>
    </row>
    <row r="209">
      <c r="B209" s="1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4"/>
    </row>
    <row r="210">
      <c r="B210" s="1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4"/>
    </row>
    <row r="211">
      <c r="B211" s="1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4"/>
    </row>
    <row r="212">
      <c r="B212" s="1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4"/>
    </row>
    <row r="213">
      <c r="B213" s="1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4"/>
    </row>
    <row r="214">
      <c r="B214" s="1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4"/>
    </row>
    <row r="215">
      <c r="B215" s="1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4"/>
    </row>
    <row r="216">
      <c r="B216" s="1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4"/>
    </row>
    <row r="217">
      <c r="B217" s="1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4"/>
    </row>
    <row r="218">
      <c r="B218" s="1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4"/>
    </row>
    <row r="219">
      <c r="B219" s="1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4"/>
    </row>
    <row r="220">
      <c r="B220" s="1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4"/>
    </row>
    <row r="221">
      <c r="B221" s="1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4"/>
    </row>
    <row r="222">
      <c r="B222" s="1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4"/>
    </row>
    <row r="223">
      <c r="B223" s="1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4"/>
    </row>
    <row r="224">
      <c r="B224" s="1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4"/>
    </row>
    <row r="225">
      <c r="B225" s="1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4"/>
    </row>
    <row r="226">
      <c r="B226" s="1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4"/>
    </row>
    <row r="227">
      <c r="B227" s="1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4"/>
    </row>
    <row r="228">
      <c r="B228" s="1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4"/>
    </row>
    <row r="229">
      <c r="B229" s="1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4"/>
    </row>
    <row r="230">
      <c r="B230" s="1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4"/>
    </row>
    <row r="231">
      <c r="B231" s="1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4"/>
    </row>
    <row r="232">
      <c r="B232" s="1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4"/>
    </row>
    <row r="233">
      <c r="B233" s="1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4"/>
    </row>
    <row r="234">
      <c r="B234" s="1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4"/>
    </row>
    <row r="235">
      <c r="B235" s="1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4"/>
    </row>
    <row r="236">
      <c r="B236" s="1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4"/>
    </row>
    <row r="237">
      <c r="B237" s="1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4"/>
    </row>
    <row r="238">
      <c r="B238" s="1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4"/>
    </row>
    <row r="239">
      <c r="B239" s="1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4"/>
    </row>
    <row r="240">
      <c r="B240" s="1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4"/>
    </row>
    <row r="241">
      <c r="B241" s="1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4"/>
    </row>
    <row r="242">
      <c r="B242" s="1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4"/>
    </row>
    <row r="243">
      <c r="B243" s="1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4"/>
    </row>
    <row r="244">
      <c r="B244" s="1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4"/>
    </row>
    <row r="245">
      <c r="B245" s="1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4"/>
    </row>
    <row r="246">
      <c r="B246" s="1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4"/>
    </row>
    <row r="247">
      <c r="B247" s="1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4"/>
    </row>
    <row r="248">
      <c r="B248" s="1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4"/>
    </row>
    <row r="249">
      <c r="B249" s="1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4"/>
    </row>
    <row r="250">
      <c r="B250" s="1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4"/>
    </row>
    <row r="251">
      <c r="B251" s="1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4"/>
    </row>
    <row r="252">
      <c r="B252" s="1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4"/>
    </row>
    <row r="253">
      <c r="B253" s="1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4"/>
    </row>
    <row r="254">
      <c r="B254" s="1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4"/>
    </row>
    <row r="255">
      <c r="B255" s="1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4"/>
    </row>
    <row r="256">
      <c r="B256" s="1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4"/>
    </row>
    <row r="257">
      <c r="B257" s="1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4"/>
    </row>
    <row r="258">
      <c r="B258" s="1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4"/>
    </row>
    <row r="259">
      <c r="B259" s="1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4"/>
    </row>
    <row r="260">
      <c r="B260" s="1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4"/>
    </row>
    <row r="261">
      <c r="B261" s="1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4"/>
    </row>
    <row r="262">
      <c r="B262" s="1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4"/>
    </row>
    <row r="263">
      <c r="B263" s="1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4"/>
    </row>
    <row r="264">
      <c r="B264" s="1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4"/>
    </row>
    <row r="265">
      <c r="B265" s="1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4"/>
    </row>
    <row r="266">
      <c r="B266" s="1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4"/>
    </row>
    <row r="267">
      <c r="B267" s="1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4"/>
    </row>
    <row r="268">
      <c r="B268" s="1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4"/>
    </row>
    <row r="269">
      <c r="B269" s="1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4"/>
    </row>
    <row r="270">
      <c r="B270" s="1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4"/>
    </row>
    <row r="271">
      <c r="B271" s="1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4"/>
    </row>
    <row r="272">
      <c r="B272" s="1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4"/>
    </row>
    <row r="273">
      <c r="B273" s="1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4"/>
    </row>
    <row r="274">
      <c r="B274" s="1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4"/>
    </row>
    <row r="275">
      <c r="B275" s="1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4"/>
    </row>
    <row r="276">
      <c r="B276" s="1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4"/>
    </row>
    <row r="277">
      <c r="B277" s="1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4"/>
    </row>
    <row r="278">
      <c r="B278" s="1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4"/>
    </row>
    <row r="279">
      <c r="B279" s="1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4"/>
    </row>
    <row r="280">
      <c r="B280" s="1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4"/>
    </row>
    <row r="281">
      <c r="B281" s="1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4"/>
    </row>
    <row r="282">
      <c r="B282" s="1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4"/>
    </row>
    <row r="283">
      <c r="B283" s="1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4"/>
    </row>
    <row r="284">
      <c r="B284" s="1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4"/>
    </row>
    <row r="285">
      <c r="B285" s="1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4"/>
    </row>
    <row r="286">
      <c r="B286" s="1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4"/>
    </row>
    <row r="287">
      <c r="B287" s="1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4"/>
    </row>
    <row r="288">
      <c r="B288" s="1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4"/>
    </row>
    <row r="289">
      <c r="B289" s="1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4"/>
    </row>
    <row r="290">
      <c r="B290" s="1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4"/>
    </row>
    <row r="291">
      <c r="B291" s="1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4"/>
    </row>
    <row r="292">
      <c r="B292" s="1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4"/>
    </row>
    <row r="293">
      <c r="B293" s="1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4"/>
    </row>
    <row r="294">
      <c r="B294" s="1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4"/>
    </row>
    <row r="295">
      <c r="B295" s="1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4"/>
    </row>
    <row r="296">
      <c r="B296" s="1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4"/>
    </row>
    <row r="297">
      <c r="B297" s="1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4"/>
    </row>
    <row r="298">
      <c r="B298" s="1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4"/>
    </row>
    <row r="299">
      <c r="B299" s="1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4"/>
    </row>
    <row r="300">
      <c r="B300" s="1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4"/>
    </row>
    <row r="301">
      <c r="B301" s="1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4"/>
    </row>
    <row r="302">
      <c r="B302" s="1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4"/>
    </row>
    <row r="303">
      <c r="B303" s="1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4"/>
    </row>
    <row r="304">
      <c r="B304" s="1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4"/>
    </row>
    <row r="305">
      <c r="B305" s="1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4"/>
    </row>
    <row r="306">
      <c r="B306" s="1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4"/>
    </row>
    <row r="307">
      <c r="B307" s="1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4"/>
    </row>
    <row r="308">
      <c r="B308" s="1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4"/>
    </row>
    <row r="309">
      <c r="B309" s="1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4"/>
    </row>
    <row r="310">
      <c r="B310" s="1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4"/>
    </row>
    <row r="311">
      <c r="B311" s="1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4"/>
    </row>
    <row r="312">
      <c r="B312" s="1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4"/>
    </row>
    <row r="313">
      <c r="B313" s="1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4"/>
    </row>
    <row r="314">
      <c r="B314" s="1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4"/>
    </row>
    <row r="315">
      <c r="B315" s="1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4"/>
    </row>
    <row r="316">
      <c r="B316" s="1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4"/>
    </row>
    <row r="317">
      <c r="B317" s="1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4"/>
    </row>
    <row r="318">
      <c r="B318" s="1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4"/>
    </row>
    <row r="319">
      <c r="B319" s="1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4"/>
    </row>
    <row r="320">
      <c r="B320" s="1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4"/>
    </row>
    <row r="321">
      <c r="B321" s="1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4"/>
    </row>
    <row r="322">
      <c r="B322" s="1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4"/>
    </row>
    <row r="323">
      <c r="B323" s="1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4"/>
    </row>
    <row r="324">
      <c r="B324" s="1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4"/>
    </row>
    <row r="325">
      <c r="B325" s="1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4"/>
    </row>
    <row r="326">
      <c r="B326" s="1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4"/>
    </row>
    <row r="327">
      <c r="B327" s="1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4"/>
    </row>
    <row r="328">
      <c r="B328" s="1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4"/>
    </row>
    <row r="329">
      <c r="B329" s="1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4"/>
    </row>
    <row r="330">
      <c r="B330" s="1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4"/>
    </row>
    <row r="331">
      <c r="B331" s="1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4"/>
    </row>
    <row r="332">
      <c r="B332" s="1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4"/>
    </row>
    <row r="333">
      <c r="B333" s="1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4"/>
    </row>
    <row r="334">
      <c r="B334" s="1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4"/>
    </row>
    <row r="335">
      <c r="B335" s="1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4"/>
    </row>
    <row r="336">
      <c r="B336" s="1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4"/>
    </row>
    <row r="337">
      <c r="B337" s="1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4"/>
    </row>
    <row r="338">
      <c r="B338" s="1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4"/>
    </row>
    <row r="339">
      <c r="B339" s="1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4"/>
    </row>
    <row r="340">
      <c r="B340" s="1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4"/>
    </row>
    <row r="341">
      <c r="B341" s="1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4"/>
    </row>
    <row r="342">
      <c r="B342" s="1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4"/>
    </row>
    <row r="343">
      <c r="B343" s="1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4"/>
    </row>
    <row r="344">
      <c r="B344" s="1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4"/>
    </row>
    <row r="345">
      <c r="B345" s="1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4"/>
    </row>
    <row r="346">
      <c r="B346" s="1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4"/>
    </row>
    <row r="347">
      <c r="B347" s="1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4"/>
    </row>
    <row r="348">
      <c r="B348" s="1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4"/>
    </row>
    <row r="349">
      <c r="B349" s="1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4"/>
    </row>
    <row r="350">
      <c r="B350" s="1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4"/>
    </row>
    <row r="351">
      <c r="B351" s="1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4"/>
    </row>
    <row r="352">
      <c r="B352" s="1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4"/>
    </row>
    <row r="353">
      <c r="B353" s="1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4"/>
    </row>
    <row r="354">
      <c r="B354" s="1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4"/>
    </row>
    <row r="355">
      <c r="B355" s="1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4"/>
    </row>
    <row r="356">
      <c r="B356" s="1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4"/>
    </row>
    <row r="357">
      <c r="B357" s="1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4"/>
    </row>
    <row r="358">
      <c r="B358" s="1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4"/>
    </row>
    <row r="359">
      <c r="B359" s="1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4"/>
    </row>
    <row r="360">
      <c r="B360" s="1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4"/>
    </row>
    <row r="361">
      <c r="B361" s="1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4"/>
    </row>
    <row r="362">
      <c r="B362" s="1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4"/>
    </row>
    <row r="363">
      <c r="B363" s="1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4"/>
    </row>
    <row r="364">
      <c r="B364" s="1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4"/>
    </row>
    <row r="365">
      <c r="B365" s="1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4"/>
    </row>
    <row r="366">
      <c r="B366" s="1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4"/>
    </row>
    <row r="367">
      <c r="B367" s="1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4"/>
    </row>
    <row r="368">
      <c r="B368" s="1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4"/>
    </row>
    <row r="369">
      <c r="B369" s="1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4"/>
    </row>
    <row r="370">
      <c r="B370" s="1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4"/>
    </row>
    <row r="371">
      <c r="B371" s="1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4"/>
    </row>
    <row r="372">
      <c r="B372" s="1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4"/>
    </row>
    <row r="373">
      <c r="B373" s="1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4"/>
    </row>
    <row r="374">
      <c r="B374" s="1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4"/>
    </row>
    <row r="375">
      <c r="B375" s="1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4"/>
    </row>
    <row r="376">
      <c r="B376" s="1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4"/>
    </row>
    <row r="377">
      <c r="B377" s="1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4"/>
    </row>
    <row r="378">
      <c r="B378" s="1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4"/>
    </row>
    <row r="379">
      <c r="B379" s="1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4"/>
    </row>
    <row r="380">
      <c r="B380" s="1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4"/>
    </row>
    <row r="381">
      <c r="B381" s="1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4"/>
    </row>
    <row r="382">
      <c r="B382" s="1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4"/>
    </row>
    <row r="383">
      <c r="B383" s="1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4"/>
    </row>
    <row r="384">
      <c r="B384" s="1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4"/>
    </row>
    <row r="385">
      <c r="B385" s="1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4"/>
    </row>
    <row r="386">
      <c r="B386" s="1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4"/>
    </row>
    <row r="387">
      <c r="B387" s="1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4"/>
    </row>
    <row r="388">
      <c r="B388" s="1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4"/>
    </row>
    <row r="389">
      <c r="B389" s="1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4"/>
    </row>
    <row r="390">
      <c r="B390" s="1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4"/>
    </row>
    <row r="391">
      <c r="B391" s="1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4"/>
    </row>
    <row r="392">
      <c r="B392" s="1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4"/>
    </row>
    <row r="393">
      <c r="B393" s="1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4"/>
    </row>
    <row r="394">
      <c r="B394" s="1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4"/>
    </row>
    <row r="395">
      <c r="B395" s="1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4"/>
    </row>
    <row r="396">
      <c r="B396" s="1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4"/>
    </row>
    <row r="397">
      <c r="B397" s="1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4"/>
    </row>
    <row r="398">
      <c r="B398" s="1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4"/>
    </row>
    <row r="399">
      <c r="B399" s="1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4"/>
    </row>
    <row r="400">
      <c r="B400" s="1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4"/>
    </row>
    <row r="401">
      <c r="B401" s="1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4"/>
    </row>
    <row r="402">
      <c r="B402" s="1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4"/>
    </row>
    <row r="403">
      <c r="B403" s="1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4"/>
    </row>
    <row r="404">
      <c r="B404" s="1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4"/>
    </row>
    <row r="405">
      <c r="B405" s="1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4"/>
    </row>
    <row r="406">
      <c r="B406" s="1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4"/>
    </row>
    <row r="407">
      <c r="B407" s="1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4"/>
    </row>
    <row r="408">
      <c r="B408" s="1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4"/>
    </row>
    <row r="409">
      <c r="B409" s="1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4"/>
    </row>
    <row r="410">
      <c r="B410" s="1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4"/>
    </row>
    <row r="411">
      <c r="B411" s="1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4"/>
    </row>
    <row r="412">
      <c r="B412" s="1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4"/>
    </row>
    <row r="413">
      <c r="B413" s="1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4"/>
    </row>
    <row r="414">
      <c r="B414" s="1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4"/>
    </row>
    <row r="415">
      <c r="B415" s="1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4"/>
    </row>
    <row r="416">
      <c r="B416" s="1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4"/>
    </row>
    <row r="417">
      <c r="B417" s="1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4"/>
    </row>
    <row r="418">
      <c r="B418" s="1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4"/>
    </row>
    <row r="419">
      <c r="B419" s="1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4"/>
    </row>
    <row r="420">
      <c r="B420" s="1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4"/>
    </row>
    <row r="421">
      <c r="B421" s="1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4"/>
    </row>
    <row r="422">
      <c r="B422" s="1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4"/>
    </row>
    <row r="423">
      <c r="B423" s="1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4"/>
    </row>
    <row r="424">
      <c r="B424" s="1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4"/>
    </row>
    <row r="425">
      <c r="B425" s="1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4"/>
    </row>
    <row r="426">
      <c r="B426" s="1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4"/>
    </row>
    <row r="427">
      <c r="B427" s="1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4"/>
    </row>
    <row r="428">
      <c r="B428" s="1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4"/>
    </row>
    <row r="429">
      <c r="B429" s="1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4"/>
    </row>
    <row r="430">
      <c r="B430" s="1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4"/>
    </row>
    <row r="431">
      <c r="B431" s="1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4"/>
    </row>
    <row r="432">
      <c r="B432" s="1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4"/>
    </row>
    <row r="433">
      <c r="B433" s="1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4"/>
    </row>
    <row r="434">
      <c r="B434" s="1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4"/>
    </row>
    <row r="435">
      <c r="B435" s="1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4"/>
    </row>
    <row r="436">
      <c r="B436" s="1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4"/>
    </row>
    <row r="437">
      <c r="B437" s="1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4"/>
    </row>
    <row r="438">
      <c r="B438" s="1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4"/>
    </row>
    <row r="439">
      <c r="B439" s="1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4"/>
    </row>
    <row r="440">
      <c r="B440" s="1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4"/>
    </row>
    <row r="441">
      <c r="B441" s="1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4"/>
    </row>
    <row r="442">
      <c r="B442" s="1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4"/>
    </row>
    <row r="443">
      <c r="B443" s="1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4"/>
    </row>
    <row r="444">
      <c r="B444" s="1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4"/>
    </row>
    <row r="445">
      <c r="B445" s="1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4"/>
    </row>
    <row r="446">
      <c r="B446" s="1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4"/>
    </row>
    <row r="447">
      <c r="B447" s="1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4"/>
    </row>
    <row r="448">
      <c r="B448" s="1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4"/>
    </row>
    <row r="449">
      <c r="B449" s="1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4"/>
    </row>
    <row r="450">
      <c r="B450" s="1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4"/>
    </row>
    <row r="451">
      <c r="B451" s="1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4"/>
    </row>
    <row r="452">
      <c r="B452" s="1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4"/>
    </row>
    <row r="453">
      <c r="B453" s="1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4"/>
    </row>
    <row r="454">
      <c r="B454" s="1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4"/>
    </row>
    <row r="455">
      <c r="B455" s="1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4"/>
    </row>
    <row r="456">
      <c r="B456" s="1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4"/>
    </row>
    <row r="457">
      <c r="B457" s="1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4"/>
    </row>
    <row r="458">
      <c r="B458" s="1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4"/>
    </row>
    <row r="459">
      <c r="B459" s="1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4"/>
    </row>
    <row r="460">
      <c r="B460" s="1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4"/>
    </row>
    <row r="461">
      <c r="B461" s="1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4"/>
    </row>
    <row r="462">
      <c r="B462" s="1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4"/>
    </row>
    <row r="463">
      <c r="B463" s="1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4"/>
    </row>
    <row r="464">
      <c r="B464" s="1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4"/>
    </row>
    <row r="465">
      <c r="B465" s="1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4"/>
    </row>
    <row r="466">
      <c r="B466" s="1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4"/>
    </row>
    <row r="467">
      <c r="B467" s="1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4"/>
    </row>
    <row r="468">
      <c r="B468" s="1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4"/>
    </row>
    <row r="469">
      <c r="B469" s="1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4"/>
    </row>
    <row r="470">
      <c r="B470" s="1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4"/>
    </row>
    <row r="471">
      <c r="B471" s="1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4"/>
    </row>
    <row r="472">
      <c r="B472" s="1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4"/>
    </row>
    <row r="473">
      <c r="B473" s="1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4"/>
    </row>
    <row r="474">
      <c r="B474" s="1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4"/>
    </row>
    <row r="475">
      <c r="B475" s="1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4"/>
    </row>
    <row r="476">
      <c r="B476" s="1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4"/>
    </row>
    <row r="477">
      <c r="B477" s="1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4"/>
    </row>
    <row r="478">
      <c r="B478" s="1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4"/>
    </row>
    <row r="479">
      <c r="B479" s="1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4"/>
    </row>
    <row r="480">
      <c r="B480" s="1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4"/>
    </row>
    <row r="481">
      <c r="B481" s="1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4"/>
    </row>
    <row r="482">
      <c r="B482" s="1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4"/>
    </row>
    <row r="483">
      <c r="B483" s="1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4"/>
    </row>
    <row r="484">
      <c r="B484" s="1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4"/>
    </row>
    <row r="485">
      <c r="B485" s="1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4"/>
    </row>
    <row r="486">
      <c r="B486" s="1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4"/>
    </row>
    <row r="487">
      <c r="B487" s="1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4"/>
    </row>
    <row r="488">
      <c r="B488" s="1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4"/>
    </row>
    <row r="489">
      <c r="B489" s="1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4"/>
    </row>
    <row r="490">
      <c r="B490" s="1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4"/>
    </row>
    <row r="491">
      <c r="B491" s="1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4"/>
    </row>
    <row r="492">
      <c r="B492" s="1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4"/>
    </row>
    <row r="493">
      <c r="B493" s="1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4"/>
    </row>
    <row r="494">
      <c r="B494" s="1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4"/>
    </row>
    <row r="495">
      <c r="B495" s="1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4"/>
    </row>
    <row r="496">
      <c r="B496" s="1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4"/>
    </row>
    <row r="497">
      <c r="B497" s="1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4"/>
    </row>
    <row r="498">
      <c r="B498" s="1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4"/>
    </row>
    <row r="499">
      <c r="B499" s="1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4"/>
    </row>
    <row r="500">
      <c r="B500" s="1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4"/>
    </row>
    <row r="501">
      <c r="B501" s="1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4"/>
    </row>
    <row r="502">
      <c r="B502" s="1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4"/>
    </row>
    <row r="503">
      <c r="B503" s="1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4"/>
    </row>
    <row r="504">
      <c r="B504" s="1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4"/>
    </row>
    <row r="505">
      <c r="B505" s="1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4"/>
    </row>
    <row r="506">
      <c r="B506" s="1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4"/>
    </row>
    <row r="507">
      <c r="B507" s="1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4"/>
    </row>
    <row r="508">
      <c r="B508" s="1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4"/>
    </row>
    <row r="509">
      <c r="B509" s="1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4"/>
    </row>
    <row r="510">
      <c r="B510" s="1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4"/>
    </row>
    <row r="511">
      <c r="B511" s="1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4"/>
    </row>
    <row r="512">
      <c r="B512" s="1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4"/>
    </row>
    <row r="513">
      <c r="B513" s="1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4"/>
    </row>
    <row r="514">
      <c r="B514" s="1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4"/>
    </row>
    <row r="515">
      <c r="B515" s="1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4"/>
    </row>
    <row r="516">
      <c r="B516" s="1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4"/>
    </row>
    <row r="517">
      <c r="B517" s="1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4"/>
    </row>
    <row r="518">
      <c r="B518" s="1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4"/>
    </row>
    <row r="519">
      <c r="B519" s="1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4"/>
    </row>
    <row r="520">
      <c r="B520" s="1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4"/>
    </row>
    <row r="521">
      <c r="B521" s="1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4"/>
    </row>
    <row r="522">
      <c r="B522" s="1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4"/>
    </row>
    <row r="523">
      <c r="B523" s="1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4"/>
    </row>
    <row r="524">
      <c r="B524" s="1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4"/>
    </row>
    <row r="525">
      <c r="B525" s="1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4"/>
    </row>
    <row r="526">
      <c r="B526" s="1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4"/>
    </row>
    <row r="527">
      <c r="B527" s="1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4"/>
    </row>
    <row r="528">
      <c r="B528" s="1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4"/>
    </row>
    <row r="529">
      <c r="B529" s="1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4"/>
    </row>
    <row r="530">
      <c r="B530" s="1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4"/>
    </row>
    <row r="531">
      <c r="B531" s="1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4"/>
    </row>
    <row r="532">
      <c r="B532" s="1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4"/>
    </row>
    <row r="533">
      <c r="B533" s="1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4"/>
    </row>
    <row r="534">
      <c r="B534" s="1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4"/>
    </row>
    <row r="535">
      <c r="B535" s="1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4"/>
    </row>
    <row r="536">
      <c r="B536" s="1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4"/>
    </row>
    <row r="537">
      <c r="B537" s="1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4"/>
    </row>
    <row r="538">
      <c r="B538" s="1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4"/>
    </row>
    <row r="539">
      <c r="B539" s="1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4"/>
    </row>
    <row r="540">
      <c r="B540" s="1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4"/>
    </row>
    <row r="541">
      <c r="B541" s="1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4"/>
    </row>
    <row r="542">
      <c r="B542" s="1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4"/>
    </row>
    <row r="543">
      <c r="B543" s="1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4"/>
    </row>
    <row r="544">
      <c r="B544" s="1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4"/>
    </row>
    <row r="545">
      <c r="B545" s="1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4"/>
    </row>
    <row r="546">
      <c r="B546" s="1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4"/>
    </row>
    <row r="547">
      <c r="B547" s="1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4"/>
    </row>
    <row r="548">
      <c r="B548" s="1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4"/>
    </row>
    <row r="549">
      <c r="B549" s="1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4"/>
    </row>
    <row r="550">
      <c r="B550" s="1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4"/>
    </row>
    <row r="551">
      <c r="B551" s="1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4"/>
    </row>
    <row r="552">
      <c r="B552" s="1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4"/>
    </row>
    <row r="553">
      <c r="B553" s="1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4"/>
    </row>
    <row r="554">
      <c r="B554" s="1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4"/>
    </row>
    <row r="555">
      <c r="B555" s="1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4"/>
    </row>
    <row r="556">
      <c r="B556" s="1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4"/>
    </row>
    <row r="557">
      <c r="B557" s="1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4"/>
    </row>
    <row r="558">
      <c r="B558" s="1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4"/>
    </row>
    <row r="559">
      <c r="B559" s="1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4"/>
    </row>
    <row r="560">
      <c r="B560" s="1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4"/>
    </row>
    <row r="561">
      <c r="B561" s="1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4"/>
    </row>
    <row r="562">
      <c r="B562" s="1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4"/>
    </row>
    <row r="563">
      <c r="B563" s="1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4"/>
    </row>
    <row r="564">
      <c r="B564" s="1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4"/>
    </row>
    <row r="565">
      <c r="B565" s="1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4"/>
    </row>
    <row r="566">
      <c r="B566" s="1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4"/>
    </row>
    <row r="567">
      <c r="B567" s="1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4"/>
    </row>
    <row r="568">
      <c r="B568" s="1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4"/>
    </row>
    <row r="569">
      <c r="B569" s="1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4"/>
    </row>
    <row r="570">
      <c r="B570" s="1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4"/>
    </row>
    <row r="571">
      <c r="B571" s="1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4"/>
    </row>
    <row r="572">
      <c r="B572" s="1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4"/>
    </row>
    <row r="573">
      <c r="B573" s="1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4"/>
    </row>
    <row r="574">
      <c r="B574" s="1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4"/>
    </row>
    <row r="575">
      <c r="B575" s="1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4"/>
    </row>
    <row r="576">
      <c r="B576" s="1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4"/>
    </row>
    <row r="577">
      <c r="B577" s="1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4"/>
    </row>
    <row r="578">
      <c r="B578" s="1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4"/>
    </row>
    <row r="579">
      <c r="B579" s="1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4"/>
    </row>
    <row r="580">
      <c r="B580" s="1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4"/>
    </row>
    <row r="581">
      <c r="B581" s="1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4"/>
    </row>
    <row r="582">
      <c r="B582" s="1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4"/>
    </row>
    <row r="583">
      <c r="B583" s="1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4"/>
    </row>
    <row r="584">
      <c r="B584" s="1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4"/>
    </row>
    <row r="585">
      <c r="B585" s="1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4"/>
    </row>
    <row r="586">
      <c r="B586" s="1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4"/>
    </row>
    <row r="587">
      <c r="B587" s="1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4"/>
    </row>
    <row r="588">
      <c r="B588" s="1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4"/>
    </row>
    <row r="589">
      <c r="B589" s="1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4"/>
    </row>
    <row r="590">
      <c r="B590" s="1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4"/>
    </row>
    <row r="591">
      <c r="B591" s="1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4"/>
    </row>
    <row r="592">
      <c r="B592" s="1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4"/>
    </row>
    <row r="593">
      <c r="B593" s="1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4"/>
    </row>
    <row r="594">
      <c r="B594" s="1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4"/>
    </row>
    <row r="595">
      <c r="B595" s="1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4"/>
    </row>
    <row r="596">
      <c r="B596" s="1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4"/>
    </row>
    <row r="597">
      <c r="B597" s="1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4"/>
    </row>
    <row r="598">
      <c r="B598" s="1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4"/>
    </row>
    <row r="599">
      <c r="B599" s="1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4"/>
    </row>
    <row r="600">
      <c r="B600" s="1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4"/>
    </row>
    <row r="601">
      <c r="B601" s="1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4"/>
    </row>
    <row r="602">
      <c r="B602" s="1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4"/>
    </row>
    <row r="603">
      <c r="B603" s="1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4"/>
    </row>
    <row r="604">
      <c r="B604" s="1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4"/>
    </row>
    <row r="605">
      <c r="B605" s="1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4"/>
    </row>
    <row r="606">
      <c r="B606" s="1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4"/>
    </row>
    <row r="607">
      <c r="B607" s="1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4"/>
    </row>
    <row r="608">
      <c r="B608" s="1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4"/>
    </row>
    <row r="609">
      <c r="B609" s="1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4"/>
    </row>
    <row r="610">
      <c r="B610" s="1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4"/>
    </row>
    <row r="611">
      <c r="B611" s="1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4"/>
    </row>
    <row r="612">
      <c r="B612" s="1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4"/>
    </row>
    <row r="613">
      <c r="B613" s="1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4"/>
    </row>
    <row r="614">
      <c r="B614" s="1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4"/>
    </row>
    <row r="615">
      <c r="B615" s="1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4"/>
    </row>
    <row r="616">
      <c r="B616" s="1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4"/>
    </row>
    <row r="617">
      <c r="B617" s="1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4"/>
    </row>
    <row r="618">
      <c r="B618" s="1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4"/>
    </row>
    <row r="619">
      <c r="B619" s="1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4"/>
    </row>
    <row r="620">
      <c r="B620" s="1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4"/>
    </row>
    <row r="621">
      <c r="B621" s="1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4"/>
    </row>
    <row r="622">
      <c r="B622" s="1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4"/>
    </row>
    <row r="623">
      <c r="B623" s="1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4"/>
    </row>
    <row r="624">
      <c r="B624" s="1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4"/>
    </row>
    <row r="625">
      <c r="B625" s="1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4"/>
    </row>
    <row r="626">
      <c r="B626" s="1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4"/>
    </row>
    <row r="627">
      <c r="B627" s="1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4"/>
    </row>
    <row r="628">
      <c r="B628" s="1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4"/>
    </row>
    <row r="629">
      <c r="B629" s="1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4"/>
    </row>
    <row r="630">
      <c r="B630" s="1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4"/>
    </row>
    <row r="631">
      <c r="B631" s="1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4"/>
    </row>
    <row r="632">
      <c r="B632" s="1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4"/>
    </row>
    <row r="633">
      <c r="B633" s="1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4"/>
    </row>
    <row r="634">
      <c r="B634" s="1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4"/>
    </row>
    <row r="635">
      <c r="B635" s="1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4"/>
    </row>
    <row r="636">
      <c r="B636" s="1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4"/>
    </row>
    <row r="637">
      <c r="B637" s="1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4"/>
    </row>
    <row r="638">
      <c r="B638" s="1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4"/>
    </row>
    <row r="639">
      <c r="B639" s="1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4"/>
    </row>
    <row r="640">
      <c r="B640" s="1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4"/>
    </row>
    <row r="641">
      <c r="B641" s="1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4"/>
    </row>
    <row r="642">
      <c r="B642" s="1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4"/>
    </row>
    <row r="643">
      <c r="B643" s="1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4"/>
    </row>
    <row r="644">
      <c r="B644" s="1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4"/>
    </row>
    <row r="645">
      <c r="B645" s="1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4"/>
    </row>
    <row r="646">
      <c r="B646" s="1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4"/>
    </row>
    <row r="647">
      <c r="B647" s="1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4"/>
    </row>
    <row r="648">
      <c r="B648" s="1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4"/>
    </row>
    <row r="649">
      <c r="B649" s="1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4"/>
    </row>
    <row r="650">
      <c r="B650" s="1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4"/>
    </row>
    <row r="651">
      <c r="B651" s="1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4"/>
    </row>
    <row r="652">
      <c r="B652" s="1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4"/>
    </row>
    <row r="653">
      <c r="B653" s="1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4"/>
    </row>
    <row r="654">
      <c r="B654" s="1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4"/>
    </row>
    <row r="655">
      <c r="B655" s="1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4"/>
    </row>
    <row r="656">
      <c r="B656" s="1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4"/>
    </row>
    <row r="657">
      <c r="B657" s="1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4"/>
    </row>
    <row r="658">
      <c r="B658" s="1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4"/>
    </row>
    <row r="659">
      <c r="B659" s="1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4"/>
    </row>
    <row r="660">
      <c r="B660" s="1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4"/>
    </row>
    <row r="661">
      <c r="B661" s="1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4"/>
    </row>
    <row r="662">
      <c r="B662" s="1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4"/>
    </row>
    <row r="663">
      <c r="B663" s="1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4"/>
    </row>
    <row r="664">
      <c r="B664" s="1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4"/>
    </row>
    <row r="665">
      <c r="B665" s="1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4"/>
    </row>
    <row r="666">
      <c r="B666" s="1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4"/>
    </row>
    <row r="667">
      <c r="B667" s="1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4"/>
    </row>
    <row r="668">
      <c r="B668" s="1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4"/>
    </row>
    <row r="669">
      <c r="B669" s="1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4"/>
    </row>
    <row r="670">
      <c r="B670" s="1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4"/>
    </row>
    <row r="671">
      <c r="B671" s="1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4"/>
    </row>
    <row r="672">
      <c r="B672" s="1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4"/>
    </row>
    <row r="673">
      <c r="B673" s="1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4"/>
    </row>
    <row r="674">
      <c r="B674" s="1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4"/>
    </row>
    <row r="675">
      <c r="B675" s="1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4"/>
    </row>
    <row r="676">
      <c r="B676" s="1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4"/>
    </row>
    <row r="677">
      <c r="B677" s="1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4"/>
    </row>
    <row r="678">
      <c r="B678" s="1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4"/>
    </row>
    <row r="679">
      <c r="B679" s="1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4"/>
    </row>
    <row r="680">
      <c r="B680" s="1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4"/>
    </row>
    <row r="681">
      <c r="B681" s="1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4"/>
    </row>
    <row r="682">
      <c r="B682" s="1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4"/>
    </row>
    <row r="683">
      <c r="B683" s="1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4"/>
    </row>
    <row r="684">
      <c r="B684" s="1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4"/>
    </row>
    <row r="685">
      <c r="B685" s="1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4"/>
    </row>
    <row r="686">
      <c r="B686" s="1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4"/>
    </row>
    <row r="687">
      <c r="B687" s="1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4"/>
    </row>
    <row r="688">
      <c r="B688" s="1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4"/>
    </row>
    <row r="689">
      <c r="B689" s="1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4"/>
    </row>
    <row r="690">
      <c r="B690" s="1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4"/>
    </row>
    <row r="691">
      <c r="B691" s="1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4"/>
    </row>
    <row r="692">
      <c r="B692" s="1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4"/>
    </row>
    <row r="693">
      <c r="B693" s="1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4"/>
    </row>
    <row r="694">
      <c r="B694" s="1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4"/>
    </row>
    <row r="695">
      <c r="B695" s="1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4"/>
    </row>
    <row r="696">
      <c r="B696" s="1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4"/>
    </row>
    <row r="697">
      <c r="B697" s="1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4"/>
    </row>
    <row r="698">
      <c r="B698" s="1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4"/>
    </row>
    <row r="699">
      <c r="B699" s="1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4"/>
    </row>
    <row r="700">
      <c r="B700" s="1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4"/>
    </row>
    <row r="701">
      <c r="B701" s="1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4"/>
    </row>
    <row r="702">
      <c r="B702" s="1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4"/>
    </row>
    <row r="703">
      <c r="B703" s="1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4"/>
    </row>
    <row r="704">
      <c r="B704" s="1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4"/>
    </row>
    <row r="705">
      <c r="B705" s="1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4"/>
    </row>
    <row r="706">
      <c r="B706" s="1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4"/>
    </row>
    <row r="707">
      <c r="B707" s="1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4"/>
    </row>
    <row r="708">
      <c r="B708" s="1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4"/>
    </row>
    <row r="709">
      <c r="B709" s="1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4"/>
    </row>
    <row r="710">
      <c r="B710" s="1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4"/>
    </row>
    <row r="711">
      <c r="B711" s="1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4"/>
    </row>
    <row r="712">
      <c r="B712" s="1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4"/>
    </row>
    <row r="713">
      <c r="B713" s="1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4"/>
    </row>
    <row r="714">
      <c r="B714" s="1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4"/>
    </row>
    <row r="715">
      <c r="B715" s="1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4"/>
    </row>
    <row r="716">
      <c r="B716" s="1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4"/>
    </row>
    <row r="717">
      <c r="B717" s="1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4"/>
    </row>
    <row r="718">
      <c r="B718" s="1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4"/>
    </row>
    <row r="719">
      <c r="B719" s="1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4"/>
    </row>
    <row r="720">
      <c r="B720" s="1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4"/>
    </row>
    <row r="721">
      <c r="B721" s="1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4"/>
    </row>
    <row r="722">
      <c r="B722" s="1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4"/>
    </row>
    <row r="723">
      <c r="B723" s="1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4"/>
    </row>
    <row r="724">
      <c r="B724" s="1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4"/>
    </row>
    <row r="725">
      <c r="B725" s="1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4"/>
    </row>
    <row r="726">
      <c r="B726" s="1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4"/>
    </row>
    <row r="727">
      <c r="B727" s="1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4"/>
    </row>
    <row r="728">
      <c r="B728" s="1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4"/>
    </row>
    <row r="729">
      <c r="B729" s="1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4"/>
    </row>
    <row r="730">
      <c r="B730" s="1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4"/>
    </row>
    <row r="731">
      <c r="B731" s="1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4"/>
    </row>
    <row r="732">
      <c r="B732" s="1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4"/>
    </row>
    <row r="733">
      <c r="B733" s="1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4"/>
    </row>
    <row r="734">
      <c r="B734" s="1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4"/>
    </row>
    <row r="735">
      <c r="B735" s="1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4"/>
    </row>
    <row r="736">
      <c r="B736" s="1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4"/>
    </row>
    <row r="737">
      <c r="B737" s="1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4"/>
    </row>
    <row r="738">
      <c r="B738" s="1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4"/>
    </row>
    <row r="739">
      <c r="B739" s="1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4"/>
    </row>
    <row r="740">
      <c r="B740" s="1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4"/>
    </row>
    <row r="741">
      <c r="B741" s="1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4"/>
    </row>
    <row r="742">
      <c r="B742" s="1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4"/>
    </row>
    <row r="743">
      <c r="B743" s="1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4"/>
    </row>
    <row r="744">
      <c r="B744" s="1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4"/>
    </row>
    <row r="745">
      <c r="B745" s="1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4"/>
    </row>
    <row r="746">
      <c r="B746" s="1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4"/>
    </row>
    <row r="747">
      <c r="B747" s="1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4"/>
    </row>
    <row r="748">
      <c r="B748" s="1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4"/>
    </row>
    <row r="749">
      <c r="B749" s="1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4"/>
    </row>
    <row r="750">
      <c r="B750" s="1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4"/>
    </row>
    <row r="751">
      <c r="B751" s="1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4"/>
    </row>
    <row r="752">
      <c r="B752" s="1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4"/>
    </row>
    <row r="753">
      <c r="B753" s="1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4"/>
    </row>
    <row r="754">
      <c r="B754" s="1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4"/>
    </row>
    <row r="755">
      <c r="B755" s="1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4"/>
    </row>
    <row r="756">
      <c r="B756" s="1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4"/>
    </row>
    <row r="757">
      <c r="B757" s="1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4"/>
    </row>
    <row r="758">
      <c r="B758" s="1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4"/>
    </row>
    <row r="759">
      <c r="B759" s="1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4"/>
    </row>
    <row r="760">
      <c r="B760" s="1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4"/>
    </row>
    <row r="761">
      <c r="B761" s="1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4"/>
    </row>
    <row r="762">
      <c r="B762" s="1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4"/>
    </row>
    <row r="763">
      <c r="B763" s="1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4"/>
    </row>
    <row r="764">
      <c r="B764" s="1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4"/>
    </row>
    <row r="765">
      <c r="B765" s="1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4"/>
    </row>
    <row r="766">
      <c r="B766" s="1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4"/>
    </row>
    <row r="767">
      <c r="B767" s="1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4"/>
    </row>
    <row r="768">
      <c r="B768" s="1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4"/>
    </row>
    <row r="769">
      <c r="B769" s="1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4"/>
    </row>
    <row r="770">
      <c r="B770" s="1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4"/>
    </row>
    <row r="771">
      <c r="B771" s="1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4"/>
    </row>
    <row r="772">
      <c r="B772" s="1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4"/>
    </row>
    <row r="773">
      <c r="B773" s="1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4"/>
    </row>
    <row r="774">
      <c r="B774" s="1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4"/>
    </row>
    <row r="775">
      <c r="B775" s="1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4"/>
    </row>
    <row r="776">
      <c r="B776" s="1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4"/>
    </row>
    <row r="777">
      <c r="B777" s="1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4"/>
    </row>
    <row r="778">
      <c r="B778" s="1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4"/>
    </row>
    <row r="779">
      <c r="B779" s="1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4"/>
    </row>
    <row r="780">
      <c r="B780" s="1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4"/>
    </row>
    <row r="781">
      <c r="B781" s="1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4"/>
    </row>
    <row r="782">
      <c r="B782" s="1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4"/>
    </row>
    <row r="783">
      <c r="B783" s="1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4"/>
    </row>
    <row r="784">
      <c r="B784" s="1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4"/>
    </row>
    <row r="785">
      <c r="B785" s="1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4"/>
    </row>
    <row r="786">
      <c r="B786" s="1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4"/>
    </row>
    <row r="787">
      <c r="B787" s="1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4"/>
    </row>
    <row r="788">
      <c r="B788" s="1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4"/>
    </row>
    <row r="789">
      <c r="B789" s="1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4"/>
    </row>
    <row r="790">
      <c r="B790" s="1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4"/>
    </row>
    <row r="791">
      <c r="B791" s="1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4"/>
    </row>
    <row r="792">
      <c r="B792" s="1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4"/>
    </row>
    <row r="793">
      <c r="B793" s="1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4"/>
    </row>
    <row r="794">
      <c r="B794" s="1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4"/>
    </row>
    <row r="795">
      <c r="B795" s="1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4"/>
    </row>
    <row r="796">
      <c r="B796" s="1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4"/>
    </row>
    <row r="797">
      <c r="B797" s="1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4"/>
    </row>
    <row r="798">
      <c r="B798" s="1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4"/>
    </row>
    <row r="799">
      <c r="B799" s="1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4"/>
    </row>
    <row r="800">
      <c r="B800" s="1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4"/>
    </row>
    <row r="801">
      <c r="B801" s="1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4"/>
    </row>
    <row r="802">
      <c r="B802" s="1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4"/>
    </row>
    <row r="803">
      <c r="B803" s="1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4"/>
    </row>
    <row r="804">
      <c r="B804" s="1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4"/>
    </row>
    <row r="805">
      <c r="B805" s="1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4"/>
    </row>
    <row r="806">
      <c r="B806" s="1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4"/>
    </row>
    <row r="807">
      <c r="B807" s="1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4"/>
    </row>
    <row r="808">
      <c r="B808" s="1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4"/>
    </row>
    <row r="809">
      <c r="B809" s="1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4"/>
    </row>
    <row r="810">
      <c r="B810" s="1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4"/>
    </row>
    <row r="811">
      <c r="B811" s="1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4"/>
    </row>
    <row r="812">
      <c r="B812" s="1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4"/>
    </row>
    <row r="813">
      <c r="B813" s="1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4"/>
    </row>
    <row r="814">
      <c r="B814" s="1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4"/>
    </row>
    <row r="815">
      <c r="B815" s="1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4"/>
    </row>
    <row r="816">
      <c r="B816" s="1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4"/>
    </row>
    <row r="817">
      <c r="B817" s="1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4"/>
    </row>
    <row r="818">
      <c r="B818" s="1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4"/>
    </row>
    <row r="819">
      <c r="B819" s="1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4"/>
    </row>
    <row r="820">
      <c r="B820" s="1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4"/>
    </row>
    <row r="821">
      <c r="B821" s="1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4"/>
    </row>
    <row r="822">
      <c r="B822" s="1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4"/>
    </row>
    <row r="823">
      <c r="B823" s="1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4"/>
    </row>
    <row r="824">
      <c r="B824" s="1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4"/>
    </row>
    <row r="825">
      <c r="B825" s="1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4"/>
    </row>
    <row r="826">
      <c r="B826" s="1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4"/>
    </row>
    <row r="827">
      <c r="B827" s="1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4"/>
    </row>
    <row r="828">
      <c r="B828" s="1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4"/>
    </row>
    <row r="829">
      <c r="B829" s="1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4"/>
    </row>
    <row r="830">
      <c r="B830" s="1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4"/>
    </row>
    <row r="831">
      <c r="B831" s="1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4"/>
    </row>
    <row r="832">
      <c r="B832" s="1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4"/>
    </row>
    <row r="833">
      <c r="B833" s="1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4"/>
    </row>
    <row r="834">
      <c r="B834" s="1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4"/>
    </row>
    <row r="835">
      <c r="B835" s="1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4"/>
    </row>
    <row r="836">
      <c r="B836" s="1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4"/>
    </row>
    <row r="837">
      <c r="B837" s="1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4"/>
    </row>
    <row r="838">
      <c r="B838" s="1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4"/>
    </row>
    <row r="839">
      <c r="B839" s="1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4"/>
    </row>
    <row r="840">
      <c r="B840" s="1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4"/>
    </row>
    <row r="841">
      <c r="B841" s="1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4"/>
    </row>
    <row r="842">
      <c r="B842" s="1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4"/>
    </row>
    <row r="843">
      <c r="B843" s="1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4"/>
    </row>
    <row r="844">
      <c r="B844" s="1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4"/>
    </row>
    <row r="845">
      <c r="B845" s="1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4"/>
    </row>
    <row r="846">
      <c r="B846" s="1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4"/>
    </row>
    <row r="847">
      <c r="B847" s="1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4"/>
    </row>
    <row r="848">
      <c r="B848" s="1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4"/>
    </row>
    <row r="849">
      <c r="B849" s="1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4"/>
    </row>
    <row r="850">
      <c r="B850" s="1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4"/>
    </row>
    <row r="851">
      <c r="B851" s="1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4"/>
    </row>
    <row r="852">
      <c r="B852" s="1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4"/>
    </row>
    <row r="853">
      <c r="B853" s="1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4"/>
    </row>
    <row r="854">
      <c r="B854" s="1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4"/>
    </row>
    <row r="855">
      <c r="B855" s="1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4"/>
    </row>
    <row r="856">
      <c r="B856" s="1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4"/>
    </row>
    <row r="857">
      <c r="B857" s="1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4"/>
    </row>
    <row r="858">
      <c r="B858" s="1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4"/>
    </row>
    <row r="859">
      <c r="B859" s="1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4"/>
    </row>
    <row r="860">
      <c r="B860" s="1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4"/>
    </row>
    <row r="861">
      <c r="B861" s="1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4"/>
    </row>
    <row r="862">
      <c r="B862" s="1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4"/>
    </row>
    <row r="863">
      <c r="B863" s="1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4"/>
    </row>
    <row r="864">
      <c r="B864" s="1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4"/>
    </row>
    <row r="865">
      <c r="B865" s="1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4"/>
    </row>
    <row r="866">
      <c r="B866" s="1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4"/>
    </row>
    <row r="867">
      <c r="B867" s="1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4"/>
    </row>
    <row r="868">
      <c r="B868" s="1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4"/>
    </row>
    <row r="869">
      <c r="B869" s="1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4"/>
    </row>
    <row r="870">
      <c r="B870" s="1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4"/>
    </row>
    <row r="871">
      <c r="B871" s="1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4"/>
    </row>
    <row r="872">
      <c r="B872" s="1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4"/>
    </row>
    <row r="873">
      <c r="B873" s="1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4"/>
    </row>
    <row r="874">
      <c r="B874" s="1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4"/>
    </row>
    <row r="875">
      <c r="B875" s="1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4"/>
    </row>
    <row r="876">
      <c r="B876" s="1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4"/>
    </row>
    <row r="877">
      <c r="B877" s="1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4"/>
    </row>
    <row r="878">
      <c r="B878" s="1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4"/>
    </row>
    <row r="879">
      <c r="B879" s="1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4"/>
    </row>
    <row r="880">
      <c r="B880" s="1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4"/>
    </row>
    <row r="881">
      <c r="B881" s="1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4"/>
    </row>
    <row r="882">
      <c r="B882" s="1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4"/>
    </row>
    <row r="883">
      <c r="B883" s="1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4"/>
    </row>
    <row r="884">
      <c r="B884" s="1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4"/>
    </row>
    <row r="885">
      <c r="B885" s="1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4"/>
    </row>
    <row r="886">
      <c r="B886" s="1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4"/>
    </row>
    <row r="887">
      <c r="B887" s="1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4"/>
    </row>
    <row r="888">
      <c r="B888" s="1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4"/>
    </row>
    <row r="889">
      <c r="B889" s="1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4"/>
    </row>
    <row r="890">
      <c r="B890" s="1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4"/>
    </row>
    <row r="891">
      <c r="B891" s="1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4"/>
    </row>
    <row r="892">
      <c r="B892" s="1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4"/>
    </row>
    <row r="893">
      <c r="B893" s="1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4"/>
    </row>
    <row r="894">
      <c r="B894" s="1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4"/>
    </row>
    <row r="895">
      <c r="B895" s="1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4"/>
    </row>
    <row r="896">
      <c r="B896" s="1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4"/>
    </row>
    <row r="897">
      <c r="B897" s="1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4"/>
    </row>
    <row r="898">
      <c r="B898" s="1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4"/>
    </row>
    <row r="899">
      <c r="B899" s="1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4"/>
    </row>
    <row r="900">
      <c r="B900" s="1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4"/>
    </row>
    <row r="901">
      <c r="B901" s="1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4"/>
    </row>
    <row r="902">
      <c r="B902" s="1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4"/>
    </row>
    <row r="903">
      <c r="B903" s="1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4"/>
    </row>
    <row r="904">
      <c r="B904" s="1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4"/>
    </row>
    <row r="905">
      <c r="B905" s="1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4"/>
    </row>
    <row r="906">
      <c r="B906" s="1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4"/>
    </row>
    <row r="907">
      <c r="B907" s="1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4"/>
    </row>
    <row r="908">
      <c r="B908" s="1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4"/>
    </row>
    <row r="909">
      <c r="B909" s="1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4"/>
    </row>
    <row r="910">
      <c r="B910" s="1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4"/>
    </row>
    <row r="911">
      <c r="B911" s="1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4"/>
    </row>
    <row r="912">
      <c r="B912" s="1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4"/>
    </row>
    <row r="913">
      <c r="B913" s="1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4"/>
    </row>
    <row r="914">
      <c r="B914" s="1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4"/>
    </row>
    <row r="915">
      <c r="B915" s="1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4"/>
    </row>
    <row r="916">
      <c r="B916" s="1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4"/>
    </row>
    <row r="917">
      <c r="B917" s="1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4"/>
    </row>
    <row r="918">
      <c r="B918" s="1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4"/>
    </row>
    <row r="919">
      <c r="B919" s="1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4"/>
    </row>
    <row r="920">
      <c r="B920" s="1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4"/>
    </row>
    <row r="921">
      <c r="B921" s="1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4"/>
    </row>
    <row r="922">
      <c r="B922" s="1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4"/>
    </row>
    <row r="923">
      <c r="B923" s="1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4"/>
    </row>
    <row r="924">
      <c r="B924" s="1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4"/>
    </row>
    <row r="925">
      <c r="B925" s="1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4"/>
    </row>
    <row r="926">
      <c r="B926" s="1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4"/>
    </row>
    <row r="927">
      <c r="B927" s="1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4"/>
    </row>
    <row r="928">
      <c r="B928" s="1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4"/>
    </row>
    <row r="929">
      <c r="B929" s="1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4"/>
    </row>
    <row r="930">
      <c r="B930" s="1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4"/>
    </row>
    <row r="931">
      <c r="B931" s="1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4"/>
    </row>
    <row r="932">
      <c r="B932" s="1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4"/>
    </row>
    <row r="933">
      <c r="B933" s="1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4"/>
    </row>
    <row r="934">
      <c r="B934" s="1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4"/>
    </row>
    <row r="935">
      <c r="B935" s="1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4"/>
    </row>
    <row r="936">
      <c r="B936" s="1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4"/>
    </row>
    <row r="937">
      <c r="B937" s="1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4"/>
    </row>
    <row r="938">
      <c r="B938" s="1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4"/>
    </row>
    <row r="939">
      <c r="B939" s="1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4"/>
    </row>
    <row r="940">
      <c r="B940" s="1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4"/>
    </row>
    <row r="941">
      <c r="B941" s="1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4"/>
    </row>
    <row r="942">
      <c r="B942" s="1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4"/>
    </row>
    <row r="943">
      <c r="B943" s="1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4"/>
    </row>
    <row r="944">
      <c r="B944" s="1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4"/>
    </row>
    <row r="945">
      <c r="B945" s="1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4"/>
    </row>
    <row r="946">
      <c r="B946" s="1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4"/>
    </row>
    <row r="947">
      <c r="B947" s="1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4"/>
    </row>
    <row r="948">
      <c r="B948" s="1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4"/>
    </row>
    <row r="949">
      <c r="B949" s="1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4"/>
    </row>
    <row r="950">
      <c r="B950" s="1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4"/>
    </row>
    <row r="951">
      <c r="B951" s="1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4"/>
    </row>
    <row r="952">
      <c r="B952" s="1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4"/>
    </row>
    <row r="953">
      <c r="B953" s="1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4"/>
    </row>
    <row r="954">
      <c r="B954" s="1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4"/>
    </row>
    <row r="955">
      <c r="B955" s="1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4"/>
    </row>
    <row r="956">
      <c r="B956" s="1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4"/>
    </row>
    <row r="957">
      <c r="B957" s="1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4"/>
    </row>
    <row r="958">
      <c r="B958" s="1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4"/>
    </row>
    <row r="959">
      <c r="B959" s="1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4"/>
    </row>
    <row r="960">
      <c r="B960" s="1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4"/>
    </row>
    <row r="961">
      <c r="B961" s="1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4"/>
    </row>
    <row r="962">
      <c r="B962" s="1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4"/>
    </row>
    <row r="963">
      <c r="B963" s="1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4"/>
    </row>
    <row r="964">
      <c r="B964" s="1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4"/>
    </row>
    <row r="965">
      <c r="B965" s="1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4"/>
    </row>
    <row r="966">
      <c r="B966" s="1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4"/>
    </row>
    <row r="967">
      <c r="B967" s="1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4"/>
    </row>
    <row r="968">
      <c r="B968" s="1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4"/>
    </row>
    <row r="969">
      <c r="B969" s="1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4"/>
    </row>
    <row r="970">
      <c r="B970" s="1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4"/>
    </row>
    <row r="971">
      <c r="B971" s="1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4"/>
    </row>
    <row r="972">
      <c r="B972" s="1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4"/>
    </row>
    <row r="973">
      <c r="B973" s="1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4"/>
    </row>
    <row r="974">
      <c r="B974" s="1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4"/>
    </row>
    <row r="975">
      <c r="B975" s="1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4"/>
    </row>
    <row r="976">
      <c r="B976" s="1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4"/>
    </row>
    <row r="977">
      <c r="B977" s="1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4"/>
    </row>
    <row r="978">
      <c r="B978" s="1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4"/>
    </row>
    <row r="979">
      <c r="B979" s="1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4"/>
    </row>
    <row r="980">
      <c r="B980" s="1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4"/>
    </row>
    <row r="981">
      <c r="B981" s="1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4"/>
    </row>
    <row r="982">
      <c r="B982" s="1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4"/>
    </row>
    <row r="983">
      <c r="B983" s="1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4"/>
    </row>
    <row r="984">
      <c r="B984" s="1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4"/>
    </row>
    <row r="985">
      <c r="B985" s="1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4"/>
    </row>
    <row r="986">
      <c r="B986" s="1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4"/>
    </row>
    <row r="987">
      <c r="B987" s="1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4"/>
    </row>
    <row r="988">
      <c r="B988" s="1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4"/>
    </row>
    <row r="989">
      <c r="B989" s="1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4"/>
    </row>
    <row r="990">
      <c r="B990" s="1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4"/>
    </row>
    <row r="991">
      <c r="B991" s="1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4"/>
    </row>
    <row r="992">
      <c r="B992" s="1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4"/>
    </row>
    <row r="993">
      <c r="B993" s="1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4"/>
    </row>
    <row r="994">
      <c r="B994" s="1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4"/>
    </row>
    <row r="995">
      <c r="B995" s="1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4"/>
    </row>
    <row r="996">
      <c r="B996" s="1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4"/>
    </row>
    <row r="997">
      <c r="B997" s="1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4"/>
    </row>
    <row r="998">
      <c r="B998" s="1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4"/>
    </row>
    <row r="999">
      <c r="B999" s="1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4"/>
    </row>
    <row r="1000">
      <c r="B1000" s="1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4"/>
    </row>
    <row r="1001">
      <c r="B1001" s="1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4"/>
    </row>
    <row r="1002">
      <c r="B1002" s="1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4"/>
    </row>
    <row r="1003">
      <c r="B1003" s="1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4"/>
    </row>
    <row r="1004">
      <c r="B1004" s="1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4"/>
    </row>
    <row r="1005">
      <c r="B1005" s="1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4"/>
    </row>
    <row r="1006">
      <c r="B1006" s="1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4"/>
    </row>
    <row r="1007">
      <c r="B1007" s="1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4"/>
    </row>
    <row r="1008">
      <c r="B1008" s="1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4"/>
    </row>
    <row r="1009">
      <c r="B1009" s="1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4"/>
    </row>
    <row r="1010">
      <c r="B1010" s="1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4"/>
    </row>
    <row r="1011">
      <c r="B1011" s="1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4"/>
    </row>
    <row r="1012">
      <c r="B1012" s="1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4"/>
    </row>
    <row r="1013">
      <c r="B1013" s="1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4"/>
    </row>
    <row r="1014">
      <c r="B1014" s="1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4"/>
    </row>
    <row r="1015">
      <c r="B1015" s="1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4"/>
    </row>
    <row r="1016">
      <c r="B1016" s="1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4"/>
    </row>
    <row r="1017">
      <c r="B1017" s="1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4"/>
    </row>
    <row r="1018">
      <c r="B1018" s="1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4"/>
    </row>
    <row r="1019">
      <c r="B1019" s="1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4"/>
    </row>
    <row r="1020">
      <c r="B1020" s="1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4"/>
    </row>
    <row r="1021">
      <c r="B1021" s="1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4"/>
    </row>
    <row r="1022">
      <c r="B1022" s="1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4"/>
    </row>
    <row r="1023">
      <c r="B1023" s="1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4"/>
    </row>
    <row r="1024">
      <c r="B1024" s="1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4"/>
    </row>
    <row r="1025">
      <c r="B1025" s="1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4"/>
    </row>
    <row r="1026">
      <c r="B1026" s="1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4"/>
    </row>
    <row r="1027">
      <c r="B1027" s="1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4"/>
    </row>
    <row r="1028">
      <c r="B1028" s="1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4"/>
    </row>
    <row r="1029">
      <c r="B1029" s="1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4"/>
    </row>
    <row r="1030">
      <c r="B1030" s="1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4"/>
    </row>
    <row r="1031">
      <c r="B1031" s="1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4"/>
    </row>
    <row r="1032">
      <c r="B1032" s="1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4"/>
    </row>
    <row r="1033">
      <c r="B1033" s="1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4"/>
    </row>
    <row r="1034">
      <c r="B1034" s="1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4"/>
    </row>
    <row r="1035">
      <c r="B1035" s="1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4"/>
    </row>
    <row r="1036">
      <c r="B1036" s="1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4"/>
    </row>
    <row r="1037">
      <c r="B1037" s="1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4"/>
    </row>
    <row r="1038">
      <c r="B1038" s="1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4"/>
    </row>
  </sheetData>
  <hyperlinks>
    <hyperlink display="Main" location="Main!A1" ref="A1"/>
  </hyperlinks>
  <drawing r:id="rId1"/>
</worksheet>
</file>