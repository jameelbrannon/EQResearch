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"/>
    </mc:Choice>
  </mc:AlternateContent>
  <xr:revisionPtr revIDLastSave="0" documentId="13_ncr:1_{EFB02AB8-8953-8C4E-9631-ECEF03B2C31A}" xr6:coauthVersionLast="47" xr6:coauthVersionMax="47" xr10:uidLastSave="{00000000-0000-0000-0000-000000000000}"/>
  <bookViews>
    <workbookView xWindow="10320" yWindow="600" windowWidth="40880" windowHeight="28200" xr2:uid="{00000000-000D-0000-FFFF-FFFF00000000}"/>
  </bookViews>
  <sheets>
    <sheet name="Main" sheetId="1" r:id="rId1"/>
    <sheet name="Model" sheetId="2" r:id="rId2"/>
    <sheet name="Deb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9" i="2" l="1"/>
  <c r="L88" i="2"/>
  <c r="L82" i="2"/>
  <c r="L84" i="2"/>
  <c r="L83" i="2"/>
  <c r="L85" i="2" s="1"/>
  <c r="L80" i="2"/>
  <c r="L79" i="2"/>
  <c r="L78" i="2"/>
  <c r="L77" i="2"/>
  <c r="L76" i="2"/>
  <c r="L74" i="2"/>
  <c r="L73" i="2"/>
  <c r="L72" i="2"/>
  <c r="L71" i="2"/>
  <c r="L69" i="2"/>
  <c r="L68" i="2"/>
  <c r="L67" i="2"/>
  <c r="L66" i="2"/>
  <c r="L65" i="2"/>
  <c r="L64" i="2"/>
  <c r="L63" i="2"/>
  <c r="L62" i="2"/>
  <c r="L53" i="2"/>
  <c r="L52" i="2"/>
  <c r="L54" i="2" s="1"/>
  <c r="L50" i="2"/>
  <c r="L40" i="2"/>
  <c r="K5" i="1"/>
  <c r="K53" i="2"/>
  <c r="J53" i="2"/>
  <c r="I53" i="2"/>
  <c r="H53" i="2"/>
  <c r="G53" i="2"/>
  <c r="F53" i="2"/>
  <c r="K52" i="2"/>
  <c r="K54" i="2" s="1"/>
  <c r="AC33" i="2" s="1"/>
  <c r="J52" i="2"/>
  <c r="I52" i="2"/>
  <c r="I54" i="2" s="1"/>
  <c r="H52" i="2"/>
  <c r="G52" i="2"/>
  <c r="G54" i="2" s="1"/>
  <c r="F52" i="2"/>
  <c r="E52" i="2"/>
  <c r="E54" i="2" s="1"/>
  <c r="E53" i="2"/>
  <c r="AP38" i="2"/>
  <c r="AP36" i="2"/>
  <c r="Z30" i="2"/>
  <c r="Y30" i="2"/>
  <c r="X30" i="2"/>
  <c r="W30" i="2"/>
  <c r="V30" i="2"/>
  <c r="U30" i="2"/>
  <c r="T30" i="2"/>
  <c r="S30" i="2"/>
  <c r="Z31" i="2"/>
  <c r="Y31" i="2"/>
  <c r="X31" i="2"/>
  <c r="W31" i="2"/>
  <c r="V31" i="2"/>
  <c r="U31" i="2"/>
  <c r="T31" i="2"/>
  <c r="S31" i="2"/>
  <c r="R31" i="2"/>
  <c r="AA24" i="2"/>
  <c r="AA22" i="2"/>
  <c r="AA20" i="2"/>
  <c r="AA19" i="2"/>
  <c r="AA18" i="2"/>
  <c r="AB9" i="2"/>
  <c r="AA9" i="2"/>
  <c r="AB8" i="2"/>
  <c r="AA8" i="2"/>
  <c r="AB7" i="2"/>
  <c r="AA7" i="2"/>
  <c r="AB6" i="2"/>
  <c r="AA6" i="2"/>
  <c r="AB5" i="2"/>
  <c r="AA5" i="2"/>
  <c r="AA4" i="2"/>
  <c r="AB4" i="2"/>
  <c r="AB24" i="2"/>
  <c r="AB22" i="2"/>
  <c r="AB20" i="2"/>
  <c r="AB19" i="2"/>
  <c r="AB18" i="2"/>
  <c r="AB31" i="2" s="1"/>
  <c r="M26" i="2"/>
  <c r="N18" i="2"/>
  <c r="N19" i="2" s="1"/>
  <c r="M18" i="2"/>
  <c r="M20" i="2" s="1"/>
  <c r="M9" i="2"/>
  <c r="N9" i="2" s="1"/>
  <c r="AC9" i="2" s="1"/>
  <c r="M8" i="2"/>
  <c r="N8" i="2" s="1"/>
  <c r="AC8" i="2" s="1"/>
  <c r="M7" i="2"/>
  <c r="N7" i="2" s="1"/>
  <c r="AC7" i="2" s="1"/>
  <c r="M5" i="2"/>
  <c r="N5" i="2" s="1"/>
  <c r="AC5" i="2" s="1"/>
  <c r="M4" i="2"/>
  <c r="N4" i="2" s="1"/>
  <c r="C10" i="2"/>
  <c r="D10" i="2"/>
  <c r="E10" i="2"/>
  <c r="F10" i="2"/>
  <c r="C31" i="2"/>
  <c r="C21" i="2"/>
  <c r="C23" i="2" s="1"/>
  <c r="C25" i="2" s="1"/>
  <c r="C27" i="2" s="1"/>
  <c r="G30" i="2"/>
  <c r="H30" i="2"/>
  <c r="D31" i="2"/>
  <c r="E31" i="2"/>
  <c r="D21" i="2"/>
  <c r="D23" i="2" s="1"/>
  <c r="D25" i="2" s="1"/>
  <c r="D27" i="2" s="1"/>
  <c r="K58" i="2"/>
  <c r="J58" i="2"/>
  <c r="I58" i="2"/>
  <c r="H58" i="2"/>
  <c r="G58" i="2"/>
  <c r="F58" i="2"/>
  <c r="E58" i="2"/>
  <c r="H31" i="2"/>
  <c r="H21" i="2"/>
  <c r="H23" i="2" s="1"/>
  <c r="H25" i="2" s="1"/>
  <c r="H27" i="2" s="1"/>
  <c r="K57" i="2"/>
  <c r="J57" i="2"/>
  <c r="J59" i="2" s="1"/>
  <c r="I57" i="2"/>
  <c r="H57" i="2"/>
  <c r="G57" i="2"/>
  <c r="F57" i="2"/>
  <c r="E57" i="2"/>
  <c r="H50" i="2"/>
  <c r="H40" i="2"/>
  <c r="G10" i="2"/>
  <c r="H82" i="2"/>
  <c r="I82" i="2" s="1"/>
  <c r="J82" i="2" s="1"/>
  <c r="H79" i="2"/>
  <c r="I79" i="2" s="1"/>
  <c r="J79" i="2" s="1"/>
  <c r="H78" i="2"/>
  <c r="I78" i="2" s="1"/>
  <c r="H77" i="2"/>
  <c r="I77" i="2" s="1"/>
  <c r="J77" i="2" s="1"/>
  <c r="H76" i="2"/>
  <c r="I76" i="2" s="1"/>
  <c r="J76" i="2" s="1"/>
  <c r="H73" i="2"/>
  <c r="I73" i="2" s="1"/>
  <c r="H72" i="2"/>
  <c r="I72" i="2" s="1"/>
  <c r="J72" i="2" s="1"/>
  <c r="H71" i="2"/>
  <c r="I71" i="2" s="1"/>
  <c r="J71" i="2" s="1"/>
  <c r="H67" i="2"/>
  <c r="I67" i="2" s="1"/>
  <c r="J67" i="2" s="1"/>
  <c r="H68" i="2"/>
  <c r="I68" i="2" s="1"/>
  <c r="J68" i="2" s="1"/>
  <c r="H64" i="2"/>
  <c r="I64" i="2" s="1"/>
  <c r="J64" i="2" s="1"/>
  <c r="H63" i="2"/>
  <c r="I63" i="2" s="1"/>
  <c r="J63" i="2" s="1"/>
  <c r="H62" i="2"/>
  <c r="H10" i="2"/>
  <c r="E40" i="2"/>
  <c r="E50" i="2"/>
  <c r="I50" i="2"/>
  <c r="I40" i="2"/>
  <c r="C85" i="2"/>
  <c r="D85" i="2"/>
  <c r="E85" i="2"/>
  <c r="F85" i="2"/>
  <c r="C80" i="2"/>
  <c r="D80" i="2"/>
  <c r="E80" i="2"/>
  <c r="F80" i="2"/>
  <c r="G80" i="2"/>
  <c r="C74" i="2"/>
  <c r="D74" i="2"/>
  <c r="E74" i="2"/>
  <c r="F74" i="2"/>
  <c r="G74" i="2"/>
  <c r="G69" i="2"/>
  <c r="G88" i="2" s="1"/>
  <c r="F69" i="2"/>
  <c r="E69" i="2"/>
  <c r="D69" i="2"/>
  <c r="C69" i="2"/>
  <c r="I66" i="2"/>
  <c r="J66" i="2" s="1"/>
  <c r="I10" i="2"/>
  <c r="E21" i="2"/>
  <c r="E23" i="2" s="1"/>
  <c r="E25" i="2" s="1"/>
  <c r="E27" i="2" s="1"/>
  <c r="I31" i="2"/>
  <c r="I30" i="2"/>
  <c r="I21" i="2"/>
  <c r="I23" i="2" s="1"/>
  <c r="I25" i="2" s="1"/>
  <c r="I27" i="2" s="1"/>
  <c r="K10" i="2"/>
  <c r="F50" i="2"/>
  <c r="F40" i="2"/>
  <c r="J50" i="2"/>
  <c r="J40" i="2"/>
  <c r="J10" i="2"/>
  <c r="J30" i="2"/>
  <c r="J31" i="2"/>
  <c r="F31" i="2"/>
  <c r="F21" i="2"/>
  <c r="F23" i="2" s="1"/>
  <c r="F25" i="2" s="1"/>
  <c r="F27" i="2" s="1"/>
  <c r="J21" i="2"/>
  <c r="K80" i="2"/>
  <c r="K74" i="2"/>
  <c r="K69" i="2"/>
  <c r="K88" i="2" s="1"/>
  <c r="G50" i="2"/>
  <c r="G40" i="2"/>
  <c r="K50" i="2"/>
  <c r="K40" i="2"/>
  <c r="G31" i="2"/>
  <c r="K31" i="2"/>
  <c r="K30" i="2"/>
  <c r="G21" i="2"/>
  <c r="K21" i="2"/>
  <c r="L5" i="1"/>
  <c r="L6" i="1" s="1"/>
  <c r="K4" i="1"/>
  <c r="K7" i="1" s="1"/>
  <c r="H54" i="2" l="1"/>
  <c r="J54" i="2"/>
  <c r="F54" i="2"/>
  <c r="K59" i="2"/>
  <c r="E59" i="2"/>
  <c r="AA31" i="2"/>
  <c r="H59" i="2"/>
  <c r="I59" i="2"/>
  <c r="I89" i="2"/>
  <c r="AA30" i="2"/>
  <c r="AB30" i="2"/>
  <c r="AA27" i="2"/>
  <c r="AA25" i="2"/>
  <c r="AA26" i="2" s="1"/>
  <c r="N20" i="2"/>
  <c r="N21" i="2" s="1"/>
  <c r="AC20" i="2"/>
  <c r="AA23" i="2"/>
  <c r="L30" i="2"/>
  <c r="M30" i="2"/>
  <c r="AA21" i="2"/>
  <c r="F59" i="2"/>
  <c r="G59" i="2"/>
  <c r="L10" i="2"/>
  <c r="AB10" i="2"/>
  <c r="AB21" i="2"/>
  <c r="AA10" i="2"/>
  <c r="N26" i="2"/>
  <c r="AC4" i="2"/>
  <c r="M22" i="2"/>
  <c r="N31" i="2"/>
  <c r="M6" i="2"/>
  <c r="N6" i="2" s="1"/>
  <c r="AC6" i="2" s="1"/>
  <c r="M19" i="2"/>
  <c r="M21" i="2" s="1"/>
  <c r="AC18" i="2"/>
  <c r="AD18" i="2" s="1"/>
  <c r="AE18" i="2" s="1"/>
  <c r="AF18" i="2" s="1"/>
  <c r="AG18" i="2" s="1"/>
  <c r="AH18" i="2" s="1"/>
  <c r="AI18" i="2" s="1"/>
  <c r="AJ18" i="2" s="1"/>
  <c r="AK18" i="2" s="1"/>
  <c r="AL18" i="2" s="1"/>
  <c r="N30" i="2"/>
  <c r="H89" i="2"/>
  <c r="H74" i="2"/>
  <c r="J73" i="2"/>
  <c r="J74" i="2" s="1"/>
  <c r="H80" i="2"/>
  <c r="H69" i="2"/>
  <c r="I62" i="2"/>
  <c r="I69" i="2" s="1"/>
  <c r="I80" i="2"/>
  <c r="J78" i="2"/>
  <c r="J80" i="2" s="1"/>
  <c r="I74" i="2"/>
  <c r="G83" i="2"/>
  <c r="G85" i="2" s="1"/>
  <c r="H84" i="2" s="1"/>
  <c r="J23" i="2"/>
  <c r="J25" i="2" s="1"/>
  <c r="G23" i="2"/>
  <c r="K23" i="2"/>
  <c r="K83" i="2"/>
  <c r="L58" i="2" l="1"/>
  <c r="L57" i="2"/>
  <c r="L59" i="2" s="1"/>
  <c r="N10" i="2"/>
  <c r="J62" i="2"/>
  <c r="J69" i="2" s="1"/>
  <c r="J88" i="2" s="1"/>
  <c r="AC10" i="2"/>
  <c r="M10" i="2"/>
  <c r="M31" i="2"/>
  <c r="AD20" i="2"/>
  <c r="AD30" i="2"/>
  <c r="AC19" i="2"/>
  <c r="AD19" i="2" s="1"/>
  <c r="L21" i="2"/>
  <c r="L31" i="2"/>
  <c r="J27" i="2"/>
  <c r="J89" i="2"/>
  <c r="M23" i="2"/>
  <c r="G25" i="2"/>
  <c r="AB23" i="2"/>
  <c r="N22" i="2"/>
  <c r="N23" i="2" s="1"/>
  <c r="AC30" i="2"/>
  <c r="K25" i="2"/>
  <c r="I83" i="2"/>
  <c r="I88" i="2"/>
  <c r="H83" i="2"/>
  <c r="H85" i="2" s="1"/>
  <c r="I84" i="2" s="1"/>
  <c r="H88" i="2"/>
  <c r="J83" i="2" l="1"/>
  <c r="I85" i="2"/>
  <c r="J84" i="2" s="1"/>
  <c r="J85" i="2"/>
  <c r="K84" i="2" s="1"/>
  <c r="K85" i="2" s="1"/>
  <c r="AC31" i="2"/>
  <c r="AD31" i="2"/>
  <c r="AD21" i="2"/>
  <c r="AE30" i="2"/>
  <c r="AE20" i="2"/>
  <c r="AE19" i="2"/>
  <c r="AC22" i="2"/>
  <c r="AD22" i="2" s="1"/>
  <c r="AE22" i="2" s="1"/>
  <c r="AF22" i="2" s="1"/>
  <c r="AG22" i="2" s="1"/>
  <c r="AH22" i="2" s="1"/>
  <c r="AI22" i="2" s="1"/>
  <c r="G27" i="2"/>
  <c r="AB27" i="2" s="1"/>
  <c r="AB25" i="2"/>
  <c r="G89" i="2"/>
  <c r="K27" i="2"/>
  <c r="K89" i="2"/>
  <c r="L23" i="2"/>
  <c r="AC21" i="2"/>
  <c r="AE21" i="2" l="1"/>
  <c r="AE23" i="2" s="1"/>
  <c r="AE31" i="2"/>
  <c r="AF20" i="2"/>
  <c r="AD23" i="2"/>
  <c r="AF30" i="2"/>
  <c r="AF19" i="2"/>
  <c r="AJ22" i="2"/>
  <c r="AB26" i="2"/>
  <c r="L25" i="2"/>
  <c r="AC23" i="2"/>
  <c r="AF21" i="2" l="1"/>
  <c r="AF23" i="2" s="1"/>
  <c r="AF31" i="2"/>
  <c r="AG30" i="2"/>
  <c r="AG19" i="2"/>
  <c r="AG31" i="2" s="1"/>
  <c r="AG20" i="2"/>
  <c r="AK22" i="2"/>
  <c r="M24" i="2"/>
  <c r="L27" i="2"/>
  <c r="AG21" i="2" l="1"/>
  <c r="AG23" i="2" s="1"/>
  <c r="AH20" i="2"/>
  <c r="AH30" i="2"/>
  <c r="AH19" i="2"/>
  <c r="AL22" i="2"/>
  <c r="N24" i="2"/>
  <c r="N25" i="2" s="1"/>
  <c r="N27" i="2" s="1"/>
  <c r="M25" i="2"/>
  <c r="AC24" i="2"/>
  <c r="AD24" i="2" s="1"/>
  <c r="AH21" i="2" l="1"/>
  <c r="AH23" i="2" s="1"/>
  <c r="AH31" i="2"/>
  <c r="AE24" i="2"/>
  <c r="AD25" i="2"/>
  <c r="AI30" i="2"/>
  <c r="AI19" i="2"/>
  <c r="AI31" i="2" s="1"/>
  <c r="AI20" i="2"/>
  <c r="AI21" i="2" s="1"/>
  <c r="AI23" i="2" s="1"/>
  <c r="M27" i="2"/>
  <c r="AC27" i="2" s="1"/>
  <c r="AC25" i="2"/>
  <c r="AC26" i="2" l="1"/>
  <c r="AD26" i="2" s="1"/>
  <c r="AE26" i="2" s="1"/>
  <c r="AF26" i="2" s="1"/>
  <c r="AG26" i="2" s="1"/>
  <c r="AH26" i="2" s="1"/>
  <c r="AI26" i="2" s="1"/>
  <c r="AJ26" i="2" s="1"/>
  <c r="AK26" i="2" s="1"/>
  <c r="AL26" i="2" s="1"/>
  <c r="AE25" i="2"/>
  <c r="AF24" i="2"/>
  <c r="AJ30" i="2"/>
  <c r="AJ20" i="2"/>
  <c r="AJ19" i="2"/>
  <c r="AD27" i="2"/>
  <c r="AE27" i="2" l="1"/>
  <c r="AK20" i="2"/>
  <c r="AJ31" i="2"/>
  <c r="AJ21" i="2"/>
  <c r="AJ23" i="2" s="1"/>
  <c r="AK30" i="2"/>
  <c r="AK19" i="2"/>
  <c r="AK21" i="2" s="1"/>
  <c r="AK23" i="2" s="1"/>
  <c r="AF25" i="2"/>
  <c r="AF27" i="2" s="1"/>
  <c r="AG24" i="2"/>
  <c r="AK31" i="2" l="1"/>
  <c r="AG25" i="2"/>
  <c r="AG27" i="2" s="1"/>
  <c r="AH24" i="2"/>
  <c r="AL30" i="2"/>
  <c r="AL20" i="2"/>
  <c r="AL19" i="2"/>
  <c r="AL21" i="2" s="1"/>
  <c r="AL23" i="2" s="1"/>
  <c r="AL31" i="2" l="1"/>
  <c r="AH25" i="2"/>
  <c r="AH27" i="2" s="1"/>
  <c r="AI24" i="2"/>
  <c r="AI25" i="2" l="1"/>
  <c r="AJ24" i="2"/>
  <c r="AK24" i="2" l="1"/>
  <c r="AJ25" i="2"/>
  <c r="AJ27" i="2" s="1"/>
  <c r="AI27" i="2"/>
  <c r="AK25" i="2" l="1"/>
  <c r="AL24" i="2"/>
  <c r="AL25" i="2" s="1"/>
  <c r="AL27" i="2" l="1"/>
  <c r="AM25" i="2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CU25" i="2" s="1"/>
  <c r="CV25" i="2" s="1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DG25" i="2" s="1"/>
  <c r="DH25" i="2" s="1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S25" i="2" s="1"/>
  <c r="DT25" i="2" s="1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EE25" i="2" s="1"/>
  <c r="EF25" i="2" s="1"/>
  <c r="EG25" i="2" s="1"/>
  <c r="EH25" i="2" s="1"/>
  <c r="EI25" i="2" s="1"/>
  <c r="EJ25" i="2" s="1"/>
  <c r="EK25" i="2" s="1"/>
  <c r="EL25" i="2" s="1"/>
  <c r="EM25" i="2" s="1"/>
  <c r="EN25" i="2" s="1"/>
  <c r="EO25" i="2" s="1"/>
  <c r="EP25" i="2" s="1"/>
  <c r="EQ25" i="2" s="1"/>
  <c r="ER25" i="2" s="1"/>
  <c r="ES25" i="2" s="1"/>
  <c r="ET25" i="2" s="1"/>
  <c r="EU25" i="2" s="1"/>
  <c r="EV25" i="2" s="1"/>
  <c r="EW25" i="2" s="1"/>
  <c r="EX25" i="2" s="1"/>
  <c r="EY25" i="2" s="1"/>
  <c r="EZ25" i="2" s="1"/>
  <c r="FA25" i="2" s="1"/>
  <c r="FB25" i="2" s="1"/>
  <c r="FC25" i="2" s="1"/>
  <c r="FD25" i="2" s="1"/>
  <c r="FE25" i="2" s="1"/>
  <c r="FF25" i="2" s="1"/>
  <c r="FG25" i="2" s="1"/>
  <c r="FH25" i="2" s="1"/>
  <c r="FI25" i="2" s="1"/>
  <c r="FJ25" i="2" s="1"/>
  <c r="FK25" i="2" s="1"/>
  <c r="FL25" i="2" s="1"/>
  <c r="FM25" i="2" s="1"/>
  <c r="FN25" i="2" s="1"/>
  <c r="FO25" i="2" s="1"/>
  <c r="FP25" i="2" s="1"/>
  <c r="FQ25" i="2" s="1"/>
  <c r="FR25" i="2" s="1"/>
  <c r="FS25" i="2" s="1"/>
  <c r="FT25" i="2" s="1"/>
  <c r="FU25" i="2" s="1"/>
  <c r="FV25" i="2" s="1"/>
  <c r="FW25" i="2" s="1"/>
  <c r="FX25" i="2" s="1"/>
  <c r="FY25" i="2" s="1"/>
  <c r="FZ25" i="2" s="1"/>
  <c r="GA25" i="2" s="1"/>
  <c r="GB25" i="2" s="1"/>
  <c r="GC25" i="2" s="1"/>
  <c r="GD25" i="2" s="1"/>
  <c r="GE25" i="2" s="1"/>
  <c r="GF25" i="2" s="1"/>
  <c r="GG25" i="2" s="1"/>
  <c r="GH25" i="2" s="1"/>
  <c r="GI25" i="2" s="1"/>
  <c r="GJ25" i="2" s="1"/>
  <c r="GK25" i="2" s="1"/>
  <c r="GL25" i="2" s="1"/>
  <c r="GM25" i="2" s="1"/>
  <c r="GN25" i="2" s="1"/>
  <c r="GO25" i="2" s="1"/>
  <c r="GP25" i="2" s="1"/>
  <c r="GQ25" i="2" s="1"/>
  <c r="GR25" i="2" s="1"/>
  <c r="GS25" i="2" s="1"/>
  <c r="GT25" i="2" s="1"/>
  <c r="GU25" i="2" s="1"/>
  <c r="GV25" i="2" s="1"/>
  <c r="GW25" i="2" s="1"/>
  <c r="GX25" i="2" s="1"/>
  <c r="GY25" i="2" s="1"/>
  <c r="GZ25" i="2" s="1"/>
  <c r="HA25" i="2" s="1"/>
  <c r="HB25" i="2" s="1"/>
  <c r="HC25" i="2" s="1"/>
  <c r="HD25" i="2" s="1"/>
  <c r="HE25" i="2" s="1"/>
  <c r="HF25" i="2" s="1"/>
  <c r="HG25" i="2" s="1"/>
  <c r="HH25" i="2" s="1"/>
  <c r="HI25" i="2" s="1"/>
  <c r="HJ25" i="2" s="1"/>
  <c r="HK25" i="2" s="1"/>
  <c r="HL25" i="2" s="1"/>
  <c r="HM25" i="2" s="1"/>
  <c r="HN25" i="2" s="1"/>
  <c r="HO25" i="2" s="1"/>
  <c r="HP25" i="2" s="1"/>
  <c r="HQ25" i="2" s="1"/>
  <c r="HR25" i="2" s="1"/>
  <c r="HS25" i="2" s="1"/>
  <c r="HT25" i="2" s="1"/>
  <c r="HU25" i="2" s="1"/>
  <c r="HV25" i="2" s="1"/>
  <c r="HW25" i="2" s="1"/>
  <c r="HX25" i="2" s="1"/>
  <c r="HY25" i="2" s="1"/>
  <c r="HZ25" i="2" s="1"/>
  <c r="IA25" i="2" s="1"/>
  <c r="IB25" i="2" s="1"/>
  <c r="IC25" i="2" s="1"/>
  <c r="ID25" i="2" s="1"/>
  <c r="IE25" i="2" s="1"/>
  <c r="IF25" i="2" s="1"/>
  <c r="IG25" i="2" s="1"/>
  <c r="IH25" i="2" s="1"/>
  <c r="II25" i="2" s="1"/>
  <c r="IJ25" i="2" s="1"/>
  <c r="IK25" i="2" s="1"/>
  <c r="IL25" i="2" s="1"/>
  <c r="IM25" i="2" s="1"/>
  <c r="IN25" i="2" s="1"/>
  <c r="IO25" i="2" s="1"/>
  <c r="IP25" i="2" s="1"/>
  <c r="IQ25" i="2" s="1"/>
  <c r="IR25" i="2" s="1"/>
  <c r="IS25" i="2" s="1"/>
  <c r="IT25" i="2" s="1"/>
  <c r="IU25" i="2" s="1"/>
  <c r="IV25" i="2" s="1"/>
  <c r="IW25" i="2" s="1"/>
  <c r="IX25" i="2" s="1"/>
  <c r="IY25" i="2" s="1"/>
  <c r="IZ25" i="2" s="1"/>
  <c r="JA25" i="2" s="1"/>
  <c r="JB25" i="2" s="1"/>
  <c r="JC25" i="2" s="1"/>
  <c r="JD25" i="2" s="1"/>
  <c r="JE25" i="2" s="1"/>
  <c r="JF25" i="2" s="1"/>
  <c r="AK27" i="2"/>
  <c r="AP35" i="2" l="1"/>
  <c r="AP37" i="2" s="1"/>
  <c r="AP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Jameel</author>
  </authors>
  <commentList>
    <comment ref="AC18" authorId="0" shapeId="0" xr:uid="{581D32C2-5711-1249-A7D8-E33EB159C8E6}">
      <text>
        <r>
          <rPr>
            <b/>
            <sz val="10"/>
            <color rgb="FF000000"/>
            <rFont val="Tahoma"/>
            <family val="2"/>
          </rPr>
          <t>Jameel:</t>
        </r>
        <r>
          <rPr>
            <sz val="10"/>
            <color rgb="FF000000"/>
            <rFont val="Tahoma"/>
            <family val="2"/>
          </rPr>
          <t xml:space="preserve">1-2% y/y
</t>
        </r>
      </text>
    </comment>
  </commentList>
</comments>
</file>

<file path=xl/sharedStrings.xml><?xml version="1.0" encoding="utf-8"?>
<sst xmlns="http://schemas.openxmlformats.org/spreadsheetml/2006/main" count="116" uniqueCount="106">
  <si>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</si>
  <si>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</si>
  <si>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</si>
  <si>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</si>
  <si>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</si>
  <si>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</si>
  <si>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</si>
  <si>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</si>
  <si>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</si>
  <si>
    <t xml:space="preserve">Mr. Richard Dickson </t>
  </si>
  <si>
    <t>Employees</t>
  </si>
  <si>
    <t>HQ: San Fransisco, CA</t>
  </si>
  <si>
    <t xml:space="preserve">Main </t>
  </si>
  <si>
    <t>Q125</t>
  </si>
  <si>
    <t>Q225</t>
  </si>
  <si>
    <t>Q325</t>
  </si>
  <si>
    <t>Q425</t>
  </si>
  <si>
    <t>Sales</t>
  </si>
  <si>
    <t>COGS</t>
  </si>
  <si>
    <t>OpEx</t>
  </si>
  <si>
    <t xml:space="preserve">Operating  Income </t>
  </si>
  <si>
    <t>Income Before Taxes</t>
  </si>
  <si>
    <t>Taxes</t>
  </si>
  <si>
    <t xml:space="preserve">Net Income </t>
  </si>
  <si>
    <t>Diluted</t>
  </si>
  <si>
    <t>EPS</t>
  </si>
  <si>
    <t xml:space="preserve">Sales </t>
  </si>
  <si>
    <t>Growth YY</t>
  </si>
  <si>
    <t>Q124</t>
  </si>
  <si>
    <t>Q224</t>
  </si>
  <si>
    <t>Q324</t>
  </si>
  <si>
    <t>Q424</t>
  </si>
  <si>
    <t xml:space="preserve">Gross Margin </t>
  </si>
  <si>
    <t xml:space="preserve">Cash </t>
  </si>
  <si>
    <t>Press Release</t>
  </si>
  <si>
    <t>Brands</t>
  </si>
  <si>
    <t>Old Navy</t>
  </si>
  <si>
    <t>Gap</t>
  </si>
  <si>
    <t>Banana Republic</t>
  </si>
  <si>
    <t>Athleta</t>
  </si>
  <si>
    <t xml:space="preserve">Banana Republic </t>
  </si>
  <si>
    <t>Gap Inc. SSS</t>
  </si>
  <si>
    <t xml:space="preserve">Total Liabilities + Equity </t>
  </si>
  <si>
    <t xml:space="preserve">Equity </t>
  </si>
  <si>
    <t xml:space="preserve">Total Assets </t>
  </si>
  <si>
    <t>Short Term Investments</t>
  </si>
  <si>
    <t>Merchandise Inventories</t>
  </si>
  <si>
    <t>Other Current Assets</t>
  </si>
  <si>
    <t xml:space="preserve">PPE </t>
  </si>
  <si>
    <t>Operating Lease</t>
  </si>
  <si>
    <t xml:space="preserve">Other LT Assets </t>
  </si>
  <si>
    <t>Accounts Payable</t>
  </si>
  <si>
    <t>Accrued Exp &amp; OCL</t>
  </si>
  <si>
    <t>Current Op Lease</t>
  </si>
  <si>
    <t>Income Taxes Payable</t>
  </si>
  <si>
    <t>Long Term Debt</t>
  </si>
  <si>
    <t>Long Term Op Lease</t>
  </si>
  <si>
    <t>OLTL</t>
  </si>
  <si>
    <t>CFFO</t>
  </si>
  <si>
    <t>Net Income</t>
  </si>
  <si>
    <t>D&amp;A</t>
  </si>
  <si>
    <t>Change in Merchandise Inventory</t>
  </si>
  <si>
    <t>Change in Accounts Payable</t>
  </si>
  <si>
    <t>Change in Accrued Exp &amp; OCL</t>
  </si>
  <si>
    <t>Other, Net</t>
  </si>
  <si>
    <t>CapEx</t>
  </si>
  <si>
    <t>Purchases of Short Term Investments</t>
  </si>
  <si>
    <t>CFFI</t>
  </si>
  <si>
    <t>Proceeds From Issuances SBC</t>
  </si>
  <si>
    <t>Witholding Tax Payments RSUs</t>
  </si>
  <si>
    <t>Buybacks</t>
  </si>
  <si>
    <t>Cash Dividends</t>
  </si>
  <si>
    <t>CFFF</t>
  </si>
  <si>
    <t>Fx</t>
  </si>
  <si>
    <t xml:space="preserve">Net Increase in Cash </t>
  </si>
  <si>
    <t>Beginning Cash Balance</t>
  </si>
  <si>
    <t>Ending Cash Balance</t>
  </si>
  <si>
    <t>Proceeds, Sales and Mats of Investments</t>
  </si>
  <si>
    <t>Interest, Net</t>
  </si>
  <si>
    <t>Old Navy NA</t>
  </si>
  <si>
    <t>Gap NA</t>
  </si>
  <si>
    <t>Gap Asia</t>
  </si>
  <si>
    <t>Banana Republic NA</t>
  </si>
  <si>
    <t>Athleta NA</t>
  </si>
  <si>
    <t xml:space="preserve">Total Units </t>
  </si>
  <si>
    <t>Banana Republic Asia</t>
  </si>
  <si>
    <t>Free Cash Flow</t>
  </si>
  <si>
    <t>DSO</t>
  </si>
  <si>
    <t xml:space="preserve">DIO </t>
  </si>
  <si>
    <t>DPO</t>
  </si>
  <si>
    <t>CCC</t>
  </si>
  <si>
    <t>Q326E</t>
  </si>
  <si>
    <t>Q426E</t>
  </si>
  <si>
    <t>2026E</t>
  </si>
  <si>
    <t>NPV</t>
  </si>
  <si>
    <t>Maturity</t>
  </si>
  <si>
    <t>Discount</t>
  </si>
  <si>
    <t>Shares</t>
  </si>
  <si>
    <t>Estimate</t>
  </si>
  <si>
    <t>Current</t>
  </si>
  <si>
    <t>Upside</t>
  </si>
  <si>
    <t xml:space="preserve">Total Cash </t>
  </si>
  <si>
    <t>Total Debt</t>
  </si>
  <si>
    <t>Net Cash</t>
  </si>
  <si>
    <t>Q226</t>
  </si>
  <si>
    <t>Change in OCA &amp; 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</si>
</sst>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E&quot;"/>
  </numFmts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4" tint="-0.499984740745262"/>
      <name val="Arial"/>
      <family val="2"/>
      <scheme val="minor"/>
    </font>
    <font>
      <sz val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9" fontId="0" fillId="0" borderId="0" xfId="0" applyNumberFormat="1"/>
    <xf numFmtId="9" fontId="2" fillId="0" borderId="0" xfId="0" applyNumberFormat="1" applyFont="1"/>
    <xf numFmtId="9" fontId="4" fillId="0" borderId="0" xfId="0" applyNumberFormat="1" applyFont="1"/>
    <xf numFmtId="9" fontId="4" fillId="0" borderId="0" xfId="0" applyNumberFormat="1" applyFont="1" applyAlignment="1">
      <alignment horizontal="right"/>
    </xf>
    <xf numFmtId="3" fontId="3" fillId="0" borderId="0" xfId="1" applyNumberFormat="1"/>
    <xf numFmtId="3" fontId="1" fillId="0" borderId="0" xfId="0" applyNumberFormat="1" applyFont="1" applyAlignment="1">
      <alignment horizontal="left"/>
    </xf>
    <xf numFmtId="9" fontId="2" fillId="0" borderId="0" xfId="0" applyNumberFormat="1" applyFont="1" applyAlignment="1">
      <alignment horizontal="right"/>
    </xf>
    <xf numFmtId="14" fontId="0" fillId="0" borderId="0" xfId="0" applyNumberFormat="1"/>
    <xf numFmtId="3" fontId="2" fillId="0" borderId="0" xfId="0" applyNumberFormat="1" applyFont="1" applyAlignment="1">
      <alignment horizontal="right"/>
    </xf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right"/>
    </xf>
    <xf numFmtId="3" fontId="0" fillId="0" borderId="1" xfId="0" applyNumberFormat="1" applyBorder="1"/>
    <xf numFmtId="9" fontId="2" fillId="0" borderId="1" xfId="0" applyNumberFormat="1" applyFont="1" applyBorder="1"/>
    <xf numFmtId="9" fontId="2" fillId="0" borderId="1" xfId="0" applyNumberFormat="1" applyFont="1" applyBorder="1" applyAlignment="1">
      <alignment horizontal="right"/>
    </xf>
    <xf numFmtId="9" fontId="0" fillId="0" borderId="1" xfId="0" applyNumberFormat="1" applyBorder="1"/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1" xfId="0" applyNumberFormat="1" applyBorder="1" applyAlignment="1">
      <alignment horizontal="center"/>
    </xf>
    <xf numFmtId="3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9" fontId="4" fillId="0" borderId="0" xfId="0" applyNumberFormat="1" applyFont="1" applyAlignment="1">
      <alignment horizontal="center"/>
    </xf>
    <xf numFmtId="3" fontId="7" fillId="0" borderId="0" xfId="0" applyNumberFormat="1" applyFont="1"/>
    <xf numFmtId="3" fontId="7" fillId="0" borderId="0" xfId="0" applyNumberFormat="1" applyFont="1" applyAlignment="1">
      <alignment horizontal="right"/>
    </xf>
    <xf numFmtId="9" fontId="7" fillId="0" borderId="0" xfId="0" applyNumberFormat="1" applyFont="1"/>
    <xf numFmtId="9" fontId="7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1065893</xdr:colOff>
      <xdr:row>22</xdr:row>
      <xdr:rowOff>173869</xdr:rowOff>
    </xdr:from>
    <xdr:to>
      <xdr:col>28</xdr:col>
      <xdr:colOff>265793</xdr:colOff>
      <xdr:row>61</xdr:row>
      <xdr:rowOff>71849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5172D8-C0CE-BF79-BFA0-2509BEC32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4583" y="4331607"/>
          <a:ext cx="7772400" cy="7268516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204.q4cdn.com/320226404/files/doc_financials/2025/q2/Gap-Inc-Q2-2025-Earnings-Press-Release.pdf" TargetMode="External"/><Relationship Id="rId2" Type="http://schemas.openxmlformats.org/officeDocument/2006/relationships/hyperlink" Target="https://s204.q4cdn.com/320226404/files/doc_financials/2025/q3/Gap-Inc-Q3-2025-Earnings-Press-Release.pdf" TargetMode="External"/><Relationship Id="rId1" Type="http://schemas.openxmlformats.org/officeDocument/2006/relationships/hyperlink" Target="https://s204.q4cdn.com/320226404/files/doc_financials/2026/q1/Gap-Inc-Q1-2026-Earnings-Press-Release.pdf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s204.q4cdn.com/320226404/files/doc_financials/2026/q2/Gap-Inc-Q2_2026-Earnings-Press-Release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zoomScale="168" workbookViewId="0">
      <selection activeCell="K3" sqref="K3"/>
    </sheetView>
  </sheetViews>
  <sheetFormatPr baseColWidth="10" defaultColWidth="3.6640625" defaultRowHeight="15.75" customHeight="1" x14ac:dyDescent="0.15"/>
  <cols>
    <col min="2" max="2" width="19.1640625" bestFit="1" customWidth="1"/>
    <col min="3" max="3" width="17" bestFit="1" customWidth="1"/>
    <col min="11" max="11" width="5.6640625" bestFit="1" customWidth="1"/>
    <col min="12" max="12" width="5.5" bestFit="1" customWidth="1"/>
  </cols>
  <sheetData>
    <row r="1" spans="1:26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1"/>
      <c r="B2" s="1" t="s">
        <v>0</v>
      </c>
      <c r="C2" s="1" t="s">
        <v>9</v>
      </c>
      <c r="D2" s="1"/>
      <c r="E2" s="1"/>
      <c r="F2" s="1"/>
      <c r="G2" s="1"/>
      <c r="H2" s="1"/>
      <c r="I2" s="1"/>
      <c r="J2" s="1" t="s">
        <v>1</v>
      </c>
      <c r="K2" s="1">
        <v>23.48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15">
      <c r="A3" s="1"/>
      <c r="B3" s="1" t="s">
        <v>2</v>
      </c>
      <c r="C3" s="1"/>
      <c r="D3" s="1"/>
      <c r="E3" s="1"/>
      <c r="F3" s="1"/>
      <c r="G3" s="1"/>
      <c r="H3" s="1"/>
      <c r="I3" s="1"/>
      <c r="J3" s="1" t="s">
        <v>3</v>
      </c>
      <c r="K3" s="1">
        <v>351.27013699999998</v>
      </c>
      <c r="L3" s="2" t="s">
        <v>104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15">
      <c r="A4" s="1"/>
      <c r="B4" s="1" t="s">
        <v>10</v>
      </c>
      <c r="C4" s="18">
        <v>79000</v>
      </c>
      <c r="D4" s="1"/>
      <c r="E4" s="1"/>
      <c r="F4" s="1"/>
      <c r="G4" s="1"/>
      <c r="H4" s="1"/>
      <c r="I4" s="1"/>
      <c r="J4" s="1" t="s">
        <v>5</v>
      </c>
      <c r="K4" s="1">
        <f>K2*K3</f>
        <v>8247.8228167599991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1"/>
      <c r="B5" s="1" t="s">
        <v>11</v>
      </c>
      <c r="C5" s="1"/>
      <c r="D5" s="1"/>
      <c r="E5" s="1"/>
      <c r="F5" s="1"/>
      <c r="G5" s="1"/>
      <c r="H5" s="1"/>
      <c r="I5" s="1"/>
      <c r="J5" s="1" t="s">
        <v>6</v>
      </c>
      <c r="K5" s="1">
        <f>2103+382</f>
        <v>2485</v>
      </c>
      <c r="L5" s="2" t="str">
        <f>L3</f>
        <v>Q226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15">
      <c r="A6" s="1"/>
      <c r="B6" s="1"/>
      <c r="C6" s="1"/>
      <c r="D6" s="1"/>
      <c r="E6" s="1"/>
      <c r="F6" s="1"/>
      <c r="G6" s="1"/>
      <c r="H6" s="1"/>
      <c r="I6" s="1"/>
      <c r="J6" s="1" t="s">
        <v>7</v>
      </c>
      <c r="K6" s="1">
        <v>1493</v>
      </c>
      <c r="L6" s="2" t="str">
        <f>L5</f>
        <v>Q226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15">
      <c r="A7" s="1"/>
      <c r="B7" s="1" t="s">
        <v>35</v>
      </c>
      <c r="C7" s="1"/>
      <c r="D7" s="1"/>
      <c r="E7" s="1"/>
      <c r="F7" s="1"/>
      <c r="G7" s="1"/>
      <c r="H7" s="1"/>
      <c r="I7" s="1"/>
      <c r="J7" s="1" t="s">
        <v>8</v>
      </c>
      <c r="K7" s="1">
        <f>K4-K5+K6</f>
        <v>7255.8228167599991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15">
      <c r="A8" s="1"/>
      <c r="B8" s="1" t="s">
        <v>36</v>
      </c>
      <c r="C8" s="1"/>
      <c r="D8" s="1"/>
      <c r="E8" s="1"/>
      <c r="F8" s="1"/>
      <c r="G8" s="1"/>
      <c r="H8" s="1"/>
      <c r="I8" s="1"/>
      <c r="J8" s="1"/>
      <c r="K8" s="1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15">
      <c r="A9" s="1"/>
      <c r="B9" s="1" t="s">
        <v>37</v>
      </c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15">
      <c r="A10" s="1"/>
      <c r="B10" s="1" t="s">
        <v>38</v>
      </c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15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15">
      <c r="A15" s="1"/>
      <c r="B15" s="1" t="s">
        <v>34</v>
      </c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15">
      <c r="A16" s="1"/>
      <c r="B16" s="4" t="s">
        <v>104</v>
      </c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15">
      <c r="A17" s="1"/>
      <c r="B17" s="17" t="s">
        <v>4</v>
      </c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15">
      <c r="A18" s="1"/>
      <c r="B18" s="1" t="s">
        <v>16</v>
      </c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15">
      <c r="A19" s="1"/>
      <c r="B19" s="17" t="s">
        <v>15</v>
      </c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15">
      <c r="A20" s="1"/>
      <c r="B20" s="17" t="s">
        <v>14</v>
      </c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B17" r:id="rId1" xr:uid="{D1887FF7-AD9E-0944-880B-0C75889C87E7}"/>
    <hyperlink ref="B19" r:id="rId2" xr:uid="{4C8A2070-6663-EF4D-9983-17DD44F84CFB}"/>
    <hyperlink ref="B20" r:id="rId3" xr:uid="{1D881AFC-5E82-4848-8CEC-E8E112051A3A}"/>
    <hyperlink ref="B16" r:id="rId4" xr:uid="{B015FCD8-D8C7-C14A-8314-C67443883A57}"/>
  </hyperlink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5591-F82A-B44C-B082-1C545D010C35}">
  <dimension ref="A1:JF89"/>
  <sheetViews>
    <sheetView showGridLines="0" zoomScale="183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11" sqref="F11"/>
    </sheetView>
  </sheetViews>
  <sheetFormatPr baseColWidth="10" defaultRowHeight="13" x14ac:dyDescent="0.15"/>
  <cols>
    <col min="1" max="1" width="5.33203125" style="8" bestFit="1" customWidth="1"/>
    <col min="2" max="2" width="34" style="8" bestFit="1" customWidth="1"/>
    <col min="3" max="3" width="5.5" style="8" bestFit="1" customWidth="1"/>
    <col min="4" max="4" width="6.1640625" style="8" bestFit="1" customWidth="1"/>
    <col min="5" max="5" width="7.1640625" style="8" bestFit="1" customWidth="1"/>
    <col min="6" max="6" width="6.6640625" style="8" bestFit="1" customWidth="1"/>
    <col min="7" max="8" width="6.1640625" style="9" bestFit="1" customWidth="1"/>
    <col min="9" max="9" width="7.1640625" style="9" bestFit="1" customWidth="1"/>
    <col min="10" max="10" width="8.1640625" style="9" bestFit="1" customWidth="1"/>
    <col min="11" max="11" width="6.6640625" style="9" bestFit="1" customWidth="1"/>
    <col min="12" max="12" width="6.1640625" style="9" bestFit="1" customWidth="1"/>
    <col min="13" max="14" width="5.5" style="9" bestFit="1" customWidth="1"/>
    <col min="15" max="17" width="3.83203125" style="8" customWidth="1"/>
    <col min="18" max="18" width="7.6640625" style="8" bestFit="1" customWidth="1"/>
    <col min="19" max="28" width="6.6640625" style="8" bestFit="1" customWidth="1"/>
    <col min="29" max="30" width="6.6640625" style="31" bestFit="1" customWidth="1"/>
    <col min="31" max="38" width="6.33203125" style="31" bestFit="1" customWidth="1"/>
    <col min="39" max="39" width="5.6640625" style="8" bestFit="1" customWidth="1"/>
    <col min="40" max="40" width="5.1640625" style="8" bestFit="1" customWidth="1"/>
    <col min="41" max="16384" width="10.83203125" style="8"/>
  </cols>
  <sheetData>
    <row r="1" spans="1:38" customFormat="1" x14ac:dyDescent="0.15">
      <c r="A1" s="4" t="s">
        <v>12</v>
      </c>
      <c r="G1" s="5"/>
      <c r="H1" s="5"/>
      <c r="I1" s="5"/>
      <c r="J1" s="5"/>
      <c r="K1" s="5"/>
      <c r="L1" s="5"/>
      <c r="M1" s="5"/>
      <c r="N1" s="5"/>
      <c r="AC1" s="28"/>
      <c r="AD1" s="28"/>
      <c r="AE1" s="28"/>
      <c r="AF1" s="28"/>
      <c r="AG1" s="28"/>
      <c r="AH1" s="28"/>
      <c r="AI1" s="28"/>
      <c r="AJ1" s="28"/>
      <c r="AK1" s="28"/>
      <c r="AL1" s="28"/>
    </row>
    <row r="2" spans="1:38" customFormat="1" x14ac:dyDescent="0.15">
      <c r="A2" s="4"/>
      <c r="D2" s="20">
        <v>45507</v>
      </c>
      <c r="E2" s="20">
        <v>45598</v>
      </c>
      <c r="F2" s="20">
        <v>45689</v>
      </c>
      <c r="G2" s="7">
        <v>45780</v>
      </c>
      <c r="H2" s="7">
        <v>45871</v>
      </c>
      <c r="I2" s="7">
        <v>45962</v>
      </c>
      <c r="J2" s="7">
        <v>46053</v>
      </c>
      <c r="K2" s="7">
        <v>46144</v>
      </c>
      <c r="L2" s="7">
        <v>46235</v>
      </c>
      <c r="M2" s="5"/>
      <c r="N2" s="5"/>
      <c r="AC2" s="28"/>
      <c r="AD2" s="28"/>
      <c r="AE2" s="28"/>
      <c r="AF2" s="28"/>
      <c r="AG2" s="28"/>
      <c r="AH2" s="28"/>
      <c r="AI2" s="28"/>
      <c r="AJ2" s="28"/>
      <c r="AK2" s="28"/>
      <c r="AL2" s="28"/>
    </row>
    <row r="3" spans="1:38" customFormat="1" x14ac:dyDescent="0.15">
      <c r="C3" s="3" t="s">
        <v>28</v>
      </c>
      <c r="D3" s="3" t="s">
        <v>29</v>
      </c>
      <c r="E3" s="3" t="s">
        <v>30</v>
      </c>
      <c r="F3" s="3" t="s">
        <v>31</v>
      </c>
      <c r="G3" s="6" t="s">
        <v>13</v>
      </c>
      <c r="H3" s="6" t="s">
        <v>14</v>
      </c>
      <c r="I3" s="6" t="s">
        <v>15</v>
      </c>
      <c r="J3" s="6" t="s">
        <v>16</v>
      </c>
      <c r="K3" s="6" t="s">
        <v>4</v>
      </c>
      <c r="L3" s="6" t="s">
        <v>104</v>
      </c>
      <c r="M3" s="6" t="s">
        <v>91</v>
      </c>
      <c r="N3" s="6" t="s">
        <v>92</v>
      </c>
      <c r="R3">
        <v>2015</v>
      </c>
      <c r="S3">
        <v>2016</v>
      </c>
      <c r="T3">
        <v>2017</v>
      </c>
      <c r="U3">
        <v>2018</v>
      </c>
      <c r="V3">
        <v>2019</v>
      </c>
      <c r="W3">
        <v>2020</v>
      </c>
      <c r="X3">
        <v>2021</v>
      </c>
      <c r="Y3">
        <v>2022</v>
      </c>
      <c r="Z3">
        <v>2023</v>
      </c>
      <c r="AA3">
        <v>2024</v>
      </c>
      <c r="AB3">
        <v>2025</v>
      </c>
      <c r="AC3" s="29" t="s">
        <v>93</v>
      </c>
      <c r="AD3" s="30">
        <v>2027</v>
      </c>
      <c r="AE3" s="30">
        <v>2028</v>
      </c>
      <c r="AF3" s="30">
        <v>2029</v>
      </c>
      <c r="AG3" s="30">
        <v>2030</v>
      </c>
      <c r="AH3" s="30">
        <v>2031</v>
      </c>
      <c r="AI3" s="30">
        <v>2032</v>
      </c>
      <c r="AJ3" s="30">
        <v>2033</v>
      </c>
      <c r="AK3" s="30">
        <v>2034</v>
      </c>
      <c r="AL3" s="30">
        <v>2035</v>
      </c>
    </row>
    <row r="4" spans="1:38" x14ac:dyDescent="0.15">
      <c r="B4" s="10" t="s">
        <v>79</v>
      </c>
      <c r="C4" s="39">
        <v>1243</v>
      </c>
      <c r="D4" s="39">
        <v>1243</v>
      </c>
      <c r="E4" s="39">
        <v>1243</v>
      </c>
      <c r="F4" s="39">
        <v>1243</v>
      </c>
      <c r="G4" s="40">
        <v>1249</v>
      </c>
      <c r="H4" s="40">
        <v>1249</v>
      </c>
      <c r="I4" s="40">
        <v>1249</v>
      </c>
      <c r="J4" s="40">
        <v>1249</v>
      </c>
      <c r="K4" s="40">
        <v>1242</v>
      </c>
      <c r="L4" s="21">
        <v>1242</v>
      </c>
      <c r="M4" s="21">
        <f>+L4</f>
        <v>1242</v>
      </c>
      <c r="N4" s="21">
        <f>+M4</f>
        <v>1242</v>
      </c>
      <c r="AA4" s="8">
        <f>+F4</f>
        <v>1243</v>
      </c>
      <c r="AB4" s="8">
        <f>+J4</f>
        <v>1249</v>
      </c>
      <c r="AC4" s="31">
        <f>+N4</f>
        <v>1242</v>
      </c>
    </row>
    <row r="5" spans="1:38" x14ac:dyDescent="0.15">
      <c r="B5" s="10" t="s">
        <v>80</v>
      </c>
      <c r="C5" s="39">
        <v>472</v>
      </c>
      <c r="D5" s="39">
        <v>472</v>
      </c>
      <c r="E5" s="39">
        <v>472</v>
      </c>
      <c r="F5" s="39">
        <v>472</v>
      </c>
      <c r="G5" s="40">
        <v>453</v>
      </c>
      <c r="H5" s="40">
        <v>453</v>
      </c>
      <c r="I5" s="40">
        <v>453</v>
      </c>
      <c r="J5" s="40">
        <v>453</v>
      </c>
      <c r="K5" s="40">
        <v>459</v>
      </c>
      <c r="L5" s="21">
        <v>459</v>
      </c>
      <c r="M5" s="21">
        <f t="shared" ref="M5:M9" si="0">+L5</f>
        <v>459</v>
      </c>
      <c r="N5" s="21">
        <f t="shared" ref="N5" si="1">+M5</f>
        <v>459</v>
      </c>
      <c r="AA5" s="8">
        <f t="shared" ref="AA5:AA9" si="2">+F5</f>
        <v>472</v>
      </c>
      <c r="AB5" s="8">
        <f t="shared" ref="AB5:AB9" si="3">+J5</f>
        <v>453</v>
      </c>
      <c r="AC5" s="31">
        <f t="shared" ref="AC5:AC9" si="4">+N5</f>
        <v>459</v>
      </c>
    </row>
    <row r="6" spans="1:38" x14ac:dyDescent="0.15">
      <c r="B6" s="10" t="s">
        <v>81</v>
      </c>
      <c r="C6" s="39">
        <v>134</v>
      </c>
      <c r="D6" s="39">
        <v>134</v>
      </c>
      <c r="E6" s="39">
        <v>134</v>
      </c>
      <c r="F6" s="39">
        <v>134</v>
      </c>
      <c r="G6" s="40">
        <v>122</v>
      </c>
      <c r="H6" s="40">
        <v>122</v>
      </c>
      <c r="I6" s="40">
        <v>122</v>
      </c>
      <c r="J6" s="40">
        <v>122</v>
      </c>
      <c r="K6" s="40">
        <v>123</v>
      </c>
      <c r="L6" s="21">
        <v>123</v>
      </c>
      <c r="M6" s="21">
        <f t="shared" si="0"/>
        <v>123</v>
      </c>
      <c r="N6" s="21">
        <f t="shared" ref="N6" si="5">+M6</f>
        <v>123</v>
      </c>
      <c r="AA6" s="8">
        <f t="shared" si="2"/>
        <v>134</v>
      </c>
      <c r="AB6" s="8">
        <f t="shared" si="3"/>
        <v>122</v>
      </c>
      <c r="AC6" s="31">
        <f t="shared" si="4"/>
        <v>123</v>
      </c>
    </row>
    <row r="7" spans="1:38" x14ac:dyDescent="0.15">
      <c r="B7" s="10" t="s">
        <v>82</v>
      </c>
      <c r="C7" s="39">
        <v>400</v>
      </c>
      <c r="D7" s="39">
        <v>400</v>
      </c>
      <c r="E7" s="39">
        <v>400</v>
      </c>
      <c r="F7" s="39">
        <v>400</v>
      </c>
      <c r="G7" s="40">
        <v>380</v>
      </c>
      <c r="H7" s="40">
        <v>380</v>
      </c>
      <c r="I7" s="40">
        <v>380</v>
      </c>
      <c r="J7" s="40">
        <v>380</v>
      </c>
      <c r="K7" s="40">
        <v>358</v>
      </c>
      <c r="L7" s="21">
        <v>358</v>
      </c>
      <c r="M7" s="21">
        <f t="shared" si="0"/>
        <v>358</v>
      </c>
      <c r="N7" s="21">
        <f t="shared" ref="N7" si="6">+M7</f>
        <v>358</v>
      </c>
      <c r="AA7" s="8">
        <f t="shared" si="2"/>
        <v>400</v>
      </c>
      <c r="AB7" s="8">
        <f t="shared" si="3"/>
        <v>380</v>
      </c>
      <c r="AC7" s="31">
        <f t="shared" si="4"/>
        <v>358</v>
      </c>
    </row>
    <row r="8" spans="1:38" x14ac:dyDescent="0.15">
      <c r="B8" s="10" t="s">
        <v>85</v>
      </c>
      <c r="C8" s="39">
        <v>43</v>
      </c>
      <c r="D8" s="39">
        <v>43</v>
      </c>
      <c r="E8" s="39">
        <v>43</v>
      </c>
      <c r="F8" s="39">
        <v>43</v>
      </c>
      <c r="G8" s="40">
        <v>42</v>
      </c>
      <c r="H8" s="40">
        <v>42</v>
      </c>
      <c r="I8" s="40">
        <v>42</v>
      </c>
      <c r="J8" s="40">
        <v>42</v>
      </c>
      <c r="K8" s="40">
        <v>40</v>
      </c>
      <c r="L8" s="21">
        <v>40</v>
      </c>
      <c r="M8" s="21">
        <f t="shared" si="0"/>
        <v>40</v>
      </c>
      <c r="N8" s="21">
        <f t="shared" ref="N8" si="7">+M8</f>
        <v>40</v>
      </c>
      <c r="AA8" s="8">
        <f t="shared" si="2"/>
        <v>43</v>
      </c>
      <c r="AB8" s="8">
        <f t="shared" si="3"/>
        <v>42</v>
      </c>
      <c r="AC8" s="31">
        <f t="shared" si="4"/>
        <v>40</v>
      </c>
    </row>
    <row r="9" spans="1:38" x14ac:dyDescent="0.15">
      <c r="B9" s="10" t="s">
        <v>83</v>
      </c>
      <c r="C9" s="39">
        <v>270</v>
      </c>
      <c r="D9" s="39">
        <v>270</v>
      </c>
      <c r="E9" s="39">
        <v>270</v>
      </c>
      <c r="F9" s="39">
        <v>270</v>
      </c>
      <c r="G9" s="40">
        <v>260</v>
      </c>
      <c r="H9" s="40">
        <v>260</v>
      </c>
      <c r="I9" s="40">
        <v>260</v>
      </c>
      <c r="J9" s="40">
        <v>260</v>
      </c>
      <c r="K9" s="40">
        <v>252</v>
      </c>
      <c r="L9" s="21">
        <v>252</v>
      </c>
      <c r="M9" s="21">
        <f t="shared" si="0"/>
        <v>252</v>
      </c>
      <c r="N9" s="21">
        <f t="shared" ref="N9" si="8">+M9</f>
        <v>252</v>
      </c>
      <c r="AA9" s="8">
        <f t="shared" si="2"/>
        <v>270</v>
      </c>
      <c r="AB9" s="8">
        <f t="shared" si="3"/>
        <v>260</v>
      </c>
      <c r="AC9" s="31">
        <f t="shared" si="4"/>
        <v>252</v>
      </c>
    </row>
    <row r="10" spans="1:38" x14ac:dyDescent="0.15">
      <c r="B10" s="22" t="s">
        <v>84</v>
      </c>
      <c r="C10" s="23">
        <f>SUM(C4:C9)+998</f>
        <v>3560</v>
      </c>
      <c r="D10" s="23">
        <f>SUM(D4:D9)+998</f>
        <v>3560</v>
      </c>
      <c r="E10" s="23">
        <f>SUM(E4:E9)+998</f>
        <v>3560</v>
      </c>
      <c r="F10" s="23">
        <f>SUM(F4:F9)+998</f>
        <v>3560</v>
      </c>
      <c r="G10" s="23">
        <f t="shared" ref="G10:N10" si="9">SUM(G4:G9)</f>
        <v>2506</v>
      </c>
      <c r="H10" s="23">
        <f t="shared" si="9"/>
        <v>2506</v>
      </c>
      <c r="I10" s="23">
        <f t="shared" si="9"/>
        <v>2506</v>
      </c>
      <c r="J10" s="23">
        <f t="shared" si="9"/>
        <v>2506</v>
      </c>
      <c r="K10" s="23">
        <f t="shared" si="9"/>
        <v>2474</v>
      </c>
      <c r="L10" s="23">
        <f t="shared" si="9"/>
        <v>2474</v>
      </c>
      <c r="M10" s="23">
        <f t="shared" si="9"/>
        <v>2474</v>
      </c>
      <c r="N10" s="23">
        <f t="shared" si="9"/>
        <v>2474</v>
      </c>
      <c r="R10" s="24"/>
      <c r="S10" s="24"/>
      <c r="T10" s="24"/>
      <c r="U10" s="24"/>
      <c r="V10" s="24"/>
      <c r="W10" s="24"/>
      <c r="X10" s="24"/>
      <c r="Y10" s="24"/>
      <c r="Z10" s="24"/>
      <c r="AA10" s="23">
        <f>SUM(AA4:AA9)</f>
        <v>2562</v>
      </c>
      <c r="AB10" s="23">
        <f>SUM(AB4:AB9)</f>
        <v>2506</v>
      </c>
      <c r="AC10" s="32">
        <f>SUM(AC4:AC9)</f>
        <v>2474</v>
      </c>
      <c r="AD10" s="33"/>
      <c r="AE10" s="33"/>
      <c r="AF10" s="33"/>
      <c r="AG10" s="33"/>
      <c r="AH10" s="33"/>
      <c r="AI10" s="33"/>
      <c r="AJ10" s="33"/>
      <c r="AK10" s="33"/>
      <c r="AL10" s="33"/>
    </row>
    <row r="11" spans="1:38" customFormat="1" x14ac:dyDescent="0.15">
      <c r="B11" s="3"/>
      <c r="C11" s="3"/>
      <c r="D11" s="3"/>
      <c r="E11" s="3"/>
      <c r="F11" s="3"/>
      <c r="G11" s="6"/>
      <c r="H11" s="6"/>
      <c r="I11" s="6"/>
      <c r="J11" s="6"/>
      <c r="K11" s="6"/>
      <c r="L11" s="6"/>
      <c r="M11" s="6"/>
      <c r="N11" s="6"/>
      <c r="AC11" s="28"/>
      <c r="AD11" s="28"/>
      <c r="AE11" s="28"/>
      <c r="AF11" s="28"/>
      <c r="AG11" s="28"/>
      <c r="AH11" s="28"/>
      <c r="AI11" s="28"/>
      <c r="AJ11" s="28"/>
      <c r="AK11" s="28"/>
      <c r="AL11" s="28"/>
    </row>
    <row r="12" spans="1:38" s="13" customFormat="1" x14ac:dyDescent="0.15">
      <c r="B12" s="14" t="s">
        <v>36</v>
      </c>
      <c r="C12" s="41">
        <v>0</v>
      </c>
      <c r="D12" s="41">
        <v>0.05</v>
      </c>
      <c r="E12" s="41">
        <v>0</v>
      </c>
      <c r="F12" s="41">
        <v>0.03</v>
      </c>
      <c r="G12" s="42">
        <v>0.03</v>
      </c>
      <c r="H12" s="42">
        <v>0.02</v>
      </c>
      <c r="I12" s="42">
        <v>0.06</v>
      </c>
      <c r="J12" s="42">
        <v>0.03</v>
      </c>
      <c r="K12" s="42">
        <v>0.01</v>
      </c>
      <c r="L12" s="42">
        <v>-0.04</v>
      </c>
      <c r="M12" s="19"/>
      <c r="N12" s="19"/>
      <c r="AC12" s="34"/>
      <c r="AD12" s="34"/>
      <c r="AE12" s="34"/>
      <c r="AF12" s="34"/>
      <c r="AG12" s="34"/>
      <c r="AH12" s="34"/>
      <c r="AI12" s="34"/>
      <c r="AJ12" s="34"/>
      <c r="AK12" s="34"/>
      <c r="AL12" s="34"/>
    </row>
    <row r="13" spans="1:38" s="13" customFormat="1" x14ac:dyDescent="0.15">
      <c r="B13" s="14" t="s">
        <v>37</v>
      </c>
      <c r="C13" s="41">
        <v>0.03</v>
      </c>
      <c r="D13" s="41">
        <v>0.03</v>
      </c>
      <c r="E13" s="41">
        <v>0.03</v>
      </c>
      <c r="F13" s="41">
        <v>7.0000000000000007E-2</v>
      </c>
      <c r="G13" s="42">
        <v>0.05</v>
      </c>
      <c r="H13" s="42">
        <v>0.04</v>
      </c>
      <c r="I13" s="42">
        <v>7.0000000000000007E-2</v>
      </c>
      <c r="J13" s="42">
        <v>7.0000000000000007E-2</v>
      </c>
      <c r="K13" s="42">
        <v>0.1</v>
      </c>
      <c r="L13" s="42">
        <v>0.1</v>
      </c>
      <c r="M13" s="19"/>
      <c r="N13" s="19"/>
      <c r="AC13" s="34"/>
      <c r="AD13" s="34"/>
      <c r="AE13" s="34"/>
      <c r="AF13" s="34"/>
      <c r="AG13" s="34"/>
      <c r="AH13" s="34"/>
      <c r="AI13" s="34"/>
      <c r="AJ13" s="34"/>
      <c r="AK13" s="34"/>
      <c r="AL13" s="34"/>
    </row>
    <row r="14" spans="1:38" s="13" customFormat="1" x14ac:dyDescent="0.15">
      <c r="B14" s="14" t="s">
        <v>40</v>
      </c>
      <c r="C14" s="41">
        <v>0.01</v>
      </c>
      <c r="D14" s="41">
        <v>0</v>
      </c>
      <c r="E14" s="41">
        <v>-0.01</v>
      </c>
      <c r="F14" s="41">
        <v>0.04</v>
      </c>
      <c r="G14" s="42">
        <v>0</v>
      </c>
      <c r="H14" s="42">
        <v>0.04</v>
      </c>
      <c r="I14" s="42">
        <v>0.04</v>
      </c>
      <c r="J14" s="42">
        <v>0.04</v>
      </c>
      <c r="K14" s="42">
        <v>0.02</v>
      </c>
      <c r="L14" s="42">
        <v>0.03</v>
      </c>
      <c r="M14" s="19"/>
      <c r="N14" s="19"/>
      <c r="AC14" s="34"/>
      <c r="AD14" s="34"/>
      <c r="AE14" s="34"/>
      <c r="AF14" s="34"/>
      <c r="AG14" s="34"/>
      <c r="AH14" s="34"/>
      <c r="AI14" s="34"/>
      <c r="AJ14" s="34"/>
      <c r="AK14" s="34"/>
      <c r="AL14" s="34"/>
    </row>
    <row r="15" spans="1:38" s="13" customFormat="1" x14ac:dyDescent="0.15">
      <c r="B15" s="14" t="s">
        <v>39</v>
      </c>
      <c r="C15" s="41">
        <v>0.05</v>
      </c>
      <c r="D15" s="41">
        <v>-0.04</v>
      </c>
      <c r="E15" s="41">
        <v>0.05</v>
      </c>
      <c r="F15" s="41">
        <v>-0.02</v>
      </c>
      <c r="G15" s="42">
        <v>-0.08</v>
      </c>
      <c r="H15" s="42">
        <v>-0.09</v>
      </c>
      <c r="I15" s="42">
        <v>-0.11</v>
      </c>
      <c r="J15" s="42">
        <v>-0.1</v>
      </c>
      <c r="K15" s="42">
        <v>-0.11</v>
      </c>
      <c r="L15" s="42">
        <v>-0.12</v>
      </c>
      <c r="M15" s="19"/>
      <c r="N15" s="19"/>
      <c r="AC15" s="34"/>
      <c r="AD15" s="34"/>
      <c r="AE15" s="34"/>
      <c r="AF15" s="34"/>
      <c r="AG15" s="34"/>
      <c r="AH15" s="34"/>
      <c r="AI15" s="34"/>
      <c r="AJ15" s="34"/>
      <c r="AK15" s="34"/>
      <c r="AL15" s="34"/>
    </row>
    <row r="16" spans="1:38" s="13" customFormat="1" x14ac:dyDescent="0.15">
      <c r="B16" s="25" t="s">
        <v>41</v>
      </c>
      <c r="C16" s="25">
        <v>0.03</v>
      </c>
      <c r="D16" s="25">
        <v>0.03</v>
      </c>
      <c r="E16" s="25">
        <v>0.01</v>
      </c>
      <c r="F16" s="25">
        <v>0.03</v>
      </c>
      <c r="G16" s="26">
        <v>0.02</v>
      </c>
      <c r="H16" s="26">
        <v>0.01</v>
      </c>
      <c r="I16" s="26">
        <v>0.05</v>
      </c>
      <c r="J16" s="26">
        <v>0.03</v>
      </c>
      <c r="K16" s="26">
        <v>0.02</v>
      </c>
      <c r="L16" s="26">
        <v>-0.01</v>
      </c>
      <c r="M16" s="26"/>
      <c r="N16" s="26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35"/>
      <c r="AD16" s="35"/>
      <c r="AE16" s="35"/>
      <c r="AF16" s="35"/>
      <c r="AG16" s="35"/>
      <c r="AH16" s="35"/>
      <c r="AI16" s="35"/>
      <c r="AJ16" s="35"/>
      <c r="AK16" s="35"/>
      <c r="AL16" s="35"/>
    </row>
    <row r="17" spans="2:266" customFormat="1" x14ac:dyDescent="0.15">
      <c r="C17" s="3"/>
      <c r="D17" s="3"/>
      <c r="E17" s="3"/>
      <c r="F17" s="3"/>
      <c r="G17" s="6"/>
      <c r="H17" s="6"/>
      <c r="I17" s="6"/>
      <c r="J17" s="6"/>
      <c r="K17" s="6"/>
      <c r="L17" s="6"/>
      <c r="M17" s="6"/>
      <c r="N17" s="6"/>
      <c r="AC17" s="28"/>
      <c r="AD17" s="28"/>
      <c r="AE17" s="28"/>
      <c r="AF17" s="28"/>
      <c r="AG17" s="28"/>
      <c r="AH17" s="28"/>
      <c r="AI17" s="28"/>
      <c r="AJ17" s="28"/>
      <c r="AK17" s="28"/>
      <c r="AL17" s="28"/>
    </row>
    <row r="18" spans="2:266" x14ac:dyDescent="0.15">
      <c r="B18" s="10" t="s">
        <v>17</v>
      </c>
      <c r="C18" s="40">
        <v>3388</v>
      </c>
      <c r="D18" s="40">
        <v>3720</v>
      </c>
      <c r="E18" s="40">
        <v>3829</v>
      </c>
      <c r="F18" s="40">
        <v>4149</v>
      </c>
      <c r="G18" s="40">
        <v>3463</v>
      </c>
      <c r="H18" s="40">
        <v>3725</v>
      </c>
      <c r="I18" s="40">
        <v>3942</v>
      </c>
      <c r="J18" s="40">
        <v>4236</v>
      </c>
      <c r="K18" s="40">
        <v>3497</v>
      </c>
      <c r="L18" s="40">
        <v>3651</v>
      </c>
      <c r="M18" s="9">
        <f>+I18*1.01</f>
        <v>3981.42</v>
      </c>
      <c r="N18" s="9">
        <f>+J18*1.01</f>
        <v>4278.3599999999997</v>
      </c>
      <c r="R18" s="8">
        <v>15797</v>
      </c>
      <c r="S18" s="8">
        <v>15516</v>
      </c>
      <c r="T18" s="8">
        <v>15855</v>
      </c>
      <c r="U18" s="8">
        <v>16580</v>
      </c>
      <c r="V18" s="8">
        <v>16383</v>
      </c>
      <c r="W18" s="8">
        <v>13800</v>
      </c>
      <c r="X18" s="8">
        <v>13800</v>
      </c>
      <c r="Y18" s="8">
        <v>16670</v>
      </c>
      <c r="Z18" s="8">
        <v>15616</v>
      </c>
      <c r="AA18" s="8">
        <f>SUM(C18:F18)</f>
        <v>15086</v>
      </c>
      <c r="AB18" s="8">
        <f>SUM(G18:J18)</f>
        <v>15366</v>
      </c>
      <c r="AC18" s="31">
        <f>SUM(K18:N18)</f>
        <v>15407.779999999999</v>
      </c>
      <c r="AD18" s="31">
        <f>+AC18*0.98</f>
        <v>15099.624399999999</v>
      </c>
      <c r="AE18" s="31">
        <f t="shared" ref="AE18:AL18" si="10">+AD18*0.98</f>
        <v>14797.631911999999</v>
      </c>
      <c r="AF18" s="31">
        <f t="shared" si="10"/>
        <v>14501.679273759999</v>
      </c>
      <c r="AG18" s="31">
        <f t="shared" si="10"/>
        <v>14211.645688284798</v>
      </c>
      <c r="AH18" s="31">
        <f t="shared" si="10"/>
        <v>13927.412774519102</v>
      </c>
      <c r="AI18" s="31">
        <f t="shared" si="10"/>
        <v>13648.864519028719</v>
      </c>
      <c r="AJ18" s="31">
        <f t="shared" si="10"/>
        <v>13375.887228648144</v>
      </c>
      <c r="AK18" s="31">
        <f t="shared" si="10"/>
        <v>13108.369484075181</v>
      </c>
      <c r="AL18" s="31">
        <f t="shared" si="10"/>
        <v>12846.202094393677</v>
      </c>
    </row>
    <row r="19" spans="2:266" x14ac:dyDescent="0.15">
      <c r="B19" s="10" t="s">
        <v>18</v>
      </c>
      <c r="C19" s="40">
        <v>1991</v>
      </c>
      <c r="D19" s="40">
        <v>2137</v>
      </c>
      <c r="E19" s="40">
        <v>2194</v>
      </c>
      <c r="F19" s="40">
        <v>2537</v>
      </c>
      <c r="G19" s="40">
        <v>2015</v>
      </c>
      <c r="H19" s="40">
        <v>2189</v>
      </c>
      <c r="I19" s="40">
        <v>2272</v>
      </c>
      <c r="J19" s="40">
        <v>2622</v>
      </c>
      <c r="K19" s="40">
        <v>2080</v>
      </c>
      <c r="L19" s="40">
        <v>1722</v>
      </c>
      <c r="M19" s="9">
        <f t="shared" ref="M19:N20" si="11">+M$18*(I19/I$18)</f>
        <v>2294.7199999999998</v>
      </c>
      <c r="N19" s="9">
        <f t="shared" si="11"/>
        <v>2648.22</v>
      </c>
      <c r="R19" s="8">
        <v>10077</v>
      </c>
      <c r="S19" s="8">
        <v>9876</v>
      </c>
      <c r="T19" s="8">
        <v>9789</v>
      </c>
      <c r="U19" s="8">
        <v>10258</v>
      </c>
      <c r="V19" s="8">
        <v>10250</v>
      </c>
      <c r="W19" s="8">
        <v>9095</v>
      </c>
      <c r="X19" s="8">
        <v>10033</v>
      </c>
      <c r="Y19" s="8">
        <v>10257</v>
      </c>
      <c r="Z19" s="8">
        <v>9114</v>
      </c>
      <c r="AA19" s="8">
        <f t="shared" ref="AA19:AA27" si="12">SUM(C19:F19)</f>
        <v>8859</v>
      </c>
      <c r="AB19" s="8">
        <f t="shared" ref="AB19:AB27" si="13">SUM(G19:J19)</f>
        <v>9098</v>
      </c>
      <c r="AC19" s="31">
        <f>SUM(K19:N19)</f>
        <v>8744.9399999999987</v>
      </c>
      <c r="AD19" s="31">
        <f>+AD$18*(AC19/AC$18)</f>
        <v>8570.0411999999978</v>
      </c>
      <c r="AE19" s="31">
        <f t="shared" ref="AE19:AL20" si="14">+AE$18*(AD19/AD$18)</f>
        <v>8398.6403759999976</v>
      </c>
      <c r="AF19" s="31">
        <f t="shared" si="14"/>
        <v>8230.6675684799975</v>
      </c>
      <c r="AG19" s="31">
        <f t="shared" si="14"/>
        <v>8066.0542171103962</v>
      </c>
      <c r="AH19" s="31">
        <f t="shared" si="14"/>
        <v>7904.7331327681877</v>
      </c>
      <c r="AI19" s="31">
        <f t="shared" si="14"/>
        <v>7746.6384701128236</v>
      </c>
      <c r="AJ19" s="31">
        <f t="shared" si="14"/>
        <v>7591.7057007105668</v>
      </c>
      <c r="AK19" s="31">
        <f t="shared" si="14"/>
        <v>7439.8715866963557</v>
      </c>
      <c r="AL19" s="31">
        <f t="shared" si="14"/>
        <v>7291.0741549624281</v>
      </c>
    </row>
    <row r="20" spans="2:266" x14ac:dyDescent="0.15">
      <c r="B20" s="10" t="s">
        <v>19</v>
      </c>
      <c r="C20" s="40">
        <v>1192</v>
      </c>
      <c r="D20" s="40">
        <v>1290</v>
      </c>
      <c r="E20" s="40">
        <v>1280</v>
      </c>
      <c r="F20" s="40">
        <v>1353</v>
      </c>
      <c r="G20" s="40">
        <v>1188</v>
      </c>
      <c r="H20" s="40">
        <v>1244</v>
      </c>
      <c r="I20" s="40">
        <v>1336</v>
      </c>
      <c r="J20" s="40">
        <v>1385</v>
      </c>
      <c r="K20" s="40">
        <v>972</v>
      </c>
      <c r="L20" s="40">
        <v>1253</v>
      </c>
      <c r="M20" s="9">
        <f t="shared" si="11"/>
        <v>1349.36</v>
      </c>
      <c r="N20" s="9">
        <f t="shared" si="11"/>
        <v>1398.85</v>
      </c>
      <c r="AA20" s="8">
        <f t="shared" si="12"/>
        <v>5115</v>
      </c>
      <c r="AB20" s="8">
        <f t="shared" si="13"/>
        <v>5153</v>
      </c>
      <c r="AC20" s="31">
        <f t="shared" ref="AC20:AC27" si="15">SUM(K20:N20)</f>
        <v>4973.2099999999991</v>
      </c>
      <c r="AD20" s="31">
        <f>+AD$18*(AC20/AC$18)</f>
        <v>4873.7457999999988</v>
      </c>
      <c r="AE20" s="31">
        <f t="shared" si="14"/>
        <v>4776.2708839999987</v>
      </c>
      <c r="AF20" s="31">
        <f t="shared" si="14"/>
        <v>4680.7454663199987</v>
      </c>
      <c r="AG20" s="31">
        <f t="shared" si="14"/>
        <v>4587.1305569935985</v>
      </c>
      <c r="AH20" s="31">
        <f t="shared" si="14"/>
        <v>4495.3879458537267</v>
      </c>
      <c r="AI20" s="31">
        <f t="shared" si="14"/>
        <v>4405.480186936652</v>
      </c>
      <c r="AJ20" s="31">
        <f t="shared" si="14"/>
        <v>4317.3705831979187</v>
      </c>
      <c r="AK20" s="31">
        <f t="shared" si="14"/>
        <v>4231.0231715339605</v>
      </c>
      <c r="AL20" s="31">
        <f t="shared" si="14"/>
        <v>4146.4027081032809</v>
      </c>
    </row>
    <row r="21" spans="2:266" x14ac:dyDescent="0.15">
      <c r="B21" s="10" t="s">
        <v>20</v>
      </c>
      <c r="C21" s="9">
        <f t="shared" ref="C21:N21" si="16">+C18-SUM(C19:C20)</f>
        <v>205</v>
      </c>
      <c r="D21" s="9">
        <f t="shared" si="16"/>
        <v>293</v>
      </c>
      <c r="E21" s="9">
        <f t="shared" si="16"/>
        <v>355</v>
      </c>
      <c r="F21" s="9">
        <f t="shared" si="16"/>
        <v>259</v>
      </c>
      <c r="G21" s="9">
        <f t="shared" si="16"/>
        <v>260</v>
      </c>
      <c r="H21" s="9">
        <f t="shared" si="16"/>
        <v>292</v>
      </c>
      <c r="I21" s="9">
        <f t="shared" si="16"/>
        <v>334</v>
      </c>
      <c r="J21" s="9">
        <f t="shared" si="16"/>
        <v>229</v>
      </c>
      <c r="K21" s="9">
        <f t="shared" si="16"/>
        <v>445</v>
      </c>
      <c r="L21" s="9">
        <f t="shared" si="16"/>
        <v>676</v>
      </c>
      <c r="M21" s="9">
        <f t="shared" si="16"/>
        <v>337.34000000000015</v>
      </c>
      <c r="N21" s="9">
        <f t="shared" si="16"/>
        <v>231.28999999999996</v>
      </c>
      <c r="AA21" s="8">
        <f t="shared" si="12"/>
        <v>1112</v>
      </c>
      <c r="AB21" s="8">
        <f t="shared" si="13"/>
        <v>1115</v>
      </c>
      <c r="AC21" s="31">
        <f t="shared" si="15"/>
        <v>1689.63</v>
      </c>
      <c r="AD21" s="31">
        <f>+AD18-SUM(AD19:AD20)</f>
        <v>1655.8374000000022</v>
      </c>
      <c r="AE21" s="31">
        <f t="shared" ref="AE21:AL21" si="17">+AE18-SUM(AE19:AE20)</f>
        <v>1622.7206520000018</v>
      </c>
      <c r="AF21" s="31">
        <f t="shared" si="17"/>
        <v>1590.2662389600027</v>
      </c>
      <c r="AG21" s="31">
        <f t="shared" si="17"/>
        <v>1558.4609141808032</v>
      </c>
      <c r="AH21" s="31">
        <f t="shared" si="17"/>
        <v>1527.2916958971873</v>
      </c>
      <c r="AI21" s="31">
        <f t="shared" si="17"/>
        <v>1496.7458619792433</v>
      </c>
      <c r="AJ21" s="31">
        <f t="shared" si="17"/>
        <v>1466.8109447396582</v>
      </c>
      <c r="AK21" s="31">
        <f t="shared" si="17"/>
        <v>1437.474725844866</v>
      </c>
      <c r="AL21" s="31">
        <f t="shared" si="17"/>
        <v>1408.7252313279678</v>
      </c>
    </row>
    <row r="22" spans="2:266" x14ac:dyDescent="0.15">
      <c r="B22" s="10" t="s">
        <v>78</v>
      </c>
      <c r="C22" s="40">
        <v>-3</v>
      </c>
      <c r="D22" s="40">
        <v>-3</v>
      </c>
      <c r="E22" s="40">
        <v>-6</v>
      </c>
      <c r="F22" s="40">
        <v>-13</v>
      </c>
      <c r="G22" s="40">
        <v>-13</v>
      </c>
      <c r="H22" s="40">
        <v>-4</v>
      </c>
      <c r="I22" s="40">
        <v>-3</v>
      </c>
      <c r="J22" s="40">
        <v>-7</v>
      </c>
      <c r="K22" s="40">
        <v>-5</v>
      </c>
      <c r="L22" s="40">
        <v>-4</v>
      </c>
      <c r="M22" s="9">
        <f>AVERAGE(K22:L22)</f>
        <v>-4.5</v>
      </c>
      <c r="N22" s="9">
        <f>AVERAGE(L22:M22)</f>
        <v>-4.25</v>
      </c>
      <c r="AA22" s="8">
        <f t="shared" si="12"/>
        <v>-25</v>
      </c>
      <c r="AB22" s="8">
        <f t="shared" si="13"/>
        <v>-27</v>
      </c>
      <c r="AC22" s="31">
        <f t="shared" si="15"/>
        <v>-17.75</v>
      </c>
      <c r="AD22" s="31">
        <f>+AC22</f>
        <v>-17.75</v>
      </c>
      <c r="AE22" s="31">
        <f t="shared" ref="AE22:AL22" si="18">+AD22</f>
        <v>-17.75</v>
      </c>
      <c r="AF22" s="31">
        <f t="shared" si="18"/>
        <v>-17.75</v>
      </c>
      <c r="AG22" s="31">
        <f t="shared" si="18"/>
        <v>-17.75</v>
      </c>
      <c r="AH22" s="31">
        <f t="shared" si="18"/>
        <v>-17.75</v>
      </c>
      <c r="AI22" s="31">
        <f t="shared" si="18"/>
        <v>-17.75</v>
      </c>
      <c r="AJ22" s="31">
        <f t="shared" si="18"/>
        <v>-17.75</v>
      </c>
      <c r="AK22" s="31">
        <f t="shared" si="18"/>
        <v>-17.75</v>
      </c>
      <c r="AL22" s="31">
        <f t="shared" si="18"/>
        <v>-17.75</v>
      </c>
    </row>
    <row r="23" spans="2:266" x14ac:dyDescent="0.15">
      <c r="B23" s="22" t="s">
        <v>21</v>
      </c>
      <c r="C23" s="23">
        <f t="shared" ref="C23:N23" si="19">+C21-C22</f>
        <v>208</v>
      </c>
      <c r="D23" s="23">
        <f t="shared" si="19"/>
        <v>296</v>
      </c>
      <c r="E23" s="23">
        <f t="shared" si="19"/>
        <v>361</v>
      </c>
      <c r="F23" s="23">
        <f t="shared" si="19"/>
        <v>272</v>
      </c>
      <c r="G23" s="23">
        <f t="shared" si="19"/>
        <v>273</v>
      </c>
      <c r="H23" s="23">
        <f t="shared" si="19"/>
        <v>296</v>
      </c>
      <c r="I23" s="23">
        <f t="shared" si="19"/>
        <v>337</v>
      </c>
      <c r="J23" s="23">
        <f t="shared" si="19"/>
        <v>236</v>
      </c>
      <c r="K23" s="23">
        <f t="shared" si="19"/>
        <v>450</v>
      </c>
      <c r="L23" s="23">
        <f t="shared" si="19"/>
        <v>680</v>
      </c>
      <c r="M23" s="23">
        <f t="shared" si="19"/>
        <v>341.84000000000015</v>
      </c>
      <c r="N23" s="23">
        <f t="shared" si="19"/>
        <v>235.53999999999996</v>
      </c>
      <c r="R23" s="24"/>
      <c r="S23" s="24"/>
      <c r="T23" s="24"/>
      <c r="U23" s="24"/>
      <c r="V23" s="24"/>
      <c r="W23" s="24"/>
      <c r="X23" s="24"/>
      <c r="Y23" s="24"/>
      <c r="Z23" s="24"/>
      <c r="AA23" s="23">
        <f t="shared" si="12"/>
        <v>1137</v>
      </c>
      <c r="AB23" s="23">
        <f t="shared" si="13"/>
        <v>1142</v>
      </c>
      <c r="AC23" s="32">
        <f t="shared" si="15"/>
        <v>1707.38</v>
      </c>
      <c r="AD23" s="33">
        <f>+AD21-AD22</f>
        <v>1673.5874000000022</v>
      </c>
      <c r="AE23" s="33">
        <f t="shared" ref="AE23:AL23" si="20">+AE21-AE22</f>
        <v>1640.4706520000018</v>
      </c>
      <c r="AF23" s="33">
        <f t="shared" si="20"/>
        <v>1608.0162389600027</v>
      </c>
      <c r="AG23" s="33">
        <f t="shared" si="20"/>
        <v>1576.2109141808032</v>
      </c>
      <c r="AH23" s="33">
        <f t="shared" si="20"/>
        <v>1545.0416958971873</v>
      </c>
      <c r="AI23" s="33">
        <f t="shared" si="20"/>
        <v>1514.4958619792433</v>
      </c>
      <c r="AJ23" s="33">
        <f t="shared" si="20"/>
        <v>1484.5609447396582</v>
      </c>
      <c r="AK23" s="33">
        <f t="shared" si="20"/>
        <v>1455.224725844866</v>
      </c>
      <c r="AL23" s="33">
        <f t="shared" si="20"/>
        <v>1426.4752313279678</v>
      </c>
    </row>
    <row r="24" spans="2:266" x14ac:dyDescent="0.15">
      <c r="B24" s="10" t="s">
        <v>22</v>
      </c>
      <c r="C24" s="40">
        <v>50</v>
      </c>
      <c r="D24" s="40">
        <v>90</v>
      </c>
      <c r="E24" s="40">
        <v>87</v>
      </c>
      <c r="F24" s="40">
        <v>66</v>
      </c>
      <c r="G24" s="40">
        <v>70</v>
      </c>
      <c r="H24" s="40">
        <v>80</v>
      </c>
      <c r="I24" s="40">
        <v>101</v>
      </c>
      <c r="J24" s="40">
        <v>65</v>
      </c>
      <c r="K24" s="40">
        <v>111</v>
      </c>
      <c r="L24" s="40">
        <v>179</v>
      </c>
      <c r="M24" s="9">
        <f>+M23*(L24/L23)</f>
        <v>89.98435294117651</v>
      </c>
      <c r="N24" s="9">
        <f>+N23*(M24/M23)</f>
        <v>62.002441176470583</v>
      </c>
      <c r="AA24" s="8">
        <f t="shared" si="12"/>
        <v>293</v>
      </c>
      <c r="AB24" s="8">
        <f t="shared" si="13"/>
        <v>316</v>
      </c>
      <c r="AC24" s="31">
        <f t="shared" si="15"/>
        <v>441.98679411764709</v>
      </c>
      <c r="AD24" s="36">
        <f>+AD23*(AC24/AC23)</f>
        <v>433.2389565308772</v>
      </c>
      <c r="AE24" s="36">
        <f t="shared" ref="AE24:AL24" si="21">+AE23*(AD24/AD23)</f>
        <v>424.66607569584215</v>
      </c>
      <c r="AF24" s="36">
        <f t="shared" si="21"/>
        <v>416.26465247750815</v>
      </c>
      <c r="AG24" s="36">
        <f t="shared" si="21"/>
        <v>408.0312577235407</v>
      </c>
      <c r="AH24" s="36">
        <f t="shared" si="21"/>
        <v>399.96253086465248</v>
      </c>
      <c r="AI24" s="36">
        <f t="shared" si="21"/>
        <v>392.05517854294192</v>
      </c>
      <c r="AJ24" s="36">
        <f t="shared" si="21"/>
        <v>384.30597326766559</v>
      </c>
      <c r="AK24" s="36">
        <f t="shared" si="21"/>
        <v>376.7117520978951</v>
      </c>
      <c r="AL24" s="36">
        <f t="shared" si="21"/>
        <v>369.26941535151951</v>
      </c>
    </row>
    <row r="25" spans="2:266" x14ac:dyDescent="0.15">
      <c r="B25" s="22" t="s">
        <v>23</v>
      </c>
      <c r="C25" s="23">
        <f t="shared" ref="C25:N25" si="22">+C23-C24</f>
        <v>158</v>
      </c>
      <c r="D25" s="23">
        <f t="shared" si="22"/>
        <v>206</v>
      </c>
      <c r="E25" s="23">
        <f t="shared" si="22"/>
        <v>274</v>
      </c>
      <c r="F25" s="23">
        <f t="shared" si="22"/>
        <v>206</v>
      </c>
      <c r="G25" s="23">
        <f t="shared" si="22"/>
        <v>203</v>
      </c>
      <c r="H25" s="23">
        <f t="shared" si="22"/>
        <v>216</v>
      </c>
      <c r="I25" s="23">
        <f t="shared" si="22"/>
        <v>236</v>
      </c>
      <c r="J25" s="23">
        <f t="shared" si="22"/>
        <v>171</v>
      </c>
      <c r="K25" s="23">
        <f t="shared" si="22"/>
        <v>339</v>
      </c>
      <c r="L25" s="23">
        <f t="shared" si="22"/>
        <v>501</v>
      </c>
      <c r="M25" s="23">
        <f t="shared" si="22"/>
        <v>251.85564705882365</v>
      </c>
      <c r="N25" s="23">
        <f t="shared" si="22"/>
        <v>173.53755882352937</v>
      </c>
      <c r="R25" s="24"/>
      <c r="S25" s="24"/>
      <c r="T25" s="24"/>
      <c r="U25" s="24"/>
      <c r="V25" s="24"/>
      <c r="W25" s="24"/>
      <c r="X25" s="24"/>
      <c r="Y25" s="24"/>
      <c r="Z25" s="24"/>
      <c r="AA25" s="23">
        <f t="shared" si="12"/>
        <v>844</v>
      </c>
      <c r="AB25" s="23">
        <f t="shared" si="13"/>
        <v>826</v>
      </c>
      <c r="AC25" s="32">
        <f t="shared" si="15"/>
        <v>1265.393205882353</v>
      </c>
      <c r="AD25" s="33">
        <f>+AD23-AD24</f>
        <v>1240.348443469125</v>
      </c>
      <c r="AE25" s="33">
        <f t="shared" ref="AE25:AL25" si="23">+AE23-AE24</f>
        <v>1215.8045763041596</v>
      </c>
      <c r="AF25" s="33">
        <f t="shared" si="23"/>
        <v>1191.7515864824945</v>
      </c>
      <c r="AG25" s="33">
        <f t="shared" si="23"/>
        <v>1168.1796564572626</v>
      </c>
      <c r="AH25" s="33">
        <f t="shared" si="23"/>
        <v>1145.0791650325348</v>
      </c>
      <c r="AI25" s="33">
        <f t="shared" si="23"/>
        <v>1122.4406834363012</v>
      </c>
      <c r="AJ25" s="33">
        <f t="shared" si="23"/>
        <v>1100.2549714719926</v>
      </c>
      <c r="AK25" s="33">
        <f t="shared" si="23"/>
        <v>1078.5129737469711</v>
      </c>
      <c r="AL25" s="33">
        <f t="shared" si="23"/>
        <v>1057.2058159764483</v>
      </c>
      <c r="AM25" s="8">
        <f>+AL25*(1+$AP$33)</f>
        <v>1046.6337578166838</v>
      </c>
      <c r="AN25" s="8">
        <f t="shared" ref="AN25:CY25" si="24">+AM25*(1+$AP$33)</f>
        <v>1036.167420238517</v>
      </c>
      <c r="AO25" s="8">
        <f t="shared" si="24"/>
        <v>1025.8057460361319</v>
      </c>
      <c r="AP25" s="8">
        <f t="shared" si="24"/>
        <v>1015.5476885757706</v>
      </c>
      <c r="AQ25" s="8">
        <f t="shared" si="24"/>
        <v>1005.3922116900129</v>
      </c>
      <c r="AR25" s="8">
        <f t="shared" si="24"/>
        <v>995.33828957311277</v>
      </c>
      <c r="AS25" s="8">
        <f t="shared" si="24"/>
        <v>985.38490667738165</v>
      </c>
      <c r="AT25" s="8">
        <f t="shared" si="24"/>
        <v>975.53105761060783</v>
      </c>
      <c r="AU25" s="8">
        <f t="shared" si="24"/>
        <v>965.77574703450171</v>
      </c>
      <c r="AV25" s="8">
        <f t="shared" si="24"/>
        <v>956.11798956415669</v>
      </c>
      <c r="AW25" s="8">
        <f t="shared" si="24"/>
        <v>946.55680966851514</v>
      </c>
      <c r="AX25" s="8">
        <f t="shared" si="24"/>
        <v>937.09124157182998</v>
      </c>
      <c r="AY25" s="8">
        <f t="shared" si="24"/>
        <v>927.72032915611169</v>
      </c>
      <c r="AZ25" s="8">
        <f t="shared" si="24"/>
        <v>918.44312586455055</v>
      </c>
      <c r="BA25" s="8">
        <f t="shared" si="24"/>
        <v>909.25869460590502</v>
      </c>
      <c r="BB25" s="8">
        <f t="shared" si="24"/>
        <v>900.16610765984592</v>
      </c>
      <c r="BC25" s="8">
        <f t="shared" si="24"/>
        <v>891.16444658324747</v>
      </c>
      <c r="BD25" s="8">
        <f t="shared" si="24"/>
        <v>882.25280211741494</v>
      </c>
      <c r="BE25" s="8">
        <f t="shared" si="24"/>
        <v>873.43027409624074</v>
      </c>
      <c r="BF25" s="8">
        <f t="shared" si="24"/>
        <v>864.69597135527829</v>
      </c>
      <c r="BG25" s="8">
        <f t="shared" si="24"/>
        <v>856.04901164172554</v>
      </c>
      <c r="BH25" s="8">
        <f t="shared" si="24"/>
        <v>847.48852152530833</v>
      </c>
      <c r="BI25" s="8">
        <f t="shared" si="24"/>
        <v>839.01363631005529</v>
      </c>
      <c r="BJ25" s="8">
        <f t="shared" si="24"/>
        <v>830.62349994695478</v>
      </c>
      <c r="BK25" s="8">
        <f t="shared" si="24"/>
        <v>822.31726494748523</v>
      </c>
      <c r="BL25" s="8">
        <f t="shared" si="24"/>
        <v>814.09409229801042</v>
      </c>
      <c r="BM25" s="8">
        <f t="shared" si="24"/>
        <v>805.9531513750303</v>
      </c>
      <c r="BN25" s="8">
        <f t="shared" si="24"/>
        <v>797.89361986127994</v>
      </c>
      <c r="BO25" s="8">
        <f t="shared" si="24"/>
        <v>789.91468366266713</v>
      </c>
      <c r="BP25" s="8">
        <f t="shared" si="24"/>
        <v>782.01553682604049</v>
      </c>
      <c r="BQ25" s="8">
        <f t="shared" si="24"/>
        <v>774.19538145778006</v>
      </c>
      <c r="BR25" s="8">
        <f t="shared" si="24"/>
        <v>766.4534276432023</v>
      </c>
      <c r="BS25" s="8">
        <f t="shared" si="24"/>
        <v>758.78889336677025</v>
      </c>
      <c r="BT25" s="8">
        <f t="shared" si="24"/>
        <v>751.20100443310253</v>
      </c>
      <c r="BU25" s="8">
        <f t="shared" si="24"/>
        <v>743.68899438877145</v>
      </c>
      <c r="BV25" s="8">
        <f t="shared" si="24"/>
        <v>736.25210444488368</v>
      </c>
      <c r="BW25" s="8">
        <f t="shared" si="24"/>
        <v>728.88958340043484</v>
      </c>
      <c r="BX25" s="8">
        <f t="shared" si="24"/>
        <v>721.60068756643045</v>
      </c>
      <c r="BY25" s="8">
        <f t="shared" si="24"/>
        <v>714.38468069076612</v>
      </c>
      <c r="BZ25" s="8">
        <f t="shared" si="24"/>
        <v>707.2408338838585</v>
      </c>
      <c r="CA25" s="8">
        <f t="shared" si="24"/>
        <v>700.16842554501989</v>
      </c>
      <c r="CB25" s="8">
        <f t="shared" si="24"/>
        <v>693.1667412895697</v>
      </c>
      <c r="CC25" s="8">
        <f t="shared" si="24"/>
        <v>686.23507387667405</v>
      </c>
      <c r="CD25" s="8">
        <f t="shared" si="24"/>
        <v>679.37272313790731</v>
      </c>
      <c r="CE25" s="8">
        <f t="shared" si="24"/>
        <v>672.57899590652823</v>
      </c>
      <c r="CF25" s="8">
        <f t="shared" si="24"/>
        <v>665.85320594746292</v>
      </c>
      <c r="CG25" s="8">
        <f t="shared" si="24"/>
        <v>659.1946738879883</v>
      </c>
      <c r="CH25" s="8">
        <f t="shared" si="24"/>
        <v>652.60272714910843</v>
      </c>
      <c r="CI25" s="8">
        <f t="shared" si="24"/>
        <v>646.07669987761733</v>
      </c>
      <c r="CJ25" s="8">
        <f t="shared" si="24"/>
        <v>639.61593287884114</v>
      </c>
      <c r="CK25" s="8">
        <f t="shared" si="24"/>
        <v>633.21977355005276</v>
      </c>
      <c r="CL25" s="8">
        <f t="shared" si="24"/>
        <v>626.88757581455218</v>
      </c>
      <c r="CM25" s="8">
        <f t="shared" si="24"/>
        <v>620.61870005640662</v>
      </c>
      <c r="CN25" s="8">
        <f t="shared" si="24"/>
        <v>614.41251305584251</v>
      </c>
      <c r="CO25" s="8">
        <f t="shared" si="24"/>
        <v>608.26838792528406</v>
      </c>
      <c r="CP25" s="8">
        <f t="shared" si="24"/>
        <v>602.18570404603122</v>
      </c>
      <c r="CQ25" s="8">
        <f t="shared" si="24"/>
        <v>596.16384700557091</v>
      </c>
      <c r="CR25" s="8">
        <f t="shared" si="24"/>
        <v>590.20220853551518</v>
      </c>
      <c r="CS25" s="8">
        <f t="shared" si="24"/>
        <v>584.30018645016003</v>
      </c>
      <c r="CT25" s="8">
        <f t="shared" si="24"/>
        <v>578.45718458565841</v>
      </c>
      <c r="CU25" s="8">
        <f t="shared" si="24"/>
        <v>572.67261273980182</v>
      </c>
      <c r="CV25" s="8">
        <f t="shared" si="24"/>
        <v>566.9458866124038</v>
      </c>
      <c r="CW25" s="8">
        <f t="shared" si="24"/>
        <v>561.27642774627975</v>
      </c>
      <c r="CX25" s="8">
        <f t="shared" si="24"/>
        <v>555.66366346881694</v>
      </c>
      <c r="CY25" s="8">
        <f t="shared" si="24"/>
        <v>550.10702683412876</v>
      </c>
      <c r="CZ25" s="8">
        <f t="shared" ref="CZ25:FK25" si="25">+CY25*(1+$AP$33)</f>
        <v>544.60595656578744</v>
      </c>
      <c r="DA25" s="8">
        <f t="shared" si="25"/>
        <v>539.1598970001296</v>
      </c>
      <c r="DB25" s="8">
        <f t="shared" si="25"/>
        <v>533.76829803012834</v>
      </c>
      <c r="DC25" s="8">
        <f t="shared" si="25"/>
        <v>528.430615049827</v>
      </c>
      <c r="DD25" s="8">
        <f t="shared" si="25"/>
        <v>523.14630889932869</v>
      </c>
      <c r="DE25" s="8">
        <f t="shared" si="25"/>
        <v>517.91484581033535</v>
      </c>
      <c r="DF25" s="8">
        <f t="shared" si="25"/>
        <v>512.73569735223202</v>
      </c>
      <c r="DG25" s="8">
        <f t="shared" si="25"/>
        <v>507.60834037870967</v>
      </c>
      <c r="DH25" s="8">
        <f t="shared" si="25"/>
        <v>502.53225697492257</v>
      </c>
      <c r="DI25" s="8">
        <f t="shared" si="25"/>
        <v>497.50693440517335</v>
      </c>
      <c r="DJ25" s="8">
        <f t="shared" si="25"/>
        <v>492.53186506112161</v>
      </c>
      <c r="DK25" s="8">
        <f t="shared" si="25"/>
        <v>487.60654641051036</v>
      </c>
      <c r="DL25" s="8">
        <f t="shared" si="25"/>
        <v>482.73048094640524</v>
      </c>
      <c r="DM25" s="8">
        <f t="shared" si="25"/>
        <v>477.90317613694117</v>
      </c>
      <c r="DN25" s="8">
        <f t="shared" si="25"/>
        <v>473.12414437557175</v>
      </c>
      <c r="DO25" s="8">
        <f t="shared" si="25"/>
        <v>468.39290293181602</v>
      </c>
      <c r="DP25" s="8">
        <f t="shared" si="25"/>
        <v>463.70897390249786</v>
      </c>
      <c r="DQ25" s="8">
        <f t="shared" si="25"/>
        <v>459.07188416347287</v>
      </c>
      <c r="DR25" s="8">
        <f t="shared" si="25"/>
        <v>454.48116532183815</v>
      </c>
      <c r="DS25" s="8">
        <f t="shared" si="25"/>
        <v>449.93635366861974</v>
      </c>
      <c r="DT25" s="8">
        <f t="shared" si="25"/>
        <v>445.43699013193356</v>
      </c>
      <c r="DU25" s="8">
        <f t="shared" si="25"/>
        <v>440.9826202306142</v>
      </c>
      <c r="DV25" s="8">
        <f t="shared" si="25"/>
        <v>436.57279402830807</v>
      </c>
      <c r="DW25" s="8">
        <f t="shared" si="25"/>
        <v>432.20706608802499</v>
      </c>
      <c r="DX25" s="8">
        <f t="shared" si="25"/>
        <v>427.88499542714476</v>
      </c>
      <c r="DY25" s="8">
        <f t="shared" si="25"/>
        <v>423.60614547287332</v>
      </c>
      <c r="DZ25" s="8">
        <f t="shared" si="25"/>
        <v>419.37008401814461</v>
      </c>
      <c r="EA25" s="8">
        <f t="shared" si="25"/>
        <v>415.17638317796315</v>
      </c>
      <c r="EB25" s="8">
        <f t="shared" si="25"/>
        <v>411.0246193461835</v>
      </c>
      <c r="EC25" s="8">
        <f t="shared" si="25"/>
        <v>406.91437315272168</v>
      </c>
      <c r="ED25" s="8">
        <f t="shared" si="25"/>
        <v>402.84522942119446</v>
      </c>
      <c r="EE25" s="8">
        <f t="shared" si="25"/>
        <v>398.81677712698252</v>
      </c>
      <c r="EF25" s="8">
        <f t="shared" si="25"/>
        <v>394.82860935571267</v>
      </c>
      <c r="EG25" s="8">
        <f t="shared" si="25"/>
        <v>390.88032326215551</v>
      </c>
      <c r="EH25" s="8">
        <f t="shared" si="25"/>
        <v>386.97152002953396</v>
      </c>
      <c r="EI25" s="8">
        <f t="shared" si="25"/>
        <v>383.10180482923863</v>
      </c>
      <c r="EJ25" s="8">
        <f t="shared" si="25"/>
        <v>379.27078678094625</v>
      </c>
      <c r="EK25" s="8">
        <f t="shared" si="25"/>
        <v>375.47807891313681</v>
      </c>
      <c r="EL25" s="8">
        <f t="shared" si="25"/>
        <v>371.72329812400545</v>
      </c>
      <c r="EM25" s="8">
        <f t="shared" si="25"/>
        <v>368.00606514276541</v>
      </c>
      <c r="EN25" s="8">
        <f t="shared" si="25"/>
        <v>364.32600449133776</v>
      </c>
      <c r="EO25" s="8">
        <f t="shared" si="25"/>
        <v>360.68274444642435</v>
      </c>
      <c r="EP25" s="8">
        <f t="shared" si="25"/>
        <v>357.07591700196008</v>
      </c>
      <c r="EQ25" s="8">
        <f t="shared" si="25"/>
        <v>353.50515783194049</v>
      </c>
      <c r="ER25" s="8">
        <f t="shared" si="25"/>
        <v>349.97010625362111</v>
      </c>
      <c r="ES25" s="8">
        <f t="shared" si="25"/>
        <v>346.47040519108492</v>
      </c>
      <c r="ET25" s="8">
        <f t="shared" si="25"/>
        <v>343.00570113917405</v>
      </c>
      <c r="EU25" s="8">
        <f t="shared" si="25"/>
        <v>339.57564412778231</v>
      </c>
      <c r="EV25" s="8">
        <f t="shared" si="25"/>
        <v>336.17988768650446</v>
      </c>
      <c r="EW25" s="8">
        <f t="shared" si="25"/>
        <v>332.81808880963939</v>
      </c>
      <c r="EX25" s="8">
        <f t="shared" si="25"/>
        <v>329.48990792154302</v>
      </c>
      <c r="EY25" s="8">
        <f t="shared" si="25"/>
        <v>326.19500884232758</v>
      </c>
      <c r="EZ25" s="8">
        <f t="shared" si="25"/>
        <v>322.93305875390428</v>
      </c>
      <c r="FA25" s="8">
        <f t="shared" si="25"/>
        <v>319.70372816636524</v>
      </c>
      <c r="FB25" s="8">
        <f t="shared" si="25"/>
        <v>316.50669088470158</v>
      </c>
      <c r="FC25" s="8">
        <f t="shared" si="25"/>
        <v>313.34162397585459</v>
      </c>
      <c r="FD25" s="8">
        <f t="shared" si="25"/>
        <v>310.20820773609603</v>
      </c>
      <c r="FE25" s="8">
        <f t="shared" si="25"/>
        <v>307.10612565873504</v>
      </c>
      <c r="FF25" s="8">
        <f t="shared" si="25"/>
        <v>304.03506440214767</v>
      </c>
      <c r="FG25" s="8">
        <f t="shared" si="25"/>
        <v>300.99471375812618</v>
      </c>
      <c r="FH25" s="8">
        <f t="shared" si="25"/>
        <v>297.98476662054492</v>
      </c>
      <c r="FI25" s="8">
        <f t="shared" si="25"/>
        <v>295.00491895433947</v>
      </c>
      <c r="FJ25" s="8">
        <f t="shared" si="25"/>
        <v>292.05486976479608</v>
      </c>
      <c r="FK25" s="8">
        <f t="shared" si="25"/>
        <v>289.13432106714811</v>
      </c>
      <c r="FL25" s="8">
        <f t="shared" ref="FL25:HW25" si="26">+FK25*(1+$AP$33)</f>
        <v>286.24297785647661</v>
      </c>
      <c r="FM25" s="8">
        <f t="shared" si="26"/>
        <v>283.38054807791184</v>
      </c>
      <c r="FN25" s="8">
        <f t="shared" si="26"/>
        <v>280.54674259713272</v>
      </c>
      <c r="FO25" s="8">
        <f t="shared" si="26"/>
        <v>277.74127517116136</v>
      </c>
      <c r="FP25" s="8">
        <f t="shared" si="26"/>
        <v>274.96386241944975</v>
      </c>
      <c r="FQ25" s="8">
        <f t="shared" si="26"/>
        <v>272.21422379525524</v>
      </c>
      <c r="FR25" s="8">
        <f t="shared" si="26"/>
        <v>269.4920815573027</v>
      </c>
      <c r="FS25" s="8">
        <f t="shared" si="26"/>
        <v>266.79716074172967</v>
      </c>
      <c r="FT25" s="8">
        <f t="shared" si="26"/>
        <v>264.12918913431236</v>
      </c>
      <c r="FU25" s="8">
        <f t="shared" si="26"/>
        <v>261.48789724296921</v>
      </c>
      <c r="FV25" s="8">
        <f t="shared" si="26"/>
        <v>258.87301827053949</v>
      </c>
      <c r="FW25" s="8">
        <f t="shared" si="26"/>
        <v>256.28428808783411</v>
      </c>
      <c r="FX25" s="8">
        <f t="shared" si="26"/>
        <v>253.72144520695576</v>
      </c>
      <c r="FY25" s="8">
        <f t="shared" si="26"/>
        <v>251.18423075488622</v>
      </c>
      <c r="FZ25" s="8">
        <f t="shared" si="26"/>
        <v>248.67238844733734</v>
      </c>
      <c r="GA25" s="8">
        <f t="shared" si="26"/>
        <v>246.18566456286396</v>
      </c>
      <c r="GB25" s="8">
        <f t="shared" si="26"/>
        <v>243.72380791723532</v>
      </c>
      <c r="GC25" s="8">
        <f t="shared" si="26"/>
        <v>241.28656983806297</v>
      </c>
      <c r="GD25" s="8">
        <f t="shared" si="26"/>
        <v>238.87370413968233</v>
      </c>
      <c r="GE25" s="8">
        <f t="shared" si="26"/>
        <v>236.48496709828549</v>
      </c>
      <c r="GF25" s="8">
        <f t="shared" si="26"/>
        <v>234.12011742730263</v>
      </c>
      <c r="GG25" s="8">
        <f t="shared" si="26"/>
        <v>231.77891625302959</v>
      </c>
      <c r="GH25" s="8">
        <f t="shared" si="26"/>
        <v>229.4611270904993</v>
      </c>
      <c r="GI25" s="8">
        <f t="shared" si="26"/>
        <v>227.16651581959431</v>
      </c>
      <c r="GJ25" s="8">
        <f t="shared" si="26"/>
        <v>224.89485066139835</v>
      </c>
      <c r="GK25" s="8">
        <f t="shared" si="26"/>
        <v>222.64590215478435</v>
      </c>
      <c r="GL25" s="8">
        <f t="shared" si="26"/>
        <v>220.41944313323651</v>
      </c>
      <c r="GM25" s="8">
        <f t="shared" si="26"/>
        <v>218.21524870190416</v>
      </c>
      <c r="GN25" s="8">
        <f t="shared" si="26"/>
        <v>216.03309621488512</v>
      </c>
      <c r="GO25" s="8">
        <f t="shared" si="26"/>
        <v>213.87276525273626</v>
      </c>
      <c r="GP25" s="8">
        <f t="shared" si="26"/>
        <v>211.73403760020889</v>
      </c>
      <c r="GQ25" s="8">
        <f t="shared" si="26"/>
        <v>209.6166972242068</v>
      </c>
      <c r="GR25" s="8">
        <f t="shared" si="26"/>
        <v>207.52053025196474</v>
      </c>
      <c r="GS25" s="8">
        <f t="shared" si="26"/>
        <v>205.44532494944508</v>
      </c>
      <c r="GT25" s="8">
        <f t="shared" si="26"/>
        <v>203.39087169995062</v>
      </c>
      <c r="GU25" s="8">
        <f t="shared" si="26"/>
        <v>201.3569629829511</v>
      </c>
      <c r="GV25" s="8">
        <f t="shared" si="26"/>
        <v>199.3433933531216</v>
      </c>
      <c r="GW25" s="8">
        <f t="shared" si="26"/>
        <v>197.34995941959039</v>
      </c>
      <c r="GX25" s="8">
        <f t="shared" si="26"/>
        <v>195.37645982539448</v>
      </c>
      <c r="GY25" s="8">
        <f t="shared" si="26"/>
        <v>193.42269522714054</v>
      </c>
      <c r="GZ25" s="8">
        <f t="shared" si="26"/>
        <v>191.48846827486912</v>
      </c>
      <c r="HA25" s="8">
        <f t="shared" si="26"/>
        <v>189.57358359212043</v>
      </c>
      <c r="HB25" s="8">
        <f t="shared" si="26"/>
        <v>187.67784775619921</v>
      </c>
      <c r="HC25" s="8">
        <f t="shared" si="26"/>
        <v>185.80106927863721</v>
      </c>
      <c r="HD25" s="8">
        <f t="shared" si="26"/>
        <v>183.94305858585085</v>
      </c>
      <c r="HE25" s="8">
        <f t="shared" si="26"/>
        <v>182.10362799999234</v>
      </c>
      <c r="HF25" s="8">
        <f t="shared" si="26"/>
        <v>180.28259171999241</v>
      </c>
      <c r="HG25" s="8">
        <f t="shared" si="26"/>
        <v>178.47976580279249</v>
      </c>
      <c r="HH25" s="8">
        <f t="shared" si="26"/>
        <v>176.69496814476457</v>
      </c>
      <c r="HI25" s="8">
        <f t="shared" si="26"/>
        <v>174.92801846331693</v>
      </c>
      <c r="HJ25" s="8">
        <f t="shared" si="26"/>
        <v>173.17873827868377</v>
      </c>
      <c r="HK25" s="8">
        <f t="shared" si="26"/>
        <v>171.44695089589692</v>
      </c>
      <c r="HL25" s="8">
        <f t="shared" si="26"/>
        <v>169.73248138693793</v>
      </c>
      <c r="HM25" s="8">
        <f t="shared" si="26"/>
        <v>168.03515657306855</v>
      </c>
      <c r="HN25" s="8">
        <f t="shared" si="26"/>
        <v>166.35480500733786</v>
      </c>
      <c r="HO25" s="8">
        <f t="shared" si="26"/>
        <v>164.69125695726447</v>
      </c>
      <c r="HP25" s="8">
        <f t="shared" si="26"/>
        <v>163.04434438769184</v>
      </c>
      <c r="HQ25" s="8">
        <f t="shared" si="26"/>
        <v>161.41390094381492</v>
      </c>
      <c r="HR25" s="8">
        <f t="shared" si="26"/>
        <v>159.79976193437676</v>
      </c>
      <c r="HS25" s="8">
        <f t="shared" si="26"/>
        <v>158.20176431503299</v>
      </c>
      <c r="HT25" s="8">
        <f t="shared" si="26"/>
        <v>156.61974667188267</v>
      </c>
      <c r="HU25" s="8">
        <f t="shared" si="26"/>
        <v>155.05354920516385</v>
      </c>
      <c r="HV25" s="8">
        <f t="shared" si="26"/>
        <v>153.50301371311221</v>
      </c>
      <c r="HW25" s="8">
        <f t="shared" si="26"/>
        <v>151.96798357598109</v>
      </c>
      <c r="HX25" s="8">
        <f t="shared" ref="HX25:JF25" si="27">+HW25*(1+$AP$33)</f>
        <v>150.44830374022129</v>
      </c>
      <c r="HY25" s="8">
        <f t="shared" si="27"/>
        <v>148.94382070281907</v>
      </c>
      <c r="HZ25" s="8">
        <f t="shared" si="27"/>
        <v>147.45438249579087</v>
      </c>
      <c r="IA25" s="8">
        <f t="shared" si="27"/>
        <v>145.97983867083295</v>
      </c>
      <c r="IB25" s="8">
        <f t="shared" si="27"/>
        <v>144.5200402841246</v>
      </c>
      <c r="IC25" s="8">
        <f t="shared" si="27"/>
        <v>143.07483988128337</v>
      </c>
      <c r="ID25" s="8">
        <f t="shared" si="27"/>
        <v>141.64409148247054</v>
      </c>
      <c r="IE25" s="8">
        <f t="shared" si="27"/>
        <v>140.22765056764584</v>
      </c>
      <c r="IF25" s="8">
        <f t="shared" si="27"/>
        <v>138.82537406196937</v>
      </c>
      <c r="IG25" s="8">
        <f t="shared" si="27"/>
        <v>137.43712032134968</v>
      </c>
      <c r="IH25" s="8">
        <f t="shared" si="27"/>
        <v>136.0627491181362</v>
      </c>
      <c r="II25" s="8">
        <f t="shared" si="27"/>
        <v>134.70212162695483</v>
      </c>
      <c r="IJ25" s="8">
        <f t="shared" si="27"/>
        <v>133.35510041068528</v>
      </c>
      <c r="IK25" s="8">
        <f t="shared" si="27"/>
        <v>132.02154940657843</v>
      </c>
      <c r="IL25" s="8">
        <f t="shared" si="27"/>
        <v>130.70133391251264</v>
      </c>
      <c r="IM25" s="8">
        <f t="shared" si="27"/>
        <v>129.39432057338752</v>
      </c>
      <c r="IN25" s="8">
        <f t="shared" si="27"/>
        <v>128.10037736765364</v>
      </c>
      <c r="IO25" s="8">
        <f t="shared" si="27"/>
        <v>126.8193735939771</v>
      </c>
      <c r="IP25" s="8">
        <f t="shared" si="27"/>
        <v>125.55117985803733</v>
      </c>
      <c r="IQ25" s="8">
        <f t="shared" si="27"/>
        <v>124.29566805945696</v>
      </c>
      <c r="IR25" s="8">
        <f t="shared" si="27"/>
        <v>123.05271137886238</v>
      </c>
      <c r="IS25" s="8">
        <f t="shared" si="27"/>
        <v>121.82218426507376</v>
      </c>
      <c r="IT25" s="8">
        <f t="shared" si="27"/>
        <v>120.60396242242302</v>
      </c>
      <c r="IU25" s="8">
        <f t="shared" si="27"/>
        <v>119.39792279819879</v>
      </c>
      <c r="IV25" s="8">
        <f t="shared" si="27"/>
        <v>118.20394357021681</v>
      </c>
      <c r="IW25" s="8">
        <f t="shared" si="27"/>
        <v>117.02190413451464</v>
      </c>
      <c r="IX25" s="8">
        <f t="shared" si="27"/>
        <v>115.85168509316949</v>
      </c>
      <c r="IY25" s="8">
        <f t="shared" si="27"/>
        <v>114.6931682422378</v>
      </c>
      <c r="IZ25" s="8">
        <f t="shared" si="27"/>
        <v>113.54623655981543</v>
      </c>
      <c r="JA25" s="8">
        <f t="shared" si="27"/>
        <v>112.41077419421727</v>
      </c>
      <c r="JB25" s="8">
        <f t="shared" si="27"/>
        <v>111.2866664522751</v>
      </c>
      <c r="JC25" s="8">
        <f t="shared" si="27"/>
        <v>110.17379978775234</v>
      </c>
      <c r="JD25" s="8">
        <f t="shared" si="27"/>
        <v>109.07206178987482</v>
      </c>
      <c r="JE25" s="8">
        <f t="shared" si="27"/>
        <v>107.98134117197607</v>
      </c>
      <c r="JF25" s="8">
        <f t="shared" si="27"/>
        <v>106.90152776025631</v>
      </c>
    </row>
    <row r="26" spans="2:266" x14ac:dyDescent="0.15">
      <c r="B26" s="10" t="s">
        <v>24</v>
      </c>
      <c r="C26" s="40">
        <v>383</v>
      </c>
      <c r="D26" s="40">
        <v>383</v>
      </c>
      <c r="E26" s="40">
        <v>383</v>
      </c>
      <c r="F26" s="40">
        <v>384</v>
      </c>
      <c r="G26" s="40">
        <v>382</v>
      </c>
      <c r="H26" s="40">
        <v>379</v>
      </c>
      <c r="I26" s="40">
        <v>380</v>
      </c>
      <c r="J26" s="40">
        <v>384</v>
      </c>
      <c r="K26" s="40">
        <v>378</v>
      </c>
      <c r="L26" s="40">
        <v>362</v>
      </c>
      <c r="M26" s="9">
        <f>+L26</f>
        <v>362</v>
      </c>
      <c r="N26" s="9">
        <f>+M26</f>
        <v>362</v>
      </c>
      <c r="AA26" s="8">
        <f>+AA25/AA27</f>
        <v>383.24359504770132</v>
      </c>
      <c r="AB26" s="8">
        <f>+AB25/AB27</f>
        <v>381.04911049155436</v>
      </c>
      <c r="AC26" s="31">
        <f>+AC25/AC27</f>
        <v>366.15206235779959</v>
      </c>
      <c r="AD26" s="31">
        <f>+AC26</f>
        <v>366.15206235779959</v>
      </c>
      <c r="AE26" s="31">
        <f t="shared" ref="AE26:AL26" si="28">+AD26</f>
        <v>366.15206235779959</v>
      </c>
      <c r="AF26" s="31">
        <f t="shared" si="28"/>
        <v>366.15206235779959</v>
      </c>
      <c r="AG26" s="31">
        <f t="shared" si="28"/>
        <v>366.15206235779959</v>
      </c>
      <c r="AH26" s="31">
        <f t="shared" si="28"/>
        <v>366.15206235779959</v>
      </c>
      <c r="AI26" s="31">
        <f t="shared" si="28"/>
        <v>366.15206235779959</v>
      </c>
      <c r="AJ26" s="31">
        <f t="shared" si="28"/>
        <v>366.15206235779959</v>
      </c>
      <c r="AK26" s="31">
        <f t="shared" si="28"/>
        <v>366.15206235779959</v>
      </c>
      <c r="AL26" s="31">
        <f t="shared" si="28"/>
        <v>366.15206235779959</v>
      </c>
    </row>
    <row r="27" spans="2:266" s="11" customFormat="1" x14ac:dyDescent="0.15">
      <c r="B27" s="12" t="s">
        <v>25</v>
      </c>
      <c r="C27" s="43">
        <f t="shared" ref="C27:N27" si="29">+C25/C26</f>
        <v>0.41253263707571802</v>
      </c>
      <c r="D27" s="43">
        <f t="shared" si="29"/>
        <v>0.53785900783289819</v>
      </c>
      <c r="E27" s="43">
        <f t="shared" si="29"/>
        <v>0.71540469973890342</v>
      </c>
      <c r="F27" s="43">
        <f t="shared" si="29"/>
        <v>0.53645833333333337</v>
      </c>
      <c r="G27" s="43">
        <f t="shared" si="29"/>
        <v>0.53141361256544506</v>
      </c>
      <c r="H27" s="43">
        <f t="shared" si="29"/>
        <v>0.56992084432717682</v>
      </c>
      <c r="I27" s="43">
        <f t="shared" si="29"/>
        <v>0.62105263157894741</v>
      </c>
      <c r="J27" s="43">
        <f t="shared" si="29"/>
        <v>0.4453125</v>
      </c>
      <c r="K27" s="43">
        <f t="shared" si="29"/>
        <v>0.89682539682539686</v>
      </c>
      <c r="L27" s="43">
        <f t="shared" si="29"/>
        <v>1.3839779005524862</v>
      </c>
      <c r="M27" s="43">
        <f t="shared" si="29"/>
        <v>0.69573383165420899</v>
      </c>
      <c r="N27" s="43">
        <f t="shared" si="29"/>
        <v>0.47938552161195958</v>
      </c>
      <c r="AA27" s="8">
        <f t="shared" si="12"/>
        <v>2.2022546779808532</v>
      </c>
      <c r="AB27" s="8">
        <f t="shared" si="13"/>
        <v>2.1676995884715695</v>
      </c>
      <c r="AC27" s="31">
        <f t="shared" si="15"/>
        <v>3.4559226506440517</v>
      </c>
      <c r="AD27" s="37">
        <f>+AD25/AD26</f>
        <v>3.3875227562068755</v>
      </c>
      <c r="AE27" s="37">
        <f t="shared" ref="AE27:AL27" si="30">+AE25/AE26</f>
        <v>3.3204908596584368</v>
      </c>
      <c r="AF27" s="37">
        <f t="shared" si="30"/>
        <v>3.2547996010409701</v>
      </c>
      <c r="AG27" s="37">
        <f t="shared" si="30"/>
        <v>3.1904221675958522</v>
      </c>
      <c r="AH27" s="37">
        <f t="shared" si="30"/>
        <v>3.1273322828196353</v>
      </c>
      <c r="AI27" s="37">
        <f t="shared" si="30"/>
        <v>3.0655041957389417</v>
      </c>
      <c r="AJ27" s="37">
        <f t="shared" si="30"/>
        <v>3.0049126703998628</v>
      </c>
      <c r="AK27" s="37">
        <f t="shared" si="30"/>
        <v>2.9455329755675677</v>
      </c>
      <c r="AL27" s="37">
        <f t="shared" si="30"/>
        <v>2.8873408746319145</v>
      </c>
    </row>
    <row r="29" spans="2:266" x14ac:dyDescent="0.15">
      <c r="B29" s="10" t="s">
        <v>27</v>
      </c>
      <c r="C29" s="10"/>
      <c r="D29" s="10"/>
      <c r="E29" s="10"/>
      <c r="F29" s="10"/>
    </row>
    <row r="30" spans="2:266" s="15" customFormat="1" x14ac:dyDescent="0.15">
      <c r="B30" s="15" t="s">
        <v>26</v>
      </c>
      <c r="F30" s="16"/>
      <c r="G30" s="16">
        <f t="shared" ref="G30:N30" si="31">+G18/C18-1</f>
        <v>2.2136953955135708E-2</v>
      </c>
      <c r="H30" s="16">
        <f t="shared" si="31"/>
        <v>1.3440860215054862E-3</v>
      </c>
      <c r="I30" s="16">
        <f t="shared" si="31"/>
        <v>2.9511621833376855E-2</v>
      </c>
      <c r="J30" s="16">
        <f t="shared" si="31"/>
        <v>2.0968908170643452E-2</v>
      </c>
      <c r="K30" s="16">
        <f t="shared" si="31"/>
        <v>9.8180768120126327E-3</v>
      </c>
      <c r="L30" s="16">
        <f t="shared" si="31"/>
        <v>-1.986577181208049E-2</v>
      </c>
      <c r="M30" s="16">
        <f t="shared" si="31"/>
        <v>1.0000000000000009E-2</v>
      </c>
      <c r="N30" s="16">
        <f t="shared" si="31"/>
        <v>1.0000000000000009E-2</v>
      </c>
      <c r="S30" s="16">
        <f t="shared" ref="S30:AB30" si="32">+S18/R18-1</f>
        <v>-1.778818763056278E-2</v>
      </c>
      <c r="T30" s="16">
        <f t="shared" si="32"/>
        <v>2.1848414539829886E-2</v>
      </c>
      <c r="U30" s="16">
        <f t="shared" si="32"/>
        <v>4.57269000315359E-2</v>
      </c>
      <c r="V30" s="16">
        <f t="shared" si="32"/>
        <v>-1.1881785283474056E-2</v>
      </c>
      <c r="W30" s="16">
        <f t="shared" si="32"/>
        <v>-0.15766343160593299</v>
      </c>
      <c r="X30" s="16">
        <f t="shared" si="32"/>
        <v>0</v>
      </c>
      <c r="Y30" s="16">
        <f t="shared" si="32"/>
        <v>0.20797101449275357</v>
      </c>
      <c r="Z30" s="16">
        <f t="shared" si="32"/>
        <v>-6.3227354529094226E-2</v>
      </c>
      <c r="AA30" s="16">
        <f t="shared" si="32"/>
        <v>-3.3939549180327822E-2</v>
      </c>
      <c r="AB30" s="16">
        <f t="shared" si="32"/>
        <v>1.8560254540633592E-2</v>
      </c>
      <c r="AC30" s="38">
        <f>+AC18/AB18-1</f>
        <v>2.7189899778732318E-3</v>
      </c>
      <c r="AD30" s="38">
        <f t="shared" ref="AD30:AL30" si="33">+AD18/AC18-1</f>
        <v>-2.0000000000000018E-2</v>
      </c>
      <c r="AE30" s="38">
        <f t="shared" si="33"/>
        <v>-2.0000000000000018E-2</v>
      </c>
      <c r="AF30" s="38">
        <f t="shared" si="33"/>
        <v>-2.0000000000000018E-2</v>
      </c>
      <c r="AG30" s="38">
        <f t="shared" si="33"/>
        <v>-2.0000000000000129E-2</v>
      </c>
      <c r="AH30" s="38">
        <f t="shared" si="33"/>
        <v>-2.0000000000000018E-2</v>
      </c>
      <c r="AI30" s="38">
        <f t="shared" si="33"/>
        <v>-2.0000000000000018E-2</v>
      </c>
      <c r="AJ30" s="38">
        <f t="shared" si="33"/>
        <v>-2.0000000000000018E-2</v>
      </c>
      <c r="AK30" s="38">
        <f t="shared" si="33"/>
        <v>-1.9999999999999907E-2</v>
      </c>
      <c r="AL30" s="38">
        <f t="shared" si="33"/>
        <v>-2.0000000000000018E-2</v>
      </c>
    </row>
    <row r="31" spans="2:266" s="15" customFormat="1" x14ac:dyDescent="0.15">
      <c r="B31" s="15" t="s">
        <v>32</v>
      </c>
      <c r="C31" s="16">
        <f t="shared" ref="C31:N31" si="34">(C18-C19)/C18</f>
        <v>0.41233766233766234</v>
      </c>
      <c r="D31" s="16">
        <f t="shared" si="34"/>
        <v>0.42553763440860215</v>
      </c>
      <c r="E31" s="16">
        <f t="shared" si="34"/>
        <v>0.42700443980151476</v>
      </c>
      <c r="F31" s="16">
        <f t="shared" si="34"/>
        <v>0.38852735598939503</v>
      </c>
      <c r="G31" s="16">
        <f t="shared" si="34"/>
        <v>0.41813456540571758</v>
      </c>
      <c r="H31" s="16">
        <f t="shared" si="34"/>
        <v>0.41234899328859059</v>
      </c>
      <c r="I31" s="16">
        <f t="shared" si="34"/>
        <v>0.42364282090309485</v>
      </c>
      <c r="J31" s="16">
        <f t="shared" si="34"/>
        <v>0.38101983002832862</v>
      </c>
      <c r="K31" s="16">
        <f t="shared" si="34"/>
        <v>0.40520446096654272</v>
      </c>
      <c r="L31" s="16">
        <f t="shared" si="34"/>
        <v>0.52834839769926045</v>
      </c>
      <c r="M31" s="16">
        <f t="shared" si="34"/>
        <v>0.42364282090309496</v>
      </c>
      <c r="N31" s="16">
        <f t="shared" si="34"/>
        <v>0.38101983002832862</v>
      </c>
      <c r="R31" s="16">
        <f t="shared" ref="R31:AA31" si="35">(R18-R19)/R18</f>
        <v>0.36209406849401787</v>
      </c>
      <c r="S31" s="16">
        <f t="shared" si="35"/>
        <v>0.36349574632637277</v>
      </c>
      <c r="T31" s="16">
        <f t="shared" si="35"/>
        <v>0.38259224219489119</v>
      </c>
      <c r="U31" s="16">
        <f t="shared" si="35"/>
        <v>0.38130277442702049</v>
      </c>
      <c r="V31" s="16">
        <f t="shared" si="35"/>
        <v>0.37435146188121832</v>
      </c>
      <c r="W31" s="16">
        <f t="shared" si="35"/>
        <v>0.34094202898550724</v>
      </c>
      <c r="X31" s="16">
        <f t="shared" si="35"/>
        <v>0.27297101449275363</v>
      </c>
      <c r="Y31" s="16">
        <f t="shared" si="35"/>
        <v>0.38470305938812238</v>
      </c>
      <c r="Z31" s="16">
        <f t="shared" si="35"/>
        <v>0.41636782786885246</v>
      </c>
      <c r="AA31" s="16">
        <f t="shared" si="35"/>
        <v>0.41276680365902163</v>
      </c>
      <c r="AB31" s="16">
        <f>(AB18-AB19)/AB18</f>
        <v>0.40791357542626577</v>
      </c>
      <c r="AC31" s="38">
        <f>(AC18-AC19)/AC18</f>
        <v>0.4324334849017834</v>
      </c>
      <c r="AD31" s="38">
        <f t="shared" ref="AD31:AL31" si="36">(AD18-AD19)/AD18</f>
        <v>0.43243348490178346</v>
      </c>
      <c r="AE31" s="38">
        <f t="shared" si="36"/>
        <v>0.43243348490178352</v>
      </c>
      <c r="AF31" s="38">
        <f t="shared" si="36"/>
        <v>0.43243348490178352</v>
      </c>
      <c r="AG31" s="38">
        <f t="shared" si="36"/>
        <v>0.43243348490178357</v>
      </c>
      <c r="AH31" s="38">
        <f t="shared" si="36"/>
        <v>0.43243348490178363</v>
      </c>
      <c r="AI31" s="38">
        <f t="shared" si="36"/>
        <v>0.43243348490178357</v>
      </c>
      <c r="AJ31" s="38">
        <f t="shared" si="36"/>
        <v>0.43243348490178357</v>
      </c>
      <c r="AK31" s="38">
        <f t="shared" si="36"/>
        <v>0.43243348490178357</v>
      </c>
      <c r="AL31" s="38">
        <f t="shared" si="36"/>
        <v>0.43243348490178357</v>
      </c>
    </row>
    <row r="33" spans="2:42" x14ac:dyDescent="0.15">
      <c r="B33" s="10" t="s">
        <v>33</v>
      </c>
      <c r="C33" s="39"/>
      <c r="D33" s="39"/>
      <c r="E33" s="40">
        <v>1969</v>
      </c>
      <c r="F33" s="40">
        <v>2335</v>
      </c>
      <c r="G33" s="40">
        <v>1976</v>
      </c>
      <c r="H33" s="40">
        <v>2194</v>
      </c>
      <c r="I33" s="40">
        <v>2262</v>
      </c>
      <c r="J33" s="40">
        <v>2616</v>
      </c>
      <c r="K33" s="40">
        <v>2162</v>
      </c>
      <c r="L33" s="40">
        <v>2103</v>
      </c>
      <c r="AC33" s="31">
        <f>+K54</f>
        <v>1069</v>
      </c>
      <c r="AO33" s="10" t="s">
        <v>95</v>
      </c>
      <c r="AP33" s="13">
        <v>-0.01</v>
      </c>
    </row>
    <row r="34" spans="2:42" x14ac:dyDescent="0.15">
      <c r="B34" s="10" t="s">
        <v>45</v>
      </c>
      <c r="C34" s="39"/>
      <c r="D34" s="39"/>
      <c r="E34" s="40">
        <v>250</v>
      </c>
      <c r="F34" s="40">
        <v>253</v>
      </c>
      <c r="G34" s="40">
        <v>244</v>
      </c>
      <c r="H34" s="40">
        <v>238</v>
      </c>
      <c r="I34" s="40">
        <v>255</v>
      </c>
      <c r="J34" s="40">
        <v>386</v>
      </c>
      <c r="K34" s="40">
        <v>399</v>
      </c>
      <c r="L34" s="40">
        <v>382</v>
      </c>
      <c r="AO34" s="10" t="s">
        <v>96</v>
      </c>
      <c r="AP34" s="13">
        <v>0.08</v>
      </c>
    </row>
    <row r="35" spans="2:42" x14ac:dyDescent="0.15">
      <c r="B35" s="10" t="s">
        <v>46</v>
      </c>
      <c r="C35" s="39"/>
      <c r="D35" s="39"/>
      <c r="E35" s="40">
        <v>2331</v>
      </c>
      <c r="F35" s="40">
        <v>2067</v>
      </c>
      <c r="G35" s="40">
        <v>2097</v>
      </c>
      <c r="H35" s="40">
        <v>2294</v>
      </c>
      <c r="I35" s="40">
        <v>2459</v>
      </c>
      <c r="J35" s="40">
        <v>2207</v>
      </c>
      <c r="K35" s="40">
        <v>2095</v>
      </c>
      <c r="L35" s="40">
        <v>2297</v>
      </c>
      <c r="AO35" s="10" t="s">
        <v>94</v>
      </c>
      <c r="AP35" s="8">
        <f>NPV(AP34,AC25:XFD25)</f>
        <v>13257.996733773329</v>
      </c>
    </row>
    <row r="36" spans="2:42" x14ac:dyDescent="0.15">
      <c r="B36" s="10" t="s">
        <v>47</v>
      </c>
      <c r="C36" s="39"/>
      <c r="D36" s="39"/>
      <c r="E36" s="40">
        <v>580</v>
      </c>
      <c r="F36" s="40">
        <v>548</v>
      </c>
      <c r="G36" s="40">
        <v>567</v>
      </c>
      <c r="H36" s="40">
        <v>651</v>
      </c>
      <c r="I36" s="40">
        <v>664</v>
      </c>
      <c r="J36" s="40">
        <v>568</v>
      </c>
      <c r="K36" s="40">
        <v>583</v>
      </c>
      <c r="L36" s="40">
        <v>1088</v>
      </c>
      <c r="AO36" s="10" t="s">
        <v>97</v>
      </c>
      <c r="AP36" s="8">
        <f>+Main!K3</f>
        <v>351.27013699999998</v>
      </c>
    </row>
    <row r="37" spans="2:42" x14ac:dyDescent="0.15">
      <c r="B37" s="10" t="s">
        <v>48</v>
      </c>
      <c r="C37" s="39"/>
      <c r="D37" s="39"/>
      <c r="E37" s="40">
        <v>2546</v>
      </c>
      <c r="F37" s="40">
        <v>2496</v>
      </c>
      <c r="G37" s="40">
        <v>2470</v>
      </c>
      <c r="H37" s="40">
        <v>2478</v>
      </c>
      <c r="I37" s="40">
        <v>2517</v>
      </c>
      <c r="J37" s="40">
        <v>2507</v>
      </c>
      <c r="K37" s="40">
        <v>2535</v>
      </c>
      <c r="L37" s="40">
        <v>2555</v>
      </c>
      <c r="AO37" s="10" t="s">
        <v>98</v>
      </c>
      <c r="AP37" s="8">
        <f>+AP35/AP36</f>
        <v>37.743022640644597</v>
      </c>
    </row>
    <row r="38" spans="2:42" x14ac:dyDescent="0.15">
      <c r="B38" s="10" t="s">
        <v>49</v>
      </c>
      <c r="C38" s="39"/>
      <c r="D38" s="39"/>
      <c r="E38" s="40">
        <v>3217</v>
      </c>
      <c r="F38" s="40">
        <v>3240</v>
      </c>
      <c r="G38" s="40">
        <v>3267</v>
      </c>
      <c r="H38" s="40">
        <v>3397</v>
      </c>
      <c r="I38" s="40">
        <v>3337</v>
      </c>
      <c r="J38" s="40">
        <v>3443</v>
      </c>
      <c r="K38" s="40">
        <v>3480</v>
      </c>
      <c r="L38" s="40">
        <v>3557</v>
      </c>
      <c r="AO38" s="10" t="s">
        <v>99</v>
      </c>
      <c r="AP38" s="8">
        <f>+Main!K2</f>
        <v>23.48</v>
      </c>
    </row>
    <row r="39" spans="2:42" x14ac:dyDescent="0.15">
      <c r="B39" s="10" t="s">
        <v>50</v>
      </c>
      <c r="C39" s="39"/>
      <c r="D39" s="39"/>
      <c r="E39" s="40">
        <v>960</v>
      </c>
      <c r="F39" s="40">
        <v>946</v>
      </c>
      <c r="G39" s="40">
        <v>944</v>
      </c>
      <c r="H39" s="40">
        <v>894</v>
      </c>
      <c r="I39" s="40">
        <v>876</v>
      </c>
      <c r="J39" s="40">
        <v>905</v>
      </c>
      <c r="K39" s="40">
        <v>883</v>
      </c>
      <c r="L39" s="40">
        <v>874</v>
      </c>
      <c r="AO39" s="10" t="s">
        <v>100</v>
      </c>
      <c r="AP39" s="13">
        <f>+AP37/AP38-1</f>
        <v>0.60745411587072384</v>
      </c>
    </row>
    <row r="40" spans="2:42" x14ac:dyDescent="0.15">
      <c r="B40" s="22" t="s">
        <v>44</v>
      </c>
      <c r="C40" s="23"/>
      <c r="D40" s="23"/>
      <c r="E40" s="23">
        <f t="shared" ref="E40:L40" si="37">+SUM(E33:E39)</f>
        <v>11853</v>
      </c>
      <c r="F40" s="23">
        <f t="shared" si="37"/>
        <v>11885</v>
      </c>
      <c r="G40" s="23">
        <f t="shared" si="37"/>
        <v>11565</v>
      </c>
      <c r="H40" s="23">
        <f t="shared" si="37"/>
        <v>12146</v>
      </c>
      <c r="I40" s="23">
        <f t="shared" si="37"/>
        <v>12370</v>
      </c>
      <c r="J40" s="23">
        <f t="shared" si="37"/>
        <v>12632</v>
      </c>
      <c r="K40" s="23">
        <f t="shared" si="37"/>
        <v>12137</v>
      </c>
      <c r="L40" s="23">
        <f t="shared" si="37"/>
        <v>12856</v>
      </c>
      <c r="M40" s="23"/>
      <c r="N40" s="23"/>
      <c r="R40" s="24"/>
      <c r="S40" s="24"/>
      <c r="T40" s="24"/>
      <c r="U40" s="24"/>
      <c r="V40" s="24"/>
      <c r="W40" s="24"/>
      <c r="X40" s="24"/>
      <c r="Y40" s="24"/>
      <c r="Z40" s="24"/>
      <c r="AA40" s="23"/>
      <c r="AB40" s="23"/>
      <c r="AC40" s="32"/>
      <c r="AD40" s="33"/>
      <c r="AE40" s="33"/>
      <c r="AF40" s="33"/>
      <c r="AG40" s="33"/>
      <c r="AH40" s="33"/>
      <c r="AI40" s="33"/>
      <c r="AJ40" s="33"/>
      <c r="AK40" s="33"/>
      <c r="AL40" s="33"/>
    </row>
    <row r="41" spans="2:42" x14ac:dyDescent="0.15">
      <c r="E41" s="9"/>
      <c r="F41" s="9"/>
    </row>
    <row r="42" spans="2:42" x14ac:dyDescent="0.15">
      <c r="B42" s="10" t="s">
        <v>51</v>
      </c>
      <c r="C42" s="39"/>
      <c r="D42" s="39"/>
      <c r="E42" s="40">
        <v>1523</v>
      </c>
      <c r="F42" s="40">
        <v>1488</v>
      </c>
      <c r="G42" s="40">
        <v>1292</v>
      </c>
      <c r="H42" s="40">
        <v>1656</v>
      </c>
      <c r="I42" s="40">
        <v>1545</v>
      </c>
      <c r="J42" s="40">
        <v>1567</v>
      </c>
      <c r="K42" s="40">
        <v>1298</v>
      </c>
      <c r="L42" s="40">
        <v>1696</v>
      </c>
    </row>
    <row r="43" spans="2:42" x14ac:dyDescent="0.15">
      <c r="B43" s="10" t="s">
        <v>52</v>
      </c>
      <c r="C43" s="39"/>
      <c r="D43" s="39"/>
      <c r="E43" s="40">
        <v>1135</v>
      </c>
      <c r="F43" s="40">
        <v>1083</v>
      </c>
      <c r="G43" s="40">
        <v>841</v>
      </c>
      <c r="H43" s="40">
        <v>881</v>
      </c>
      <c r="I43" s="40">
        <v>1067</v>
      </c>
      <c r="J43" s="40">
        <v>1044</v>
      </c>
      <c r="K43" s="40">
        <v>883</v>
      </c>
      <c r="L43" s="40">
        <v>869</v>
      </c>
    </row>
    <row r="44" spans="2:42" x14ac:dyDescent="0.15">
      <c r="B44" s="10" t="s">
        <v>53</v>
      </c>
      <c r="C44" s="39"/>
      <c r="D44" s="39"/>
      <c r="E44" s="40">
        <v>617</v>
      </c>
      <c r="F44" s="40">
        <v>632</v>
      </c>
      <c r="G44" s="40">
        <v>633</v>
      </c>
      <c r="H44" s="40">
        <v>631</v>
      </c>
      <c r="I44" s="40">
        <v>629</v>
      </c>
      <c r="J44" s="40">
        <v>634</v>
      </c>
      <c r="K44" s="40">
        <v>632</v>
      </c>
      <c r="L44" s="40">
        <v>618</v>
      </c>
    </row>
    <row r="45" spans="2:42" x14ac:dyDescent="0.15">
      <c r="B45" s="10" t="s">
        <v>54</v>
      </c>
      <c r="C45" s="39"/>
      <c r="D45" s="39"/>
      <c r="E45" s="40">
        <v>50</v>
      </c>
      <c r="F45" s="40">
        <v>53</v>
      </c>
      <c r="G45" s="40">
        <v>88</v>
      </c>
      <c r="H45" s="40">
        <v>29</v>
      </c>
      <c r="I45" s="40">
        <v>38</v>
      </c>
      <c r="J45" s="40">
        <v>55</v>
      </c>
      <c r="K45" s="40">
        <v>89</v>
      </c>
      <c r="L45" s="40">
        <v>38</v>
      </c>
    </row>
    <row r="46" spans="2:42" x14ac:dyDescent="0.15">
      <c r="B46" s="10" t="s">
        <v>55</v>
      </c>
      <c r="C46" s="39"/>
      <c r="D46" s="39"/>
      <c r="E46" s="40">
        <v>1489</v>
      </c>
      <c r="F46" s="40">
        <v>1490</v>
      </c>
      <c r="G46" s="40">
        <v>1490</v>
      </c>
      <c r="H46" s="40">
        <v>1491</v>
      </c>
      <c r="I46" s="40">
        <v>1491</v>
      </c>
      <c r="J46" s="40">
        <v>1492</v>
      </c>
      <c r="K46" s="40">
        <v>1492</v>
      </c>
      <c r="L46" s="40">
        <v>1493</v>
      </c>
    </row>
    <row r="47" spans="2:42" x14ac:dyDescent="0.15">
      <c r="B47" s="10" t="s">
        <v>56</v>
      </c>
      <c r="C47" s="39"/>
      <c r="D47" s="39"/>
      <c r="E47" s="40">
        <v>3360</v>
      </c>
      <c r="F47" s="40">
        <v>3353</v>
      </c>
      <c r="G47" s="40">
        <v>3363</v>
      </c>
      <c r="H47" s="40">
        <v>3470</v>
      </c>
      <c r="I47" s="40">
        <v>3396</v>
      </c>
      <c r="J47" s="40">
        <v>3485</v>
      </c>
      <c r="K47" s="40">
        <v>3519</v>
      </c>
      <c r="L47" s="40">
        <v>3609</v>
      </c>
    </row>
    <row r="48" spans="2:42" x14ac:dyDescent="0.15">
      <c r="B48" s="10" t="s">
        <v>57</v>
      </c>
      <c r="C48" s="39"/>
      <c r="D48" s="39"/>
      <c r="E48" s="40">
        <v>544</v>
      </c>
      <c r="F48" s="40">
        <v>522</v>
      </c>
      <c r="G48" s="40">
        <v>537</v>
      </c>
      <c r="H48" s="40">
        <v>555</v>
      </c>
      <c r="I48" s="40">
        <v>557</v>
      </c>
      <c r="J48" s="40">
        <v>554</v>
      </c>
      <c r="K48" s="40">
        <v>570</v>
      </c>
      <c r="L48" s="40">
        <v>582</v>
      </c>
    </row>
    <row r="49" spans="2:38" x14ac:dyDescent="0.15">
      <c r="B49" s="10" t="s">
        <v>43</v>
      </c>
      <c r="E49" s="40">
        <v>3135</v>
      </c>
      <c r="F49" s="40">
        <v>3264</v>
      </c>
      <c r="G49" s="40">
        <v>3321</v>
      </c>
      <c r="H49" s="40">
        <v>3433</v>
      </c>
      <c r="I49" s="40">
        <v>3647</v>
      </c>
      <c r="J49" s="40">
        <v>3801</v>
      </c>
      <c r="K49" s="40">
        <v>3655</v>
      </c>
      <c r="L49" s="40">
        <v>3951</v>
      </c>
    </row>
    <row r="50" spans="2:38" x14ac:dyDescent="0.15">
      <c r="B50" s="22" t="s">
        <v>42</v>
      </c>
      <c r="C50" s="23"/>
      <c r="D50" s="23"/>
      <c r="E50" s="23">
        <f t="shared" ref="E50:L50" si="38">+SUM(E42:E49)</f>
        <v>11853</v>
      </c>
      <c r="F50" s="23">
        <f t="shared" si="38"/>
        <v>11885</v>
      </c>
      <c r="G50" s="23">
        <f t="shared" si="38"/>
        <v>11565</v>
      </c>
      <c r="H50" s="23">
        <f t="shared" si="38"/>
        <v>12146</v>
      </c>
      <c r="I50" s="23">
        <f t="shared" si="38"/>
        <v>12370</v>
      </c>
      <c r="J50" s="23">
        <f t="shared" si="38"/>
        <v>12632</v>
      </c>
      <c r="K50" s="23">
        <f t="shared" si="38"/>
        <v>12138</v>
      </c>
      <c r="L50" s="23">
        <f t="shared" si="38"/>
        <v>12856</v>
      </c>
      <c r="M50" s="23"/>
      <c r="N50" s="23"/>
      <c r="R50" s="24"/>
      <c r="S50" s="24"/>
      <c r="T50" s="24"/>
      <c r="U50" s="24"/>
      <c r="V50" s="24"/>
      <c r="W50" s="24"/>
      <c r="X50" s="24"/>
      <c r="Y50" s="24"/>
      <c r="Z50" s="24"/>
      <c r="AA50" s="23"/>
      <c r="AB50" s="23"/>
      <c r="AC50" s="32"/>
      <c r="AD50" s="33"/>
      <c r="AE50" s="33"/>
      <c r="AF50" s="33"/>
      <c r="AG50" s="33"/>
      <c r="AH50" s="33"/>
      <c r="AI50" s="33"/>
      <c r="AJ50" s="33"/>
      <c r="AK50" s="33"/>
      <c r="AL50" s="33"/>
    </row>
    <row r="51" spans="2:38" x14ac:dyDescent="0.15">
      <c r="B51" s="10"/>
      <c r="E51" s="9"/>
      <c r="F51" s="9"/>
    </row>
    <row r="52" spans="2:38" x14ac:dyDescent="0.15">
      <c r="B52" s="10" t="s">
        <v>101</v>
      </c>
      <c r="E52" s="9">
        <f>+E33+E34</f>
        <v>2219</v>
      </c>
      <c r="F52" s="9">
        <f t="shared" ref="F52:K52" si="39">+F33+F34</f>
        <v>2588</v>
      </c>
      <c r="G52" s="9">
        <f t="shared" si="39"/>
        <v>2220</v>
      </c>
      <c r="H52" s="9">
        <f t="shared" si="39"/>
        <v>2432</v>
      </c>
      <c r="I52" s="9">
        <f t="shared" si="39"/>
        <v>2517</v>
      </c>
      <c r="J52" s="9">
        <f t="shared" si="39"/>
        <v>3002</v>
      </c>
      <c r="K52" s="9">
        <f t="shared" si="39"/>
        <v>2561</v>
      </c>
      <c r="L52" s="9">
        <f t="shared" ref="L52" si="40">+L33+L34</f>
        <v>2485</v>
      </c>
    </row>
    <row r="53" spans="2:38" x14ac:dyDescent="0.15">
      <c r="B53" s="10" t="s">
        <v>102</v>
      </c>
      <c r="E53" s="9">
        <f>+E46</f>
        <v>1489</v>
      </c>
      <c r="F53" s="9">
        <f t="shared" ref="F53:K53" si="41">+F46</f>
        <v>1490</v>
      </c>
      <c r="G53" s="9">
        <f t="shared" si="41"/>
        <v>1490</v>
      </c>
      <c r="H53" s="9">
        <f t="shared" si="41"/>
        <v>1491</v>
      </c>
      <c r="I53" s="9">
        <f t="shared" si="41"/>
        <v>1491</v>
      </c>
      <c r="J53" s="9">
        <f t="shared" si="41"/>
        <v>1492</v>
      </c>
      <c r="K53" s="9">
        <f t="shared" si="41"/>
        <v>1492</v>
      </c>
      <c r="L53" s="9">
        <f t="shared" ref="L53" si="42">+L46</f>
        <v>1493</v>
      </c>
    </row>
    <row r="54" spans="2:38" x14ac:dyDescent="0.15">
      <c r="B54" s="10" t="s">
        <v>103</v>
      </c>
      <c r="E54" s="9">
        <f>+E52-E53</f>
        <v>730</v>
      </c>
      <c r="F54" s="9">
        <f t="shared" ref="F54:K54" si="43">+F52-F53</f>
        <v>1098</v>
      </c>
      <c r="G54" s="9">
        <f t="shared" si="43"/>
        <v>730</v>
      </c>
      <c r="H54" s="9">
        <f t="shared" si="43"/>
        <v>941</v>
      </c>
      <c r="I54" s="9">
        <f t="shared" si="43"/>
        <v>1026</v>
      </c>
      <c r="J54" s="9">
        <f t="shared" si="43"/>
        <v>1510</v>
      </c>
      <c r="K54" s="9">
        <f t="shared" si="43"/>
        <v>1069</v>
      </c>
      <c r="L54" s="9">
        <f t="shared" ref="L54" si="44">+L52-L53</f>
        <v>992</v>
      </c>
    </row>
    <row r="55" spans="2:38" x14ac:dyDescent="0.15">
      <c r="B55" s="10"/>
      <c r="E55" s="9"/>
      <c r="F55" s="9"/>
    </row>
    <row r="56" spans="2:38" x14ac:dyDescent="0.15">
      <c r="B56" s="10" t="s">
        <v>87</v>
      </c>
      <c r="E56" s="9"/>
      <c r="F56" s="9"/>
    </row>
    <row r="57" spans="2:38" x14ac:dyDescent="0.15">
      <c r="B57" s="10" t="s">
        <v>88</v>
      </c>
      <c r="E57" s="9">
        <f t="shared" ref="E57:K57" si="45">(E35/E19) * 90</f>
        <v>95.619872379216048</v>
      </c>
      <c r="F57" s="9">
        <f t="shared" si="45"/>
        <v>73.326763894363424</v>
      </c>
      <c r="G57" s="9">
        <f t="shared" si="45"/>
        <v>93.66253101736973</v>
      </c>
      <c r="H57" s="9">
        <f t="shared" si="45"/>
        <v>94.317039744175418</v>
      </c>
      <c r="I57" s="9">
        <f t="shared" si="45"/>
        <v>97.407570422535215</v>
      </c>
      <c r="J57" s="9">
        <f t="shared" si="45"/>
        <v>75.755148741418765</v>
      </c>
      <c r="K57" s="9">
        <f t="shared" si="45"/>
        <v>90.649038461538467</v>
      </c>
      <c r="L57" s="9">
        <f t="shared" ref="L57" si="46">(L35/L19) * 90</f>
        <v>120.05226480836237</v>
      </c>
    </row>
    <row r="58" spans="2:38" x14ac:dyDescent="0.15">
      <c r="B58" s="10" t="s">
        <v>89</v>
      </c>
      <c r="E58" s="9">
        <f t="shared" ref="E58:K58" si="47">(E42/E19) * 90</f>
        <v>62.474931631722882</v>
      </c>
      <c r="F58" s="9">
        <f t="shared" si="47"/>
        <v>52.786756011036658</v>
      </c>
      <c r="G58" s="9">
        <f t="shared" si="47"/>
        <v>57.707196029776675</v>
      </c>
      <c r="H58" s="9">
        <f t="shared" si="47"/>
        <v>68.085883965280942</v>
      </c>
      <c r="I58" s="9">
        <f t="shared" si="47"/>
        <v>61.201584507042256</v>
      </c>
      <c r="J58" s="9">
        <f t="shared" si="47"/>
        <v>53.787185354691076</v>
      </c>
      <c r="K58" s="9">
        <f t="shared" si="47"/>
        <v>56.16346153846154</v>
      </c>
      <c r="L58" s="9">
        <f t="shared" ref="L58" si="48">(L42/L19) * 90</f>
        <v>88.641114982578401</v>
      </c>
    </row>
    <row r="59" spans="2:38" x14ac:dyDescent="0.15">
      <c r="B59" s="10" t="s">
        <v>90</v>
      </c>
      <c r="E59" s="8">
        <f>+E57+E56-E58</f>
        <v>33.144940747493166</v>
      </c>
      <c r="F59" s="8">
        <f t="shared" ref="F59:K59" si="49">+F57+F56-F58</f>
        <v>20.540007883326766</v>
      </c>
      <c r="G59" s="8">
        <f t="shared" si="49"/>
        <v>35.955334987593055</v>
      </c>
      <c r="H59" s="8">
        <f t="shared" si="49"/>
        <v>26.231155778894475</v>
      </c>
      <c r="I59" s="8">
        <f t="shared" si="49"/>
        <v>36.20598591549296</v>
      </c>
      <c r="J59" s="8">
        <f t="shared" si="49"/>
        <v>21.967963386727689</v>
      </c>
      <c r="K59" s="8">
        <f t="shared" si="49"/>
        <v>34.485576923076927</v>
      </c>
      <c r="L59" s="8">
        <f t="shared" ref="L59" si="50">+L57+L56-L58</f>
        <v>31.411149825783966</v>
      </c>
    </row>
    <row r="62" spans="2:38" x14ac:dyDescent="0.15">
      <c r="B62" s="10" t="s">
        <v>59</v>
      </c>
      <c r="C62" s="39"/>
      <c r="D62" s="39"/>
      <c r="E62" s="39"/>
      <c r="F62" s="39"/>
      <c r="G62" s="40">
        <v>193</v>
      </c>
      <c r="H62" s="40">
        <f>409-G62</f>
        <v>216</v>
      </c>
      <c r="I62" s="40">
        <f>645-SUM(G62:H62)</f>
        <v>236</v>
      </c>
      <c r="J62" s="40">
        <f>816-I62-H62-G62</f>
        <v>171</v>
      </c>
      <c r="K62" s="40">
        <v>339</v>
      </c>
      <c r="L62" s="9">
        <f>840-K62</f>
        <v>501</v>
      </c>
    </row>
    <row r="63" spans="2:38" x14ac:dyDescent="0.15">
      <c r="B63" s="10" t="s">
        <v>60</v>
      </c>
      <c r="C63" s="39"/>
      <c r="D63" s="39"/>
      <c r="E63" s="39"/>
      <c r="F63" s="39"/>
      <c r="G63" s="40">
        <v>121</v>
      </c>
      <c r="H63" s="40">
        <f>243-G63</f>
        <v>122</v>
      </c>
      <c r="I63" s="40">
        <f>368-SUM(G63:H63)</f>
        <v>125</v>
      </c>
      <c r="J63" s="40">
        <f>496-SUM(H63:I63)</f>
        <v>249</v>
      </c>
      <c r="K63" s="40">
        <v>128</v>
      </c>
      <c r="L63" s="9">
        <f>259-K63</f>
        <v>131</v>
      </c>
    </row>
    <row r="64" spans="2:38" x14ac:dyDescent="0.15">
      <c r="B64" s="10" t="s">
        <v>61</v>
      </c>
      <c r="C64" s="39"/>
      <c r="D64" s="39"/>
      <c r="E64" s="39"/>
      <c r="F64" s="39"/>
      <c r="G64" s="40">
        <v>-18</v>
      </c>
      <c r="H64" s="40">
        <f>+-214-G64</f>
        <v>-196</v>
      </c>
      <c r="I64" s="40">
        <f>+-386-SUM(G64:H64)</f>
        <v>-172</v>
      </c>
      <c r="J64" s="40">
        <f>+-129-SUM(G64:I64)</f>
        <v>257</v>
      </c>
      <c r="K64" s="40">
        <v>112</v>
      </c>
      <c r="L64" s="9">
        <f>+-97-K64</f>
        <v>-209</v>
      </c>
    </row>
    <row r="65" spans="2:38" x14ac:dyDescent="0.15">
      <c r="B65" s="10" t="s">
        <v>105</v>
      </c>
      <c r="C65" s="39"/>
      <c r="D65" s="39"/>
      <c r="E65" s="39"/>
      <c r="F65" s="39"/>
      <c r="G65" s="40"/>
      <c r="H65" s="40"/>
      <c r="I65" s="40"/>
      <c r="J65" s="40"/>
      <c r="K65" s="40"/>
      <c r="L65" s="9">
        <f>+-524-K65</f>
        <v>-524</v>
      </c>
    </row>
    <row r="66" spans="2:38" x14ac:dyDescent="0.15">
      <c r="B66" s="10" t="s">
        <v>62</v>
      </c>
      <c r="C66" s="39"/>
      <c r="D66" s="39"/>
      <c r="E66" s="39"/>
      <c r="F66" s="39"/>
      <c r="G66" s="40">
        <v>-203</v>
      </c>
      <c r="H66" s="40">
        <v>0</v>
      </c>
      <c r="I66" s="40">
        <f>23-SUM(G66:H66)</f>
        <v>226</v>
      </c>
      <c r="J66" s="40">
        <f>57-SUM(G66:I66)</f>
        <v>34</v>
      </c>
      <c r="K66" s="40">
        <v>-291</v>
      </c>
      <c r="L66" s="9">
        <f>116-K66</f>
        <v>407</v>
      </c>
    </row>
    <row r="67" spans="2:38" x14ac:dyDescent="0.15">
      <c r="B67" s="10" t="s">
        <v>63</v>
      </c>
      <c r="C67" s="39"/>
      <c r="D67" s="39"/>
      <c r="E67" s="39"/>
      <c r="F67" s="39"/>
      <c r="G67" s="40">
        <v>-268</v>
      </c>
      <c r="H67" s="40">
        <f>+-244-G67</f>
        <v>24</v>
      </c>
      <c r="I67" s="40">
        <f>+-68-SUM(G67:H67)</f>
        <v>176</v>
      </c>
      <c r="J67" s="40">
        <f>+-90-SUM(G67:I67)</f>
        <v>-22</v>
      </c>
      <c r="K67" s="40">
        <v>-161</v>
      </c>
      <c r="L67" s="9">
        <f>+-185-K67</f>
        <v>-24</v>
      </c>
    </row>
    <row r="68" spans="2:38" x14ac:dyDescent="0.15">
      <c r="B68" s="10" t="s">
        <v>64</v>
      </c>
      <c r="C68" s="39"/>
      <c r="D68" s="39"/>
      <c r="E68" s="39"/>
      <c r="F68" s="39"/>
      <c r="G68" s="40">
        <v>35</v>
      </c>
      <c r="H68" s="40">
        <f>114-G68</f>
        <v>79</v>
      </c>
      <c r="I68" s="40">
        <f>25-SUM(G68:H68)</f>
        <v>-89</v>
      </c>
      <c r="J68" s="40">
        <f>143-SUM(G68:I68)</f>
        <v>118</v>
      </c>
      <c r="K68" s="40">
        <v>86</v>
      </c>
      <c r="L68" s="9">
        <f>141-K68</f>
        <v>55</v>
      </c>
    </row>
    <row r="69" spans="2:38" x14ac:dyDescent="0.15">
      <c r="B69" s="22" t="s">
        <v>58</v>
      </c>
      <c r="C69" s="23">
        <f t="shared" ref="C69:I69" si="51">+SUM(C62:C68)</f>
        <v>0</v>
      </c>
      <c r="D69" s="23">
        <f t="shared" si="51"/>
        <v>0</v>
      </c>
      <c r="E69" s="23">
        <f t="shared" si="51"/>
        <v>0</v>
      </c>
      <c r="F69" s="23">
        <f t="shared" si="51"/>
        <v>0</v>
      </c>
      <c r="G69" s="23">
        <f t="shared" si="51"/>
        <v>-140</v>
      </c>
      <c r="H69" s="23">
        <f t="shared" si="51"/>
        <v>245</v>
      </c>
      <c r="I69" s="23">
        <f t="shared" si="51"/>
        <v>502</v>
      </c>
      <c r="J69" s="23">
        <f>+SUM(J62:J68)</f>
        <v>807</v>
      </c>
      <c r="K69" s="23">
        <f>+SUM(K62:K68)</f>
        <v>213</v>
      </c>
      <c r="L69" s="23">
        <f>+SUM(L62:L68)</f>
        <v>337</v>
      </c>
      <c r="M69" s="23"/>
      <c r="N69" s="23"/>
      <c r="R69" s="24"/>
      <c r="S69" s="24"/>
      <c r="T69" s="24"/>
      <c r="U69" s="24"/>
      <c r="V69" s="24"/>
      <c r="W69" s="24"/>
      <c r="X69" s="24"/>
      <c r="Y69" s="24"/>
      <c r="Z69" s="24"/>
      <c r="AA69" s="23"/>
      <c r="AB69" s="23"/>
      <c r="AC69" s="32"/>
      <c r="AD69" s="33"/>
      <c r="AE69" s="33"/>
      <c r="AF69" s="33"/>
      <c r="AG69" s="33"/>
      <c r="AH69" s="33"/>
      <c r="AI69" s="33"/>
      <c r="AJ69" s="33"/>
      <c r="AK69" s="33"/>
      <c r="AL69" s="33"/>
    </row>
    <row r="71" spans="2:38" x14ac:dyDescent="0.15">
      <c r="B71" s="10" t="s">
        <v>65</v>
      </c>
      <c r="C71" s="39"/>
      <c r="D71" s="39"/>
      <c r="E71" s="39"/>
      <c r="F71" s="39"/>
      <c r="G71" s="40">
        <v>-83</v>
      </c>
      <c r="H71" s="40">
        <f>+-181-G71</f>
        <v>-98</v>
      </c>
      <c r="I71" s="40">
        <f>+-327-SUM(G71:H71)</f>
        <v>-146</v>
      </c>
      <c r="J71" s="40">
        <f>+-470-SUM(G71:I71)</f>
        <v>-143</v>
      </c>
      <c r="K71" s="40">
        <v>-135</v>
      </c>
      <c r="L71" s="9">
        <f>+-289-K71</f>
        <v>-154</v>
      </c>
    </row>
    <row r="72" spans="2:38" x14ac:dyDescent="0.15">
      <c r="B72" s="10" t="s">
        <v>66</v>
      </c>
      <c r="C72" s="39"/>
      <c r="D72" s="39"/>
      <c r="E72" s="39"/>
      <c r="F72" s="39"/>
      <c r="G72" s="40">
        <v>-78</v>
      </c>
      <c r="H72" s="40">
        <f>+-145-G72</f>
        <v>-67</v>
      </c>
      <c r="I72" s="40">
        <f>+-213-SUM(G72:H72)</f>
        <v>-68</v>
      </c>
      <c r="J72" s="40">
        <f>+-419-SUM(G72:I72)</f>
        <v>-206</v>
      </c>
      <c r="K72" s="40">
        <v>-112</v>
      </c>
      <c r="L72" s="9">
        <f>+-216-K72</f>
        <v>-104</v>
      </c>
    </row>
    <row r="73" spans="2:38" x14ac:dyDescent="0.15">
      <c r="B73" s="10" t="s">
        <v>77</v>
      </c>
      <c r="C73" s="39"/>
      <c r="D73" s="39"/>
      <c r="E73" s="39"/>
      <c r="F73" s="39"/>
      <c r="G73" s="40">
        <v>88</v>
      </c>
      <c r="H73" s="40">
        <f>162-G73</f>
        <v>74</v>
      </c>
      <c r="I73" s="40">
        <f>213-SUM(G73:H73)</f>
        <v>51</v>
      </c>
      <c r="J73" s="40">
        <f>289-SUM(G73:I73)</f>
        <v>76</v>
      </c>
      <c r="K73" s="40">
        <v>98</v>
      </c>
      <c r="L73" s="9">
        <f>220-K73</f>
        <v>122</v>
      </c>
    </row>
    <row r="74" spans="2:38" x14ac:dyDescent="0.15">
      <c r="B74" s="22" t="s">
        <v>67</v>
      </c>
      <c r="C74" s="23">
        <f t="shared" ref="C74:L74" si="52">+SUM(C71:C73)</f>
        <v>0</v>
      </c>
      <c r="D74" s="23">
        <f t="shared" si="52"/>
        <v>0</v>
      </c>
      <c r="E74" s="23">
        <f t="shared" si="52"/>
        <v>0</v>
      </c>
      <c r="F74" s="23">
        <f t="shared" si="52"/>
        <v>0</v>
      </c>
      <c r="G74" s="23">
        <f t="shared" si="52"/>
        <v>-73</v>
      </c>
      <c r="H74" s="23">
        <f t="shared" si="52"/>
        <v>-91</v>
      </c>
      <c r="I74" s="23">
        <f t="shared" si="52"/>
        <v>-163</v>
      </c>
      <c r="J74" s="23">
        <f t="shared" si="52"/>
        <v>-273</v>
      </c>
      <c r="K74" s="23">
        <f t="shared" si="52"/>
        <v>-149</v>
      </c>
      <c r="L74" s="23">
        <f t="shared" si="52"/>
        <v>-136</v>
      </c>
      <c r="M74" s="23"/>
      <c r="N74" s="23"/>
      <c r="R74" s="24"/>
      <c r="S74" s="24"/>
      <c r="T74" s="24"/>
      <c r="U74" s="24"/>
      <c r="V74" s="24"/>
      <c r="W74" s="24"/>
      <c r="X74" s="24"/>
      <c r="Y74" s="24"/>
      <c r="Z74" s="24"/>
      <c r="AA74" s="23"/>
      <c r="AB74" s="23"/>
      <c r="AC74" s="32"/>
      <c r="AD74" s="33"/>
      <c r="AE74" s="33"/>
      <c r="AF74" s="33"/>
      <c r="AG74" s="33"/>
      <c r="AH74" s="33"/>
      <c r="AI74" s="33"/>
      <c r="AJ74" s="33"/>
      <c r="AK74" s="33"/>
      <c r="AL74" s="33"/>
    </row>
    <row r="76" spans="2:38" x14ac:dyDescent="0.15">
      <c r="B76" s="10" t="s">
        <v>68</v>
      </c>
      <c r="C76" s="39"/>
      <c r="D76" s="39"/>
      <c r="E76" s="39"/>
      <c r="F76" s="39"/>
      <c r="G76" s="40">
        <v>6</v>
      </c>
      <c r="H76" s="40">
        <f>12-G76</f>
        <v>6</v>
      </c>
      <c r="I76" s="40">
        <f>18-SUM(G76:H76)</f>
        <v>6</v>
      </c>
      <c r="J76" s="40">
        <f>25-SUM(G76:I76)</f>
        <v>7</v>
      </c>
      <c r="K76" s="40">
        <v>7</v>
      </c>
      <c r="L76" s="9">
        <f>12-K76</f>
        <v>5</v>
      </c>
    </row>
    <row r="77" spans="2:38" x14ac:dyDescent="0.15">
      <c r="B77" s="10" t="s">
        <v>69</v>
      </c>
      <c r="C77" s="39"/>
      <c r="D77" s="39"/>
      <c r="E77" s="39"/>
      <c r="F77" s="39"/>
      <c r="G77" s="40">
        <v>-28</v>
      </c>
      <c r="H77" s="40">
        <f>+-29-G77</f>
        <v>-1</v>
      </c>
      <c r="I77" s="40">
        <f>+-39-SUM(G77:H77)</f>
        <v>-10</v>
      </c>
      <c r="J77" s="40">
        <f>+-42-SUM(G77:I77)</f>
        <v>-3</v>
      </c>
      <c r="K77" s="40">
        <v>-62</v>
      </c>
      <c r="L77" s="9">
        <f>+-63-K77</f>
        <v>-1</v>
      </c>
    </row>
    <row r="78" spans="2:38" x14ac:dyDescent="0.15">
      <c r="B78" s="10" t="s">
        <v>70</v>
      </c>
      <c r="C78" s="39"/>
      <c r="D78" s="39"/>
      <c r="E78" s="39"/>
      <c r="F78" s="39"/>
      <c r="G78" s="40">
        <v>-70</v>
      </c>
      <c r="H78" s="40">
        <f>+-152-G78</f>
        <v>-82</v>
      </c>
      <c r="I78" s="40">
        <f>+-152-SUM(G78:H78)</f>
        <v>0</v>
      </c>
      <c r="J78" s="40">
        <f>+-155-SUM(G78:I78)</f>
        <v>-3</v>
      </c>
      <c r="K78" s="40">
        <v>-401</v>
      </c>
      <c r="L78" s="9">
        <f>+-601-K78</f>
        <v>-200</v>
      </c>
    </row>
    <row r="79" spans="2:38" x14ac:dyDescent="0.15">
      <c r="B79" s="10" t="s">
        <v>71</v>
      </c>
      <c r="C79" s="39"/>
      <c r="D79" s="39"/>
      <c r="E79" s="39"/>
      <c r="F79" s="39"/>
      <c r="G79" s="40">
        <v>-61</v>
      </c>
      <c r="H79" s="40">
        <f>+-123-G79</f>
        <v>-62</v>
      </c>
      <c r="I79" s="40">
        <f>+-185-SUM(G79:H79)</f>
        <v>-62</v>
      </c>
      <c r="J79" s="40">
        <f>+-247-SUM(G79:I79)</f>
        <v>-62</v>
      </c>
      <c r="K79" s="40">
        <v>-63</v>
      </c>
      <c r="L79" s="9">
        <f>+-125-K79</f>
        <v>-62</v>
      </c>
    </row>
    <row r="80" spans="2:38" x14ac:dyDescent="0.15">
      <c r="B80" s="22" t="s">
        <v>72</v>
      </c>
      <c r="C80" s="23">
        <f t="shared" ref="C80:L80" si="53">+SUM(C76:C79)</f>
        <v>0</v>
      </c>
      <c r="D80" s="23">
        <f t="shared" si="53"/>
        <v>0</v>
      </c>
      <c r="E80" s="23">
        <f t="shared" si="53"/>
        <v>0</v>
      </c>
      <c r="F80" s="23">
        <f t="shared" si="53"/>
        <v>0</v>
      </c>
      <c r="G80" s="23">
        <f t="shared" si="53"/>
        <v>-153</v>
      </c>
      <c r="H80" s="23">
        <f t="shared" si="53"/>
        <v>-139</v>
      </c>
      <c r="I80" s="23">
        <f t="shared" si="53"/>
        <v>-66</v>
      </c>
      <c r="J80" s="23">
        <f t="shared" si="53"/>
        <v>-61</v>
      </c>
      <c r="K80" s="23">
        <f t="shared" si="53"/>
        <v>-519</v>
      </c>
      <c r="L80" s="23">
        <f t="shared" si="53"/>
        <v>-258</v>
      </c>
      <c r="M80" s="23"/>
      <c r="N80" s="23"/>
      <c r="R80" s="24"/>
      <c r="S80" s="24"/>
      <c r="T80" s="24"/>
      <c r="U80" s="24"/>
      <c r="V80" s="24"/>
      <c r="W80" s="24"/>
      <c r="X80" s="24"/>
      <c r="Y80" s="24"/>
      <c r="Z80" s="24"/>
      <c r="AA80" s="23"/>
      <c r="AB80" s="23"/>
      <c r="AC80" s="32"/>
      <c r="AD80" s="33"/>
      <c r="AE80" s="33"/>
      <c r="AF80" s="33"/>
      <c r="AG80" s="33"/>
      <c r="AH80" s="33"/>
      <c r="AI80" s="33"/>
      <c r="AJ80" s="33"/>
      <c r="AK80" s="33"/>
      <c r="AL80" s="33"/>
    </row>
    <row r="82" spans="2:12" x14ac:dyDescent="0.15">
      <c r="G82" s="9">
        <v>5</v>
      </c>
      <c r="H82" s="9">
        <f>5-G82</f>
        <v>0</v>
      </c>
      <c r="I82" s="9">
        <f>3-SUM(G82:H82)</f>
        <v>-2</v>
      </c>
      <c r="J82" s="9">
        <f>5-SUM(G82:I82)</f>
        <v>2</v>
      </c>
      <c r="K82" s="9">
        <v>0</v>
      </c>
      <c r="L82" s="9">
        <f>+-2-K82</f>
        <v>-2</v>
      </c>
    </row>
    <row r="83" spans="2:12" x14ac:dyDescent="0.15">
      <c r="B83" s="10" t="s">
        <v>73</v>
      </c>
      <c r="G83" s="9">
        <f>SUM(G69,G74,G80,G82)</f>
        <v>-361</v>
      </c>
      <c r="H83" s="9">
        <f>SUM(H69,H74,H80,H82)</f>
        <v>15</v>
      </c>
      <c r="I83" s="9">
        <f>SUM(I69,I74,I80,I82)</f>
        <v>271</v>
      </c>
      <c r="J83" s="9">
        <f>SUM(J69,J74,J80,J82)</f>
        <v>475</v>
      </c>
      <c r="K83" s="9">
        <f>SUM(K69,K74,K80,K82)</f>
        <v>-455</v>
      </c>
      <c r="L83" s="9">
        <f>SUM(L69,L74,L80,L82)</f>
        <v>-59</v>
      </c>
    </row>
    <row r="84" spans="2:12" x14ac:dyDescent="0.15">
      <c r="B84" s="10" t="s">
        <v>74</v>
      </c>
      <c r="G84" s="9">
        <v>2365</v>
      </c>
      <c r="H84" s="9">
        <f>+G85</f>
        <v>2004</v>
      </c>
      <c r="I84" s="9">
        <f>++H85</f>
        <v>2019</v>
      </c>
      <c r="J84" s="9">
        <f>++I85</f>
        <v>2290</v>
      </c>
      <c r="K84" s="9">
        <f>++J85</f>
        <v>2765</v>
      </c>
      <c r="L84" s="9">
        <f>++K85</f>
        <v>2310</v>
      </c>
    </row>
    <row r="85" spans="2:12" x14ac:dyDescent="0.15">
      <c r="B85" s="10" t="s">
        <v>75</v>
      </c>
      <c r="C85" s="9">
        <f t="shared" ref="C85:L85" si="54">+C83+C84</f>
        <v>0</v>
      </c>
      <c r="D85" s="9">
        <f t="shared" si="54"/>
        <v>0</v>
      </c>
      <c r="E85" s="9">
        <f t="shared" si="54"/>
        <v>0</v>
      </c>
      <c r="F85" s="9">
        <f t="shared" si="54"/>
        <v>0</v>
      </c>
      <c r="G85" s="9">
        <f t="shared" si="54"/>
        <v>2004</v>
      </c>
      <c r="H85" s="9">
        <f t="shared" si="54"/>
        <v>2019</v>
      </c>
      <c r="I85" s="9">
        <f t="shared" si="54"/>
        <v>2290</v>
      </c>
      <c r="J85" s="9">
        <f t="shared" si="54"/>
        <v>2765</v>
      </c>
      <c r="K85" s="9">
        <f t="shared" si="54"/>
        <v>2310</v>
      </c>
      <c r="L85" s="9">
        <f t="shared" si="54"/>
        <v>2251</v>
      </c>
    </row>
    <row r="86" spans="2:12" x14ac:dyDescent="0.15">
      <c r="B86" s="10" t="s">
        <v>76</v>
      </c>
      <c r="H86" s="9">
        <v>2222</v>
      </c>
    </row>
    <row r="88" spans="2:12" x14ac:dyDescent="0.15">
      <c r="B88" s="10" t="s">
        <v>86</v>
      </c>
      <c r="G88" s="9">
        <f>+G69+G71</f>
        <v>-223</v>
      </c>
      <c r="H88" s="9">
        <f>+H69+H71</f>
        <v>147</v>
      </c>
      <c r="I88" s="9">
        <f>+I69+I71</f>
        <v>356</v>
      </c>
      <c r="J88" s="9">
        <f>+J69+J71</f>
        <v>664</v>
      </c>
      <c r="K88" s="9">
        <f>+K69+K71</f>
        <v>78</v>
      </c>
      <c r="L88" s="9">
        <f>+L69+L71</f>
        <v>183</v>
      </c>
    </row>
    <row r="89" spans="2:12" x14ac:dyDescent="0.15">
      <c r="B89" s="10" t="s">
        <v>59</v>
      </c>
      <c r="G89" s="9">
        <f>+G25</f>
        <v>203</v>
      </c>
      <c r="H89" s="9">
        <f t="shared" ref="H89:K89" si="55">+H25</f>
        <v>216</v>
      </c>
      <c r="I89" s="9">
        <f t="shared" si="55"/>
        <v>236</v>
      </c>
      <c r="J89" s="9">
        <f t="shared" si="55"/>
        <v>171</v>
      </c>
      <c r="K89" s="9">
        <f t="shared" si="55"/>
        <v>339</v>
      </c>
      <c r="L89" s="9">
        <f t="shared" ref="L89" si="56">+L25</f>
        <v>501</v>
      </c>
    </row>
  </sheetData>
  <hyperlinks>
    <hyperlink ref="A1" location="Main!A1" display="Main " xr:uid="{629EE1A5-D3CC-F543-ACA2-0CA42226354F}"/>
  </hyperlinks>
  <pageMargins left="0.7" right="0.7" top="0.75" bottom="0.75" header="0.3" footer="0.3"/>
  <ignoredErrors>
    <ignoredError sqref="L23:O23 L25:O25 O24 AB28:AD29 Z18:AA18 Z21:AA23 AA19 AA20 AB18:AC18 AB19:AC19 AB20:AC20 AB21 AB22:AC22 AB23:AC23 AB27:AC27 M22:O22" formulaRange="1"/>
    <ignoredError sqref="M24:N24 AB24:AC24 Z24:AA25 AA26 AB25:AC25 Z26 AB26:AC26" formula="1" formulaRange="1"/>
    <ignoredError sqref="K24 AD24:AL24 AD25:AL25 AD26:AL26" formula="1"/>
  </ignoredErrors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CAF9-45F3-BE48-A085-280CF0253D05}">
  <dimension ref="A1"/>
  <sheetViews>
    <sheetView workbookViewId="0">
      <selection activeCell="C3" sqref="C3"/>
    </sheetView>
  </sheetViews>
  <sheetFormatPr baseColWidth="10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Jameel Brannon</cp:lastModifiedBy>
  <dcterms:modified xsi:type="dcterms:W3CDTF">2026-08-29T03:53:49Z</dcterms:modified>
</cp:coreProperties>
</file>