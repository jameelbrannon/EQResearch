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Model" sheetId="2" r:id="rId6"/>
  </sheets>
  <definedNames/>
  <calcPr/>
</workbook>
</file>

<file path=xl/sharedStrings.xml><?xml version="1.0" encoding="utf-8"?>
<sst xmlns="http://schemas.openxmlformats.org/spreadsheetml/2006/main" count="120" uniqueCount="109">
  <si>
    <t xml:space="preserve">Main </t>
  </si>
  <si>
    <t xml:space="preserve">History </t>
  </si>
  <si>
    <t>Founder: 1946 as Savannah Wholesale Co.</t>
  </si>
  <si>
    <t>Transition: 1958 as Allied Department Stores</t>
  </si>
  <si>
    <t>Transition: 2001 as Citi Trends</t>
  </si>
  <si>
    <t xml:space="preserve">2005: AA customer focus, explicitly part of the investment thesis/biz strategy </t>
  </si>
  <si>
    <t xml:space="preserve">CEO: Kenneth D. Seipel </t>
  </si>
  <si>
    <t>P</t>
  </si>
  <si>
    <t>CFO: Heather Plutino</t>
  </si>
  <si>
    <t>S</t>
  </si>
  <si>
    <t>Q126</t>
  </si>
  <si>
    <t>HQ: Savannah, GA</t>
  </si>
  <si>
    <t>MC</t>
  </si>
  <si>
    <t>About: Leading off price retilaer focused on Black customers</t>
  </si>
  <si>
    <t>C</t>
  </si>
  <si>
    <t>Q124</t>
  </si>
  <si>
    <t>Q224</t>
  </si>
  <si>
    <t>Q324</t>
  </si>
  <si>
    <t>Q424</t>
  </si>
  <si>
    <t>Q125</t>
  </si>
  <si>
    <t>Q225</t>
  </si>
  <si>
    <t>Q325</t>
  </si>
  <si>
    <t>Q425</t>
  </si>
  <si>
    <t>Q226E</t>
  </si>
  <si>
    <t>Q326E</t>
  </si>
  <si>
    <t>Q426E</t>
  </si>
  <si>
    <t>D</t>
  </si>
  <si>
    <t>EV</t>
  </si>
  <si>
    <t>Distribution</t>
  </si>
  <si>
    <t>SQFT</t>
  </si>
  <si>
    <t>Darlington, South Carolina</t>
  </si>
  <si>
    <t>Roland, Oklahoma</t>
  </si>
  <si>
    <t>Each store recieves multiple shipments of merch each week  from disti centers</t>
  </si>
  <si>
    <t>Beginning Stores</t>
  </si>
  <si>
    <t>New Stores</t>
  </si>
  <si>
    <t>Closed Stores</t>
  </si>
  <si>
    <t>Total Stores EoY</t>
  </si>
  <si>
    <t>Revenue Per Store</t>
  </si>
  <si>
    <t>SSS</t>
  </si>
  <si>
    <t>Womens</t>
  </si>
  <si>
    <t>Childrens</t>
  </si>
  <si>
    <t xml:space="preserve">Accessories &amp; Beauty </t>
  </si>
  <si>
    <t>Men's</t>
  </si>
  <si>
    <t>Home &amp; Lifestyle</t>
  </si>
  <si>
    <t>Footwear</t>
  </si>
  <si>
    <t>Sales</t>
  </si>
  <si>
    <t>COS</t>
  </si>
  <si>
    <t>SG&amp;A</t>
  </si>
  <si>
    <t xml:space="preserve">Operating Income </t>
  </si>
  <si>
    <t xml:space="preserve">Interest Income </t>
  </si>
  <si>
    <t xml:space="preserve">Interest Expense </t>
  </si>
  <si>
    <t>Income Before Taxes</t>
  </si>
  <si>
    <t>Taxes</t>
  </si>
  <si>
    <t>Net Income</t>
  </si>
  <si>
    <t>Diluted Shares</t>
  </si>
  <si>
    <t>EPS</t>
  </si>
  <si>
    <t xml:space="preserve">Terminal </t>
  </si>
  <si>
    <t>Discount</t>
  </si>
  <si>
    <t xml:space="preserve">Growth YY </t>
  </si>
  <si>
    <t>NPV</t>
  </si>
  <si>
    <t>Shares</t>
  </si>
  <si>
    <t xml:space="preserve">Gross Margin </t>
  </si>
  <si>
    <t>Estimate</t>
  </si>
  <si>
    <t>Current</t>
  </si>
  <si>
    <t>Upside</t>
  </si>
  <si>
    <t xml:space="preserve">Cash </t>
  </si>
  <si>
    <t>Inventory</t>
  </si>
  <si>
    <t>Prepaid &amp; OCA</t>
  </si>
  <si>
    <t>Assets Held For Sale</t>
  </si>
  <si>
    <t>PPE</t>
  </si>
  <si>
    <t>Op Lease</t>
  </si>
  <si>
    <t>Deferred Tax Assets</t>
  </si>
  <si>
    <t>ONCA</t>
  </si>
  <si>
    <t xml:space="preserve">Total Assets </t>
  </si>
  <si>
    <t>A/P</t>
  </si>
  <si>
    <t>Current Lease Liability</t>
  </si>
  <si>
    <t>Accrued Liability</t>
  </si>
  <si>
    <t>Layaway Deposits</t>
  </si>
  <si>
    <t>NC Op Lease</t>
  </si>
  <si>
    <t>ONCL</t>
  </si>
  <si>
    <t>Equity</t>
  </si>
  <si>
    <t>Total Liabilities + Equity</t>
  </si>
  <si>
    <t xml:space="preserve">DSO </t>
  </si>
  <si>
    <t xml:space="preserve">DIO </t>
  </si>
  <si>
    <t>DPO</t>
  </si>
  <si>
    <t>CCC</t>
  </si>
  <si>
    <t xml:space="preserve">Model NI </t>
  </si>
  <si>
    <t xml:space="preserve">Net Income </t>
  </si>
  <si>
    <t>Depreciation</t>
  </si>
  <si>
    <t xml:space="preserve">Asset Impairment </t>
  </si>
  <si>
    <t>Loss on Disposal PPE</t>
  </si>
  <si>
    <t>NC SBC</t>
  </si>
  <si>
    <t xml:space="preserve">Inventory </t>
  </si>
  <si>
    <t>OA</t>
  </si>
  <si>
    <t>Accrued Exp &amp; OLTL</t>
  </si>
  <si>
    <t>Accrued Comp</t>
  </si>
  <si>
    <t>Income Tax Receiv</t>
  </si>
  <si>
    <t xml:space="preserve">Layaway Deposits </t>
  </si>
  <si>
    <t>CFFO</t>
  </si>
  <si>
    <t>CapEx</t>
  </si>
  <si>
    <t>Insurance proceeds</t>
  </si>
  <si>
    <t>Proceeds from sale of building</t>
  </si>
  <si>
    <t>CFFI</t>
  </si>
  <si>
    <t>Cash Settle withholding Taxes</t>
  </si>
  <si>
    <t>Buybacks</t>
  </si>
  <si>
    <t>CFFF</t>
  </si>
  <si>
    <t>Cash Increase</t>
  </si>
  <si>
    <t xml:space="preserve">Beginning Balance </t>
  </si>
  <si>
    <t xml:space="preserve">Ending Balance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</si>
</sst>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&quot;/&quot;yy"/>
    <numFmt numFmtId="165" formatCode="#,##0.0"/>
    <numFmt numFmtId="166" formatCode="0.0%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color theme="1"/>
      <name val="Arial"/>
    </font>
    <font>
      <color rgb="FF1C4587"/>
      <name val="Arial"/>
      <scheme val="minor"/>
    </font>
    <font>
      <color rgb="FFB7B7B7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3" numFmtId="3" xfId="0" applyAlignment="1" applyFont="1" applyNumberFormat="1">
      <alignment readingOrder="0"/>
    </xf>
    <xf borderId="0" fillId="0" fontId="1" numFmtId="164" xfId="0" applyFont="1" applyNumberFormat="1"/>
    <xf borderId="0" fillId="0" fontId="4" numFmtId="164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readingOrder="0"/>
    </xf>
    <xf borderId="0" fillId="0" fontId="4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readingOrder="0"/>
    </xf>
    <xf borderId="1" fillId="0" fontId="5" numFmtId="3" xfId="0" applyAlignment="1" applyBorder="1" applyFont="1" applyNumberFormat="1">
      <alignment horizontal="right" readingOrder="0"/>
    </xf>
    <xf borderId="0" fillId="0" fontId="4" numFmtId="0" xfId="0" applyAlignment="1" applyFont="1">
      <alignment horizontal="right" vertical="bottom"/>
    </xf>
    <xf borderId="0" fillId="0" fontId="6" numFmtId="3" xfId="0" applyAlignment="1" applyFont="1" applyNumberFormat="1">
      <alignment horizontal="right"/>
    </xf>
    <xf borderId="0" fillId="0" fontId="1" numFmtId="0" xfId="0" applyAlignment="1" applyFont="1">
      <alignment readingOrder="0"/>
    </xf>
    <xf borderId="2" fillId="0" fontId="1" numFmtId="3" xfId="0" applyAlignment="1" applyBorder="1" applyFont="1" applyNumberFormat="1">
      <alignment readingOrder="0"/>
    </xf>
    <xf borderId="2" fillId="0" fontId="1" numFmtId="3" xfId="0" applyAlignment="1" applyBorder="1" applyFont="1" applyNumberFormat="1">
      <alignment horizontal="center" readingOrder="0"/>
    </xf>
    <xf borderId="0" fillId="0" fontId="1" numFmtId="3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0" fontId="1" numFmtId="166" xfId="0" applyFont="1" applyNumberFormat="1"/>
    <xf borderId="0" fillId="0" fontId="1" numFmtId="166" xfId="0" applyAlignment="1" applyFont="1" applyNumberFormat="1">
      <alignment readingOrder="0"/>
    </xf>
    <xf borderId="0" fillId="0" fontId="1" numFmtId="166" xfId="0" applyAlignment="1" applyFont="1" applyNumberFormat="1">
      <alignment horizontal="right" readingOrder="0"/>
    </xf>
    <xf borderId="0" fillId="0" fontId="1" numFmtId="166" xfId="0" applyAlignment="1" applyFont="1" applyNumberFormat="1">
      <alignment horizontal="right"/>
    </xf>
    <xf borderId="0" fillId="0" fontId="1" numFmtId="9" xfId="0" applyFont="1" applyNumberFormat="1"/>
    <xf borderId="0" fillId="0" fontId="1" numFmtId="9" xfId="0" applyAlignment="1" applyFont="1" applyNumberFormat="1">
      <alignment readingOrder="0"/>
    </xf>
    <xf borderId="0" fillId="0" fontId="1" numFmtId="9" xfId="0" applyAlignment="1" applyFont="1" applyNumberFormat="1">
      <alignment horizontal="right" readingOrder="0"/>
    </xf>
    <xf borderId="0" fillId="0" fontId="1" numFmtId="9" xfId="0" applyAlignment="1" applyFont="1" applyNumberFormat="1">
      <alignment horizontal="right"/>
    </xf>
    <xf borderId="0" fillId="0" fontId="3" numFmtId="3" xfId="0" applyFont="1" applyNumberFormat="1"/>
    <xf borderId="0" fillId="0" fontId="3" numFmtId="3" xfId="0" applyAlignment="1" applyFont="1" applyNumberFormat="1">
      <alignment horizontal="right" readingOrder="0"/>
    </xf>
    <xf borderId="0" fillId="0" fontId="3" numFmtId="3" xfId="0" applyAlignment="1" applyFont="1" applyNumberFormat="1">
      <alignment horizontal="right"/>
    </xf>
    <xf borderId="0" fillId="0" fontId="1" numFmtId="10" xfId="0" applyAlignment="1" applyFont="1" applyNumberFormat="1">
      <alignment readingOrder="0"/>
    </xf>
    <xf borderId="0" fillId="0" fontId="7" numFmtId="9" xfId="0" applyFont="1" applyNumberFormat="1"/>
    <xf borderId="0" fillId="0" fontId="7" numFmtId="9" xfId="0" applyAlignment="1" applyFont="1" applyNumberFormat="1">
      <alignment readingOrder="0"/>
    </xf>
    <xf borderId="0" fillId="0" fontId="7" numFmtId="9" xfId="0" applyAlignment="1" applyFont="1" applyNumberFormat="1">
      <alignment horizontal="right"/>
    </xf>
    <xf borderId="0" fillId="0" fontId="7" numFmtId="0" xfId="0" applyAlignment="1" applyFon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5.13"/>
    <col customWidth="1" min="2" max="2" width="20.25"/>
    <col customWidth="1" min="10" max="10" width="3.63"/>
    <col customWidth="1" min="11" max="11" width="3.75"/>
    <col customWidth="1" min="12" max="12" width="8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5" t="s">
        <v>1</v>
      </c>
      <c r="C2" s="1"/>
      <c r="D2" s="1"/>
      <c r="E2" s="1"/>
      <c r="F2" s="1"/>
      <c r="G2" s="1"/>
      <c r="H2" s="1"/>
      <c r="I2" s="1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2</v>
      </c>
      <c r="C3" s="1"/>
      <c r="D3" s="1"/>
      <c r="E3" s="1"/>
      <c r="F3" s="1"/>
      <c r="G3" s="1"/>
      <c r="H3" s="1"/>
      <c r="I3" s="1"/>
      <c r="J3" s="8"/>
      <c r="K3" s="8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3</v>
      </c>
      <c r="C4" s="1"/>
      <c r="D4" s="1"/>
      <c r="E4" s="1"/>
      <c r="F4" s="1"/>
      <c r="G4" s="1"/>
      <c r="H4" s="1"/>
      <c r="I4" s="1"/>
      <c r="J4" s="8"/>
      <c r="K4" s="8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 t="s">
        <v>4</v>
      </c>
      <c r="C5" s="1"/>
      <c r="D5" s="1"/>
      <c r="E5" s="1"/>
      <c r="F5" s="1"/>
      <c r="G5" s="1"/>
      <c r="H5" s="1"/>
      <c r="I5" s="1"/>
      <c r="J5" s="8"/>
      <c r="K5" s="8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 t="s">
        <v>5</v>
      </c>
      <c r="C6" s="1"/>
      <c r="D6" s="1"/>
      <c r="E6" s="1"/>
      <c r="F6" s="1"/>
      <c r="G6" s="1"/>
      <c r="H6" s="1"/>
      <c r="I6" s="1"/>
      <c r="J6" s="8"/>
      <c r="K6" s="8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6</v>
      </c>
      <c r="C7" s="1"/>
      <c r="D7" s="1"/>
      <c r="E7" s="1"/>
      <c r="F7" s="1"/>
      <c r="G7" s="1"/>
      <c r="H7" s="1"/>
      <c r="I7" s="1"/>
      <c r="J7" s="8" t="s">
        <v>7</v>
      </c>
      <c r="K7" s="8">
        <v>70.91</v>
      </c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" t="s">
        <v>8</v>
      </c>
      <c r="C8" s="1"/>
      <c r="D8" s="1"/>
      <c r="E8" s="1"/>
      <c r="F8" s="1"/>
      <c r="G8" s="1"/>
      <c r="H8" s="1"/>
      <c r="I8" s="1"/>
      <c r="J8" s="8" t="s">
        <v>9</v>
      </c>
      <c r="K8" s="8">
        <v>8.329848</v>
      </c>
      <c r="L8" s="11" t="s">
        <v>10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 t="s">
        <v>11</v>
      </c>
      <c r="C9" s="1"/>
      <c r="D9" s="1"/>
      <c r="E9" s="1"/>
      <c r="F9" s="1"/>
      <c r="G9" s="1"/>
      <c r="H9" s="1"/>
      <c r="I9" s="1"/>
      <c r="J9" s="8" t="s">
        <v>12</v>
      </c>
      <c r="K9" s="1">
        <f>K7*K8</f>
        <v>590.6695217</v>
      </c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" t="s">
        <v>13</v>
      </c>
      <c r="C10" s="1"/>
      <c r="D10" s="1"/>
      <c r="E10" s="1"/>
      <c r="F10" s="1"/>
      <c r="G10" s="1"/>
      <c r="H10" s="1"/>
      <c r="I10" s="1"/>
      <c r="J10" s="8" t="s">
        <v>14</v>
      </c>
      <c r="K10" s="1">
        <f>81.1</f>
        <v>81.1</v>
      </c>
      <c r="L10" s="13" t="str">
        <f>L8</f>
        <v>Q126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8" t="s">
        <v>26</v>
      </c>
      <c r="K11" s="8">
        <v>0.0</v>
      </c>
      <c r="L11" s="13" t="str">
        <f>L10</f>
        <v>Q126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8" t="s">
        <v>27</v>
      </c>
      <c r="K12" s="1">
        <f>K9-K10+K11</f>
        <v>509.5695217</v>
      </c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>
        <f>K10/K8</f>
        <v>9.736072015</v>
      </c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5" t="s">
        <v>28</v>
      </c>
      <c r="C14" s="16" t="s">
        <v>29</v>
      </c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" t="s">
        <v>30</v>
      </c>
      <c r="C15" s="8">
        <v>550000.0</v>
      </c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" t="s">
        <v>31</v>
      </c>
      <c r="C16" s="8">
        <v>565000.0</v>
      </c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" t="s">
        <v>32</v>
      </c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2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2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2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2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2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 outlineLevelRow="1"/>
  <cols>
    <col customWidth="1" min="1" max="1" width="5.13"/>
    <col customWidth="1" min="2" max="2" width="23.38"/>
    <col customWidth="1" min="3" max="10" width="5.13"/>
    <col customWidth="1" min="11" max="11" width="5.75"/>
    <col customWidth="1" min="12" max="14" width="6.13"/>
    <col customWidth="1" min="15" max="15" width="3.25"/>
    <col customWidth="1" min="16" max="30" width="4.75"/>
    <col customWidth="1" min="31" max="32" width="5.13"/>
    <col customWidth="1" min="33" max="33" width="2.88"/>
    <col customWidth="1" min="34" max="34" width="7.75"/>
    <col customWidth="1" min="35" max="35" width="6.63"/>
    <col customWidth="1" min="36" max="94" width="2.88"/>
    <col customWidth="1" min="95" max="103" width="3.75"/>
    <col customWidth="1" min="104" max="104" width="3.63"/>
    <col customWidth="1" min="105" max="105" width="3.5"/>
    <col customWidth="1" min="106" max="112" width="3.63"/>
    <col customWidth="1" min="113" max="179" width="3.75"/>
    <col customWidth="1" min="180" max="180" width="4.75"/>
  </cols>
  <sheetData>
    <row r="1" ht="13.5" customHeight="1">
      <c r="A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13.5" customHeight="1">
      <c r="A2" s="6"/>
      <c r="B2" s="6"/>
      <c r="C2" s="7">
        <v>45416.0</v>
      </c>
      <c r="D2" s="7">
        <v>45507.0</v>
      </c>
      <c r="E2" s="7">
        <v>45598.0</v>
      </c>
      <c r="F2" s="7">
        <v>45689.0</v>
      </c>
      <c r="G2" s="7">
        <v>45780.0</v>
      </c>
      <c r="H2" s="7">
        <v>45871.0</v>
      </c>
      <c r="I2" s="7">
        <v>45962.0</v>
      </c>
      <c r="J2" s="7">
        <v>46053.0</v>
      </c>
      <c r="K2" s="7">
        <v>46144.0</v>
      </c>
      <c r="L2" s="9"/>
      <c r="M2" s="9"/>
      <c r="N2" s="9"/>
      <c r="O2" s="6"/>
      <c r="P2" s="6"/>
      <c r="Q2" s="6"/>
      <c r="R2" s="6"/>
      <c r="S2" s="6"/>
      <c r="T2" s="10">
        <v>45325.0</v>
      </c>
      <c r="U2" s="10">
        <v>45689.0</v>
      </c>
      <c r="V2" s="10">
        <v>46053.0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</row>
    <row r="3" ht="13.5" customHeight="1">
      <c r="C3" s="12" t="s">
        <v>15</v>
      </c>
      <c r="D3" s="12" t="s">
        <v>16</v>
      </c>
      <c r="E3" s="12" t="s">
        <v>17</v>
      </c>
      <c r="F3" s="12" t="s">
        <v>18</v>
      </c>
      <c r="G3" s="12" t="s">
        <v>19</v>
      </c>
      <c r="H3" s="12" t="s">
        <v>20</v>
      </c>
      <c r="I3" s="12" t="s">
        <v>21</v>
      </c>
      <c r="J3" s="12" t="s">
        <v>22</v>
      </c>
      <c r="K3" s="12" t="s">
        <v>10</v>
      </c>
      <c r="L3" s="12" t="s">
        <v>23</v>
      </c>
      <c r="M3" s="12" t="s">
        <v>24</v>
      </c>
      <c r="N3" s="12" t="s">
        <v>25</v>
      </c>
      <c r="P3" s="14">
        <v>2019.0</v>
      </c>
      <c r="Q3" s="14">
        <v>2020.0</v>
      </c>
      <c r="R3" s="14">
        <v>2021.0</v>
      </c>
      <c r="S3" s="14">
        <v>2022.0</v>
      </c>
      <c r="T3" s="14">
        <v>2023.0</v>
      </c>
      <c r="U3" s="14">
        <v>2024.0</v>
      </c>
      <c r="V3" s="14">
        <v>2025.0</v>
      </c>
      <c r="W3" s="14">
        <v>2026.0</v>
      </c>
      <c r="X3" s="14">
        <f t="shared" ref="X3:AF3" si="1">W3+1</f>
        <v>2027</v>
      </c>
      <c r="Y3" s="14">
        <f t="shared" si="1"/>
        <v>2028</v>
      </c>
      <c r="Z3" s="14">
        <f t="shared" si="1"/>
        <v>2029</v>
      </c>
      <c r="AA3" s="14">
        <f t="shared" si="1"/>
        <v>2030</v>
      </c>
      <c r="AB3" s="14">
        <f t="shared" si="1"/>
        <v>2031</v>
      </c>
      <c r="AC3" s="14">
        <f t="shared" si="1"/>
        <v>2032</v>
      </c>
      <c r="AD3" s="14">
        <f t="shared" si="1"/>
        <v>2033</v>
      </c>
      <c r="AE3" s="14">
        <f t="shared" si="1"/>
        <v>2034</v>
      </c>
      <c r="AF3" s="14">
        <f t="shared" si="1"/>
        <v>2035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>
        <f>AB3+1</f>
        <v>2032</v>
      </c>
    </row>
    <row r="4" ht="13.5" customHeight="1">
      <c r="A4" s="1"/>
      <c r="B4" s="8" t="s">
        <v>33</v>
      </c>
      <c r="C4" s="17"/>
      <c r="D4" s="17"/>
      <c r="E4" s="17"/>
      <c r="F4" s="17">
        <f t="shared" ref="F4:F6" si="3">U4</f>
        <v>602</v>
      </c>
      <c r="G4" s="17"/>
      <c r="H4" s="17"/>
      <c r="I4" s="17"/>
      <c r="J4" s="17">
        <f t="shared" ref="J4:J6" si="4">V4</f>
        <v>591</v>
      </c>
      <c r="K4" s="17"/>
      <c r="L4" s="2"/>
      <c r="M4" s="2"/>
      <c r="N4" s="2"/>
      <c r="O4" s="1"/>
      <c r="P4" s="1"/>
      <c r="Q4" s="1"/>
      <c r="R4" s="1"/>
      <c r="S4" s="1"/>
      <c r="T4" s="8">
        <v>611.0</v>
      </c>
      <c r="U4" s="8">
        <f t="shared" ref="U4:V4" si="2">T7</f>
        <v>602</v>
      </c>
      <c r="V4" s="8">
        <f t="shared" si="2"/>
        <v>591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</row>
    <row r="5" ht="13.5" customHeight="1">
      <c r="A5" s="1"/>
      <c r="B5" s="8" t="s">
        <v>34</v>
      </c>
      <c r="C5" s="17"/>
      <c r="D5" s="17"/>
      <c r="E5" s="17"/>
      <c r="F5" s="17">
        <f t="shared" si="3"/>
        <v>1</v>
      </c>
      <c r="G5" s="17"/>
      <c r="H5" s="17"/>
      <c r="I5" s="17"/>
      <c r="J5" s="17">
        <f t="shared" si="4"/>
        <v>3</v>
      </c>
      <c r="K5" s="17"/>
      <c r="L5" s="2"/>
      <c r="M5" s="2"/>
      <c r="N5" s="2"/>
      <c r="O5" s="1"/>
      <c r="P5" s="1"/>
      <c r="Q5" s="1"/>
      <c r="R5" s="1"/>
      <c r="S5" s="1"/>
      <c r="T5" s="8">
        <v>5.0</v>
      </c>
      <c r="U5" s="8">
        <v>1.0</v>
      </c>
      <c r="V5" s="8">
        <v>3.0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</row>
    <row r="6" ht="13.5" customHeight="1">
      <c r="A6" s="1"/>
      <c r="B6" s="8" t="s">
        <v>35</v>
      </c>
      <c r="C6" s="17"/>
      <c r="D6" s="17"/>
      <c r="E6" s="17"/>
      <c r="F6" s="17">
        <f t="shared" si="3"/>
        <v>-12</v>
      </c>
      <c r="G6" s="17"/>
      <c r="H6" s="17"/>
      <c r="I6" s="17"/>
      <c r="J6" s="17">
        <f t="shared" si="4"/>
        <v>-4</v>
      </c>
      <c r="K6" s="17"/>
      <c r="L6" s="2"/>
      <c r="M6" s="2"/>
      <c r="N6" s="2"/>
      <c r="O6" s="1"/>
      <c r="P6" s="1"/>
      <c r="Q6" s="1"/>
      <c r="R6" s="1"/>
      <c r="S6" s="1"/>
      <c r="T6" s="8">
        <v>-14.0</v>
      </c>
      <c r="U6" s="8">
        <v>-12.0</v>
      </c>
      <c r="V6" s="8">
        <v>-4.0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</row>
    <row r="7" ht="13.5" customHeight="1">
      <c r="A7" s="1"/>
      <c r="B7" s="8" t="s">
        <v>36</v>
      </c>
      <c r="C7" s="17">
        <v>599.0</v>
      </c>
      <c r="D7" s="17">
        <v>597.0</v>
      </c>
      <c r="E7" s="17">
        <v>593.0</v>
      </c>
      <c r="F7" s="8">
        <f>sum(F4:F6)</f>
        <v>591</v>
      </c>
      <c r="G7" s="17">
        <v>591.0</v>
      </c>
      <c r="H7" s="17">
        <v>590.0</v>
      </c>
      <c r="I7" s="17">
        <v>593.0</v>
      </c>
      <c r="J7" s="8">
        <f>sum(J4:J6)</f>
        <v>590</v>
      </c>
      <c r="K7" s="17">
        <v>591.0</v>
      </c>
      <c r="L7" s="2"/>
      <c r="M7" s="2"/>
      <c r="N7" s="2"/>
      <c r="O7" s="1"/>
      <c r="P7" s="1"/>
      <c r="Q7" s="1"/>
      <c r="R7" s="1"/>
      <c r="S7" s="1"/>
      <c r="T7" s="8">
        <f t="shared" ref="T7:V7" si="5">sum(T4:T6)</f>
        <v>602</v>
      </c>
      <c r="U7" s="8">
        <f t="shared" si="5"/>
        <v>591</v>
      </c>
      <c r="V7" s="8">
        <f t="shared" si="5"/>
        <v>590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</row>
    <row r="8" ht="13.5" customHeight="1">
      <c r="A8" s="1"/>
      <c r="B8" s="8" t="s">
        <v>37</v>
      </c>
      <c r="C8" s="18">
        <f t="shared" ref="C8:K8" si="6">C24/C7</f>
        <v>0.311</v>
      </c>
      <c r="D8" s="18">
        <f t="shared" si="6"/>
        <v>0.2957319933</v>
      </c>
      <c r="E8" s="18">
        <f t="shared" si="6"/>
        <v>0.3019662732</v>
      </c>
      <c r="F8" s="18">
        <f t="shared" si="6"/>
        <v>0.3573130288</v>
      </c>
      <c r="G8" s="18">
        <f t="shared" si="6"/>
        <v>0.3413333333</v>
      </c>
      <c r="H8" s="18">
        <f t="shared" si="6"/>
        <v>0.3233050847</v>
      </c>
      <c r="I8" s="18">
        <f t="shared" si="6"/>
        <v>0.3323625632</v>
      </c>
      <c r="J8" s="18">
        <f t="shared" si="6"/>
        <v>0.3904966102</v>
      </c>
      <c r="K8" s="18">
        <f t="shared" si="6"/>
        <v>0.3906226734</v>
      </c>
      <c r="L8" s="2"/>
      <c r="M8" s="2"/>
      <c r="N8" s="2"/>
      <c r="O8" s="1"/>
      <c r="P8" s="1"/>
      <c r="Q8" s="1"/>
      <c r="R8" s="1"/>
      <c r="S8" s="1"/>
      <c r="T8" s="18">
        <f t="shared" ref="T8:V8" si="7">T24/T7</f>
        <v>1.24242691</v>
      </c>
      <c r="U8" s="18">
        <f t="shared" si="7"/>
        <v>1.274245347</v>
      </c>
      <c r="V8" s="18">
        <f t="shared" si="7"/>
        <v>1.389766102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</row>
    <row r="9" ht="13.5" customHeight="1">
      <c r="A9" s="19"/>
      <c r="B9" s="20" t="s">
        <v>38</v>
      </c>
      <c r="C9" s="21"/>
      <c r="D9" s="21"/>
      <c r="E9" s="21"/>
      <c r="F9" s="21"/>
      <c r="G9" s="21"/>
      <c r="H9" s="21"/>
      <c r="I9" s="21"/>
      <c r="J9" s="21"/>
      <c r="K9" s="21">
        <v>0.139</v>
      </c>
      <c r="L9" s="22"/>
      <c r="M9" s="22"/>
      <c r="N9" s="22"/>
      <c r="O9" s="19"/>
      <c r="P9" s="19"/>
      <c r="Q9" s="19"/>
      <c r="R9" s="19"/>
      <c r="S9" s="19"/>
      <c r="T9" s="20"/>
      <c r="U9" s="20"/>
      <c r="V9" s="20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</row>
    <row r="10" ht="13.5" customHeight="1" collapsed="1">
      <c r="A10" s="1"/>
      <c r="B10" s="8"/>
      <c r="C10" s="17"/>
      <c r="D10" s="17"/>
      <c r="E10" s="17"/>
      <c r="F10" s="17"/>
      <c r="G10" s="17"/>
      <c r="H10" s="17"/>
      <c r="I10" s="17"/>
      <c r="J10" s="17"/>
      <c r="K10" s="17"/>
      <c r="L10" s="2"/>
      <c r="M10" s="2"/>
      <c r="N10" s="2"/>
      <c r="O10" s="1"/>
      <c r="P10" s="1"/>
      <c r="Q10" s="1"/>
      <c r="R10" s="1"/>
      <c r="S10" s="1"/>
      <c r="T10" s="8"/>
      <c r="U10" s="8"/>
      <c r="V10" s="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</row>
    <row r="11" ht="13.5" hidden="1" customHeight="1" outlineLevel="1">
      <c r="A11" s="23"/>
      <c r="B11" s="24" t="s">
        <v>39</v>
      </c>
      <c r="C11" s="25">
        <v>0.29</v>
      </c>
      <c r="D11" s="25">
        <v>0.27</v>
      </c>
      <c r="E11" s="25">
        <v>0.27</v>
      </c>
      <c r="F11" s="24">
        <v>0.27</v>
      </c>
      <c r="G11" s="25">
        <v>0.28</v>
      </c>
      <c r="H11" s="25">
        <v>0.27</v>
      </c>
      <c r="I11" s="25">
        <v>0.26</v>
      </c>
      <c r="J11" s="24">
        <v>0.27</v>
      </c>
      <c r="K11" s="25">
        <v>0.27</v>
      </c>
      <c r="L11" s="26"/>
      <c r="M11" s="26"/>
      <c r="N11" s="26"/>
      <c r="O11" s="23"/>
      <c r="P11" s="23"/>
      <c r="Q11" s="23"/>
      <c r="R11" s="23"/>
      <c r="S11" s="24">
        <v>0.26</v>
      </c>
      <c r="T11" s="24">
        <v>0.27</v>
      </c>
      <c r="U11" s="24">
        <v>0.27</v>
      </c>
      <c r="V11" s="24">
        <v>0.27</v>
      </c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</row>
    <row r="12" ht="13.5" hidden="1" customHeight="1" outlineLevel="1">
      <c r="A12" s="23"/>
      <c r="B12" s="24" t="s">
        <v>40</v>
      </c>
      <c r="C12" s="25">
        <v>0.22</v>
      </c>
      <c r="D12" s="25">
        <v>0.22</v>
      </c>
      <c r="E12" s="25">
        <v>0.24</v>
      </c>
      <c r="F12" s="24">
        <v>0.23</v>
      </c>
      <c r="G12" s="25">
        <v>0.22</v>
      </c>
      <c r="H12" s="25">
        <v>0.22</v>
      </c>
      <c r="I12" s="25">
        <v>0.25</v>
      </c>
      <c r="J12" s="24">
        <v>0.23</v>
      </c>
      <c r="K12" s="25">
        <v>0.23</v>
      </c>
      <c r="L12" s="26"/>
      <c r="M12" s="26"/>
      <c r="N12" s="26"/>
      <c r="O12" s="23"/>
      <c r="P12" s="23"/>
      <c r="Q12" s="23"/>
      <c r="R12" s="23"/>
      <c r="S12" s="24">
        <v>0.23</v>
      </c>
      <c r="T12" s="24">
        <v>0.23</v>
      </c>
      <c r="U12" s="24">
        <v>0.23</v>
      </c>
      <c r="V12" s="24">
        <v>0.23</v>
      </c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</row>
    <row r="13" ht="13.5" hidden="1" customHeight="1" outlineLevel="1">
      <c r="A13" s="23"/>
      <c r="B13" s="24" t="s">
        <v>41</v>
      </c>
      <c r="C13" s="25">
        <v>0.17</v>
      </c>
      <c r="D13" s="25">
        <v>0.17</v>
      </c>
      <c r="E13" s="25">
        <v>0.17</v>
      </c>
      <c r="F13" s="24">
        <v>0.17</v>
      </c>
      <c r="G13" s="25">
        <v>0.17</v>
      </c>
      <c r="H13" s="25">
        <v>0.18</v>
      </c>
      <c r="I13" s="25">
        <v>0.17</v>
      </c>
      <c r="J13" s="24">
        <v>0.17</v>
      </c>
      <c r="K13" s="25">
        <v>0.17</v>
      </c>
      <c r="L13" s="26"/>
      <c r="M13" s="26"/>
      <c r="N13" s="26"/>
      <c r="O13" s="23"/>
      <c r="P13" s="23"/>
      <c r="Q13" s="23"/>
      <c r="R13" s="23"/>
      <c r="S13" s="24">
        <v>0.18</v>
      </c>
      <c r="T13" s="24">
        <v>0.17</v>
      </c>
      <c r="U13" s="24">
        <v>0.17</v>
      </c>
      <c r="V13" s="24">
        <v>0.17</v>
      </c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</row>
    <row r="14" ht="13.5" hidden="1" customHeight="1" outlineLevel="1">
      <c r="A14" s="23"/>
      <c r="B14" s="24" t="s">
        <v>42</v>
      </c>
      <c r="C14" s="25">
        <v>0.15</v>
      </c>
      <c r="D14" s="25">
        <v>0.18</v>
      </c>
      <c r="E14" s="25">
        <v>0.16</v>
      </c>
      <c r="F14" s="24">
        <v>0.17</v>
      </c>
      <c r="G14" s="25">
        <v>0.15</v>
      </c>
      <c r="H14" s="25">
        <v>0.17</v>
      </c>
      <c r="I14" s="25">
        <v>0.15</v>
      </c>
      <c r="J14" s="24">
        <v>0.16</v>
      </c>
      <c r="K14" s="25">
        <v>0.16</v>
      </c>
      <c r="L14" s="26"/>
      <c r="M14" s="26"/>
      <c r="N14" s="26"/>
      <c r="O14" s="23"/>
      <c r="P14" s="23"/>
      <c r="Q14" s="23"/>
      <c r="R14" s="23"/>
      <c r="S14" s="24">
        <v>0.17</v>
      </c>
      <c r="T14" s="24">
        <v>0.17</v>
      </c>
      <c r="U14" s="24">
        <v>0.17</v>
      </c>
      <c r="V14" s="24">
        <v>0.16</v>
      </c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</row>
    <row r="15" ht="13.5" hidden="1" customHeight="1" outlineLevel="1">
      <c r="A15" s="23"/>
      <c r="B15" s="24" t="s">
        <v>43</v>
      </c>
      <c r="C15" s="25">
        <v>0.1</v>
      </c>
      <c r="D15" s="25">
        <v>0.09</v>
      </c>
      <c r="E15" s="25">
        <v>0.1</v>
      </c>
      <c r="F15" s="24">
        <v>0.1</v>
      </c>
      <c r="G15" s="25">
        <v>0.11</v>
      </c>
      <c r="H15" s="25">
        <v>0.09</v>
      </c>
      <c r="I15" s="25">
        <v>0.1</v>
      </c>
      <c r="J15" s="24">
        <v>0.1</v>
      </c>
      <c r="K15" s="25">
        <v>0.1</v>
      </c>
      <c r="L15" s="26"/>
      <c r="M15" s="26"/>
      <c r="N15" s="26"/>
      <c r="O15" s="23"/>
      <c r="P15" s="23"/>
      <c r="Q15" s="23"/>
      <c r="R15" s="23"/>
      <c r="S15" s="24">
        <v>0.08</v>
      </c>
      <c r="T15" s="24">
        <v>0.09</v>
      </c>
      <c r="U15" s="24">
        <v>0.1</v>
      </c>
      <c r="V15" s="24">
        <v>0.1</v>
      </c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</row>
    <row r="16" ht="13.5" hidden="1" customHeight="1" outlineLevel="1">
      <c r="A16" s="23"/>
      <c r="B16" s="24" t="s">
        <v>44</v>
      </c>
      <c r="C16" s="25">
        <v>0.07</v>
      </c>
      <c r="D16" s="25">
        <v>0.07</v>
      </c>
      <c r="E16" s="25">
        <v>0.06</v>
      </c>
      <c r="F16" s="24">
        <v>0.06</v>
      </c>
      <c r="G16" s="25">
        <v>0.07</v>
      </c>
      <c r="H16" s="25">
        <v>0.07</v>
      </c>
      <c r="I16" s="25">
        <v>0.07</v>
      </c>
      <c r="J16" s="24">
        <v>0.07</v>
      </c>
      <c r="K16" s="25">
        <v>0.07</v>
      </c>
      <c r="L16" s="26"/>
      <c r="M16" s="26"/>
      <c r="N16" s="26"/>
      <c r="O16" s="23"/>
      <c r="P16" s="23"/>
      <c r="Q16" s="23"/>
      <c r="R16" s="23"/>
      <c r="S16" s="24">
        <v>0.08</v>
      </c>
      <c r="T16" s="24">
        <v>0.07</v>
      </c>
      <c r="U16" s="24">
        <v>0.06</v>
      </c>
      <c r="V16" s="24">
        <v>0.07</v>
      </c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</row>
    <row r="17" ht="13.5" customHeight="1">
      <c r="A17" s="1"/>
      <c r="B17" s="8"/>
      <c r="C17" s="17"/>
      <c r="D17" s="17"/>
      <c r="E17" s="17"/>
      <c r="F17" s="17"/>
      <c r="G17" s="17"/>
      <c r="H17" s="17"/>
      <c r="I17" s="17"/>
      <c r="J17" s="17"/>
      <c r="K17" s="17"/>
      <c r="L17" s="2"/>
      <c r="M17" s="2"/>
      <c r="N17" s="2"/>
      <c r="O17" s="1"/>
      <c r="P17" s="1"/>
      <c r="Q17" s="1"/>
      <c r="R17" s="1"/>
      <c r="S17" s="1"/>
      <c r="T17" s="8"/>
      <c r="U17" s="8"/>
      <c r="V17" s="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</row>
    <row r="18" ht="13.5" customHeight="1">
      <c r="A18" s="1"/>
      <c r="B18" s="24" t="s">
        <v>39</v>
      </c>
      <c r="C18" s="17">
        <f t="shared" ref="C18:K18" si="8">C$24 *C11  </f>
        <v>54.02381</v>
      </c>
      <c r="D18" s="17">
        <f t="shared" si="8"/>
        <v>47.66904</v>
      </c>
      <c r="E18" s="17">
        <f t="shared" si="8"/>
        <v>48.34782</v>
      </c>
      <c r="F18" s="17">
        <f t="shared" si="8"/>
        <v>57.01644</v>
      </c>
      <c r="G18" s="17">
        <f t="shared" si="8"/>
        <v>56.48384</v>
      </c>
      <c r="H18" s="17">
        <f t="shared" si="8"/>
        <v>51.5025</v>
      </c>
      <c r="I18" s="17">
        <f t="shared" si="8"/>
        <v>51.24366</v>
      </c>
      <c r="J18" s="17">
        <f t="shared" si="8"/>
        <v>62.20611</v>
      </c>
      <c r="K18" s="17">
        <f t="shared" si="8"/>
        <v>62.33166</v>
      </c>
      <c r="L18" s="2"/>
      <c r="M18" s="2"/>
      <c r="N18" s="2"/>
      <c r="O18" s="1"/>
      <c r="P18" s="1"/>
      <c r="Q18" s="1"/>
      <c r="R18" s="1"/>
      <c r="S18" s="17">
        <f t="shared" ref="S18:V18" si="9">S$24 *S11  </f>
        <v>195.80054</v>
      </c>
      <c r="T18" s="17">
        <f t="shared" si="9"/>
        <v>201.94407</v>
      </c>
      <c r="U18" s="17">
        <f t="shared" si="9"/>
        <v>203.33133</v>
      </c>
      <c r="V18" s="17">
        <f t="shared" si="9"/>
        <v>221.38974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</row>
    <row r="19" ht="13.5" customHeight="1">
      <c r="A19" s="1"/>
      <c r="B19" s="24" t="s">
        <v>40</v>
      </c>
      <c r="C19" s="17">
        <f t="shared" ref="C19:K19" si="10">C$24 *C12  </f>
        <v>40.98358</v>
      </c>
      <c r="D19" s="17">
        <f t="shared" si="10"/>
        <v>38.84144</v>
      </c>
      <c r="E19" s="17">
        <f t="shared" si="10"/>
        <v>42.97584</v>
      </c>
      <c r="F19" s="17">
        <f t="shared" si="10"/>
        <v>48.56956</v>
      </c>
      <c r="G19" s="17">
        <f t="shared" si="10"/>
        <v>44.38016</v>
      </c>
      <c r="H19" s="17">
        <f t="shared" si="10"/>
        <v>41.965</v>
      </c>
      <c r="I19" s="17">
        <f t="shared" si="10"/>
        <v>49.27275</v>
      </c>
      <c r="J19" s="17">
        <f t="shared" si="10"/>
        <v>52.99039</v>
      </c>
      <c r="K19" s="17">
        <f t="shared" si="10"/>
        <v>53.09734</v>
      </c>
      <c r="L19" s="2"/>
      <c r="M19" s="2"/>
      <c r="N19" s="2"/>
      <c r="O19" s="1"/>
      <c r="P19" s="1"/>
      <c r="Q19" s="1"/>
      <c r="R19" s="1"/>
      <c r="S19" s="17">
        <f t="shared" ref="S19:V19" si="11">S$24 *S12  </f>
        <v>173.20817</v>
      </c>
      <c r="T19" s="17">
        <f t="shared" si="11"/>
        <v>172.02643</v>
      </c>
      <c r="U19" s="17">
        <f t="shared" si="11"/>
        <v>173.20817</v>
      </c>
      <c r="V19" s="17">
        <f t="shared" si="11"/>
        <v>188.59126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</row>
    <row r="20" ht="13.5" customHeight="1">
      <c r="A20" s="1"/>
      <c r="B20" s="24" t="s">
        <v>41</v>
      </c>
      <c r="C20" s="17">
        <f t="shared" ref="C20:K20" si="12">C$24 *C13  </f>
        <v>31.66913</v>
      </c>
      <c r="D20" s="17">
        <f t="shared" si="12"/>
        <v>30.01384</v>
      </c>
      <c r="E20" s="17">
        <f t="shared" si="12"/>
        <v>30.44122</v>
      </c>
      <c r="F20" s="17">
        <f t="shared" si="12"/>
        <v>35.89924</v>
      </c>
      <c r="G20" s="17">
        <f t="shared" si="12"/>
        <v>34.29376</v>
      </c>
      <c r="H20" s="17">
        <f t="shared" si="12"/>
        <v>34.335</v>
      </c>
      <c r="I20" s="17">
        <f t="shared" si="12"/>
        <v>33.50547</v>
      </c>
      <c r="J20" s="17">
        <f t="shared" si="12"/>
        <v>39.16681</v>
      </c>
      <c r="K20" s="17">
        <f t="shared" si="12"/>
        <v>39.24586</v>
      </c>
      <c r="L20" s="2"/>
      <c r="M20" s="2"/>
      <c r="N20" s="2"/>
      <c r="O20" s="1"/>
      <c r="P20" s="1"/>
      <c r="Q20" s="1"/>
      <c r="R20" s="1"/>
      <c r="S20" s="17">
        <f t="shared" ref="S20:V20" si="13">S$24 *S13  </f>
        <v>135.55422</v>
      </c>
      <c r="T20" s="17">
        <f t="shared" si="13"/>
        <v>127.14997</v>
      </c>
      <c r="U20" s="17">
        <f t="shared" si="13"/>
        <v>128.02343</v>
      </c>
      <c r="V20" s="17">
        <f t="shared" si="13"/>
        <v>139.39354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</row>
    <row r="21" ht="13.5" customHeight="1">
      <c r="A21" s="1"/>
      <c r="B21" s="24" t="s">
        <v>42</v>
      </c>
      <c r="C21" s="17">
        <f t="shared" ref="C21:K21" si="14">C$24 *C14  </f>
        <v>27.94335</v>
      </c>
      <c r="D21" s="17">
        <f t="shared" si="14"/>
        <v>31.77936</v>
      </c>
      <c r="E21" s="17">
        <f t="shared" si="14"/>
        <v>28.65056</v>
      </c>
      <c r="F21" s="17">
        <f t="shared" si="14"/>
        <v>35.89924</v>
      </c>
      <c r="G21" s="17">
        <f t="shared" si="14"/>
        <v>30.2592</v>
      </c>
      <c r="H21" s="17">
        <f t="shared" si="14"/>
        <v>32.4275</v>
      </c>
      <c r="I21" s="17">
        <f t="shared" si="14"/>
        <v>29.56365</v>
      </c>
      <c r="J21" s="17">
        <f t="shared" si="14"/>
        <v>36.86288</v>
      </c>
      <c r="K21" s="17">
        <f t="shared" si="14"/>
        <v>36.93728</v>
      </c>
      <c r="L21" s="2"/>
      <c r="M21" s="2"/>
      <c r="N21" s="2"/>
      <c r="O21" s="1"/>
      <c r="P21" s="1"/>
      <c r="Q21" s="1"/>
      <c r="R21" s="1"/>
      <c r="S21" s="17">
        <f t="shared" ref="S21:V21" si="15">S$24 *S14  </f>
        <v>128.02343</v>
      </c>
      <c r="T21" s="17">
        <f t="shared" si="15"/>
        <v>127.14997</v>
      </c>
      <c r="U21" s="17">
        <f t="shared" si="15"/>
        <v>128.02343</v>
      </c>
      <c r="V21" s="17">
        <f t="shared" si="15"/>
        <v>131.19392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</row>
    <row r="22" ht="13.5" customHeight="1">
      <c r="A22" s="1"/>
      <c r="B22" s="24" t="s">
        <v>43</v>
      </c>
      <c r="C22" s="17">
        <f t="shared" ref="C22:K22" si="16">C$24 *C15  </f>
        <v>18.6289</v>
      </c>
      <c r="D22" s="17">
        <f t="shared" si="16"/>
        <v>15.88968</v>
      </c>
      <c r="E22" s="17">
        <f t="shared" si="16"/>
        <v>17.9066</v>
      </c>
      <c r="F22" s="17">
        <f t="shared" si="16"/>
        <v>21.1172</v>
      </c>
      <c r="G22" s="17">
        <f t="shared" si="16"/>
        <v>22.19008</v>
      </c>
      <c r="H22" s="17">
        <f t="shared" si="16"/>
        <v>17.1675</v>
      </c>
      <c r="I22" s="17">
        <f t="shared" si="16"/>
        <v>19.7091</v>
      </c>
      <c r="J22" s="17">
        <f t="shared" si="16"/>
        <v>23.0393</v>
      </c>
      <c r="K22" s="17">
        <f t="shared" si="16"/>
        <v>23.0858</v>
      </c>
      <c r="L22" s="2"/>
      <c r="M22" s="2"/>
      <c r="N22" s="2"/>
      <c r="O22" s="1"/>
      <c r="P22" s="1"/>
      <c r="Q22" s="1"/>
      <c r="R22" s="1"/>
      <c r="S22" s="17">
        <f t="shared" ref="S22:V22" si="17">S$24 *S15  </f>
        <v>60.24632</v>
      </c>
      <c r="T22" s="17">
        <f t="shared" si="17"/>
        <v>67.31469</v>
      </c>
      <c r="U22" s="17">
        <f t="shared" si="17"/>
        <v>75.3079</v>
      </c>
      <c r="V22" s="17">
        <f t="shared" si="17"/>
        <v>81.9962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</row>
    <row r="23" ht="13.5" customHeight="1">
      <c r="A23" s="1"/>
      <c r="B23" s="24" t="s">
        <v>44</v>
      </c>
      <c r="C23" s="17">
        <f t="shared" ref="C23:K23" si="18">C$24 *C16  </f>
        <v>13.04023</v>
      </c>
      <c r="D23" s="17">
        <f t="shared" si="18"/>
        <v>12.35864</v>
      </c>
      <c r="E23" s="17">
        <f t="shared" si="18"/>
        <v>10.74396</v>
      </c>
      <c r="F23" s="17">
        <f t="shared" si="18"/>
        <v>12.67032</v>
      </c>
      <c r="G23" s="17">
        <f t="shared" si="18"/>
        <v>14.12096</v>
      </c>
      <c r="H23" s="17">
        <f t="shared" si="18"/>
        <v>13.3525</v>
      </c>
      <c r="I23" s="17">
        <f t="shared" si="18"/>
        <v>13.79637</v>
      </c>
      <c r="J23" s="17">
        <f t="shared" si="18"/>
        <v>16.12751</v>
      </c>
      <c r="K23" s="17">
        <f t="shared" si="18"/>
        <v>16.16006</v>
      </c>
      <c r="L23" s="2"/>
      <c r="M23" s="2"/>
      <c r="N23" s="2"/>
      <c r="O23" s="1"/>
      <c r="P23" s="1"/>
      <c r="Q23" s="1"/>
      <c r="R23" s="1"/>
      <c r="S23" s="17">
        <f t="shared" ref="S23:V23" si="19">S$24 *S16  </f>
        <v>60.24632</v>
      </c>
      <c r="T23" s="17">
        <f t="shared" si="19"/>
        <v>52.35587</v>
      </c>
      <c r="U23" s="17">
        <f t="shared" si="19"/>
        <v>45.18474</v>
      </c>
      <c r="V23" s="17">
        <f t="shared" si="19"/>
        <v>57.39734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</row>
    <row r="24" ht="13.5" customHeight="1">
      <c r="A24" s="27"/>
      <c r="B24" s="5" t="s">
        <v>45</v>
      </c>
      <c r="C24" s="28">
        <v>186.289</v>
      </c>
      <c r="D24" s="28">
        <v>176.552</v>
      </c>
      <c r="E24" s="28">
        <v>179.066</v>
      </c>
      <c r="F24" s="28">
        <v>211.172</v>
      </c>
      <c r="G24" s="28">
        <v>201.728</v>
      </c>
      <c r="H24" s="28">
        <v>190.75</v>
      </c>
      <c r="I24" s="28">
        <v>197.091</v>
      </c>
      <c r="J24" s="28">
        <v>230.393</v>
      </c>
      <c r="K24" s="28">
        <v>230.858</v>
      </c>
      <c r="L24" s="29">
        <f t="shared" ref="L24:N24" si="20">H24*1.08</f>
        <v>206.01</v>
      </c>
      <c r="M24" s="29">
        <f t="shared" si="20"/>
        <v>212.85828</v>
      </c>
      <c r="N24" s="29">
        <f t="shared" si="20"/>
        <v>248.82444</v>
      </c>
      <c r="O24" s="27"/>
      <c r="P24" s="27"/>
      <c r="Q24" s="27"/>
      <c r="R24" s="27"/>
      <c r="S24" s="5">
        <v>753.079</v>
      </c>
      <c r="T24" s="5">
        <v>747.941</v>
      </c>
      <c r="U24" s="5">
        <v>753.079</v>
      </c>
      <c r="V24" s="5">
        <v>819.962</v>
      </c>
      <c r="W24" s="27">
        <f t="shared" ref="W24:W32" si="23">sum(K24:N24)</f>
        <v>898.55072</v>
      </c>
      <c r="X24" s="27">
        <f t="shared" ref="X24:AF24" si="21">W24*1.03</f>
        <v>925.5072416</v>
      </c>
      <c r="Y24" s="27">
        <f t="shared" si="21"/>
        <v>953.2724588</v>
      </c>
      <c r="Z24" s="27">
        <f t="shared" si="21"/>
        <v>981.8706326</v>
      </c>
      <c r="AA24" s="27">
        <f t="shared" si="21"/>
        <v>1011.326752</v>
      </c>
      <c r="AB24" s="27">
        <f t="shared" si="21"/>
        <v>1041.666554</v>
      </c>
      <c r="AC24" s="27">
        <f t="shared" si="21"/>
        <v>1072.916551</v>
      </c>
      <c r="AD24" s="27">
        <f t="shared" si="21"/>
        <v>1105.104047</v>
      </c>
      <c r="AE24" s="27">
        <f t="shared" si="21"/>
        <v>1138.257169</v>
      </c>
      <c r="AF24" s="27">
        <f t="shared" si="21"/>
        <v>1172.404884</v>
      </c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</row>
    <row r="25" ht="13.5" customHeight="1">
      <c r="A25" s="1"/>
      <c r="B25" s="8" t="s">
        <v>46</v>
      </c>
      <c r="C25" s="17">
        <v>114.254</v>
      </c>
      <c r="D25" s="17">
        <v>121.624</v>
      </c>
      <c r="E25" s="17">
        <v>107.833</v>
      </c>
      <c r="F25" s="17">
        <v>127.326</v>
      </c>
      <c r="G25" s="17">
        <v>121.918</v>
      </c>
      <c r="H25" s="17">
        <v>114.477</v>
      </c>
      <c r="I25" s="17">
        <v>120.462</v>
      </c>
      <c r="J25" s="17">
        <v>138.463</v>
      </c>
      <c r="K25" s="17">
        <v>138.63</v>
      </c>
      <c r="L25" s="2">
        <f t="shared" ref="L25:N25" si="22">L$24*(K25/K$24)</f>
        <v>123.7088006</v>
      </c>
      <c r="M25" s="2">
        <f t="shared" si="22"/>
        <v>127.821186</v>
      </c>
      <c r="N25" s="2">
        <f t="shared" si="22"/>
        <v>149.4188294</v>
      </c>
      <c r="O25" s="1"/>
      <c r="P25" s="1"/>
      <c r="Q25" s="1"/>
      <c r="R25" s="1"/>
      <c r="S25" s="8">
        <v>471.036</v>
      </c>
      <c r="T25" s="8">
        <v>462.824</v>
      </c>
      <c r="U25" s="8">
        <v>471.036</v>
      </c>
      <c r="V25" s="8">
        <v>495.32</v>
      </c>
      <c r="W25" s="1">
        <f t="shared" si="23"/>
        <v>539.578816</v>
      </c>
      <c r="X25" s="2">
        <f t="shared" ref="X25:AF25" si="24">X$24*(W25/W$24)</f>
        <v>555.7661805</v>
      </c>
      <c r="Y25" s="2">
        <f t="shared" si="24"/>
        <v>572.4391659</v>
      </c>
      <c r="Z25" s="2">
        <f t="shared" si="24"/>
        <v>589.6123409</v>
      </c>
      <c r="AA25" s="2">
        <f t="shared" si="24"/>
        <v>607.3007111</v>
      </c>
      <c r="AB25" s="2">
        <f t="shared" si="24"/>
        <v>625.5197325</v>
      </c>
      <c r="AC25" s="2">
        <f t="shared" si="24"/>
        <v>644.2853245</v>
      </c>
      <c r="AD25" s="2">
        <f t="shared" si="24"/>
        <v>663.6138842</v>
      </c>
      <c r="AE25" s="2">
        <f t="shared" si="24"/>
        <v>683.5223007</v>
      </c>
      <c r="AF25" s="2">
        <f t="shared" si="24"/>
        <v>704.0279697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</row>
    <row r="26" ht="13.5" customHeight="1">
      <c r="A26" s="1"/>
      <c r="B26" s="8" t="s">
        <v>47</v>
      </c>
      <c r="C26" s="17">
        <v>74.211</v>
      </c>
      <c r="D26" s="17">
        <v>73.78</v>
      </c>
      <c r="E26" s="17">
        <v>74.73</v>
      </c>
      <c r="F26" s="17">
        <v>77.451</v>
      </c>
      <c r="G26" s="17">
        <v>74.887</v>
      </c>
      <c r="H26" s="17">
        <v>78.905</v>
      </c>
      <c r="I26" s="17">
        <v>79.346</v>
      </c>
      <c r="J26" s="17">
        <v>80.033</v>
      </c>
      <c r="K26" s="17">
        <v>79.745</v>
      </c>
      <c r="L26" s="2">
        <f t="shared" ref="L26:N26" si="25">L$24*(K26/K$24)</f>
        <v>71.16178538</v>
      </c>
      <c r="M26" s="2">
        <f t="shared" si="25"/>
        <v>73.52737847</v>
      </c>
      <c r="N26" s="2">
        <f t="shared" si="25"/>
        <v>85.95112566</v>
      </c>
      <c r="O26" s="1"/>
      <c r="P26" s="1"/>
      <c r="Q26" s="1"/>
      <c r="R26" s="1"/>
      <c r="S26" s="8">
        <v>300.173</v>
      </c>
      <c r="T26" s="8">
        <v>284.53</v>
      </c>
      <c r="U26" s="8">
        <v>300.173</v>
      </c>
      <c r="V26" s="8">
        <v>313.171</v>
      </c>
      <c r="W26" s="1">
        <f t="shared" si="23"/>
        <v>310.3852895</v>
      </c>
      <c r="X26" s="2">
        <f t="shared" ref="X26:AF26" si="26">X$24*(W26/W$24)</f>
        <v>319.6968482</v>
      </c>
      <c r="Y26" s="2">
        <f t="shared" si="26"/>
        <v>329.2877536</v>
      </c>
      <c r="Z26" s="2">
        <f t="shared" si="26"/>
        <v>339.1663863</v>
      </c>
      <c r="AA26" s="2">
        <f t="shared" si="26"/>
        <v>349.3413778</v>
      </c>
      <c r="AB26" s="2">
        <f t="shared" si="26"/>
        <v>359.8216192</v>
      </c>
      <c r="AC26" s="2">
        <f t="shared" si="26"/>
        <v>370.6162678</v>
      </c>
      <c r="AD26" s="2">
        <f t="shared" si="26"/>
        <v>381.7347558</v>
      </c>
      <c r="AE26" s="2">
        <f t="shared" si="26"/>
        <v>393.1867985</v>
      </c>
      <c r="AF26" s="2">
        <f t="shared" si="26"/>
        <v>404.9824024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</row>
    <row r="27" ht="13.5" customHeight="1">
      <c r="A27" s="1"/>
      <c r="B27" s="8" t="s">
        <v>48</v>
      </c>
      <c r="C27" s="2">
        <f t="shared" ref="C27:N27" si="27">C24-sum(C25:C26)</f>
        <v>-2.176</v>
      </c>
      <c r="D27" s="2">
        <f t="shared" si="27"/>
        <v>-18.852</v>
      </c>
      <c r="E27" s="2">
        <f t="shared" si="27"/>
        <v>-3.497</v>
      </c>
      <c r="F27" s="2">
        <f t="shared" si="27"/>
        <v>6.395</v>
      </c>
      <c r="G27" s="2">
        <f t="shared" si="27"/>
        <v>4.923</v>
      </c>
      <c r="H27" s="2">
        <f t="shared" si="27"/>
        <v>-2.632</v>
      </c>
      <c r="I27" s="2">
        <f t="shared" si="27"/>
        <v>-2.717</v>
      </c>
      <c r="J27" s="2">
        <f t="shared" si="27"/>
        <v>11.897</v>
      </c>
      <c r="K27" s="2">
        <f t="shared" si="27"/>
        <v>12.483</v>
      </c>
      <c r="L27" s="2">
        <f t="shared" si="27"/>
        <v>11.13941397</v>
      </c>
      <c r="M27" s="2">
        <f t="shared" si="27"/>
        <v>11.50971554</v>
      </c>
      <c r="N27" s="2">
        <f t="shared" si="27"/>
        <v>13.45448494</v>
      </c>
      <c r="O27" s="1"/>
      <c r="P27" s="1"/>
      <c r="Q27" s="1"/>
      <c r="R27" s="1"/>
      <c r="S27" s="2">
        <f t="shared" ref="S27:V27" si="28">S24-sum(S25:S26)</f>
        <v>-18.13</v>
      </c>
      <c r="T27" s="2">
        <f t="shared" si="28"/>
        <v>0.587</v>
      </c>
      <c r="U27" s="2">
        <f t="shared" si="28"/>
        <v>-18.13</v>
      </c>
      <c r="V27" s="2">
        <f t="shared" si="28"/>
        <v>11.471</v>
      </c>
      <c r="W27" s="1">
        <f t="shared" si="23"/>
        <v>48.58661445</v>
      </c>
      <c r="X27" s="2">
        <f t="shared" ref="X27:AF27" si="29">X24-sum(X25:X26)</f>
        <v>50.04421288</v>
      </c>
      <c r="Y27" s="2">
        <f t="shared" si="29"/>
        <v>51.54553927</v>
      </c>
      <c r="Z27" s="2">
        <f t="shared" si="29"/>
        <v>53.09190544</v>
      </c>
      <c r="AA27" s="2">
        <f t="shared" si="29"/>
        <v>54.68466261</v>
      </c>
      <c r="AB27" s="2">
        <f t="shared" si="29"/>
        <v>56.32520249</v>
      </c>
      <c r="AC27" s="2">
        <f t="shared" si="29"/>
        <v>58.01495856</v>
      </c>
      <c r="AD27" s="2">
        <f t="shared" si="29"/>
        <v>59.75540732</v>
      </c>
      <c r="AE27" s="2">
        <f t="shared" si="29"/>
        <v>61.54806954</v>
      </c>
      <c r="AF27" s="2">
        <f t="shared" si="29"/>
        <v>63.39451162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</row>
    <row r="28" ht="13.5" customHeight="1">
      <c r="A28" s="1"/>
      <c r="B28" s="8" t="s">
        <v>49</v>
      </c>
      <c r="C28" s="17">
        <v>0.849</v>
      </c>
      <c r="D28" s="17">
        <v>0.611</v>
      </c>
      <c r="E28" s="17">
        <v>0.482</v>
      </c>
      <c r="F28" s="17">
        <v>0.531</v>
      </c>
      <c r="G28" s="17">
        <v>0.458</v>
      </c>
      <c r="H28" s="17">
        <v>0.389</v>
      </c>
      <c r="I28" s="17">
        <v>0.541</v>
      </c>
      <c r="J28" s="17">
        <v>0.605</v>
      </c>
      <c r="K28" s="17">
        <v>0.647</v>
      </c>
      <c r="L28" s="2">
        <f t="shared" ref="L28:N28" si="30">K28</f>
        <v>0.647</v>
      </c>
      <c r="M28" s="2">
        <f t="shared" si="30"/>
        <v>0.647</v>
      </c>
      <c r="N28" s="2">
        <f t="shared" si="30"/>
        <v>0.647</v>
      </c>
      <c r="O28" s="1"/>
      <c r="P28" s="1"/>
      <c r="Q28" s="1"/>
      <c r="R28" s="1"/>
      <c r="S28" s="17">
        <v>2.473</v>
      </c>
      <c r="T28" s="17">
        <v>3.874</v>
      </c>
      <c r="U28" s="17">
        <v>2.473</v>
      </c>
      <c r="V28" s="17">
        <v>1.993</v>
      </c>
      <c r="W28" s="1">
        <f t="shared" si="23"/>
        <v>2.588</v>
      </c>
      <c r="X28" s="1">
        <f t="shared" ref="X28:AF28" si="31">W28</f>
        <v>2.588</v>
      </c>
      <c r="Y28" s="1">
        <f t="shared" si="31"/>
        <v>2.588</v>
      </c>
      <c r="Z28" s="1">
        <f t="shared" si="31"/>
        <v>2.588</v>
      </c>
      <c r="AA28" s="1">
        <f t="shared" si="31"/>
        <v>2.588</v>
      </c>
      <c r="AB28" s="1">
        <f t="shared" si="31"/>
        <v>2.588</v>
      </c>
      <c r="AC28" s="1">
        <f t="shared" si="31"/>
        <v>2.588</v>
      </c>
      <c r="AD28" s="1">
        <f t="shared" si="31"/>
        <v>2.588</v>
      </c>
      <c r="AE28" s="1">
        <f t="shared" si="31"/>
        <v>2.588</v>
      </c>
      <c r="AF28" s="1">
        <f t="shared" si="31"/>
        <v>2.588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</row>
    <row r="29" ht="13.5" customHeight="1">
      <c r="A29" s="1"/>
      <c r="B29" s="8" t="s">
        <v>50</v>
      </c>
      <c r="C29" s="17">
        <v>0.079</v>
      </c>
      <c r="D29" s="17">
        <v>0.08</v>
      </c>
      <c r="E29" s="17">
        <v>0.079</v>
      </c>
      <c r="F29" s="17">
        <v>0.081</v>
      </c>
      <c r="G29" s="17">
        <v>0.076</v>
      </c>
      <c r="H29" s="17">
        <v>0.088</v>
      </c>
      <c r="I29" s="17">
        <v>0.091</v>
      </c>
      <c r="J29" s="17">
        <v>0.087</v>
      </c>
      <c r="K29" s="17">
        <v>0.86</v>
      </c>
      <c r="L29" s="2">
        <f t="shared" ref="L29:N29" si="32">K29</f>
        <v>0.86</v>
      </c>
      <c r="M29" s="2">
        <f t="shared" si="32"/>
        <v>0.86</v>
      </c>
      <c r="N29" s="2">
        <f t="shared" si="32"/>
        <v>0.86</v>
      </c>
      <c r="O29" s="1"/>
      <c r="P29" s="1"/>
      <c r="Q29" s="1"/>
      <c r="R29" s="1"/>
      <c r="S29" s="17">
        <v>0.319</v>
      </c>
      <c r="T29" s="17">
        <v>0.306</v>
      </c>
      <c r="U29" s="17">
        <v>0.319</v>
      </c>
      <c r="V29" s="17">
        <v>0.342</v>
      </c>
      <c r="W29" s="1">
        <f t="shared" si="23"/>
        <v>3.44</v>
      </c>
      <c r="X29" s="1">
        <f t="shared" ref="X29:AF29" si="33">W29</f>
        <v>3.44</v>
      </c>
      <c r="Y29" s="1">
        <f t="shared" si="33"/>
        <v>3.44</v>
      </c>
      <c r="Z29" s="1">
        <f t="shared" si="33"/>
        <v>3.44</v>
      </c>
      <c r="AA29" s="1">
        <f t="shared" si="33"/>
        <v>3.44</v>
      </c>
      <c r="AB29" s="1">
        <f t="shared" si="33"/>
        <v>3.44</v>
      </c>
      <c r="AC29" s="1">
        <f t="shared" si="33"/>
        <v>3.44</v>
      </c>
      <c r="AD29" s="1">
        <f t="shared" si="33"/>
        <v>3.44</v>
      </c>
      <c r="AE29" s="1">
        <f t="shared" si="33"/>
        <v>3.44</v>
      </c>
      <c r="AF29" s="1">
        <f t="shared" si="33"/>
        <v>3.44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</row>
    <row r="30" ht="13.5" customHeight="1">
      <c r="A30" s="1"/>
      <c r="B30" s="8" t="s">
        <v>51</v>
      </c>
      <c r="C30" s="2">
        <f t="shared" ref="C30:N30" si="34">C27+C28-C29</f>
        <v>-1.406</v>
      </c>
      <c r="D30" s="2">
        <f t="shared" si="34"/>
        <v>-18.321</v>
      </c>
      <c r="E30" s="2">
        <f t="shared" si="34"/>
        <v>-3.094</v>
      </c>
      <c r="F30" s="2">
        <f t="shared" si="34"/>
        <v>6.845</v>
      </c>
      <c r="G30" s="2">
        <f t="shared" si="34"/>
        <v>5.305</v>
      </c>
      <c r="H30" s="2">
        <f t="shared" si="34"/>
        <v>-2.331</v>
      </c>
      <c r="I30" s="2">
        <f t="shared" si="34"/>
        <v>-2.267</v>
      </c>
      <c r="J30" s="2">
        <f t="shared" si="34"/>
        <v>12.415</v>
      </c>
      <c r="K30" s="2">
        <f t="shared" si="34"/>
        <v>12.27</v>
      </c>
      <c r="L30" s="2">
        <f t="shared" si="34"/>
        <v>10.92641397</v>
      </c>
      <c r="M30" s="2">
        <f t="shared" si="34"/>
        <v>11.29671554</v>
      </c>
      <c r="N30" s="2">
        <f t="shared" si="34"/>
        <v>13.24148494</v>
      </c>
      <c r="O30" s="1"/>
      <c r="P30" s="1"/>
      <c r="Q30" s="1"/>
      <c r="R30" s="1"/>
      <c r="S30" s="2">
        <f t="shared" ref="S30:V30" si="35">S27+S28-S29</f>
        <v>-15.976</v>
      </c>
      <c r="T30" s="2">
        <f t="shared" si="35"/>
        <v>4.155</v>
      </c>
      <c r="U30" s="2">
        <f t="shared" si="35"/>
        <v>-15.976</v>
      </c>
      <c r="V30" s="2">
        <f t="shared" si="35"/>
        <v>13.122</v>
      </c>
      <c r="W30" s="1">
        <f t="shared" si="23"/>
        <v>47.73461445</v>
      </c>
      <c r="X30" s="2">
        <f t="shared" ref="X30:AF30" si="36">X27+X28-X29</f>
        <v>49.19221288</v>
      </c>
      <c r="Y30" s="2">
        <f t="shared" si="36"/>
        <v>50.69353927</v>
      </c>
      <c r="Z30" s="2">
        <f t="shared" si="36"/>
        <v>52.23990544</v>
      </c>
      <c r="AA30" s="2">
        <f t="shared" si="36"/>
        <v>53.83266261</v>
      </c>
      <c r="AB30" s="2">
        <f t="shared" si="36"/>
        <v>55.47320249</v>
      </c>
      <c r="AC30" s="2">
        <f t="shared" si="36"/>
        <v>57.16295856</v>
      </c>
      <c r="AD30" s="2">
        <f t="shared" si="36"/>
        <v>58.90340732</v>
      </c>
      <c r="AE30" s="2">
        <f t="shared" si="36"/>
        <v>60.69606954</v>
      </c>
      <c r="AF30" s="2">
        <f t="shared" si="36"/>
        <v>62.54251162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</row>
    <row r="31" ht="13.5" customHeight="1">
      <c r="A31" s="1"/>
      <c r="B31" s="8" t="s">
        <v>52</v>
      </c>
      <c r="C31" s="17">
        <v>2.773</v>
      </c>
      <c r="D31" s="17">
        <v>5.951</v>
      </c>
      <c r="E31" s="17">
        <v>1.271</v>
      </c>
      <c r="F31" s="17">
        <v>-15.83</v>
      </c>
      <c r="G31" s="17">
        <v>0.0</v>
      </c>
      <c r="H31" s="17">
        <v>0.0</v>
      </c>
      <c r="I31" s="17">
        <v>0.0</v>
      </c>
      <c r="J31" s="17">
        <v>-0.296</v>
      </c>
      <c r="K31" s="17">
        <v>-0.182</v>
      </c>
      <c r="L31" s="2">
        <f t="shared" ref="L31:N31" si="37">L30*(K31/K30)</f>
        <v>-0.162070688</v>
      </c>
      <c r="M31" s="2">
        <f t="shared" si="37"/>
        <v>-0.1675633437</v>
      </c>
      <c r="N31" s="2">
        <f t="shared" si="37"/>
        <v>-0.1964099641</v>
      </c>
      <c r="O31" s="1"/>
      <c r="P31" s="1"/>
      <c r="Q31" s="1"/>
      <c r="R31" s="1"/>
      <c r="S31" s="17">
        <v>-5.836</v>
      </c>
      <c r="T31" s="17">
        <v>3.907</v>
      </c>
      <c r="U31" s="17">
        <v>5.836</v>
      </c>
      <c r="V31" s="17">
        <v>-0.296</v>
      </c>
      <c r="W31" s="1">
        <f t="shared" si="23"/>
        <v>-0.7080439959</v>
      </c>
      <c r="X31" s="1">
        <f t="shared" ref="X31:AF31" si="38">X30*(W31/W30)</f>
        <v>-0.7296644453</v>
      </c>
      <c r="Y31" s="1">
        <f t="shared" si="38"/>
        <v>-0.7519335083</v>
      </c>
      <c r="Z31" s="1">
        <f t="shared" si="38"/>
        <v>-0.7748706431</v>
      </c>
      <c r="AA31" s="1">
        <f t="shared" si="38"/>
        <v>-0.798495892</v>
      </c>
      <c r="AB31" s="1">
        <f t="shared" si="38"/>
        <v>-0.8228298983</v>
      </c>
      <c r="AC31" s="1">
        <f t="shared" si="38"/>
        <v>-0.8478939248</v>
      </c>
      <c r="AD31" s="1">
        <f t="shared" si="38"/>
        <v>-0.8737098722</v>
      </c>
      <c r="AE31" s="1">
        <f t="shared" si="38"/>
        <v>-0.9003002979</v>
      </c>
      <c r="AF31" s="1">
        <f t="shared" si="38"/>
        <v>-0.9276884364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</row>
    <row r="32" ht="13.5" customHeight="1">
      <c r="A32" s="1"/>
      <c r="B32" s="8" t="s">
        <v>53</v>
      </c>
      <c r="C32" s="2">
        <f t="shared" ref="C32:N32" si="39">C30+C31</f>
        <v>1.367</v>
      </c>
      <c r="D32" s="2">
        <f t="shared" si="39"/>
        <v>-12.37</v>
      </c>
      <c r="E32" s="2">
        <f t="shared" si="39"/>
        <v>-1.823</v>
      </c>
      <c r="F32" s="2">
        <f t="shared" si="39"/>
        <v>-8.985</v>
      </c>
      <c r="G32" s="2">
        <f t="shared" si="39"/>
        <v>5.305</v>
      </c>
      <c r="H32" s="2">
        <f t="shared" si="39"/>
        <v>-2.331</v>
      </c>
      <c r="I32" s="2">
        <f t="shared" si="39"/>
        <v>-2.267</v>
      </c>
      <c r="J32" s="2">
        <f t="shared" si="39"/>
        <v>12.119</v>
      </c>
      <c r="K32" s="2">
        <f t="shared" si="39"/>
        <v>12.088</v>
      </c>
      <c r="L32" s="2">
        <f t="shared" si="39"/>
        <v>10.76434328</v>
      </c>
      <c r="M32" s="2">
        <f t="shared" si="39"/>
        <v>11.12915219</v>
      </c>
      <c r="N32" s="2">
        <f t="shared" si="39"/>
        <v>13.04507498</v>
      </c>
      <c r="O32" s="1"/>
      <c r="P32" s="1"/>
      <c r="Q32" s="1"/>
      <c r="R32" s="1"/>
      <c r="S32" s="2">
        <f t="shared" ref="S32:V32" si="40">S30+S31</f>
        <v>-21.812</v>
      </c>
      <c r="T32" s="2">
        <f t="shared" si="40"/>
        <v>8.062</v>
      </c>
      <c r="U32" s="2">
        <f t="shared" si="40"/>
        <v>-10.14</v>
      </c>
      <c r="V32" s="2">
        <f t="shared" si="40"/>
        <v>12.826</v>
      </c>
      <c r="W32" s="1">
        <f t="shared" si="23"/>
        <v>47.02657045</v>
      </c>
      <c r="X32" s="2">
        <f t="shared" ref="X32:AF32" si="41">X30+X31</f>
        <v>48.46254843</v>
      </c>
      <c r="Y32" s="2">
        <f t="shared" si="41"/>
        <v>49.94160576</v>
      </c>
      <c r="Z32" s="2">
        <f t="shared" si="41"/>
        <v>51.4650348</v>
      </c>
      <c r="AA32" s="2">
        <f t="shared" si="41"/>
        <v>53.03416672</v>
      </c>
      <c r="AB32" s="2">
        <f t="shared" si="41"/>
        <v>54.65037259</v>
      </c>
      <c r="AC32" s="2">
        <f t="shared" si="41"/>
        <v>56.31506463</v>
      </c>
      <c r="AD32" s="2">
        <f t="shared" si="41"/>
        <v>58.02969744</v>
      </c>
      <c r="AE32" s="2">
        <f t="shared" si="41"/>
        <v>59.79576924</v>
      </c>
      <c r="AF32" s="2">
        <f t="shared" si="41"/>
        <v>61.61482319</v>
      </c>
      <c r="AG32" s="1">
        <f t="shared" ref="AG32:FX32" si="42">AF32*(1+$AI$35)</f>
        <v>62.23097142</v>
      </c>
      <c r="AH32" s="1">
        <f t="shared" si="42"/>
        <v>62.85328113</v>
      </c>
      <c r="AI32" s="1">
        <f t="shared" si="42"/>
        <v>63.48181394</v>
      </c>
      <c r="AJ32" s="1">
        <f t="shared" si="42"/>
        <v>64.11663208</v>
      </c>
      <c r="AK32" s="1">
        <f t="shared" si="42"/>
        <v>64.7577984</v>
      </c>
      <c r="AL32" s="1">
        <f t="shared" si="42"/>
        <v>65.40537639</v>
      </c>
      <c r="AM32" s="1">
        <f t="shared" si="42"/>
        <v>66.05943015</v>
      </c>
      <c r="AN32" s="1">
        <f t="shared" si="42"/>
        <v>66.72002445</v>
      </c>
      <c r="AO32" s="1">
        <f t="shared" si="42"/>
        <v>67.3872247</v>
      </c>
      <c r="AP32" s="1">
        <f t="shared" si="42"/>
        <v>68.06109694</v>
      </c>
      <c r="AQ32" s="1">
        <f t="shared" si="42"/>
        <v>68.74170791</v>
      </c>
      <c r="AR32" s="1">
        <f t="shared" si="42"/>
        <v>69.42912499</v>
      </c>
      <c r="AS32" s="1">
        <f t="shared" si="42"/>
        <v>70.12341624</v>
      </c>
      <c r="AT32" s="1">
        <f t="shared" si="42"/>
        <v>70.82465041</v>
      </c>
      <c r="AU32" s="1">
        <f t="shared" si="42"/>
        <v>71.53289691</v>
      </c>
      <c r="AV32" s="1">
        <f t="shared" si="42"/>
        <v>72.24822588</v>
      </c>
      <c r="AW32" s="1">
        <f t="shared" si="42"/>
        <v>72.97070814</v>
      </c>
      <c r="AX32" s="1">
        <f t="shared" si="42"/>
        <v>73.70041522</v>
      </c>
      <c r="AY32" s="1">
        <f t="shared" si="42"/>
        <v>74.43741937</v>
      </c>
      <c r="AZ32" s="1">
        <f t="shared" si="42"/>
        <v>75.18179356</v>
      </c>
      <c r="BA32" s="1">
        <f t="shared" si="42"/>
        <v>75.9336115</v>
      </c>
      <c r="BB32" s="1">
        <f t="shared" si="42"/>
        <v>76.69294761</v>
      </c>
      <c r="BC32" s="1">
        <f t="shared" si="42"/>
        <v>77.45987709</v>
      </c>
      <c r="BD32" s="1">
        <f t="shared" si="42"/>
        <v>78.23447586</v>
      </c>
      <c r="BE32" s="1">
        <f t="shared" si="42"/>
        <v>79.01682062</v>
      </c>
      <c r="BF32" s="1">
        <f t="shared" si="42"/>
        <v>79.80698883</v>
      </c>
      <c r="BG32" s="1">
        <f t="shared" si="42"/>
        <v>80.60505872</v>
      </c>
      <c r="BH32" s="1">
        <f t="shared" si="42"/>
        <v>81.4111093</v>
      </c>
      <c r="BI32" s="1">
        <f t="shared" si="42"/>
        <v>82.2252204</v>
      </c>
      <c r="BJ32" s="1">
        <f t="shared" si="42"/>
        <v>83.0474726</v>
      </c>
      <c r="BK32" s="1">
        <f t="shared" si="42"/>
        <v>83.87794733</v>
      </c>
      <c r="BL32" s="1">
        <f t="shared" si="42"/>
        <v>84.7167268</v>
      </c>
      <c r="BM32" s="1">
        <f t="shared" si="42"/>
        <v>85.56389407</v>
      </c>
      <c r="BN32" s="1">
        <f t="shared" si="42"/>
        <v>86.41953301</v>
      </c>
      <c r="BO32" s="1">
        <f t="shared" si="42"/>
        <v>87.28372834</v>
      </c>
      <c r="BP32" s="1">
        <f t="shared" si="42"/>
        <v>88.15656562</v>
      </c>
      <c r="BQ32" s="1">
        <f t="shared" si="42"/>
        <v>89.03813128</v>
      </c>
      <c r="BR32" s="1">
        <f t="shared" si="42"/>
        <v>89.92851259</v>
      </c>
      <c r="BS32" s="1">
        <f t="shared" si="42"/>
        <v>90.82779772</v>
      </c>
      <c r="BT32" s="1">
        <f t="shared" si="42"/>
        <v>91.73607569</v>
      </c>
      <c r="BU32" s="1">
        <f t="shared" si="42"/>
        <v>92.65343645</v>
      </c>
      <c r="BV32" s="1">
        <f t="shared" si="42"/>
        <v>93.57997081</v>
      </c>
      <c r="BW32" s="1">
        <f t="shared" si="42"/>
        <v>94.51577052</v>
      </c>
      <c r="BX32" s="1">
        <f t="shared" si="42"/>
        <v>95.46092823</v>
      </c>
      <c r="BY32" s="1">
        <f t="shared" si="42"/>
        <v>96.41553751</v>
      </c>
      <c r="BZ32" s="1">
        <f t="shared" si="42"/>
        <v>97.37969288</v>
      </c>
      <c r="CA32" s="1">
        <f t="shared" si="42"/>
        <v>98.35348981</v>
      </c>
      <c r="CB32" s="1">
        <f t="shared" si="42"/>
        <v>99.33702471</v>
      </c>
      <c r="CC32" s="1">
        <f t="shared" si="42"/>
        <v>100.330395</v>
      </c>
      <c r="CD32" s="1">
        <f t="shared" si="42"/>
        <v>101.3336989</v>
      </c>
      <c r="CE32" s="1">
        <f t="shared" si="42"/>
        <v>102.3470359</v>
      </c>
      <c r="CF32" s="1">
        <f t="shared" si="42"/>
        <v>103.3705063</v>
      </c>
      <c r="CG32" s="1">
        <f t="shared" si="42"/>
        <v>104.4042113</v>
      </c>
      <c r="CH32" s="1">
        <f t="shared" si="42"/>
        <v>105.4482534</v>
      </c>
      <c r="CI32" s="1">
        <f t="shared" si="42"/>
        <v>106.502736</v>
      </c>
      <c r="CJ32" s="1">
        <f t="shared" si="42"/>
        <v>107.5677633</v>
      </c>
      <c r="CK32" s="1">
        <f t="shared" si="42"/>
        <v>108.643441</v>
      </c>
      <c r="CL32" s="1">
        <f t="shared" si="42"/>
        <v>109.7298754</v>
      </c>
      <c r="CM32" s="1">
        <f t="shared" si="42"/>
        <v>110.8271741</v>
      </c>
      <c r="CN32" s="1">
        <f t="shared" si="42"/>
        <v>111.9354459</v>
      </c>
      <c r="CO32" s="1">
        <f t="shared" si="42"/>
        <v>113.0548003</v>
      </c>
      <c r="CP32" s="1">
        <f t="shared" si="42"/>
        <v>114.1853483</v>
      </c>
      <c r="CQ32" s="1">
        <f t="shared" si="42"/>
        <v>115.3272018</v>
      </c>
      <c r="CR32" s="1">
        <f t="shared" si="42"/>
        <v>116.4804738</v>
      </c>
      <c r="CS32" s="1">
        <f t="shared" si="42"/>
        <v>117.6452786</v>
      </c>
      <c r="CT32" s="1">
        <f t="shared" si="42"/>
        <v>118.8217314</v>
      </c>
      <c r="CU32" s="1">
        <f t="shared" si="42"/>
        <v>120.0099487</v>
      </c>
      <c r="CV32" s="1">
        <f t="shared" si="42"/>
        <v>121.2100482</v>
      </c>
      <c r="CW32" s="1">
        <f t="shared" si="42"/>
        <v>122.4221486</v>
      </c>
      <c r="CX32" s="1">
        <f t="shared" si="42"/>
        <v>123.6463701</v>
      </c>
      <c r="CY32" s="1">
        <f t="shared" si="42"/>
        <v>124.8828338</v>
      </c>
      <c r="CZ32" s="1">
        <f t="shared" si="42"/>
        <v>126.1316622</v>
      </c>
      <c r="DA32" s="1">
        <f t="shared" si="42"/>
        <v>127.3929788</v>
      </c>
      <c r="DB32" s="1">
        <f t="shared" si="42"/>
        <v>128.6669086</v>
      </c>
      <c r="DC32" s="1">
        <f t="shared" si="42"/>
        <v>129.9535777</v>
      </c>
      <c r="DD32" s="1">
        <f t="shared" si="42"/>
        <v>131.2531134</v>
      </c>
      <c r="DE32" s="1">
        <f t="shared" si="42"/>
        <v>132.5656446</v>
      </c>
      <c r="DF32" s="1">
        <f t="shared" si="42"/>
        <v>133.891301</v>
      </c>
      <c r="DG32" s="1">
        <f t="shared" si="42"/>
        <v>135.230214</v>
      </c>
      <c r="DH32" s="1">
        <f t="shared" si="42"/>
        <v>136.5825162</v>
      </c>
      <c r="DI32" s="1">
        <f t="shared" si="42"/>
        <v>137.9483413</v>
      </c>
      <c r="DJ32" s="1">
        <f t="shared" si="42"/>
        <v>139.3278247</v>
      </c>
      <c r="DK32" s="1">
        <f t="shared" si="42"/>
        <v>140.721103</v>
      </c>
      <c r="DL32" s="1">
        <f t="shared" si="42"/>
        <v>142.128314</v>
      </c>
      <c r="DM32" s="1">
        <f t="shared" si="42"/>
        <v>143.5495972</v>
      </c>
      <c r="DN32" s="1">
        <f t="shared" si="42"/>
        <v>144.9850931</v>
      </c>
      <c r="DO32" s="1">
        <f t="shared" si="42"/>
        <v>146.4349441</v>
      </c>
      <c r="DP32" s="1">
        <f t="shared" si="42"/>
        <v>147.8992935</v>
      </c>
      <c r="DQ32" s="1">
        <f t="shared" si="42"/>
        <v>149.3782864</v>
      </c>
      <c r="DR32" s="1">
        <f t="shared" si="42"/>
        <v>150.8720693</v>
      </c>
      <c r="DS32" s="1">
        <f t="shared" si="42"/>
        <v>152.38079</v>
      </c>
      <c r="DT32" s="1">
        <f t="shared" si="42"/>
        <v>153.9045979</v>
      </c>
      <c r="DU32" s="1">
        <f t="shared" si="42"/>
        <v>155.4436439</v>
      </c>
      <c r="DV32" s="1">
        <f t="shared" si="42"/>
        <v>156.9980803</v>
      </c>
      <c r="DW32" s="1">
        <f t="shared" si="42"/>
        <v>158.5680611</v>
      </c>
      <c r="DX32" s="1">
        <f t="shared" si="42"/>
        <v>160.1537417</v>
      </c>
      <c r="DY32" s="1">
        <f t="shared" si="42"/>
        <v>161.7552791</v>
      </c>
      <c r="DZ32" s="1">
        <f t="shared" si="42"/>
        <v>163.3728319</v>
      </c>
      <c r="EA32" s="1">
        <f t="shared" si="42"/>
        <v>165.0065602</v>
      </c>
      <c r="EB32" s="1">
        <f t="shared" si="42"/>
        <v>166.6566258</v>
      </c>
      <c r="EC32" s="1">
        <f t="shared" si="42"/>
        <v>168.3231921</v>
      </c>
      <c r="ED32" s="1">
        <f t="shared" si="42"/>
        <v>170.006424</v>
      </c>
      <c r="EE32" s="1">
        <f t="shared" si="42"/>
        <v>171.7064883</v>
      </c>
      <c r="EF32" s="1">
        <f t="shared" si="42"/>
        <v>173.4235532</v>
      </c>
      <c r="EG32" s="1">
        <f t="shared" si="42"/>
        <v>175.1577887</v>
      </c>
      <c r="EH32" s="1">
        <f t="shared" si="42"/>
        <v>176.9093666</v>
      </c>
      <c r="EI32" s="1">
        <f t="shared" si="42"/>
        <v>178.6784602</v>
      </c>
      <c r="EJ32" s="1">
        <f t="shared" si="42"/>
        <v>180.4652448</v>
      </c>
      <c r="EK32" s="1">
        <f t="shared" si="42"/>
        <v>182.2698973</v>
      </c>
      <c r="EL32" s="1">
        <f t="shared" si="42"/>
        <v>184.0925963</v>
      </c>
      <c r="EM32" s="1">
        <f t="shared" si="42"/>
        <v>185.9335222</v>
      </c>
      <c r="EN32" s="1">
        <f t="shared" si="42"/>
        <v>187.7928574</v>
      </c>
      <c r="EO32" s="1">
        <f t="shared" si="42"/>
        <v>189.670786</v>
      </c>
      <c r="EP32" s="1">
        <f t="shared" si="42"/>
        <v>191.5674939</v>
      </c>
      <c r="EQ32" s="1">
        <f t="shared" si="42"/>
        <v>193.4831688</v>
      </c>
      <c r="ER32" s="1">
        <f t="shared" si="42"/>
        <v>195.4180005</v>
      </c>
      <c r="ES32" s="1">
        <f t="shared" si="42"/>
        <v>197.3721805</v>
      </c>
      <c r="ET32" s="1">
        <f t="shared" si="42"/>
        <v>199.3459023</v>
      </c>
      <c r="EU32" s="1">
        <f t="shared" si="42"/>
        <v>201.3393613</v>
      </c>
      <c r="EV32" s="1">
        <f t="shared" si="42"/>
        <v>203.352755</v>
      </c>
      <c r="EW32" s="1">
        <f t="shared" si="42"/>
        <v>205.3862825</v>
      </c>
      <c r="EX32" s="1">
        <f t="shared" si="42"/>
        <v>207.4401453</v>
      </c>
      <c r="EY32" s="1">
        <f t="shared" si="42"/>
        <v>209.5145468</v>
      </c>
      <c r="EZ32" s="1">
        <f t="shared" si="42"/>
        <v>211.6096922</v>
      </c>
      <c r="FA32" s="1">
        <f t="shared" si="42"/>
        <v>213.7257892</v>
      </c>
      <c r="FB32" s="1">
        <f t="shared" si="42"/>
        <v>215.8630471</v>
      </c>
      <c r="FC32" s="1">
        <f t="shared" si="42"/>
        <v>218.0216775</v>
      </c>
      <c r="FD32" s="1">
        <f t="shared" si="42"/>
        <v>220.2018943</v>
      </c>
      <c r="FE32" s="1">
        <f t="shared" si="42"/>
        <v>222.4039133</v>
      </c>
      <c r="FF32" s="1">
        <f t="shared" si="42"/>
        <v>224.6279524</v>
      </c>
      <c r="FG32" s="1">
        <f t="shared" si="42"/>
        <v>226.8742319</v>
      </c>
      <c r="FH32" s="1">
        <f t="shared" si="42"/>
        <v>229.1429742</v>
      </c>
      <c r="FI32" s="1">
        <f t="shared" si="42"/>
        <v>231.434404</v>
      </c>
      <c r="FJ32" s="1">
        <f t="shared" si="42"/>
        <v>233.748748</v>
      </c>
      <c r="FK32" s="1">
        <f t="shared" si="42"/>
        <v>236.0862355</v>
      </c>
      <c r="FL32" s="1">
        <f t="shared" si="42"/>
        <v>238.4470978</v>
      </c>
      <c r="FM32" s="1">
        <f t="shared" si="42"/>
        <v>240.8315688</v>
      </c>
      <c r="FN32" s="1">
        <f t="shared" si="42"/>
        <v>243.2398845</v>
      </c>
      <c r="FO32" s="1">
        <f t="shared" si="42"/>
        <v>245.6722834</v>
      </c>
      <c r="FP32" s="1">
        <f t="shared" si="42"/>
        <v>248.1290062</v>
      </c>
      <c r="FQ32" s="1">
        <f t="shared" si="42"/>
        <v>250.6102963</v>
      </c>
      <c r="FR32" s="1">
        <f t="shared" si="42"/>
        <v>253.1163992</v>
      </c>
      <c r="FS32" s="1">
        <f t="shared" si="42"/>
        <v>255.6475632</v>
      </c>
      <c r="FT32" s="1">
        <f t="shared" si="42"/>
        <v>258.2040388</v>
      </c>
      <c r="FU32" s="1">
        <f t="shared" si="42"/>
        <v>260.7860792</v>
      </c>
      <c r="FV32" s="1">
        <f t="shared" si="42"/>
        <v>263.39394</v>
      </c>
      <c r="FW32" s="1">
        <f t="shared" si="42"/>
        <v>266.0278794</v>
      </c>
      <c r="FX32" s="1">
        <f t="shared" si="42"/>
        <v>268.6881582</v>
      </c>
    </row>
    <row r="33" ht="13.5" customHeight="1">
      <c r="A33" s="1"/>
      <c r="B33" s="8" t="s">
        <v>54</v>
      </c>
      <c r="C33" s="17">
        <v>8.253</v>
      </c>
      <c r="D33" s="17">
        <v>8.337</v>
      </c>
      <c r="E33" s="17">
        <v>8.356</v>
      </c>
      <c r="F33" s="17">
        <v>8.314</v>
      </c>
      <c r="G33" s="17">
        <v>8.17</v>
      </c>
      <c r="H33" s="17">
        <v>8.314</v>
      </c>
      <c r="I33" s="17">
        <v>8.05</v>
      </c>
      <c r="J33" s="17">
        <v>8.411</v>
      </c>
      <c r="K33" s="17">
        <v>8.484</v>
      </c>
      <c r="L33" s="2">
        <f t="shared" ref="L33:N33" si="43">K33</f>
        <v>8.484</v>
      </c>
      <c r="M33" s="2">
        <f t="shared" si="43"/>
        <v>8.484</v>
      </c>
      <c r="N33" s="2">
        <f t="shared" si="43"/>
        <v>8.484</v>
      </c>
      <c r="O33" s="1"/>
      <c r="P33" s="1"/>
      <c r="Q33" s="1"/>
      <c r="R33" s="1"/>
      <c r="S33" s="17">
        <v>8.315</v>
      </c>
      <c r="T33" s="17">
        <v>8.221</v>
      </c>
      <c r="U33" s="17">
        <v>8.315</v>
      </c>
      <c r="V33" s="17">
        <v>8.3</v>
      </c>
      <c r="W33" s="1">
        <f>+W32/W34</f>
        <v>8.484</v>
      </c>
      <c r="X33" s="1">
        <f t="shared" ref="X33:AF33" si="44">W33</f>
        <v>8.484</v>
      </c>
      <c r="Y33" s="1">
        <f t="shared" si="44"/>
        <v>8.484</v>
      </c>
      <c r="Z33" s="1">
        <f t="shared" si="44"/>
        <v>8.484</v>
      </c>
      <c r="AA33" s="1">
        <f t="shared" si="44"/>
        <v>8.484</v>
      </c>
      <c r="AB33" s="1">
        <f t="shared" si="44"/>
        <v>8.484</v>
      </c>
      <c r="AC33" s="1">
        <f t="shared" si="44"/>
        <v>8.484</v>
      </c>
      <c r="AD33" s="1">
        <f t="shared" si="44"/>
        <v>8.484</v>
      </c>
      <c r="AE33" s="1">
        <f t="shared" si="44"/>
        <v>8.484</v>
      </c>
      <c r="AF33" s="1">
        <f t="shared" si="44"/>
        <v>8.484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</row>
    <row r="34" ht="13.5" customHeight="1">
      <c r="A34" s="1"/>
      <c r="B34" s="8" t="s">
        <v>55</v>
      </c>
      <c r="C34" s="17">
        <v>0.11</v>
      </c>
      <c r="D34" s="17">
        <f t="shared" ref="D34:F34" si="45">D32/D33</f>
        <v>-1.483747151</v>
      </c>
      <c r="E34" s="17">
        <f t="shared" si="45"/>
        <v>-0.2181665869</v>
      </c>
      <c r="F34" s="17">
        <f t="shared" si="45"/>
        <v>-1.080707241</v>
      </c>
      <c r="G34" s="17">
        <v>0.11</v>
      </c>
      <c r="H34" s="17">
        <f t="shared" ref="H34:N34" si="46">H32/H33</f>
        <v>-0.2803704595</v>
      </c>
      <c r="I34" s="17">
        <f t="shared" si="46"/>
        <v>-0.2816149068</v>
      </c>
      <c r="J34" s="17">
        <f t="shared" si="46"/>
        <v>1.440851266</v>
      </c>
      <c r="K34" s="17">
        <f t="shared" si="46"/>
        <v>1.424799623</v>
      </c>
      <c r="L34" s="2">
        <f t="shared" si="46"/>
        <v>1.268781622</v>
      </c>
      <c r="M34" s="2">
        <f t="shared" si="46"/>
        <v>1.311781258</v>
      </c>
      <c r="N34" s="2">
        <f t="shared" si="46"/>
        <v>1.537609026</v>
      </c>
      <c r="O34" s="1"/>
      <c r="P34" s="1"/>
      <c r="Q34" s="1"/>
      <c r="R34" s="1"/>
      <c r="S34" s="17">
        <f t="shared" ref="S34:V34" si="47">S32/S33</f>
        <v>-2.623211064</v>
      </c>
      <c r="T34" s="17">
        <f t="shared" si="47"/>
        <v>0.9806592872</v>
      </c>
      <c r="U34" s="17">
        <f t="shared" si="47"/>
        <v>-1.219482862</v>
      </c>
      <c r="V34" s="17">
        <f t="shared" si="47"/>
        <v>1.545301205</v>
      </c>
      <c r="W34" s="1">
        <f>sum(K34:N34)</f>
        <v>5.542971529</v>
      </c>
      <c r="X34" s="1">
        <f t="shared" ref="X34:AF34" si="48">X32/X33</f>
        <v>5.712228717</v>
      </c>
      <c r="Y34" s="1">
        <f t="shared" si="48"/>
        <v>5.886563621</v>
      </c>
      <c r="Z34" s="1">
        <f t="shared" si="48"/>
        <v>6.066128571</v>
      </c>
      <c r="AA34" s="1">
        <f t="shared" si="48"/>
        <v>6.251080471</v>
      </c>
      <c r="AB34" s="1">
        <f t="shared" si="48"/>
        <v>6.441580927</v>
      </c>
      <c r="AC34" s="1">
        <f t="shared" si="48"/>
        <v>6.637796397</v>
      </c>
      <c r="AD34" s="1">
        <f t="shared" si="48"/>
        <v>6.839898331</v>
      </c>
      <c r="AE34" s="1">
        <f t="shared" si="48"/>
        <v>7.048063324</v>
      </c>
      <c r="AF34" s="1">
        <f t="shared" si="48"/>
        <v>7.262473266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</row>
    <row r="35" ht="13.5" customHeight="1">
      <c r="A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8" t="s">
        <v>56</v>
      </c>
      <c r="AI35" s="30">
        <v>0.01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</row>
    <row r="36" ht="13.5" customHeight="1">
      <c r="A36" s="1"/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8" t="s">
        <v>57</v>
      </c>
      <c r="AI36" s="30">
        <v>0.08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</row>
    <row r="37" ht="13.5" customHeight="1">
      <c r="A37" s="1"/>
      <c r="B37" s="8" t="s">
        <v>58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8" t="s">
        <v>59</v>
      </c>
      <c r="AI37" s="1">
        <f t="array" ref="AI37">NPV(AI36,W32:FX32)</f>
        <v>767.52714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</row>
    <row r="38" ht="13.5" customHeight="1">
      <c r="A38" s="31"/>
      <c r="B38" s="32" t="s">
        <v>45</v>
      </c>
      <c r="C38" s="33"/>
      <c r="D38" s="33"/>
      <c r="E38" s="33"/>
      <c r="F38" s="33"/>
      <c r="G38" s="33">
        <f t="shared" ref="G38:N38" si="49">G24/C24-1</f>
        <v>0.0828766057</v>
      </c>
      <c r="H38" s="33">
        <f t="shared" si="49"/>
        <v>0.08041823372</v>
      </c>
      <c r="I38" s="33">
        <f t="shared" si="49"/>
        <v>0.1006612087</v>
      </c>
      <c r="J38" s="33">
        <f t="shared" si="49"/>
        <v>0.09102058985</v>
      </c>
      <c r="K38" s="33">
        <f t="shared" si="49"/>
        <v>0.1444023636</v>
      </c>
      <c r="L38" s="33">
        <f t="shared" si="49"/>
        <v>0.08</v>
      </c>
      <c r="M38" s="33">
        <f t="shared" si="49"/>
        <v>0.08</v>
      </c>
      <c r="N38" s="33">
        <f t="shared" si="49"/>
        <v>0.08</v>
      </c>
      <c r="O38" s="31"/>
      <c r="P38" s="31"/>
      <c r="Q38" s="31"/>
      <c r="R38" s="31"/>
      <c r="S38" s="31"/>
      <c r="T38" s="31">
        <f t="shared" ref="T38:AF38" si="50">T24/S24-1</f>
        <v>-0.006822657384</v>
      </c>
      <c r="U38" s="31">
        <f t="shared" si="50"/>
        <v>0.006869525805</v>
      </c>
      <c r="V38" s="31">
        <f t="shared" si="50"/>
        <v>0.08881272748</v>
      </c>
      <c r="W38" s="31">
        <f t="shared" si="50"/>
        <v>0.09584434401</v>
      </c>
      <c r="X38" s="31">
        <f t="shared" si="50"/>
        <v>0.03</v>
      </c>
      <c r="Y38" s="31">
        <f t="shared" si="50"/>
        <v>0.03</v>
      </c>
      <c r="Z38" s="31">
        <f t="shared" si="50"/>
        <v>0.03</v>
      </c>
      <c r="AA38" s="31">
        <f t="shared" si="50"/>
        <v>0.03</v>
      </c>
      <c r="AB38" s="31">
        <f t="shared" si="50"/>
        <v>0.03</v>
      </c>
      <c r="AC38" s="31">
        <f t="shared" si="50"/>
        <v>0.03</v>
      </c>
      <c r="AD38" s="31">
        <f t="shared" si="50"/>
        <v>0.03</v>
      </c>
      <c r="AE38" s="31">
        <f t="shared" si="50"/>
        <v>0.03</v>
      </c>
      <c r="AF38" s="31">
        <f t="shared" si="50"/>
        <v>0.03</v>
      </c>
      <c r="AG38" s="31"/>
      <c r="AH38" s="34" t="s">
        <v>60</v>
      </c>
      <c r="AI38" s="1">
        <f>Main!K8</f>
        <v>8.329848</v>
      </c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 s="31"/>
      <c r="ER38" s="31"/>
      <c r="ES38" s="31"/>
      <c r="ET38" s="31"/>
      <c r="EU38" s="31"/>
      <c r="EV38" s="31"/>
      <c r="EW38" s="31"/>
      <c r="EX38" s="31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1"/>
      <c r="FX38" s="31"/>
    </row>
    <row r="39" ht="13.5" customHeight="1">
      <c r="A39" s="31"/>
      <c r="B39" s="32" t="s">
        <v>61</v>
      </c>
      <c r="C39" s="33">
        <f t="shared" ref="C39:N39" si="51">(C24-C25)/C24</f>
        <v>0.3866841306</v>
      </c>
      <c r="D39" s="33">
        <f t="shared" si="51"/>
        <v>0.3111151389</v>
      </c>
      <c r="E39" s="33">
        <f t="shared" si="51"/>
        <v>0.3978030447</v>
      </c>
      <c r="F39" s="33">
        <f t="shared" si="51"/>
        <v>0.3970507454</v>
      </c>
      <c r="G39" s="33">
        <f t="shared" si="51"/>
        <v>0.3956317418</v>
      </c>
      <c r="H39" s="33">
        <f t="shared" si="51"/>
        <v>0.3998584535</v>
      </c>
      <c r="I39" s="33">
        <f t="shared" si="51"/>
        <v>0.3888000974</v>
      </c>
      <c r="J39" s="33">
        <f t="shared" si="51"/>
        <v>0.3990138589</v>
      </c>
      <c r="K39" s="33">
        <f t="shared" si="51"/>
        <v>0.399500992</v>
      </c>
      <c r="L39" s="33">
        <f t="shared" si="51"/>
        <v>0.399500992</v>
      </c>
      <c r="M39" s="33">
        <f t="shared" si="51"/>
        <v>0.399500992</v>
      </c>
      <c r="N39" s="33">
        <f t="shared" si="51"/>
        <v>0.399500992</v>
      </c>
      <c r="O39" s="31"/>
      <c r="P39" s="31"/>
      <c r="Q39" s="31"/>
      <c r="R39" s="31"/>
      <c r="S39" s="33">
        <f t="shared" ref="S39:AF39" si="52">(S24-S25)/S24</f>
        <v>0.3745198047</v>
      </c>
      <c r="T39" s="33">
        <f t="shared" si="52"/>
        <v>0.381202528</v>
      </c>
      <c r="U39" s="33">
        <f t="shared" si="52"/>
        <v>0.3745198047</v>
      </c>
      <c r="V39" s="33">
        <f t="shared" si="52"/>
        <v>0.3959232257</v>
      </c>
      <c r="W39" s="33">
        <f t="shared" si="52"/>
        <v>0.399500992</v>
      </c>
      <c r="X39" s="33">
        <f t="shared" si="52"/>
        <v>0.399500992</v>
      </c>
      <c r="Y39" s="33">
        <f t="shared" si="52"/>
        <v>0.399500992</v>
      </c>
      <c r="Z39" s="33">
        <f t="shared" si="52"/>
        <v>0.399500992</v>
      </c>
      <c r="AA39" s="33">
        <f t="shared" si="52"/>
        <v>0.399500992</v>
      </c>
      <c r="AB39" s="33">
        <f t="shared" si="52"/>
        <v>0.399500992</v>
      </c>
      <c r="AC39" s="33">
        <f t="shared" si="52"/>
        <v>0.399500992</v>
      </c>
      <c r="AD39" s="33">
        <f t="shared" si="52"/>
        <v>0.399500992</v>
      </c>
      <c r="AE39" s="33">
        <f t="shared" si="52"/>
        <v>0.399500992</v>
      </c>
      <c r="AF39" s="33">
        <f t="shared" si="52"/>
        <v>0.399500992</v>
      </c>
      <c r="AG39" s="31"/>
      <c r="AH39" s="34" t="s">
        <v>62</v>
      </c>
      <c r="AI39" s="1">
        <f>AI37/AI38</f>
        <v>92.14179418</v>
      </c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31"/>
      <c r="DV39" s="31"/>
      <c r="DW39" s="31"/>
      <c r="DX39" s="31"/>
      <c r="DY39" s="31"/>
      <c r="DZ39" s="31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31"/>
      <c r="EM39" s="31"/>
      <c r="EN39" s="31"/>
      <c r="EO39" s="31"/>
      <c r="EP39" s="31"/>
      <c r="EQ39" s="31"/>
      <c r="ER39" s="31"/>
      <c r="ES39" s="31"/>
      <c r="ET39" s="31"/>
      <c r="EU39" s="31"/>
      <c r="EV39" s="31"/>
      <c r="EW39" s="31"/>
      <c r="EX39" s="31"/>
      <c r="EY39" s="31"/>
      <c r="EZ39" s="31"/>
      <c r="FA39" s="31"/>
      <c r="FB39" s="31"/>
      <c r="FC39" s="31"/>
      <c r="FD39" s="31"/>
      <c r="FE39" s="31"/>
      <c r="FF39" s="31"/>
      <c r="FG39" s="31"/>
      <c r="FH39" s="31"/>
      <c r="FI39" s="31"/>
      <c r="FJ39" s="31"/>
      <c r="FK39" s="31"/>
      <c r="FL39" s="31"/>
      <c r="FM39" s="31"/>
      <c r="FN39" s="31"/>
      <c r="FO39" s="31"/>
      <c r="FP39" s="31"/>
      <c r="FQ39" s="31"/>
      <c r="FR39" s="31"/>
      <c r="FS39" s="31"/>
      <c r="FT39" s="31"/>
      <c r="FU39" s="31"/>
      <c r="FV39" s="31"/>
      <c r="FW39" s="31"/>
      <c r="FX39" s="31"/>
    </row>
    <row r="40" ht="13.5" customHeight="1">
      <c r="A40" s="1"/>
      <c r="B40" s="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8" t="s">
        <v>63</v>
      </c>
      <c r="AI40" s="1">
        <f>Main!K7</f>
        <v>70.91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</row>
    <row r="41" ht="13.5" customHeight="1">
      <c r="A41" s="1"/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8" t="s">
        <v>64</v>
      </c>
      <c r="AI41" s="35">
        <f>AI39/AI40-1</f>
        <v>0.2994188997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</row>
    <row r="42" ht="13.5" customHeight="1">
      <c r="A42" s="1"/>
      <c r="B42" s="8" t="s">
        <v>65</v>
      </c>
      <c r="C42" s="17">
        <v>58.169</v>
      </c>
      <c r="D42" s="17">
        <v>59.302</v>
      </c>
      <c r="E42" s="17">
        <v>38.872</v>
      </c>
      <c r="F42" s="17">
        <v>61.085</v>
      </c>
      <c r="G42" s="17">
        <v>41.556</v>
      </c>
      <c r="H42" s="17">
        <v>50.397</v>
      </c>
      <c r="I42" s="17">
        <v>51.098</v>
      </c>
      <c r="J42" s="17">
        <v>66.092</v>
      </c>
      <c r="K42" s="17">
        <v>81.1</v>
      </c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</row>
    <row r="43" ht="13.5" customHeight="1">
      <c r="A43" s="1"/>
      <c r="B43" s="8" t="s">
        <v>66</v>
      </c>
      <c r="C43" s="17">
        <v>119.014</v>
      </c>
      <c r="D43" s="17">
        <v>134.996</v>
      </c>
      <c r="E43" s="17">
        <v>127.514</v>
      </c>
      <c r="F43" s="17">
        <v>122.64</v>
      </c>
      <c r="G43" s="17">
        <v>109.931</v>
      </c>
      <c r="H43" s="17">
        <v>117.566</v>
      </c>
      <c r="I43" s="17">
        <v>123.536</v>
      </c>
      <c r="J43" s="17">
        <v>113.515</v>
      </c>
      <c r="K43" s="17">
        <v>115.246</v>
      </c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</row>
    <row r="44" ht="13.5" customHeight="1">
      <c r="A44" s="1"/>
      <c r="B44" s="8" t="s">
        <v>67</v>
      </c>
      <c r="C44" s="17">
        <v>17.815</v>
      </c>
      <c r="D44" s="17">
        <v>20.818</v>
      </c>
      <c r="E44" s="17">
        <v>16.726</v>
      </c>
      <c r="F44" s="17">
        <v>13.335</v>
      </c>
      <c r="G44" s="17">
        <v>13.752</v>
      </c>
      <c r="H44" s="17">
        <v>21.241</v>
      </c>
      <c r="I44" s="17">
        <v>17.458</v>
      </c>
      <c r="J44" s="17">
        <v>13.441</v>
      </c>
      <c r="K44" s="17">
        <v>16.612</v>
      </c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</row>
    <row r="45" ht="13.5" customHeight="1">
      <c r="A45" s="1"/>
      <c r="B45" s="8" t="s">
        <v>68</v>
      </c>
      <c r="C45" s="17">
        <v>0.0</v>
      </c>
      <c r="D45" s="17">
        <v>0.0</v>
      </c>
      <c r="E45" s="17">
        <v>0.0</v>
      </c>
      <c r="F45" s="17">
        <v>0.0</v>
      </c>
      <c r="G45" s="17">
        <v>0.0</v>
      </c>
      <c r="H45" s="17">
        <v>0.0</v>
      </c>
      <c r="I45" s="17">
        <v>0.0</v>
      </c>
      <c r="J45" s="17">
        <v>0.0</v>
      </c>
      <c r="K45" s="17">
        <v>0.0</v>
      </c>
      <c r="L45" s="17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</row>
    <row r="46" ht="13.5" customHeight="1">
      <c r="A46" s="1"/>
      <c r="B46" s="8" t="s">
        <v>69</v>
      </c>
      <c r="C46" s="17">
        <v>53.352</v>
      </c>
      <c r="D46" s="17">
        <v>51.702</v>
      </c>
      <c r="E46" s="17">
        <v>48.878</v>
      </c>
      <c r="F46" s="17">
        <v>50.715</v>
      </c>
      <c r="G46" s="17">
        <v>49.146</v>
      </c>
      <c r="H46" s="17">
        <v>50.522</v>
      </c>
      <c r="I46" s="17">
        <v>53.161</v>
      </c>
      <c r="J46" s="17">
        <v>54.384</v>
      </c>
      <c r="K46" s="17">
        <v>56.639</v>
      </c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</row>
    <row r="47" ht="13.5" customHeight="1">
      <c r="A47" s="1"/>
      <c r="B47" s="8" t="s">
        <v>70</v>
      </c>
      <c r="C47" s="17">
        <v>226.918</v>
      </c>
      <c r="D47" s="17">
        <v>225.278</v>
      </c>
      <c r="E47" s="17">
        <v>218.899</v>
      </c>
      <c r="F47" s="17">
        <v>214.148</v>
      </c>
      <c r="G47" s="17">
        <v>218.36</v>
      </c>
      <c r="H47" s="17">
        <v>216.42</v>
      </c>
      <c r="I47" s="17">
        <v>217.187</v>
      </c>
      <c r="J47" s="17">
        <v>221.775</v>
      </c>
      <c r="K47" s="17">
        <v>224.77</v>
      </c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</row>
    <row r="48" ht="13.5" customHeight="1">
      <c r="A48" s="1"/>
      <c r="B48" s="8" t="s">
        <v>71</v>
      </c>
      <c r="C48" s="17">
        <v>0.0</v>
      </c>
      <c r="D48" s="17">
        <v>13.715</v>
      </c>
      <c r="E48" s="17">
        <v>15.301</v>
      </c>
      <c r="F48" s="17">
        <v>0.0</v>
      </c>
      <c r="G48" s="17">
        <v>0.0</v>
      </c>
      <c r="H48" s="17">
        <v>0.0</v>
      </c>
      <c r="I48" s="17">
        <v>0.0</v>
      </c>
      <c r="J48" s="17">
        <v>0.0</v>
      </c>
      <c r="K48" s="17">
        <v>0.0</v>
      </c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</row>
    <row r="49" ht="13.5" customHeight="1">
      <c r="A49" s="1"/>
      <c r="B49" s="8" t="s">
        <v>72</v>
      </c>
      <c r="C49" s="17">
        <v>8.834</v>
      </c>
      <c r="D49" s="17">
        <v>0.92</v>
      </c>
      <c r="E49" s="17">
        <v>0.886</v>
      </c>
      <c r="F49" s="17">
        <v>0.846</v>
      </c>
      <c r="G49" s="17">
        <v>4.416</v>
      </c>
      <c r="H49" s="17">
        <v>1.262</v>
      </c>
      <c r="I49" s="17">
        <v>1.82</v>
      </c>
      <c r="J49" s="17">
        <v>1.964</v>
      </c>
      <c r="K49" s="17">
        <v>1.824</v>
      </c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</row>
    <row r="50" ht="13.5" customHeight="1">
      <c r="A50" s="1"/>
      <c r="B50" s="8" t="s">
        <v>73</v>
      </c>
      <c r="C50" s="2">
        <f t="shared" ref="C50:K50" si="53">sum(C42:C49)</f>
        <v>484.102</v>
      </c>
      <c r="D50" s="2">
        <f t="shared" si="53"/>
        <v>506.731</v>
      </c>
      <c r="E50" s="2">
        <f t="shared" si="53"/>
        <v>467.076</v>
      </c>
      <c r="F50" s="2">
        <f t="shared" si="53"/>
        <v>462.769</v>
      </c>
      <c r="G50" s="2">
        <f t="shared" si="53"/>
        <v>437.161</v>
      </c>
      <c r="H50" s="2">
        <f t="shared" si="53"/>
        <v>457.408</v>
      </c>
      <c r="I50" s="2">
        <f t="shared" si="53"/>
        <v>464.26</v>
      </c>
      <c r="J50" s="2">
        <f t="shared" si="53"/>
        <v>471.171</v>
      </c>
      <c r="K50" s="2">
        <f t="shared" si="53"/>
        <v>496.191</v>
      </c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</row>
    <row r="51" ht="13.5" customHeight="1">
      <c r="A51" s="1"/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</row>
    <row r="52" ht="13.5" customHeight="1">
      <c r="A52" s="1"/>
      <c r="B52" s="8" t="s">
        <v>74</v>
      </c>
      <c r="C52" s="17">
        <v>72.269</v>
      </c>
      <c r="D52" s="17">
        <v>110.54</v>
      </c>
      <c r="E52" s="17">
        <v>82.791</v>
      </c>
      <c r="F52" s="17">
        <v>102.456</v>
      </c>
      <c r="G52" s="17">
        <v>80.919</v>
      </c>
      <c r="H52" s="17">
        <v>96.245</v>
      </c>
      <c r="I52" s="17">
        <v>97.986</v>
      </c>
      <c r="J52" s="17">
        <v>100.693</v>
      </c>
      <c r="K52" s="17">
        <v>113.238</v>
      </c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</row>
    <row r="53" ht="13.5" customHeight="1">
      <c r="A53" s="1"/>
      <c r="B53" s="8" t="s">
        <v>75</v>
      </c>
      <c r="C53" s="17">
        <v>24.436</v>
      </c>
      <c r="D53" s="17">
        <v>49.071</v>
      </c>
      <c r="E53" s="17">
        <v>49.39</v>
      </c>
      <c r="F53" s="17">
        <v>47.724</v>
      </c>
      <c r="G53" s="17">
        <v>24.053</v>
      </c>
      <c r="H53" s="17">
        <v>43.344</v>
      </c>
      <c r="I53" s="17">
        <v>43.585</v>
      </c>
      <c r="J53" s="17">
        <v>44.397</v>
      </c>
      <c r="K53" s="17">
        <v>44.046</v>
      </c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</row>
    <row r="54" ht="13.5" customHeight="1">
      <c r="A54" s="1"/>
      <c r="B54" s="8" t="s">
        <v>76</v>
      </c>
      <c r="C54" s="17">
        <v>45.428</v>
      </c>
      <c r="D54" s="17">
        <v>24.78</v>
      </c>
      <c r="E54" s="17">
        <v>25.837</v>
      </c>
      <c r="F54" s="17">
        <v>23.823</v>
      </c>
      <c r="G54" s="17">
        <v>44.592</v>
      </c>
      <c r="H54" s="17">
        <v>26.457</v>
      </c>
      <c r="I54" s="17">
        <v>36.268</v>
      </c>
      <c r="J54" s="17">
        <v>27.934</v>
      </c>
      <c r="K54" s="17">
        <v>27.646</v>
      </c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</row>
    <row r="55" ht="13.5" customHeight="1">
      <c r="A55" s="1"/>
      <c r="B55" s="8" t="s">
        <v>77</v>
      </c>
      <c r="C55" s="17">
        <v>0.843</v>
      </c>
      <c r="D55" s="17">
        <v>1.092</v>
      </c>
      <c r="E55" s="17">
        <v>1.548</v>
      </c>
      <c r="F55" s="17">
        <v>0.388</v>
      </c>
      <c r="G55" s="17">
        <v>0.908</v>
      </c>
      <c r="H55" s="17">
        <v>1.33</v>
      </c>
      <c r="I55" s="17">
        <v>2.008</v>
      </c>
      <c r="J55" s="17">
        <v>0.383</v>
      </c>
      <c r="K55" s="17">
        <v>1.049</v>
      </c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</row>
    <row r="56" ht="13.5" customHeight="1">
      <c r="A56" s="1"/>
      <c r="B56" s="8" t="s">
        <v>78</v>
      </c>
      <c r="C56" s="17">
        <v>184.463</v>
      </c>
      <c r="D56" s="17">
        <v>182.869</v>
      </c>
      <c r="E56" s="17">
        <v>175.767</v>
      </c>
      <c r="F56" s="17">
        <v>172.675</v>
      </c>
      <c r="G56" s="17">
        <v>175.797</v>
      </c>
      <c r="H56" s="17">
        <v>174.145</v>
      </c>
      <c r="I56" s="17">
        <v>174.453</v>
      </c>
      <c r="J56" s="17">
        <v>178.921</v>
      </c>
      <c r="K56" s="17">
        <v>182.416</v>
      </c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</row>
    <row r="57" ht="13.5" customHeight="1">
      <c r="A57" s="1"/>
      <c r="B57" s="8" t="s">
        <v>79</v>
      </c>
      <c r="C57" s="17">
        <v>1.831</v>
      </c>
      <c r="D57" s="17">
        <v>1.789</v>
      </c>
      <c r="E57" s="17">
        <v>1.473</v>
      </c>
      <c r="F57" s="17">
        <v>2.527</v>
      </c>
      <c r="G57" s="17">
        <v>2.58</v>
      </c>
      <c r="H57" s="17">
        <v>2.647</v>
      </c>
      <c r="I57" s="17">
        <v>2.13</v>
      </c>
      <c r="J57" s="17">
        <v>2.523</v>
      </c>
      <c r="K57" s="17">
        <v>2.453</v>
      </c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</row>
    <row r="58" ht="13.5" customHeight="1">
      <c r="A58" s="1"/>
      <c r="B58" s="8" t="s">
        <v>80</v>
      </c>
      <c r="C58" s="17">
        <v>154.832</v>
      </c>
      <c r="D58" s="17">
        <v>136.59</v>
      </c>
      <c r="E58" s="17">
        <v>130.27</v>
      </c>
      <c r="F58" s="17">
        <v>113.176</v>
      </c>
      <c r="G58" s="17">
        <v>108.559</v>
      </c>
      <c r="H58" s="17">
        <v>113.24</v>
      </c>
      <c r="I58" s="17">
        <v>107.83</v>
      </c>
      <c r="J58" s="17">
        <v>116.32</v>
      </c>
      <c r="K58" s="17">
        <v>125.343</v>
      </c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</row>
    <row r="59" ht="13.5" customHeight="1">
      <c r="A59" s="1"/>
      <c r="B59" s="8" t="s">
        <v>81</v>
      </c>
      <c r="C59" s="2">
        <f t="shared" ref="C59:K59" si="54">sum(C52:C58)</f>
        <v>484.102</v>
      </c>
      <c r="D59" s="2">
        <f t="shared" si="54"/>
        <v>506.731</v>
      </c>
      <c r="E59" s="2">
        <f t="shared" si="54"/>
        <v>467.076</v>
      </c>
      <c r="F59" s="2">
        <f t="shared" si="54"/>
        <v>462.769</v>
      </c>
      <c r="G59" s="2">
        <f t="shared" si="54"/>
        <v>437.408</v>
      </c>
      <c r="H59" s="2">
        <f t="shared" si="54"/>
        <v>457.408</v>
      </c>
      <c r="I59" s="2">
        <f t="shared" si="54"/>
        <v>464.26</v>
      </c>
      <c r="J59" s="2">
        <f t="shared" si="54"/>
        <v>471.171</v>
      </c>
      <c r="K59" s="2">
        <f t="shared" si="54"/>
        <v>496.191</v>
      </c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</row>
    <row r="60" ht="13.5" customHeight="1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</row>
    <row r="61" ht="13.5" customHeight="1">
      <c r="A61" s="1"/>
      <c r="B61" s="8" t="s">
        <v>82</v>
      </c>
      <c r="C61" s="17">
        <f t="shared" ref="C61:K61" si="55">(C44/C24) * 90</f>
        <v>8.606788377</v>
      </c>
      <c r="D61" s="17">
        <f t="shared" si="55"/>
        <v>10.6122842</v>
      </c>
      <c r="E61" s="17">
        <f t="shared" si="55"/>
        <v>8.406621022</v>
      </c>
      <c r="F61" s="17">
        <f t="shared" si="55"/>
        <v>5.683281874</v>
      </c>
      <c r="G61" s="17">
        <f t="shared" si="55"/>
        <v>6.135390228</v>
      </c>
      <c r="H61" s="17">
        <f t="shared" si="55"/>
        <v>10.02196592</v>
      </c>
      <c r="I61" s="17">
        <f t="shared" si="55"/>
        <v>7.972053518</v>
      </c>
      <c r="J61" s="17">
        <f t="shared" si="55"/>
        <v>5.250550147</v>
      </c>
      <c r="K61" s="17">
        <f t="shared" si="55"/>
        <v>6.476188826</v>
      </c>
      <c r="L61" s="2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</row>
    <row r="62" ht="13.5" customHeight="1">
      <c r="A62" s="1"/>
      <c r="B62" s="8" t="s">
        <v>83</v>
      </c>
      <c r="C62" s="2">
        <f t="shared" ref="C62:K62" si="56">(C43/C25) * 90</f>
        <v>93.7495405</v>
      </c>
      <c r="D62" s="2">
        <f t="shared" si="56"/>
        <v>99.8950865</v>
      </c>
      <c r="E62" s="2">
        <f t="shared" si="56"/>
        <v>106.4262332</v>
      </c>
      <c r="F62" s="2">
        <f t="shared" si="56"/>
        <v>86.687715</v>
      </c>
      <c r="G62" s="2">
        <f t="shared" si="56"/>
        <v>81.15118358</v>
      </c>
      <c r="H62" s="2">
        <f t="shared" si="56"/>
        <v>92.42852276</v>
      </c>
      <c r="I62" s="2">
        <f t="shared" si="56"/>
        <v>92.29665787</v>
      </c>
      <c r="J62" s="2">
        <f t="shared" si="56"/>
        <v>73.78397117</v>
      </c>
      <c r="K62" s="2">
        <f t="shared" si="56"/>
        <v>74.81887037</v>
      </c>
      <c r="L62" s="2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</row>
    <row r="63" ht="13.5" customHeight="1">
      <c r="A63" s="1"/>
      <c r="B63" s="8" t="s">
        <v>84</v>
      </c>
      <c r="C63" s="2">
        <f t="shared" ref="C63:K63" si="57">(C52/C25) * 90</f>
        <v>56.92763492</v>
      </c>
      <c r="D63" s="2">
        <f t="shared" si="57"/>
        <v>81.79800039</v>
      </c>
      <c r="E63" s="2">
        <f t="shared" si="57"/>
        <v>69.09934807</v>
      </c>
      <c r="F63" s="2">
        <f t="shared" si="57"/>
        <v>72.42071533</v>
      </c>
      <c r="G63" s="2">
        <f t="shared" si="57"/>
        <v>59.73449368</v>
      </c>
      <c r="H63" s="2">
        <f t="shared" si="57"/>
        <v>75.66629105</v>
      </c>
      <c r="I63" s="2">
        <f t="shared" si="57"/>
        <v>73.20765055</v>
      </c>
      <c r="J63" s="2">
        <f t="shared" si="57"/>
        <v>65.44975914</v>
      </c>
      <c r="K63" s="2">
        <f t="shared" si="57"/>
        <v>73.51525644</v>
      </c>
      <c r="L63" s="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</row>
    <row r="64" ht="13.5" customHeight="1">
      <c r="A64" s="1"/>
      <c r="B64" s="8" t="s">
        <v>85</v>
      </c>
      <c r="C64" s="2">
        <f t="shared" ref="C64:K64" si="58">C61+C62-C63</f>
        <v>45.42869396</v>
      </c>
      <c r="D64" s="2">
        <f t="shared" si="58"/>
        <v>28.7093703</v>
      </c>
      <c r="E64" s="2">
        <f t="shared" si="58"/>
        <v>45.73350611</v>
      </c>
      <c r="F64" s="2">
        <f t="shared" si="58"/>
        <v>19.95028154</v>
      </c>
      <c r="G64" s="2">
        <f t="shared" si="58"/>
        <v>27.55208013</v>
      </c>
      <c r="H64" s="2">
        <f t="shared" si="58"/>
        <v>26.78419764</v>
      </c>
      <c r="I64" s="2">
        <f t="shared" si="58"/>
        <v>27.06106084</v>
      </c>
      <c r="J64" s="2">
        <f t="shared" si="58"/>
        <v>13.58476217</v>
      </c>
      <c r="K64" s="2">
        <f t="shared" si="58"/>
        <v>7.779802762</v>
      </c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</row>
    <row r="65" ht="13.5" customHeight="1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</row>
    <row r="66" ht="13.5" customHeight="1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</row>
    <row r="67" ht="13.5" customHeight="1">
      <c r="A67" s="1"/>
      <c r="B67" s="8" t="s">
        <v>86</v>
      </c>
      <c r="C67" s="2">
        <f t="shared" ref="C67:N67" si="59">C32</f>
        <v>1.367</v>
      </c>
      <c r="D67" s="2">
        <f t="shared" si="59"/>
        <v>-12.37</v>
      </c>
      <c r="E67" s="2">
        <f t="shared" si="59"/>
        <v>-1.823</v>
      </c>
      <c r="F67" s="2">
        <f t="shared" si="59"/>
        <v>-8.985</v>
      </c>
      <c r="G67" s="2">
        <f t="shared" si="59"/>
        <v>5.305</v>
      </c>
      <c r="H67" s="2">
        <f t="shared" si="59"/>
        <v>-2.331</v>
      </c>
      <c r="I67" s="2">
        <f t="shared" si="59"/>
        <v>-2.267</v>
      </c>
      <c r="J67" s="2">
        <f t="shared" si="59"/>
        <v>12.119</v>
      </c>
      <c r="K67" s="2">
        <f t="shared" si="59"/>
        <v>12.088</v>
      </c>
      <c r="L67" s="2">
        <f t="shared" si="59"/>
        <v>10.76434328</v>
      </c>
      <c r="M67" s="2">
        <f t="shared" si="59"/>
        <v>11.12915219</v>
      </c>
      <c r="N67" s="2">
        <f t="shared" si="59"/>
        <v>13.04507498</v>
      </c>
      <c r="O67" s="1"/>
      <c r="P67" s="1"/>
      <c r="Q67" s="1"/>
      <c r="R67" s="1"/>
      <c r="S67" s="1">
        <f t="shared" ref="S67:V67" si="60">S32</f>
        <v>-21.812</v>
      </c>
      <c r="T67" s="1">
        <f t="shared" si="60"/>
        <v>8.062</v>
      </c>
      <c r="U67" s="1">
        <f t="shared" si="60"/>
        <v>-10.14</v>
      </c>
      <c r="V67" s="1">
        <f t="shared" si="60"/>
        <v>12.826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</row>
    <row r="68" ht="13.5" customHeight="1">
      <c r="A68" s="1"/>
      <c r="B68" s="8" t="s">
        <v>87</v>
      </c>
      <c r="C68" s="2"/>
      <c r="D68" s="2"/>
      <c r="E68" s="2"/>
      <c r="F68" s="2"/>
      <c r="G68" s="17">
        <v>0.871</v>
      </c>
      <c r="H68" s="2"/>
      <c r="I68" s="2"/>
      <c r="J68" s="2"/>
      <c r="K68" s="17">
        <v>7.754</v>
      </c>
      <c r="L68" s="2"/>
      <c r="M68" s="2"/>
      <c r="N68" s="2"/>
      <c r="O68" s="1"/>
      <c r="P68" s="1"/>
      <c r="Q68" s="1"/>
      <c r="R68" s="1"/>
      <c r="S68" s="1"/>
      <c r="T68" s="1"/>
      <c r="U68" s="1"/>
      <c r="V68" s="8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</row>
    <row r="69" ht="13.5" customHeight="1">
      <c r="A69" s="1"/>
      <c r="B69" s="8" t="s">
        <v>88</v>
      </c>
      <c r="C69" s="2"/>
      <c r="D69" s="2"/>
      <c r="E69" s="2"/>
      <c r="F69" s="2"/>
      <c r="G69" s="17">
        <v>4.37</v>
      </c>
      <c r="H69" s="2"/>
      <c r="I69" s="2"/>
      <c r="J69" s="2"/>
      <c r="K69" s="17">
        <v>5.108</v>
      </c>
      <c r="L69" s="2"/>
      <c r="M69" s="2"/>
      <c r="N69" s="2"/>
      <c r="O69" s="1"/>
      <c r="P69" s="1"/>
      <c r="Q69" s="1"/>
      <c r="R69" s="1"/>
      <c r="S69" s="1"/>
      <c r="T69" s="1"/>
      <c r="U69" s="1"/>
      <c r="V69" s="8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</row>
    <row r="70" ht="13.5" customHeight="1">
      <c r="A70" s="1"/>
      <c r="B70" s="8" t="s">
        <v>89</v>
      </c>
      <c r="C70" s="2"/>
      <c r="D70" s="2"/>
      <c r="E70" s="2"/>
      <c r="F70" s="2"/>
      <c r="G70" s="17">
        <v>0.064</v>
      </c>
      <c r="H70" s="2"/>
      <c r="I70" s="2"/>
      <c r="J70" s="2"/>
      <c r="K70" s="17">
        <v>0.0</v>
      </c>
      <c r="L70" s="2"/>
      <c r="M70" s="2"/>
      <c r="N70" s="2"/>
      <c r="O70" s="1"/>
      <c r="P70" s="1"/>
      <c r="Q70" s="1"/>
      <c r="R70" s="1"/>
      <c r="S70" s="1"/>
      <c r="T70" s="1"/>
      <c r="U70" s="1"/>
      <c r="V70" s="8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</row>
    <row r="71" ht="13.5" customHeight="1">
      <c r="A71" s="1"/>
      <c r="B71" s="8" t="s">
        <v>78</v>
      </c>
      <c r="C71" s="2"/>
      <c r="D71" s="2"/>
      <c r="E71" s="2"/>
      <c r="F71" s="2"/>
      <c r="G71" s="17">
        <v>12.252</v>
      </c>
      <c r="H71" s="2"/>
      <c r="I71" s="2"/>
      <c r="J71" s="2"/>
      <c r="K71" s="17">
        <v>12.12</v>
      </c>
      <c r="L71" s="2"/>
      <c r="M71" s="2"/>
      <c r="N71" s="2"/>
      <c r="O71" s="1"/>
      <c r="P71" s="1"/>
      <c r="Q71" s="1"/>
      <c r="R71" s="1"/>
      <c r="S71" s="1"/>
      <c r="T71" s="1"/>
      <c r="U71" s="1"/>
      <c r="V71" s="8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</row>
    <row r="72" ht="13.5" customHeight="1">
      <c r="A72" s="1"/>
      <c r="B72" s="8" t="s">
        <v>90</v>
      </c>
      <c r="C72" s="2"/>
      <c r="D72" s="2"/>
      <c r="E72" s="2"/>
      <c r="F72" s="2"/>
      <c r="G72" s="17">
        <v>0.0</v>
      </c>
      <c r="H72" s="2"/>
      <c r="I72" s="2"/>
      <c r="J72" s="2"/>
      <c r="K72" s="17">
        <v>1.0E-4</v>
      </c>
      <c r="L72" s="2"/>
      <c r="M72" s="2"/>
      <c r="N72" s="2"/>
      <c r="O72" s="1"/>
      <c r="P72" s="1"/>
      <c r="Q72" s="1"/>
      <c r="R72" s="1"/>
      <c r="S72" s="1"/>
      <c r="T72" s="1"/>
      <c r="U72" s="1"/>
      <c r="V72" s="8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</row>
    <row r="73" ht="13.5" customHeight="1">
      <c r="A73" s="1"/>
      <c r="B73" s="8" t="s">
        <v>91</v>
      </c>
      <c r="C73" s="2"/>
      <c r="D73" s="2"/>
      <c r="E73" s="2"/>
      <c r="F73" s="2"/>
      <c r="G73" s="17">
        <v>0.968</v>
      </c>
      <c r="H73" s="2"/>
      <c r="I73" s="2"/>
      <c r="J73" s="2"/>
      <c r="K73" s="17">
        <v>1.303</v>
      </c>
      <c r="L73" s="2"/>
      <c r="M73" s="2"/>
      <c r="N73" s="2"/>
      <c r="O73" s="1"/>
      <c r="P73" s="1"/>
      <c r="Q73" s="1"/>
      <c r="R73" s="1"/>
      <c r="S73" s="1"/>
      <c r="T73" s="1"/>
      <c r="U73" s="1"/>
      <c r="V73" s="8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</row>
    <row r="74" ht="13.5" customHeight="1">
      <c r="A74" s="1"/>
      <c r="B74" s="8" t="s">
        <v>92</v>
      </c>
      <c r="C74" s="2"/>
      <c r="D74" s="2"/>
      <c r="E74" s="2"/>
      <c r="F74" s="2"/>
      <c r="G74" s="17">
        <v>12.709</v>
      </c>
      <c r="H74" s="2"/>
      <c r="I74" s="2"/>
      <c r="J74" s="2"/>
      <c r="K74" s="17">
        <v>-1.731</v>
      </c>
      <c r="L74" s="2"/>
      <c r="M74" s="2"/>
      <c r="N74" s="2"/>
      <c r="O74" s="1"/>
      <c r="P74" s="1"/>
      <c r="Q74" s="1"/>
      <c r="R74" s="1"/>
      <c r="S74" s="1"/>
      <c r="T74" s="1"/>
      <c r="U74" s="1"/>
      <c r="V74" s="8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</row>
    <row r="75" ht="13.5" customHeight="1">
      <c r="A75" s="1"/>
      <c r="B75" s="8" t="s">
        <v>67</v>
      </c>
      <c r="C75" s="2"/>
      <c r="D75" s="2"/>
      <c r="E75" s="2"/>
      <c r="F75" s="2"/>
      <c r="G75" s="17">
        <v>-3.536</v>
      </c>
      <c r="H75" s="2"/>
      <c r="I75" s="2"/>
      <c r="J75" s="2"/>
      <c r="K75" s="17">
        <v>-3.386</v>
      </c>
      <c r="L75" s="2"/>
      <c r="M75" s="2"/>
      <c r="N75" s="2"/>
      <c r="O75" s="1"/>
      <c r="P75" s="1"/>
      <c r="Q75" s="1"/>
      <c r="R75" s="1"/>
      <c r="S75" s="1"/>
      <c r="T75" s="1"/>
      <c r="U75" s="1"/>
      <c r="V75" s="8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</row>
    <row r="76" ht="13.5" customHeight="1">
      <c r="A76" s="1"/>
      <c r="B76" s="8" t="s">
        <v>93</v>
      </c>
      <c r="C76" s="2"/>
      <c r="D76" s="2"/>
      <c r="E76" s="2"/>
      <c r="F76" s="2"/>
      <c r="G76" s="17">
        <v>-0.453</v>
      </c>
      <c r="H76" s="2"/>
      <c r="I76" s="2"/>
      <c r="J76" s="2"/>
      <c r="K76" s="17">
        <v>0.14</v>
      </c>
      <c r="L76" s="2"/>
      <c r="M76" s="2"/>
      <c r="N76" s="2"/>
      <c r="O76" s="1"/>
      <c r="P76" s="1"/>
      <c r="Q76" s="1"/>
      <c r="R76" s="1"/>
      <c r="S76" s="1"/>
      <c r="T76" s="1"/>
      <c r="U76" s="1"/>
      <c r="V76" s="8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</row>
    <row r="77" ht="13.5" customHeight="1">
      <c r="A77" s="1"/>
      <c r="B77" s="8" t="s">
        <v>74</v>
      </c>
      <c r="C77" s="2"/>
      <c r="D77" s="2"/>
      <c r="E77" s="2"/>
      <c r="F77" s="2"/>
      <c r="G77" s="17">
        <v>-21.911</v>
      </c>
      <c r="H77" s="2"/>
      <c r="I77" s="2"/>
      <c r="J77" s="2"/>
      <c r="K77" s="17">
        <v>12.572</v>
      </c>
      <c r="L77" s="2"/>
      <c r="M77" s="2"/>
      <c r="N77" s="2"/>
      <c r="O77" s="1"/>
      <c r="P77" s="1"/>
      <c r="Q77" s="1"/>
      <c r="R77" s="1"/>
      <c r="S77" s="1"/>
      <c r="T77" s="1"/>
      <c r="U77" s="1"/>
      <c r="V77" s="8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</row>
    <row r="78" ht="13.5" customHeight="1">
      <c r="A78" s="1"/>
      <c r="B78" s="8" t="s">
        <v>94</v>
      </c>
      <c r="C78" s="2"/>
      <c r="D78" s="2"/>
      <c r="E78" s="2"/>
      <c r="F78" s="2"/>
      <c r="G78" s="17">
        <v>-19.387</v>
      </c>
      <c r="H78" s="2"/>
      <c r="I78" s="2"/>
      <c r="J78" s="2"/>
      <c r="K78" s="17">
        <v>-11.303</v>
      </c>
      <c r="L78" s="2"/>
      <c r="M78" s="2"/>
      <c r="N78" s="2"/>
      <c r="O78" s="1"/>
      <c r="P78" s="1"/>
      <c r="Q78" s="1"/>
      <c r="R78" s="1"/>
      <c r="S78" s="1"/>
      <c r="T78" s="1"/>
      <c r="U78" s="1"/>
      <c r="V78" s="8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</row>
    <row r="79" ht="13.5" customHeight="1">
      <c r="A79" s="1"/>
      <c r="B79" s="8" t="s">
        <v>95</v>
      </c>
      <c r="C79" s="2"/>
      <c r="D79" s="2"/>
      <c r="E79" s="2"/>
      <c r="F79" s="2"/>
      <c r="G79" s="17">
        <v>2.562</v>
      </c>
      <c r="H79" s="2"/>
      <c r="I79" s="2"/>
      <c r="J79" s="2"/>
      <c r="K79" s="17">
        <v>-2.584</v>
      </c>
      <c r="L79" s="2"/>
      <c r="M79" s="2"/>
      <c r="N79" s="2"/>
      <c r="O79" s="1"/>
      <c r="P79" s="1"/>
      <c r="Q79" s="1"/>
      <c r="R79" s="1"/>
      <c r="S79" s="1"/>
      <c r="T79" s="1"/>
      <c r="U79" s="1"/>
      <c r="V79" s="8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</row>
    <row r="80" ht="13.5" customHeight="1">
      <c r="A80" s="1"/>
      <c r="B80" s="8" t="s">
        <v>96</v>
      </c>
      <c r="C80" s="2"/>
      <c r="D80" s="2"/>
      <c r="E80" s="2"/>
      <c r="F80" s="2"/>
      <c r="G80" s="17">
        <v>0.002</v>
      </c>
      <c r="H80" s="2"/>
      <c r="I80" s="2"/>
      <c r="J80" s="2"/>
      <c r="K80" s="17">
        <v>0.665</v>
      </c>
      <c r="L80" s="2"/>
      <c r="M80" s="2"/>
      <c r="N80" s="2"/>
      <c r="O80" s="1"/>
      <c r="P80" s="1"/>
      <c r="Q80" s="1"/>
      <c r="R80" s="1"/>
      <c r="S80" s="1"/>
      <c r="T80" s="1"/>
      <c r="U80" s="1"/>
      <c r="V80" s="8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</row>
    <row r="81" ht="13.5" customHeight="1">
      <c r="A81" s="1"/>
      <c r="B81" s="8" t="s">
        <v>97</v>
      </c>
      <c r="C81" s="2"/>
      <c r="D81" s="2"/>
      <c r="E81" s="2"/>
      <c r="F81" s="2"/>
      <c r="G81" s="17">
        <v>0.52</v>
      </c>
      <c r="H81" s="2"/>
      <c r="I81" s="2"/>
      <c r="J81" s="2"/>
      <c r="K81" s="17">
        <v>0.666</v>
      </c>
      <c r="L81" s="2"/>
      <c r="M81" s="2"/>
      <c r="N81" s="2"/>
      <c r="O81" s="1"/>
      <c r="P81" s="1"/>
      <c r="Q81" s="1"/>
      <c r="R81" s="1"/>
      <c r="S81" s="1"/>
      <c r="T81" s="1"/>
      <c r="U81" s="1"/>
      <c r="V81" s="8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</row>
    <row r="82" ht="13.5" customHeight="1">
      <c r="A82" s="27"/>
      <c r="B82" s="5" t="s">
        <v>98</v>
      </c>
      <c r="C82" s="29"/>
      <c r="D82" s="29"/>
      <c r="E82" s="29"/>
      <c r="F82" s="29"/>
      <c r="G82" s="29">
        <f>sum(G68:G81)</f>
        <v>-10.969</v>
      </c>
      <c r="H82" s="29"/>
      <c r="I82" s="29"/>
      <c r="J82" s="29"/>
      <c r="K82" s="29">
        <f>sum(K68:K81)</f>
        <v>21.3241</v>
      </c>
      <c r="L82" s="29"/>
      <c r="M82" s="29"/>
      <c r="N82" s="29"/>
      <c r="O82" s="27"/>
      <c r="P82" s="27"/>
      <c r="Q82" s="27"/>
      <c r="R82" s="27"/>
      <c r="S82" s="27"/>
      <c r="T82" s="27"/>
      <c r="U82" s="27"/>
      <c r="V82" s="5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  <c r="FS82" s="27"/>
      <c r="FT82" s="27"/>
      <c r="FU82" s="27"/>
      <c r="FV82" s="27"/>
      <c r="FW82" s="27"/>
      <c r="FX82" s="27"/>
    </row>
    <row r="83" ht="13.5" customHeight="1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8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</row>
    <row r="84" ht="13.5" customHeight="1">
      <c r="A84" s="1"/>
      <c r="B84" s="8" t="s">
        <v>99</v>
      </c>
      <c r="C84" s="2"/>
      <c r="D84" s="2"/>
      <c r="E84" s="2"/>
      <c r="F84" s="2"/>
      <c r="G84" s="17">
        <v>-2.104</v>
      </c>
      <c r="H84" s="2"/>
      <c r="I84" s="2"/>
      <c r="J84" s="2"/>
      <c r="K84" s="2">
        <f>-5.833</f>
        <v>-5.833</v>
      </c>
      <c r="L84" s="2"/>
      <c r="M84" s="2"/>
      <c r="N84" s="2"/>
      <c r="O84" s="1"/>
      <c r="P84" s="1"/>
      <c r="Q84" s="1"/>
      <c r="R84" s="1"/>
      <c r="S84" s="1"/>
      <c r="T84" s="8"/>
      <c r="U84" s="8"/>
      <c r="V84" s="8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</row>
    <row r="85" ht="13.5" customHeight="1">
      <c r="A85" s="1"/>
      <c r="B85" s="8" t="s">
        <v>100</v>
      </c>
      <c r="C85" s="2"/>
      <c r="D85" s="2"/>
      <c r="E85" s="2"/>
      <c r="F85" s="2"/>
      <c r="G85" s="17">
        <v>0.0</v>
      </c>
      <c r="H85" s="2"/>
      <c r="I85" s="2"/>
      <c r="J85" s="2"/>
      <c r="K85" s="17">
        <v>0.0</v>
      </c>
      <c r="L85" s="2"/>
      <c r="M85" s="2"/>
      <c r="N85" s="2"/>
      <c r="O85" s="1"/>
      <c r="P85" s="1"/>
      <c r="Q85" s="1"/>
      <c r="R85" s="1"/>
      <c r="S85" s="1"/>
      <c r="T85" s="1"/>
      <c r="U85" s="1"/>
      <c r="V85" s="8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</row>
    <row r="86" ht="13.5" customHeight="1">
      <c r="A86" s="1"/>
      <c r="B86" s="8" t="s">
        <v>101</v>
      </c>
      <c r="C86" s="2"/>
      <c r="D86" s="2"/>
      <c r="E86" s="2"/>
      <c r="F86" s="2"/>
      <c r="G86" s="17">
        <v>0.0</v>
      </c>
      <c r="H86" s="2"/>
      <c r="I86" s="2"/>
      <c r="J86" s="2"/>
      <c r="K86" s="17">
        <v>0.0</v>
      </c>
      <c r="L86" s="2"/>
      <c r="M86" s="2"/>
      <c r="N86" s="2"/>
      <c r="O86" s="1"/>
      <c r="P86" s="1"/>
      <c r="Q86" s="1"/>
      <c r="R86" s="1"/>
      <c r="S86" s="1"/>
      <c r="T86" s="1"/>
      <c r="U86" s="1"/>
      <c r="V86" s="8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</row>
    <row r="87" ht="13.5" customHeight="1">
      <c r="A87" s="27"/>
      <c r="B87" s="5" t="s">
        <v>102</v>
      </c>
      <c r="C87" s="29">
        <f t="shared" ref="C87:K87" si="61">SUM(C84:C86)</f>
        <v>0</v>
      </c>
      <c r="D87" s="29">
        <f t="shared" si="61"/>
        <v>0</v>
      </c>
      <c r="E87" s="29">
        <f t="shared" si="61"/>
        <v>0</v>
      </c>
      <c r="F87" s="29">
        <f t="shared" si="61"/>
        <v>0</v>
      </c>
      <c r="G87" s="29">
        <f t="shared" si="61"/>
        <v>-2.104</v>
      </c>
      <c r="H87" s="29">
        <f t="shared" si="61"/>
        <v>0</v>
      </c>
      <c r="I87" s="29">
        <f t="shared" si="61"/>
        <v>0</v>
      </c>
      <c r="J87" s="29">
        <f t="shared" si="61"/>
        <v>0</v>
      </c>
      <c r="K87" s="29">
        <f t="shared" si="61"/>
        <v>-5.833</v>
      </c>
      <c r="L87" s="29"/>
      <c r="M87" s="29"/>
      <c r="N87" s="29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  <c r="FS87" s="27"/>
      <c r="FT87" s="27"/>
      <c r="FU87" s="27"/>
      <c r="FV87" s="27"/>
      <c r="FW87" s="27"/>
      <c r="FX87" s="27"/>
    </row>
    <row r="88" ht="13.5" customHeight="1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</row>
    <row r="89" ht="13.5" customHeight="1">
      <c r="A89" s="1"/>
      <c r="B89" s="8" t="s">
        <v>103</v>
      </c>
      <c r="C89" s="2"/>
      <c r="D89" s="2"/>
      <c r="E89" s="2"/>
      <c r="F89" s="2"/>
      <c r="G89" s="17">
        <v>-0.141</v>
      </c>
      <c r="H89" s="2"/>
      <c r="I89" s="2"/>
      <c r="J89" s="2"/>
      <c r="K89" s="17">
        <v>-0.034</v>
      </c>
      <c r="L89" s="2"/>
      <c r="M89" s="2"/>
      <c r="N89" s="2"/>
      <c r="O89" s="1"/>
      <c r="P89" s="1"/>
      <c r="Q89" s="1"/>
      <c r="R89" s="1"/>
      <c r="S89" s="1"/>
      <c r="T89" s="1"/>
      <c r="U89" s="1"/>
      <c r="V89" s="8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</row>
    <row r="90" ht="13.5" customHeight="1">
      <c r="A90" s="1"/>
      <c r="B90" s="8" t="s">
        <v>104</v>
      </c>
      <c r="C90" s="2"/>
      <c r="D90" s="2"/>
      <c r="E90" s="2"/>
      <c r="F90" s="2"/>
      <c r="G90" s="17">
        <v>-6.315</v>
      </c>
      <c r="H90" s="2"/>
      <c r="I90" s="2"/>
      <c r="J90" s="2"/>
      <c r="K90" s="17">
        <v>0.0</v>
      </c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</row>
    <row r="91" ht="13.5" customHeight="1">
      <c r="A91" s="27"/>
      <c r="B91" s="5" t="s">
        <v>105</v>
      </c>
      <c r="C91" s="29">
        <f t="shared" ref="C91:K91" si="62">SUM(C89:C90)</f>
        <v>0</v>
      </c>
      <c r="D91" s="29">
        <f t="shared" si="62"/>
        <v>0</v>
      </c>
      <c r="E91" s="29">
        <f t="shared" si="62"/>
        <v>0</v>
      </c>
      <c r="F91" s="29">
        <f t="shared" si="62"/>
        <v>0</v>
      </c>
      <c r="G91" s="29">
        <f t="shared" si="62"/>
        <v>-6.456</v>
      </c>
      <c r="H91" s="29">
        <f t="shared" si="62"/>
        <v>0</v>
      </c>
      <c r="I91" s="29">
        <f t="shared" si="62"/>
        <v>0</v>
      </c>
      <c r="J91" s="29">
        <f t="shared" si="62"/>
        <v>0</v>
      </c>
      <c r="K91" s="29">
        <f t="shared" si="62"/>
        <v>-0.034</v>
      </c>
      <c r="L91" s="29"/>
      <c r="M91" s="29"/>
      <c r="N91" s="29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  <c r="FS91" s="27"/>
      <c r="FT91" s="27"/>
      <c r="FU91" s="27"/>
      <c r="FV91" s="27"/>
      <c r="FW91" s="27"/>
      <c r="FX91" s="27"/>
    </row>
    <row r="92" ht="13.5" customHeight="1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</row>
    <row r="93" ht="13.5" customHeight="1">
      <c r="A93" s="1"/>
      <c r="B93" s="8" t="s">
        <v>106</v>
      </c>
      <c r="C93" s="2">
        <f t="shared" ref="C93:K93" si="63">sum(C82,C87,C91)</f>
        <v>0</v>
      </c>
      <c r="D93" s="2">
        <f t="shared" si="63"/>
        <v>0</v>
      </c>
      <c r="E93" s="2">
        <f t="shared" si="63"/>
        <v>0</v>
      </c>
      <c r="F93" s="2">
        <f t="shared" si="63"/>
        <v>0</v>
      </c>
      <c r="G93" s="2">
        <f t="shared" si="63"/>
        <v>-19.529</v>
      </c>
      <c r="H93" s="2">
        <f t="shared" si="63"/>
        <v>0</v>
      </c>
      <c r="I93" s="2">
        <f t="shared" si="63"/>
        <v>0</v>
      </c>
      <c r="J93" s="2">
        <f t="shared" si="63"/>
        <v>0</v>
      </c>
      <c r="K93" s="2">
        <f t="shared" si="63"/>
        <v>15.4571</v>
      </c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</row>
    <row r="94" ht="13.5" customHeight="1">
      <c r="A94" s="1"/>
      <c r="B94" s="8" t="s">
        <v>107</v>
      </c>
      <c r="C94" s="2"/>
      <c r="D94" s="2"/>
      <c r="E94" s="2"/>
      <c r="F94" s="2"/>
      <c r="G94" s="17">
        <v>61.085</v>
      </c>
      <c r="H94" s="2"/>
      <c r="I94" s="2"/>
      <c r="J94" s="2"/>
      <c r="K94" s="17">
        <v>66.092</v>
      </c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</row>
    <row r="95" ht="13.5" customHeight="1">
      <c r="A95" s="1"/>
      <c r="B95" s="8" t="s">
        <v>108</v>
      </c>
      <c r="C95" s="2"/>
      <c r="D95" s="2"/>
      <c r="E95" s="2"/>
      <c r="F95" s="2"/>
      <c r="G95" s="2">
        <f>G93+G94</f>
        <v>41.556</v>
      </c>
      <c r="H95" s="2"/>
      <c r="I95" s="2"/>
      <c r="J95" s="2"/>
      <c r="K95" s="2">
        <f>K93+K94</f>
        <v>81.5491</v>
      </c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</row>
    <row r="96" ht="13.5" customHeight="1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</row>
    <row r="97" ht="13.5" customHeight="1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</row>
    <row r="98" ht="13.5" customHeight="1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</row>
    <row r="99" ht="13.5" customHeight="1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</row>
    <row r="100" ht="13.5" customHeight="1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</row>
    <row r="101" ht="13.5" customHeight="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</row>
    <row r="102" ht="13.5" customHeight="1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</row>
    <row r="103" ht="13.5" customHeight="1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</row>
    <row r="104" ht="13.5" customHeight="1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</row>
    <row r="105" ht="13.5" customHeight="1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</row>
    <row r="106" ht="13.5" customHeight="1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</row>
    <row r="107" ht="13.5" customHeight="1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</row>
    <row r="108" ht="13.5" customHeight="1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</row>
    <row r="109" ht="13.5" customHeight="1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</row>
    <row r="110" ht="13.5" customHeight="1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</row>
    <row r="111" ht="13.5" customHeight="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</row>
    <row r="112" ht="13.5" customHeight="1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</row>
    <row r="113" ht="13.5" customHeight="1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</row>
    <row r="114" ht="13.5" customHeight="1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</row>
    <row r="115" ht="13.5" customHeight="1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</row>
    <row r="116" ht="13.5" customHeight="1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</row>
    <row r="117" ht="13.5" customHeight="1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</row>
    <row r="118" ht="13.5" customHeight="1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</row>
    <row r="119" ht="13.5" customHeight="1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</row>
    <row r="120" ht="13.5" customHeight="1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</row>
    <row r="121" ht="13.5" customHeight="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</row>
    <row r="122" ht="13.5" customHeight="1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</row>
    <row r="123" ht="13.5" customHeight="1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</row>
    <row r="124" ht="13.5" customHeight="1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</row>
    <row r="125" ht="13.5" customHeight="1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</row>
    <row r="126" ht="13.5" customHeight="1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</row>
    <row r="127" ht="13.5" customHeight="1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</row>
    <row r="128" ht="13.5" customHeight="1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</row>
    <row r="129" ht="13.5" customHeight="1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</row>
    <row r="130" ht="13.5" customHeight="1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</row>
    <row r="131" ht="13.5" customHeight="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</row>
    <row r="132" ht="13.5" customHeight="1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</row>
    <row r="133" ht="13.5" customHeight="1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</row>
    <row r="134" ht="13.5" customHeight="1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</row>
    <row r="135" ht="13.5" customHeight="1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</row>
    <row r="136" ht="13.5" customHeight="1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</row>
    <row r="137" ht="13.5" customHeight="1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</row>
    <row r="138" ht="13.5" customHeight="1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</row>
    <row r="139" ht="13.5" customHeight="1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</row>
    <row r="140" ht="13.5" customHeight="1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</row>
    <row r="141" ht="13.5" customHeight="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</row>
    <row r="142" ht="13.5" customHeight="1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</row>
    <row r="143" ht="13.5" customHeight="1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</row>
    <row r="144" ht="13.5" customHeight="1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</row>
    <row r="145" ht="13.5" customHeight="1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</row>
    <row r="146" ht="13.5" customHeight="1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</row>
    <row r="147" ht="13.5" customHeight="1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</row>
    <row r="148" ht="13.5" customHeight="1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</row>
    <row r="149" ht="13.5" customHeight="1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</row>
    <row r="150" ht="13.5" customHeight="1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</row>
    <row r="151" ht="13.5" customHeight="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</row>
    <row r="152" ht="13.5" customHeight="1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</row>
    <row r="153" ht="13.5" customHeight="1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</row>
    <row r="154" ht="13.5" customHeight="1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</row>
    <row r="155" ht="13.5" customHeight="1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</row>
    <row r="156" ht="13.5" customHeight="1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</row>
    <row r="157" ht="13.5" customHeight="1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</row>
    <row r="158" ht="13.5" customHeight="1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</row>
    <row r="159" ht="13.5" customHeight="1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</row>
    <row r="160" ht="13.5" customHeight="1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</row>
    <row r="161" ht="13.5" customHeight="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</row>
    <row r="162" ht="13.5" customHeight="1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</row>
    <row r="163" ht="13.5" customHeight="1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</row>
    <row r="164" ht="13.5" customHeight="1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</row>
    <row r="165" ht="13.5" customHeight="1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</row>
    <row r="166" ht="13.5" customHeight="1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</row>
    <row r="167" ht="13.5" customHeight="1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</row>
    <row r="168" ht="13.5" customHeight="1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</row>
    <row r="169" ht="13.5" customHeight="1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</row>
    <row r="170" ht="13.5" customHeight="1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</row>
    <row r="171" ht="13.5" customHeight="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</row>
    <row r="172" ht="13.5" customHeight="1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</row>
    <row r="173" ht="13.5" customHeight="1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</row>
    <row r="174" ht="13.5" customHeight="1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</row>
    <row r="175" ht="13.5" customHeight="1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</row>
    <row r="176" ht="13.5" customHeight="1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</row>
    <row r="177" ht="13.5" customHeight="1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</row>
    <row r="178" ht="13.5" customHeight="1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</row>
    <row r="179" ht="13.5" customHeight="1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</row>
    <row r="180" ht="13.5" customHeight="1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</row>
    <row r="181" ht="13.5" customHeight="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</row>
    <row r="182" ht="13.5" customHeight="1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</row>
    <row r="183" ht="13.5" customHeight="1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</row>
    <row r="184" ht="13.5" customHeight="1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</row>
    <row r="185" ht="13.5" customHeight="1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</row>
    <row r="186" ht="13.5" customHeight="1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</row>
    <row r="187" ht="13.5" customHeight="1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</row>
    <row r="188" ht="13.5" customHeight="1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</row>
    <row r="189" ht="13.5" customHeight="1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</row>
  </sheetData>
  <hyperlinks>
    <hyperlink display="Main " location="Main!A1" ref="A1"/>
  </hyperlinks>
  <drawing r:id="rId1"/>
</worksheet>
</file>