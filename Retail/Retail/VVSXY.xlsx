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D0A14066-BD0F-294A-8028-EC15BC85EAB1}" xr6:coauthVersionLast="47" xr6:coauthVersionMax="47" xr10:uidLastSave="{00000000-0000-0000-0000-000000000000}"/>
  <bookViews>
    <workbookView xWindow="15800" yWindow="2360" windowWidth="29560" windowHeight="28200" xr2:uid="{00000000-000D-0000-FFFF-FFFF00000000}"/>
  </bookViews>
  <sheets>
    <sheet name="Main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5" i="2" l="1"/>
  <c r="AJ34" i="2"/>
  <c r="Z10" i="2"/>
  <c r="AA10" i="2" s="1"/>
  <c r="AB10" i="2" s="1"/>
  <c r="AC10" i="2" s="1"/>
  <c r="AD10" i="2" s="1"/>
  <c r="AE10" i="2" s="1"/>
  <c r="AF10" i="2" s="1"/>
  <c r="AG10" i="2" s="1"/>
  <c r="Y10" i="2"/>
  <c r="AJ32" i="2"/>
  <c r="Z24" i="2" l="1"/>
  <c r="Y24" i="2"/>
  <c r="Z19" i="2"/>
  <c r="AA19" i="2" s="1"/>
  <c r="Y19" i="2"/>
  <c r="Z15" i="2"/>
  <c r="AA15" i="2" s="1"/>
  <c r="AB15" i="2" s="1"/>
  <c r="AC15" i="2" s="1"/>
  <c r="AD15" i="2" s="1"/>
  <c r="AE15" i="2" s="1"/>
  <c r="AF15" i="2" s="1"/>
  <c r="AG15" i="2" s="1"/>
  <c r="Z14" i="2"/>
  <c r="AA14" i="2" s="1"/>
  <c r="AB14" i="2" s="1"/>
  <c r="AC14" i="2" s="1"/>
  <c r="AD14" i="2" s="1"/>
  <c r="AE14" i="2" s="1"/>
  <c r="AF14" i="2" s="1"/>
  <c r="AG14" i="2" s="1"/>
  <c r="Y15" i="2"/>
  <c r="Y14" i="2"/>
  <c r="Y12" i="2"/>
  <c r="Z12" i="2" s="1"/>
  <c r="Y11" i="2"/>
  <c r="AG3" i="2"/>
  <c r="AF3" i="2"/>
  <c r="AE24" i="2"/>
  <c r="N10" i="2"/>
  <c r="M10" i="2"/>
  <c r="L10" i="2"/>
  <c r="W27" i="2"/>
  <c r="X19" i="2"/>
  <c r="X15" i="2"/>
  <c r="X14" i="2"/>
  <c r="X10" i="2"/>
  <c r="W20" i="2"/>
  <c r="W19" i="2"/>
  <c r="W18" i="2"/>
  <c r="W17" i="2"/>
  <c r="W16" i="2"/>
  <c r="W15" i="2"/>
  <c r="W14" i="2"/>
  <c r="W13" i="2"/>
  <c r="W12" i="2"/>
  <c r="W11" i="2"/>
  <c r="W10" i="2"/>
  <c r="N21" i="2"/>
  <c r="M21" i="2"/>
  <c r="L21" i="2"/>
  <c r="N19" i="2"/>
  <c r="M19" i="2"/>
  <c r="L19" i="2"/>
  <c r="L14" i="2"/>
  <c r="M14" i="2" s="1"/>
  <c r="N14" i="2" s="1"/>
  <c r="N15" i="2"/>
  <c r="M15" i="2"/>
  <c r="L15" i="2"/>
  <c r="L12" i="2"/>
  <c r="M12" i="2" s="1"/>
  <c r="N12" i="2" s="1"/>
  <c r="L11" i="2"/>
  <c r="M11" i="2" s="1"/>
  <c r="N6" i="2"/>
  <c r="M6" i="2"/>
  <c r="L6" i="2"/>
  <c r="S3" i="2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R3" i="2"/>
  <c r="G26" i="2"/>
  <c r="G25" i="2"/>
  <c r="G24" i="2"/>
  <c r="C27" i="2"/>
  <c r="C13" i="2"/>
  <c r="C16" i="2" s="1"/>
  <c r="C18" i="2" s="1"/>
  <c r="C20" i="2" s="1"/>
  <c r="D27" i="2"/>
  <c r="D13" i="2"/>
  <c r="D16" i="2" s="1"/>
  <c r="D18" i="2" s="1"/>
  <c r="D20" i="2" s="1"/>
  <c r="H27" i="2"/>
  <c r="H26" i="2"/>
  <c r="H25" i="2"/>
  <c r="H24" i="2"/>
  <c r="H13" i="2"/>
  <c r="H16" i="2" s="1"/>
  <c r="H18" i="2" s="1"/>
  <c r="H20" i="2" s="1"/>
  <c r="E27" i="2"/>
  <c r="E13" i="2"/>
  <c r="E16" i="2" s="1"/>
  <c r="E18" i="2" s="1"/>
  <c r="E20" i="2" s="1"/>
  <c r="I27" i="2"/>
  <c r="I26" i="2"/>
  <c r="I25" i="2"/>
  <c r="I24" i="2"/>
  <c r="I13" i="2"/>
  <c r="I16" i="2" s="1"/>
  <c r="I18" i="2" s="1"/>
  <c r="I20" i="2" s="1"/>
  <c r="I6" i="2"/>
  <c r="I5" i="2"/>
  <c r="J26" i="2"/>
  <c r="J25" i="2"/>
  <c r="J24" i="2"/>
  <c r="F27" i="2"/>
  <c r="G27" i="2"/>
  <c r="J27" i="2"/>
  <c r="K27" i="2"/>
  <c r="K26" i="2"/>
  <c r="K25" i="2"/>
  <c r="K24" i="2"/>
  <c r="F13" i="2"/>
  <c r="F16" i="2" s="1"/>
  <c r="F18" i="2" s="1"/>
  <c r="F20" i="2" s="1"/>
  <c r="J13" i="2"/>
  <c r="J16" i="2" s="1"/>
  <c r="J18" i="2" s="1"/>
  <c r="J20" i="2" s="1"/>
  <c r="J6" i="2"/>
  <c r="J5" i="2"/>
  <c r="G13" i="2"/>
  <c r="G16" i="2" s="1"/>
  <c r="K13" i="2"/>
  <c r="K16" i="2" s="1"/>
  <c r="K18" i="2" s="1"/>
  <c r="K20" i="2" s="1"/>
  <c r="K5" i="2"/>
  <c r="K6" i="2" s="1"/>
  <c r="K6" i="1"/>
  <c r="L5" i="1"/>
  <c r="L6" i="1" s="1"/>
  <c r="K4" i="1"/>
  <c r="K7" i="1" s="1"/>
  <c r="Y13" i="2" l="1"/>
  <c r="Y16" i="2" s="1"/>
  <c r="Y27" i="2"/>
  <c r="AA12" i="2"/>
  <c r="Z26" i="2"/>
  <c r="Y17" i="2"/>
  <c r="Y18" i="2" s="1"/>
  <c r="Y20" i="2" s="1"/>
  <c r="Y26" i="2"/>
  <c r="Y25" i="2"/>
  <c r="Z11" i="2"/>
  <c r="AA24" i="2"/>
  <c r="AC24" i="2"/>
  <c r="AD24" i="2"/>
  <c r="AB24" i="2"/>
  <c r="AB19" i="2"/>
  <c r="X12" i="2"/>
  <c r="X26" i="2" s="1"/>
  <c r="M13" i="2"/>
  <c r="M16" i="2" s="1"/>
  <c r="N11" i="2"/>
  <c r="N13" i="2" s="1"/>
  <c r="N16" i="2" s="1"/>
  <c r="X24" i="2"/>
  <c r="L13" i="2"/>
  <c r="L16" i="2" s="1"/>
  <c r="G18" i="2"/>
  <c r="G20" i="2" s="1"/>
  <c r="AF24" i="2" l="1"/>
  <c r="AA11" i="2"/>
  <c r="Z25" i="2"/>
  <c r="Z27" i="2"/>
  <c r="Z13" i="2"/>
  <c r="Z16" i="2" s="1"/>
  <c r="AB12" i="2"/>
  <c r="AA26" i="2"/>
  <c r="AC19" i="2"/>
  <c r="X11" i="2"/>
  <c r="X25" i="2" s="1"/>
  <c r="L17" i="2"/>
  <c r="M17" i="2" s="1"/>
  <c r="N17" i="2" s="1"/>
  <c r="N18" i="2" s="1"/>
  <c r="N20" i="2" s="1"/>
  <c r="Z17" i="2" l="1"/>
  <c r="Z18" i="2"/>
  <c r="Z20" i="2" s="1"/>
  <c r="AB11" i="2"/>
  <c r="AA27" i="2"/>
  <c r="AA25" i="2"/>
  <c r="AA13" i="2"/>
  <c r="AA16" i="2" s="1"/>
  <c r="AG24" i="2"/>
  <c r="AC12" i="2"/>
  <c r="AB26" i="2"/>
  <c r="AD19" i="2"/>
  <c r="X27" i="2"/>
  <c r="X13" i="2"/>
  <c r="X16" i="2" s="1"/>
  <c r="X17" i="2"/>
  <c r="X18" i="2" s="1"/>
  <c r="X20" i="2" s="1"/>
  <c r="L18" i="2"/>
  <c r="L20" i="2" s="1"/>
  <c r="M18" i="2"/>
  <c r="M20" i="2" s="1"/>
  <c r="AD12" i="2" l="1"/>
  <c r="AC26" i="2"/>
  <c r="AC11" i="2"/>
  <c r="AB25" i="2"/>
  <c r="AB27" i="2"/>
  <c r="AB13" i="2"/>
  <c r="AB16" i="2" s="1"/>
  <c r="AA17" i="2"/>
  <c r="AA18" i="2" s="1"/>
  <c r="AA20" i="2" s="1"/>
  <c r="AE19" i="2"/>
  <c r="AB17" i="2" l="1"/>
  <c r="AB18" i="2"/>
  <c r="AB20" i="2" s="1"/>
  <c r="AD11" i="2"/>
  <c r="AC25" i="2"/>
  <c r="AC27" i="2"/>
  <c r="AC13" i="2"/>
  <c r="AC16" i="2" s="1"/>
  <c r="AE12" i="2"/>
  <c r="AD26" i="2"/>
  <c r="AF19" i="2"/>
  <c r="AF12" i="2" l="1"/>
  <c r="AE26" i="2"/>
  <c r="AC17" i="2"/>
  <c r="AC18" i="2"/>
  <c r="AC20" i="2" s="1"/>
  <c r="AE11" i="2"/>
  <c r="AD25" i="2"/>
  <c r="AD13" i="2"/>
  <c r="AD16" i="2" s="1"/>
  <c r="AD27" i="2"/>
  <c r="AG19" i="2"/>
  <c r="AD17" i="2" l="1"/>
  <c r="AD18" i="2" s="1"/>
  <c r="AD20" i="2" s="1"/>
  <c r="AF11" i="2"/>
  <c r="AE25" i="2"/>
  <c r="AE13" i="2"/>
  <c r="AE16" i="2" s="1"/>
  <c r="AE27" i="2"/>
  <c r="AG12" i="2"/>
  <c r="AG26" i="2" s="1"/>
  <c r="AF26" i="2"/>
  <c r="AE17" i="2" l="1"/>
  <c r="AE18" i="2"/>
  <c r="AE20" i="2" s="1"/>
  <c r="AG11" i="2"/>
  <c r="AF25" i="2"/>
  <c r="AF13" i="2"/>
  <c r="AF16" i="2" s="1"/>
  <c r="AF27" i="2"/>
  <c r="AF17" i="2" l="1"/>
  <c r="AF18" i="2"/>
  <c r="AF20" i="2" s="1"/>
  <c r="AG25" i="2"/>
  <c r="AG27" i="2"/>
  <c r="AG13" i="2"/>
  <c r="AG16" i="2" s="1"/>
  <c r="AG17" i="2" s="1"/>
  <c r="AG18" i="2" s="1"/>
  <c r="AG20" i="2" s="1"/>
  <c r="AH20" i="2" l="1"/>
  <c r="AJ29" i="2" s="1"/>
  <c r="AJ30" i="2"/>
  <c r="AJ31" i="2" l="1"/>
  <c r="AJ33" i="2" s="1"/>
</calcChain>
</file>

<file path=xl/sharedStrings.xml><?xml version="1.0" encoding="utf-8"?>
<sst xmlns="http://schemas.openxmlformats.org/spreadsheetml/2006/main" count="67" uniqueCount="61">
  <si>
    <t xml:space="preserve">CEO </t>
  </si>
  <si>
    <t xml:space="preserve">P </t>
  </si>
  <si>
    <t xml:space="preserve">CFO </t>
  </si>
  <si>
    <t>S</t>
  </si>
  <si>
    <t>Q126</t>
  </si>
  <si>
    <t>MC</t>
  </si>
  <si>
    <t>C</t>
  </si>
  <si>
    <t>D</t>
  </si>
  <si>
    <t>EV</t>
  </si>
  <si>
    <t>Scott Sekella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</si>
  <si>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</si>
  <si>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</si>
  <si>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</si>
  <si>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</si>
  <si>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</si>
  <si>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</si>
  <si>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</si>
  <si>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</si>
  <si>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</si>
  <si>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Q226</t>
  </si>
  <si>
    <t>Q326</t>
  </si>
  <si>
    <t>Q426</t>
  </si>
  <si>
    <t>Hillary Super (Prev CEO of Rihanna's Lingerie brand Savage X Fenty)</t>
  </si>
  <si>
    <t>Press Releases</t>
  </si>
  <si>
    <t xml:space="preserve">Strategy </t>
  </si>
  <si>
    <t xml:space="preserve">Recommit to Pink </t>
  </si>
  <si>
    <t>Fuel Growth in Beauty</t>
  </si>
  <si>
    <t xml:space="preserve">Strengthen brand </t>
  </si>
  <si>
    <t>Brands</t>
  </si>
  <si>
    <t xml:space="preserve">Victoria Secret </t>
  </si>
  <si>
    <t>Pink</t>
  </si>
  <si>
    <t xml:space="preserve">Age </t>
  </si>
  <si>
    <t>25-44</t>
  </si>
  <si>
    <t>18-24</t>
  </si>
  <si>
    <t>Company Owned</t>
  </si>
  <si>
    <t>Other</t>
  </si>
  <si>
    <t>Total Units</t>
  </si>
  <si>
    <t>Sales</t>
  </si>
  <si>
    <t>COGs</t>
  </si>
  <si>
    <t>G&amp;A</t>
  </si>
  <si>
    <t>Operating Income</t>
  </si>
  <si>
    <t>Shares</t>
  </si>
  <si>
    <t>Diluted Shares</t>
  </si>
  <si>
    <t>Net Income Common</t>
  </si>
  <si>
    <t>Noncontrolling</t>
  </si>
  <si>
    <t>Net Income</t>
  </si>
  <si>
    <t>Interest Expense</t>
  </si>
  <si>
    <t>Interest Income</t>
  </si>
  <si>
    <t>Income Before Taxes</t>
  </si>
  <si>
    <t>Taxes</t>
  </si>
  <si>
    <t>SSS - Stores Only</t>
  </si>
  <si>
    <t>Growth YY</t>
  </si>
  <si>
    <t>Gross Margin</t>
  </si>
  <si>
    <t xml:space="preserve">Discount </t>
  </si>
  <si>
    <t>NPV</t>
  </si>
  <si>
    <t xml:space="preserve">Terminal Value </t>
  </si>
  <si>
    <t>Maturity</t>
  </si>
  <si>
    <t>Total Value</t>
  </si>
  <si>
    <t>Estimate</t>
  </si>
  <si>
    <t>Current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</si>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</sst>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4" tint="-0.499984740745262"/>
      <name val="Arial"/>
      <family val="2"/>
      <scheme val="minor"/>
    </font>
    <font>
      <i/>
      <sz val="10"/>
      <color theme="4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1"/>
    <xf numFmtId="0" fontId="0" fillId="0" borderId="0" xfId="0" applyAlignment="1">
      <alignment horizontal="right"/>
    </xf>
    <xf numFmtId="0" fontId="4" fillId="0" borderId="0" xfId="0" applyFont="1"/>
    <xf numFmtId="3" fontId="0" fillId="0" borderId="0" xfId="0" applyNumberFormat="1"/>
    <xf numFmtId="3" fontId="2" fillId="0" borderId="0" xfId="0" applyNumberFormat="1" applyFont="1"/>
    <xf numFmtId="3" fontId="0" fillId="0" borderId="0" xfId="0" applyNumberFormat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3" fontId="3" fillId="0" borderId="0" xfId="1" applyNumberFormat="1"/>
    <xf numFmtId="9" fontId="0" fillId="0" borderId="0" xfId="0" applyNumberFormat="1"/>
    <xf numFmtId="9" fontId="2" fillId="0" borderId="0" xfId="0" applyNumberFormat="1" applyFont="1"/>
    <xf numFmtId="9" fontId="0" fillId="0" borderId="0" xfId="0" applyNumberFormat="1" applyAlignment="1">
      <alignment horizontal="right"/>
    </xf>
    <xf numFmtId="9" fontId="5" fillId="0" borderId="0" xfId="0" applyNumberFormat="1" applyFont="1"/>
    <xf numFmtId="9" fontId="5" fillId="0" borderId="0" xfId="0" applyNumberFormat="1" applyFont="1" applyAlignment="1">
      <alignment horizontal="right"/>
    </xf>
    <xf numFmtId="9" fontId="5" fillId="2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right"/>
    </xf>
    <xf numFmtId="14" fontId="6" fillId="3" borderId="0" xfId="0" applyNumberFormat="1" applyFont="1" applyFill="1" applyAlignment="1">
      <alignment horizontal="right"/>
    </xf>
    <xf numFmtId="3" fontId="2" fillId="0" borderId="1" xfId="0" applyNumberFormat="1" applyFont="1" applyBorder="1"/>
    <xf numFmtId="3" fontId="0" fillId="0" borderId="1" xfId="0" applyNumberForma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ctoriassecretandco.com/static-files/71e174ce-8de9-46bc-82b0-99f3fd55323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zoomScale="236" workbookViewId="0"/>
  </sheetViews>
  <sheetFormatPr baseColWidth="10" defaultColWidth="12.6640625" defaultRowHeight="15.75" customHeight="1" x14ac:dyDescent="0.15"/>
  <cols>
    <col min="1" max="1" width="3" customWidth="1"/>
    <col min="2" max="2" width="5.33203125" bestFit="1" customWidth="1"/>
    <col min="3" max="3" width="18" customWidth="1"/>
    <col min="4" max="4" width="5.5" customWidth="1"/>
    <col min="10" max="10" width="3.6640625" bestFit="1" customWidth="1"/>
    <col min="11" max="11" width="5.6640625" bestFit="1" customWidth="1"/>
    <col min="12" max="12" width="5.5" bestFit="1" customWidth="1"/>
  </cols>
  <sheetData>
    <row r="1" spans="1:26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1"/>
      <c r="B2" s="1" t="s">
        <v>0</v>
      </c>
      <c r="C2" s="1" t="s">
        <v>22</v>
      </c>
      <c r="D2" s="1"/>
      <c r="E2" s="1"/>
      <c r="F2" s="1"/>
      <c r="G2" s="1"/>
      <c r="H2" s="1"/>
      <c r="I2" s="1"/>
      <c r="J2" s="1" t="s">
        <v>1</v>
      </c>
      <c r="K2" s="1">
        <v>87.85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15">
      <c r="A3" s="1"/>
      <c r="B3" s="1" t="s">
        <v>2</v>
      </c>
      <c r="C3" s="1" t="s">
        <v>9</v>
      </c>
      <c r="D3" s="1"/>
      <c r="E3" s="1"/>
      <c r="F3" s="1"/>
      <c r="G3" s="1"/>
      <c r="H3" s="1"/>
      <c r="I3" s="1"/>
      <c r="J3" s="1" t="s">
        <v>3</v>
      </c>
      <c r="K3" s="1">
        <v>79.491720000000001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15">
      <c r="A4" s="1"/>
      <c r="B4" s="1"/>
      <c r="C4" s="1"/>
      <c r="D4" s="1"/>
      <c r="E4" s="1"/>
      <c r="F4" s="1"/>
      <c r="G4" s="1"/>
      <c r="H4" s="1"/>
      <c r="I4" s="1"/>
      <c r="J4" s="1" t="s">
        <v>5</v>
      </c>
      <c r="K4" s="1">
        <f>K2*K3</f>
        <v>6983.3476019999998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1"/>
      <c r="B5" s="1"/>
      <c r="C5" s="1"/>
      <c r="D5" s="1"/>
      <c r="E5" s="1"/>
      <c r="F5" s="1"/>
      <c r="G5" s="1"/>
      <c r="H5" s="1"/>
      <c r="I5" s="1"/>
      <c r="J5" s="1" t="s">
        <v>6</v>
      </c>
      <c r="K5" s="1">
        <v>207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15">
      <c r="A6" s="1"/>
      <c r="B6" s="1"/>
      <c r="C6" s="5" t="s">
        <v>24</v>
      </c>
      <c r="D6" s="1"/>
      <c r="E6" s="1"/>
      <c r="F6" s="1"/>
      <c r="G6" s="1"/>
      <c r="H6" s="1"/>
      <c r="I6" s="1"/>
      <c r="J6" s="1" t="s">
        <v>7</v>
      </c>
      <c r="K6" s="1">
        <f>4+986</f>
        <v>990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15">
      <c r="A7" s="1"/>
      <c r="B7" s="1"/>
      <c r="C7" s="1" t="s">
        <v>25</v>
      </c>
      <c r="D7" s="1"/>
      <c r="E7" s="1"/>
      <c r="F7" s="1"/>
      <c r="G7" s="1"/>
      <c r="H7" s="1"/>
      <c r="I7" s="1"/>
      <c r="J7" s="1" t="s">
        <v>8</v>
      </c>
      <c r="K7" s="1">
        <f>K4-K5+K6</f>
        <v>7766.3476019999998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15">
      <c r="A8" s="1"/>
      <c r="B8" s="1"/>
      <c r="C8" s="1" t="s">
        <v>26</v>
      </c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15">
      <c r="A9" s="1"/>
      <c r="B9" s="1"/>
      <c r="C9" s="1" t="s">
        <v>27</v>
      </c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15">
      <c r="A11" s="1"/>
      <c r="B11" s="1"/>
      <c r="C11" s="1" t="s">
        <v>28</v>
      </c>
      <c r="D11" s="1" t="s">
        <v>31</v>
      </c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15">
      <c r="A12" s="1"/>
      <c r="B12" s="1"/>
      <c r="C12" s="1" t="s">
        <v>29</v>
      </c>
      <c r="D12" s="1" t="s">
        <v>32</v>
      </c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15">
      <c r="A13" s="1"/>
      <c r="B13" s="1"/>
      <c r="C13" s="1" t="s">
        <v>30</v>
      </c>
      <c r="D13" s="1" t="s">
        <v>33</v>
      </c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15">
      <c r="A16" s="1"/>
      <c r="B16" s="1"/>
      <c r="C16" s="1" t="s">
        <v>23</v>
      </c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15">
      <c r="A17" s="1"/>
      <c r="B17" s="1"/>
      <c r="C17" s="11" t="s">
        <v>4</v>
      </c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15">
      <c r="A18" s="1"/>
      <c r="B18" s="1"/>
      <c r="C18" s="1" t="s">
        <v>19</v>
      </c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hyperlinks>
    <hyperlink ref="C17" r:id="rId1" xr:uid="{9B5C294A-8C03-9C42-A53E-80A79230DEF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E2B-584E-984D-8379-DF4A3A5BF6D7}">
  <dimension ref="A1:AJ35"/>
  <sheetViews>
    <sheetView showGridLines="0" zoomScale="180" zoomScaleNormal="180" workbookViewId="0">
      <pane xSplit="2" ySplit="3" topLeftCell="T4" activePane="bottomRight" state="frozen"/>
      <selection pane="topRight" activeCell="C1" sqref="C1"/>
      <selection pane="bottomLeft" activeCell="A3" sqref="A3"/>
      <selection pane="bottomRight" activeCell="AE22" sqref="AE22"/>
    </sheetView>
  </sheetViews>
  <sheetFormatPr baseColWidth="10" defaultRowHeight="13" x14ac:dyDescent="0.15"/>
  <cols>
    <col min="1" max="1" width="4.83203125" style="6" bestFit="1" customWidth="1"/>
    <col min="2" max="2" width="17.83203125" style="6" bestFit="1" customWidth="1"/>
    <col min="3" max="6" width="5.6640625" style="8" bestFit="1" customWidth="1"/>
    <col min="7" max="8" width="6.1640625" style="8" bestFit="1" customWidth="1"/>
    <col min="9" max="10" width="7.1640625" style="8" bestFit="1" customWidth="1"/>
    <col min="11" max="11" width="6.1640625" style="8" bestFit="1" customWidth="1"/>
    <col min="12" max="14" width="5.6640625" style="8" bestFit="1" customWidth="1"/>
    <col min="15" max="16" width="10.83203125" style="8"/>
    <col min="17" max="22" width="5.1640625" style="8" bestFit="1" customWidth="1"/>
    <col min="23" max="30" width="5.6640625" style="8" bestFit="1" customWidth="1"/>
    <col min="31" max="33" width="6.6640625" style="8" bestFit="1" customWidth="1"/>
    <col min="34" max="34" width="10.83203125" style="8"/>
    <col min="35" max="35" width="13.1640625" style="8" bestFit="1" customWidth="1"/>
    <col min="36" max="16384" width="10.83203125" style="8"/>
  </cols>
  <sheetData>
    <row r="1" spans="1:33" s="4" customFormat="1" x14ac:dyDescent="0.15">
      <c r="A1" s="3" t="s">
        <v>10</v>
      </c>
      <c r="B1"/>
    </row>
    <row r="2" spans="1:33" s="4" customFormat="1" x14ac:dyDescent="0.15">
      <c r="A2" s="3"/>
      <c r="B2"/>
      <c r="C2" s="18"/>
      <c r="D2" s="18"/>
      <c r="E2" s="18"/>
      <c r="F2" s="18"/>
      <c r="G2" s="19">
        <v>45780</v>
      </c>
      <c r="H2" s="19">
        <v>45871</v>
      </c>
      <c r="I2" s="19">
        <v>45962</v>
      </c>
      <c r="J2" s="19">
        <v>46053</v>
      </c>
      <c r="K2" s="19">
        <v>46144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s="4" customFormat="1" x14ac:dyDescent="0.15">
      <c r="A3"/>
      <c r="B3"/>
      <c r="C3" s="18" t="s">
        <v>11</v>
      </c>
      <c r="D3" s="18" t="s">
        <v>12</v>
      </c>
      <c r="E3" s="18" t="s">
        <v>13</v>
      </c>
      <c r="F3" s="18" t="s">
        <v>14</v>
      </c>
      <c r="G3" s="18" t="s">
        <v>15</v>
      </c>
      <c r="H3" s="18" t="s">
        <v>16</v>
      </c>
      <c r="I3" s="18" t="s">
        <v>17</v>
      </c>
      <c r="J3" s="18" t="s">
        <v>18</v>
      </c>
      <c r="K3" s="18" t="s">
        <v>4</v>
      </c>
      <c r="L3" s="18" t="s">
        <v>19</v>
      </c>
      <c r="M3" s="18" t="s">
        <v>20</v>
      </c>
      <c r="N3" s="18" t="s">
        <v>21</v>
      </c>
      <c r="O3" s="18"/>
      <c r="P3" s="18"/>
      <c r="Q3" s="18">
        <v>2019</v>
      </c>
      <c r="R3" s="18">
        <f>+Q3+1</f>
        <v>2020</v>
      </c>
      <c r="S3" s="18">
        <f t="shared" ref="S3:AE3" si="0">+R3+1</f>
        <v>2021</v>
      </c>
      <c r="T3" s="18">
        <f t="shared" si="0"/>
        <v>2022</v>
      </c>
      <c r="U3" s="18">
        <f t="shared" si="0"/>
        <v>2023</v>
      </c>
      <c r="V3" s="18">
        <f t="shared" si="0"/>
        <v>2024</v>
      </c>
      <c r="W3" s="18">
        <f t="shared" si="0"/>
        <v>2025</v>
      </c>
      <c r="X3" s="18">
        <f t="shared" si="0"/>
        <v>2026</v>
      </c>
      <c r="Y3" s="18">
        <f t="shared" si="0"/>
        <v>2027</v>
      </c>
      <c r="Z3" s="18">
        <f t="shared" si="0"/>
        <v>2028</v>
      </c>
      <c r="AA3" s="18">
        <f t="shared" si="0"/>
        <v>2029</v>
      </c>
      <c r="AB3" s="18">
        <f t="shared" si="0"/>
        <v>2030</v>
      </c>
      <c r="AC3" s="18">
        <f t="shared" si="0"/>
        <v>2031</v>
      </c>
      <c r="AD3" s="18">
        <f t="shared" si="0"/>
        <v>2032</v>
      </c>
      <c r="AE3" s="18">
        <f t="shared" si="0"/>
        <v>2033</v>
      </c>
      <c r="AF3" s="18">
        <f t="shared" ref="AF3:AG3" si="1">+AE3+1</f>
        <v>2034</v>
      </c>
      <c r="AG3" s="18">
        <f t="shared" si="1"/>
        <v>2035</v>
      </c>
    </row>
    <row r="4" spans="1:33" x14ac:dyDescent="0.15">
      <c r="B4" s="7" t="s">
        <v>34</v>
      </c>
      <c r="I4" s="8">
        <v>792</v>
      </c>
      <c r="J4" s="8">
        <v>790</v>
      </c>
      <c r="K4" s="8">
        <v>791</v>
      </c>
    </row>
    <row r="5" spans="1:33" x14ac:dyDescent="0.15">
      <c r="B5" s="7" t="s">
        <v>35</v>
      </c>
      <c r="I5" s="8">
        <f>63+545+4</f>
        <v>612</v>
      </c>
      <c r="J5" s="8">
        <f>++65+562+3</f>
        <v>630</v>
      </c>
      <c r="K5" s="8">
        <f>64+565+3</f>
        <v>632</v>
      </c>
    </row>
    <row r="6" spans="1:33" x14ac:dyDescent="0.15">
      <c r="B6" s="20" t="s">
        <v>36</v>
      </c>
      <c r="C6" s="21"/>
      <c r="D6" s="21"/>
      <c r="E6" s="21"/>
      <c r="F6" s="21"/>
      <c r="G6" s="21"/>
      <c r="H6" s="21"/>
      <c r="I6" s="21">
        <f>+I4+I5</f>
        <v>1404</v>
      </c>
      <c r="J6" s="21">
        <f>+J4+J5</f>
        <v>1420</v>
      </c>
      <c r="K6" s="21">
        <f>+K4+K5</f>
        <v>1423</v>
      </c>
      <c r="L6" s="21">
        <f>+K6+2</f>
        <v>1425</v>
      </c>
      <c r="M6" s="21">
        <f>+L6+2</f>
        <v>1427</v>
      </c>
      <c r="N6" s="21">
        <f>+M6+2</f>
        <v>1429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8" spans="1:33" s="14" customFormat="1" x14ac:dyDescent="0.15">
      <c r="A8" s="12"/>
      <c r="B8" s="13" t="s">
        <v>50</v>
      </c>
      <c r="C8" s="14">
        <v>-0.08</v>
      </c>
      <c r="D8" s="14">
        <v>-0.05</v>
      </c>
      <c r="E8" s="14">
        <v>0.02</v>
      </c>
      <c r="F8" s="14">
        <v>0.03</v>
      </c>
      <c r="G8" s="14">
        <v>-0.01</v>
      </c>
      <c r="H8" s="14">
        <v>0.04</v>
      </c>
      <c r="I8" s="14">
        <v>0.05</v>
      </c>
      <c r="J8" s="14">
        <v>7.0000000000000007E-2</v>
      </c>
      <c r="K8" s="14">
        <v>0.1</v>
      </c>
    </row>
    <row r="9" spans="1:33" s="14" customFormat="1" x14ac:dyDescent="0.15">
      <c r="A9" s="12"/>
      <c r="B9" s="13"/>
    </row>
    <row r="10" spans="1:33" x14ac:dyDescent="0.15">
      <c r="B10" s="7" t="s">
        <v>37</v>
      </c>
      <c r="C10" s="22">
        <v>1359.442</v>
      </c>
      <c r="D10" s="22">
        <v>1417.193</v>
      </c>
      <c r="E10" s="22">
        <v>1347.424</v>
      </c>
      <c r="F10" s="22">
        <v>2105.5010000000002</v>
      </c>
      <c r="G10" s="22">
        <v>1352.9490000000001</v>
      </c>
      <c r="H10" s="22">
        <v>1459.1369999999999</v>
      </c>
      <c r="I10" s="22">
        <v>1471.519</v>
      </c>
      <c r="J10" s="22">
        <v>2269.8040000000001</v>
      </c>
      <c r="K10" s="22">
        <v>1559.5491</v>
      </c>
      <c r="L10" s="8">
        <f>+H10*1.08</f>
        <v>1575.86796</v>
      </c>
      <c r="M10" s="8">
        <f>+I10*1.08</f>
        <v>1589.2405200000001</v>
      </c>
      <c r="N10" s="8">
        <f>+J10*1.08</f>
        <v>2451.3883200000005</v>
      </c>
      <c r="W10" s="8">
        <f>SUM(G10:J10)</f>
        <v>6553.4090000000006</v>
      </c>
      <c r="X10" s="8">
        <f>SUM(K10:N10)</f>
        <v>7176.045900000001</v>
      </c>
      <c r="Y10" s="8">
        <f>+X10*1.08</f>
        <v>7750.1295720000016</v>
      </c>
      <c r="Z10" s="8">
        <f t="shared" ref="Z10:AG10" si="2">+Y10*1.08</f>
        <v>8370.1399377600028</v>
      </c>
      <c r="AA10" s="8">
        <f t="shared" si="2"/>
        <v>9039.7511327808043</v>
      </c>
      <c r="AB10" s="8">
        <f t="shared" si="2"/>
        <v>9762.9312234032695</v>
      </c>
      <c r="AC10" s="8">
        <f t="shared" si="2"/>
        <v>10543.965721275532</v>
      </c>
      <c r="AD10" s="8">
        <f t="shared" si="2"/>
        <v>11387.482978977576</v>
      </c>
      <c r="AE10" s="8">
        <f t="shared" si="2"/>
        <v>12298.481617295784</v>
      </c>
      <c r="AF10" s="8">
        <f t="shared" si="2"/>
        <v>13282.360146679446</v>
      </c>
      <c r="AG10" s="8">
        <f t="shared" si="2"/>
        <v>14344.948958413803</v>
      </c>
    </row>
    <row r="11" spans="1:33" x14ac:dyDescent="0.15">
      <c r="B11" s="7" t="s">
        <v>38</v>
      </c>
      <c r="C11" s="22">
        <v>858.12699999999995</v>
      </c>
      <c r="D11" s="22">
        <v>915.827</v>
      </c>
      <c r="E11" s="22">
        <v>879.13699999999994</v>
      </c>
      <c r="F11" s="22">
        <v>1292.068</v>
      </c>
      <c r="G11" s="22">
        <v>878.72400000000005</v>
      </c>
      <c r="H11" s="22">
        <v>940.12099999999998</v>
      </c>
      <c r="I11" s="22">
        <v>935.37699999999995</v>
      </c>
      <c r="J11" s="22">
        <v>1414.809</v>
      </c>
      <c r="K11" s="22">
        <v>974.64300000000003</v>
      </c>
      <c r="L11" s="8">
        <f>+L$10*(K11/K$10)</f>
        <v>984.84150075062098</v>
      </c>
      <c r="M11" s="8">
        <f>+M$10*(L11/L$10)</f>
        <v>993.19870604545906</v>
      </c>
      <c r="N11" s="8">
        <f>+N$10*(M11/M$10)</f>
        <v>1531.9995159945659</v>
      </c>
      <c r="W11" s="8">
        <f>SUM(G11:J11)</f>
        <v>4169.0309999999999</v>
      </c>
      <c r="X11" s="8">
        <f>SUM(K11:N11)</f>
        <v>4484.682722790646</v>
      </c>
      <c r="Y11" s="8">
        <f>+Y$10*(X11/X$10)</f>
        <v>4843.4573406138979</v>
      </c>
      <c r="Z11" s="8">
        <f t="shared" ref="Z11:AG11" si="3">+Z$10*(Y11/Y$10)</f>
        <v>5230.9339278630105</v>
      </c>
      <c r="AA11" s="8">
        <f t="shared" si="3"/>
        <v>5649.4086420920521</v>
      </c>
      <c r="AB11" s="8">
        <f t="shared" si="3"/>
        <v>6101.3613334594174</v>
      </c>
      <c r="AC11" s="8">
        <f t="shared" si="3"/>
        <v>6589.470240136171</v>
      </c>
      <c r="AD11" s="8">
        <f t="shared" si="3"/>
        <v>7116.6278593470652</v>
      </c>
      <c r="AE11" s="8">
        <f t="shared" si="3"/>
        <v>7685.9580880948315</v>
      </c>
      <c r="AF11" s="8">
        <f t="shared" si="3"/>
        <v>8300.8347351424181</v>
      </c>
      <c r="AG11" s="8">
        <f t="shared" si="3"/>
        <v>8964.9015139538114</v>
      </c>
    </row>
    <row r="12" spans="1:33" x14ac:dyDescent="0.15">
      <c r="B12" s="7" t="s">
        <v>39</v>
      </c>
      <c r="C12" s="22">
        <v>475.04599999999999</v>
      </c>
      <c r="D12" s="22">
        <v>439.04199999999997</v>
      </c>
      <c r="E12" s="22">
        <v>514.96299999999997</v>
      </c>
      <c r="F12" s="22">
        <v>545.74699999999996</v>
      </c>
      <c r="G12" s="22">
        <v>454.44</v>
      </c>
      <c r="H12" s="22">
        <v>478.05700000000002</v>
      </c>
      <c r="I12" s="22">
        <v>555.21400000000006</v>
      </c>
      <c r="J12" s="22">
        <v>626.02499999999998</v>
      </c>
      <c r="K12" s="22">
        <v>508.62599999999998</v>
      </c>
      <c r="L12" s="8">
        <f>+L$10*(K12/K$10)</f>
        <v>513.94817708718506</v>
      </c>
      <c r="M12" s="8">
        <f>+M$10*(L12/L$10)</f>
        <v>518.30945798726054</v>
      </c>
      <c r="N12" s="8">
        <f>+N$10*(M12/M$10)</f>
        <v>799.48738750727387</v>
      </c>
      <c r="W12" s="8">
        <f>SUM(G12:J12)</f>
        <v>2113.7360000000003</v>
      </c>
      <c r="X12" s="8">
        <f>SUM(K12:N12)</f>
        <v>2340.3710225817194</v>
      </c>
      <c r="Y12" s="8">
        <f>+Y$10*(X12/X$10)</f>
        <v>2527.6007043882573</v>
      </c>
      <c r="Z12" s="8">
        <f t="shared" ref="Z12:AG12" si="4">+Z$10*(Y12/Y$10)</f>
        <v>2729.8087607393181</v>
      </c>
      <c r="AA12" s="8">
        <f t="shared" si="4"/>
        <v>2948.1934615984642</v>
      </c>
      <c r="AB12" s="8">
        <f t="shared" si="4"/>
        <v>3184.0489385263418</v>
      </c>
      <c r="AC12" s="8">
        <f t="shared" si="4"/>
        <v>3438.7728536084492</v>
      </c>
      <c r="AD12" s="8">
        <f t="shared" si="4"/>
        <v>3713.8746818971258</v>
      </c>
      <c r="AE12" s="8">
        <f t="shared" si="4"/>
        <v>4010.9846564488962</v>
      </c>
      <c r="AF12" s="8">
        <f t="shared" si="4"/>
        <v>4331.863428964808</v>
      </c>
      <c r="AG12" s="8">
        <f t="shared" si="4"/>
        <v>4678.4125032819929</v>
      </c>
    </row>
    <row r="13" spans="1:33" x14ac:dyDescent="0.15">
      <c r="B13" s="20" t="s">
        <v>40</v>
      </c>
      <c r="C13" s="21">
        <f>+C10-SUM(C11:C12)</f>
        <v>26.269000000000005</v>
      </c>
      <c r="D13" s="21">
        <f>+D10-SUM(D11:D12)</f>
        <v>62.324000000000069</v>
      </c>
      <c r="E13" s="21">
        <f>+E10-SUM(E11:E12)</f>
        <v>-46.675999999999931</v>
      </c>
      <c r="F13" s="21">
        <f>+F10-SUM(F11:F12)</f>
        <v>267.68600000000015</v>
      </c>
      <c r="G13" s="21">
        <f>+G10-SUM(G11:G12)</f>
        <v>19.785000000000082</v>
      </c>
      <c r="H13" s="21">
        <f>+H10-SUM(H11:H12)</f>
        <v>40.95900000000006</v>
      </c>
      <c r="I13" s="21">
        <f>+I10-SUM(I11:I12)</f>
        <v>-19.071999999999889</v>
      </c>
      <c r="J13" s="21">
        <f>+J10-SUM(J11:J12)</f>
        <v>228.97000000000025</v>
      </c>
      <c r="K13" s="21">
        <f>+K10-SUM(K11:K12)</f>
        <v>76.280099999999948</v>
      </c>
      <c r="L13" s="21">
        <f>+L10-SUM(L11:L12)</f>
        <v>77.078282162194</v>
      </c>
      <c r="M13" s="21">
        <f>+M10-SUM(M11:M12)</f>
        <v>77.732355967280455</v>
      </c>
      <c r="N13" s="21">
        <f>+N10-SUM(N11:N12)</f>
        <v>119.90141649816087</v>
      </c>
      <c r="Q13" s="21"/>
      <c r="R13" s="21"/>
      <c r="S13" s="21"/>
      <c r="T13" s="21"/>
      <c r="U13" s="21"/>
      <c r="V13" s="21"/>
      <c r="W13" s="21">
        <f>+W10-SUM(W11:W12)</f>
        <v>270.64200000000073</v>
      </c>
      <c r="X13" s="21">
        <f>+X10-SUM(X11:X12)</f>
        <v>350.9921546276355</v>
      </c>
      <c r="Y13" s="21">
        <f t="shared" ref="Y13:AG13" si="5">+Y10-SUM(Y11:Y12)</f>
        <v>379.07152699784638</v>
      </c>
      <c r="Z13" s="21">
        <f t="shared" si="5"/>
        <v>409.3972491576742</v>
      </c>
      <c r="AA13" s="21">
        <f t="shared" si="5"/>
        <v>442.14902909028751</v>
      </c>
      <c r="AB13" s="21">
        <f t="shared" si="5"/>
        <v>477.52095141751124</v>
      </c>
      <c r="AC13" s="21">
        <f t="shared" si="5"/>
        <v>515.72262753091127</v>
      </c>
      <c r="AD13" s="21">
        <f t="shared" si="5"/>
        <v>556.98043773338577</v>
      </c>
      <c r="AE13" s="21">
        <f t="shared" si="5"/>
        <v>601.53887275205489</v>
      </c>
      <c r="AF13" s="21">
        <f t="shared" si="5"/>
        <v>649.66198257221913</v>
      </c>
      <c r="AG13" s="21">
        <f t="shared" si="5"/>
        <v>701.63494117799928</v>
      </c>
    </row>
    <row r="14" spans="1:33" x14ac:dyDescent="0.15">
      <c r="B14" s="7" t="s">
        <v>46</v>
      </c>
      <c r="C14" s="22">
        <v>21.734999999999999</v>
      </c>
      <c r="D14" s="22">
        <v>21.363</v>
      </c>
      <c r="E14" s="22">
        <v>22.433</v>
      </c>
      <c r="F14" s="22">
        <v>20.146999999999998</v>
      </c>
      <c r="G14" s="22">
        <v>17.088999999999999</v>
      </c>
      <c r="H14" s="22">
        <v>17.803999999999998</v>
      </c>
      <c r="I14" s="22">
        <v>18.378</v>
      </c>
      <c r="J14" s="22">
        <v>16.808</v>
      </c>
      <c r="K14" s="22">
        <v>14.933</v>
      </c>
      <c r="L14" s="8">
        <f>+K14</f>
        <v>14.933</v>
      </c>
      <c r="M14" s="8">
        <f t="shared" ref="M14:N15" si="6">+L14</f>
        <v>14.933</v>
      </c>
      <c r="N14" s="8">
        <f t="shared" si="6"/>
        <v>14.933</v>
      </c>
      <c r="W14" s="8">
        <f>SUM(G14:J14)</f>
        <v>70.079000000000008</v>
      </c>
      <c r="X14" s="8">
        <f>SUM(K14:N14)</f>
        <v>59.731999999999999</v>
      </c>
      <c r="Y14" s="8">
        <f>+X14</f>
        <v>59.731999999999999</v>
      </c>
      <c r="Z14" s="8">
        <f t="shared" ref="Z14:AG14" si="7">+Y14</f>
        <v>59.731999999999999</v>
      </c>
      <c r="AA14" s="8">
        <f t="shared" si="7"/>
        <v>59.731999999999999</v>
      </c>
      <c r="AB14" s="8">
        <f t="shared" si="7"/>
        <v>59.731999999999999</v>
      </c>
      <c r="AC14" s="8">
        <f t="shared" si="7"/>
        <v>59.731999999999999</v>
      </c>
      <c r="AD14" s="8">
        <f t="shared" si="7"/>
        <v>59.731999999999999</v>
      </c>
      <c r="AE14" s="8">
        <f t="shared" si="7"/>
        <v>59.731999999999999</v>
      </c>
      <c r="AF14" s="8">
        <f t="shared" si="7"/>
        <v>59.731999999999999</v>
      </c>
      <c r="AG14" s="8">
        <f t="shared" si="7"/>
        <v>59.731999999999999</v>
      </c>
    </row>
    <row r="15" spans="1:33" x14ac:dyDescent="0.15">
      <c r="B15" s="7" t="s">
        <v>47</v>
      </c>
      <c r="C15" s="22">
        <v>0.32700000000000001</v>
      </c>
      <c r="D15" s="22">
        <v>0.46500000000000002</v>
      </c>
      <c r="E15" s="22">
        <v>-0.45600000000000002</v>
      </c>
      <c r="F15" s="22">
        <v>-3.258</v>
      </c>
      <c r="G15" s="22">
        <v>2.9569999999999999</v>
      </c>
      <c r="H15" s="22">
        <v>1.121</v>
      </c>
      <c r="I15" s="22">
        <v>0.14099999999999999</v>
      </c>
      <c r="J15" s="22">
        <v>3.24</v>
      </c>
      <c r="K15" s="22">
        <v>3.0760000000000001</v>
      </c>
      <c r="L15" s="8">
        <f>+K15</f>
        <v>3.0760000000000001</v>
      </c>
      <c r="M15" s="8">
        <f t="shared" si="6"/>
        <v>3.0760000000000001</v>
      </c>
      <c r="N15" s="8">
        <f t="shared" si="6"/>
        <v>3.0760000000000001</v>
      </c>
      <c r="W15" s="8">
        <f>SUM(G15:J15)</f>
        <v>7.4589999999999996</v>
      </c>
      <c r="X15" s="8">
        <f>SUM(K15:N15)</f>
        <v>12.304</v>
      </c>
      <c r="Y15" s="8">
        <f>+X15</f>
        <v>12.304</v>
      </c>
      <c r="Z15" s="8">
        <f t="shared" ref="Z15:AG15" si="8">+Y15</f>
        <v>12.304</v>
      </c>
      <c r="AA15" s="8">
        <f t="shared" si="8"/>
        <v>12.304</v>
      </c>
      <c r="AB15" s="8">
        <f t="shared" si="8"/>
        <v>12.304</v>
      </c>
      <c r="AC15" s="8">
        <f t="shared" si="8"/>
        <v>12.304</v>
      </c>
      <c r="AD15" s="8">
        <f t="shared" si="8"/>
        <v>12.304</v>
      </c>
      <c r="AE15" s="8">
        <f t="shared" si="8"/>
        <v>12.304</v>
      </c>
      <c r="AF15" s="8">
        <f t="shared" si="8"/>
        <v>12.304</v>
      </c>
      <c r="AG15" s="8">
        <f t="shared" si="8"/>
        <v>12.304</v>
      </c>
    </row>
    <row r="16" spans="1:33" x14ac:dyDescent="0.15">
      <c r="B16" s="20" t="s">
        <v>48</v>
      </c>
      <c r="C16" s="21">
        <f>+C13-C14+C15</f>
        <v>4.861000000000006</v>
      </c>
      <c r="D16" s="21">
        <f>+D13-D14+D15</f>
        <v>41.426000000000073</v>
      </c>
      <c r="E16" s="21">
        <f>+E13-E14+E15</f>
        <v>-69.564999999999927</v>
      </c>
      <c r="F16" s="21">
        <f>+F13-F14+F15</f>
        <v>244.28100000000015</v>
      </c>
      <c r="G16" s="21">
        <f>+G13-G14+G15</f>
        <v>5.6530000000000831</v>
      </c>
      <c r="H16" s="21">
        <f>+H13-H14+H15</f>
        <v>24.27600000000006</v>
      </c>
      <c r="I16" s="21">
        <f>+I13-I14+I15</f>
        <v>-37.308999999999891</v>
      </c>
      <c r="J16" s="21">
        <f>+J13-J14+J15</f>
        <v>215.40200000000027</v>
      </c>
      <c r="K16" s="21">
        <f>+K13-K14+K15</f>
        <v>64.423099999999948</v>
      </c>
      <c r="L16" s="21">
        <f>+L13-L14+L15</f>
        <v>65.221282162194001</v>
      </c>
      <c r="M16" s="21">
        <f>+M13-M14+M15</f>
        <v>65.875355967280456</v>
      </c>
      <c r="N16" s="21">
        <f>+N13-N14+N15</f>
        <v>108.04441649816087</v>
      </c>
      <c r="Q16" s="21"/>
      <c r="R16" s="21"/>
      <c r="S16" s="21"/>
      <c r="T16" s="21"/>
      <c r="U16" s="21"/>
      <c r="V16" s="21"/>
      <c r="W16" s="21">
        <f>+W13-W14+W15</f>
        <v>208.02200000000073</v>
      </c>
      <c r="X16" s="21">
        <f>+X13-X14+X15</f>
        <v>303.5641546276355</v>
      </c>
      <c r="Y16" s="21">
        <f t="shared" ref="Y16:AG16" si="9">+Y13-Y14+Y15</f>
        <v>331.64352699784638</v>
      </c>
      <c r="Z16" s="21">
        <f t="shared" si="9"/>
        <v>361.9692491576742</v>
      </c>
      <c r="AA16" s="21">
        <f t="shared" si="9"/>
        <v>394.72102909028752</v>
      </c>
      <c r="AB16" s="21">
        <f t="shared" si="9"/>
        <v>430.09295141751124</v>
      </c>
      <c r="AC16" s="21">
        <f t="shared" si="9"/>
        <v>468.29462753091127</v>
      </c>
      <c r="AD16" s="21">
        <f t="shared" si="9"/>
        <v>509.55243773338577</v>
      </c>
      <c r="AE16" s="21">
        <f t="shared" si="9"/>
        <v>554.11087275205489</v>
      </c>
      <c r="AF16" s="21">
        <f t="shared" si="9"/>
        <v>602.23398257221913</v>
      </c>
      <c r="AG16" s="21">
        <f t="shared" si="9"/>
        <v>654.20694117799928</v>
      </c>
    </row>
    <row r="17" spans="1:36" x14ac:dyDescent="0.15">
      <c r="B17" s="7" t="s">
        <v>49</v>
      </c>
      <c r="C17" s="22">
        <v>7.3449999999999998</v>
      </c>
      <c r="D17" s="22">
        <v>9.2850000000000001</v>
      </c>
      <c r="E17" s="22">
        <v>-14.815</v>
      </c>
      <c r="F17" s="22">
        <v>50.363</v>
      </c>
      <c r="G17" s="22">
        <v>2.8780000000000001</v>
      </c>
      <c r="H17" s="22">
        <v>6.2489999999999997</v>
      </c>
      <c r="I17" s="22">
        <v>-5.9649999999999999</v>
      </c>
      <c r="J17" s="22">
        <v>15.981</v>
      </c>
      <c r="K17" s="22">
        <v>7.548</v>
      </c>
      <c r="L17" s="8">
        <f>+L16*(K17/K16)</f>
        <v>7.6415173712572155</v>
      </c>
      <c r="M17" s="8">
        <f>+M16*(L17/L16)</f>
        <v>7.7181505832695612</v>
      </c>
      <c r="N17" s="8">
        <f>+N16*(M17/M16)</f>
        <v>12.658801823074626</v>
      </c>
      <c r="W17" s="8">
        <f>SUM(G17:J17)</f>
        <v>19.143000000000001</v>
      </c>
      <c r="X17" s="8">
        <f>SUM(K17:N17)</f>
        <v>35.566469777601398</v>
      </c>
      <c r="Y17" s="8">
        <f>+Y16*(X17/X16)</f>
        <v>38.85633168505931</v>
      </c>
      <c r="Z17" s="8">
        <f t="shared" ref="Z17:AG17" si="10">+Z16*(Y17/Y16)</f>
        <v>42.409382545113864</v>
      </c>
      <c r="AA17" s="8">
        <f t="shared" si="10"/>
        <v>46.246677473972696</v>
      </c>
      <c r="AB17" s="8">
        <f t="shared" si="10"/>
        <v>50.390955997140388</v>
      </c>
      <c r="AC17" s="8">
        <f t="shared" si="10"/>
        <v>54.866776802161304</v>
      </c>
      <c r="AD17" s="8">
        <f t="shared" si="10"/>
        <v>59.70066327158419</v>
      </c>
      <c r="AE17" s="8">
        <f t="shared" si="10"/>
        <v>64.921260658560513</v>
      </c>
      <c r="AF17" s="8">
        <f t="shared" si="10"/>
        <v>70.559505836495134</v>
      </c>
      <c r="AG17" s="8">
        <f t="shared" si="10"/>
        <v>76.648810628664847</v>
      </c>
    </row>
    <row r="18" spans="1:36" x14ac:dyDescent="0.15">
      <c r="B18" s="20" t="s">
        <v>45</v>
      </c>
      <c r="C18" s="21">
        <f>+C16-C17</f>
        <v>-2.4839999999999938</v>
      </c>
      <c r="D18" s="21">
        <f>+D16-D17</f>
        <v>32.141000000000076</v>
      </c>
      <c r="E18" s="21">
        <f>+E16-E17</f>
        <v>-54.749999999999929</v>
      </c>
      <c r="F18" s="21">
        <f>+F16-F17</f>
        <v>193.91800000000015</v>
      </c>
      <c r="G18" s="21">
        <f>+G16-G17</f>
        <v>2.775000000000083</v>
      </c>
      <c r="H18" s="21">
        <f>+H16-H17</f>
        <v>18.027000000000061</v>
      </c>
      <c r="I18" s="21">
        <f>+I16-I17</f>
        <v>-31.343999999999891</v>
      </c>
      <c r="J18" s="21">
        <f>+J16-J17</f>
        <v>199.42100000000028</v>
      </c>
      <c r="K18" s="21">
        <f>+K16-K17</f>
        <v>56.875099999999946</v>
      </c>
      <c r="L18" s="21">
        <f>+L16-L17</f>
        <v>57.579764790936785</v>
      </c>
      <c r="M18" s="21">
        <f>+M16-M17</f>
        <v>58.157205384010894</v>
      </c>
      <c r="N18" s="21">
        <f>+N16-N17</f>
        <v>95.385614675086245</v>
      </c>
      <c r="Q18" s="21"/>
      <c r="R18" s="21"/>
      <c r="S18" s="21"/>
      <c r="T18" s="21"/>
      <c r="U18" s="21"/>
      <c r="V18" s="21"/>
      <c r="W18" s="21">
        <f>+W16-W17</f>
        <v>188.87900000000073</v>
      </c>
      <c r="X18" s="21">
        <f>+X16-X17</f>
        <v>267.99768485003409</v>
      </c>
      <c r="Y18" s="21">
        <f>+Y16-Y17</f>
        <v>292.78719531278705</v>
      </c>
      <c r="Z18" s="21">
        <f t="shared" ref="Z18:AG18" si="11">+Z16-Z17</f>
        <v>319.55986661256031</v>
      </c>
      <c r="AA18" s="21">
        <f t="shared" si="11"/>
        <v>348.47435161631483</v>
      </c>
      <c r="AB18" s="21">
        <f t="shared" si="11"/>
        <v>379.70199542037085</v>
      </c>
      <c r="AC18" s="21">
        <f t="shared" si="11"/>
        <v>413.42785072874995</v>
      </c>
      <c r="AD18" s="21">
        <f t="shared" si="11"/>
        <v>449.8517744618016</v>
      </c>
      <c r="AE18" s="21">
        <f t="shared" si="11"/>
        <v>489.18961209349436</v>
      </c>
      <c r="AF18" s="21">
        <f t="shared" si="11"/>
        <v>531.67447673572406</v>
      </c>
      <c r="AG18" s="21">
        <f t="shared" si="11"/>
        <v>577.55813054933446</v>
      </c>
    </row>
    <row r="19" spans="1:36" s="10" customFormat="1" x14ac:dyDescent="0.15">
      <c r="A19" s="9"/>
      <c r="B19" s="9" t="s">
        <v>44</v>
      </c>
      <c r="C19" s="23">
        <v>1.1579999999999999</v>
      </c>
      <c r="D19" s="23">
        <v>0.34</v>
      </c>
      <c r="E19" s="23">
        <v>1.4770000000000001</v>
      </c>
      <c r="F19" s="23">
        <v>0.50600000000000001</v>
      </c>
      <c r="G19" s="23">
        <v>4.431</v>
      </c>
      <c r="H19" s="23">
        <v>1.7989999999999999</v>
      </c>
      <c r="I19" s="23">
        <v>6.0039999999999996</v>
      </c>
      <c r="J19" s="23">
        <v>15.787000000000001</v>
      </c>
      <c r="K19" s="23">
        <v>9.2260000000000009</v>
      </c>
      <c r="L19" s="10">
        <f>+K19</f>
        <v>9.2260000000000009</v>
      </c>
      <c r="M19" s="10">
        <f>+L19</f>
        <v>9.2260000000000009</v>
      </c>
      <c r="N19" s="10">
        <f>+M19</f>
        <v>9.2260000000000009</v>
      </c>
      <c r="W19" s="8">
        <f>SUM(G19:J19)</f>
        <v>28.021000000000001</v>
      </c>
      <c r="X19" s="8">
        <f>SUM(K19:N19)</f>
        <v>36.904000000000003</v>
      </c>
      <c r="Y19" s="10">
        <f>+X19</f>
        <v>36.904000000000003</v>
      </c>
      <c r="Z19" s="10">
        <f t="shared" ref="Z19:AG19" si="12">+Y19</f>
        <v>36.904000000000003</v>
      </c>
      <c r="AA19" s="10">
        <f t="shared" si="12"/>
        <v>36.904000000000003</v>
      </c>
      <c r="AB19" s="10">
        <f t="shared" si="12"/>
        <v>36.904000000000003</v>
      </c>
      <c r="AC19" s="10">
        <f t="shared" si="12"/>
        <v>36.904000000000003</v>
      </c>
      <c r="AD19" s="10">
        <f t="shared" si="12"/>
        <v>36.904000000000003</v>
      </c>
      <c r="AE19" s="10">
        <f t="shared" si="12"/>
        <v>36.904000000000003</v>
      </c>
      <c r="AF19" s="10">
        <f t="shared" si="12"/>
        <v>36.904000000000003</v>
      </c>
      <c r="AG19" s="10">
        <f t="shared" si="12"/>
        <v>36.904000000000003</v>
      </c>
    </row>
    <row r="20" spans="1:36" x14ac:dyDescent="0.15">
      <c r="B20" s="20" t="s">
        <v>43</v>
      </c>
      <c r="C20" s="21">
        <f>+C18-C19</f>
        <v>-3.6419999999999937</v>
      </c>
      <c r="D20" s="21">
        <f>+D18-D19</f>
        <v>31.801000000000077</v>
      </c>
      <c r="E20" s="21">
        <f>+E18-E19</f>
        <v>-56.226999999999926</v>
      </c>
      <c r="F20" s="21">
        <f>+F18-F19</f>
        <v>193.41200000000015</v>
      </c>
      <c r="G20" s="21">
        <f>+G18-G19</f>
        <v>-1.6559999999999171</v>
      </c>
      <c r="H20" s="21">
        <f>+H18-H19</f>
        <v>16.228000000000062</v>
      </c>
      <c r="I20" s="21">
        <f>+I18-I19</f>
        <v>-37.347999999999892</v>
      </c>
      <c r="J20" s="21">
        <f>+J18-J19</f>
        <v>183.63400000000027</v>
      </c>
      <c r="K20" s="21">
        <f>+K18-K19</f>
        <v>47.649099999999947</v>
      </c>
      <c r="L20" s="21">
        <f>+L18-L19</f>
        <v>48.353764790936786</v>
      </c>
      <c r="M20" s="21">
        <f>+M18-M19</f>
        <v>48.931205384010894</v>
      </c>
      <c r="N20" s="21">
        <f>+N18-N19</f>
        <v>86.159614675086246</v>
      </c>
      <c r="Q20" s="21"/>
      <c r="R20" s="21"/>
      <c r="S20" s="21"/>
      <c r="T20" s="21"/>
      <c r="U20" s="21"/>
      <c r="V20" s="21"/>
      <c r="W20" s="21">
        <f>+W18-W19</f>
        <v>160.85800000000074</v>
      </c>
      <c r="X20" s="21">
        <f>+X18-X19</f>
        <v>231.09368485003409</v>
      </c>
      <c r="Y20" s="21">
        <f>+Y18-Y19</f>
        <v>255.88319531278705</v>
      </c>
      <c r="Z20" s="21">
        <f t="shared" ref="Z20:AG20" si="13">+Z18-Z19</f>
        <v>282.65586661256032</v>
      </c>
      <c r="AA20" s="21">
        <f t="shared" si="13"/>
        <v>311.57035161631484</v>
      </c>
      <c r="AB20" s="21">
        <f t="shared" si="13"/>
        <v>342.79799542037085</v>
      </c>
      <c r="AC20" s="21">
        <f t="shared" si="13"/>
        <v>376.52385072874995</v>
      </c>
      <c r="AD20" s="21">
        <f t="shared" si="13"/>
        <v>412.9477744618016</v>
      </c>
      <c r="AE20" s="21">
        <f t="shared" si="13"/>
        <v>452.28561209349436</v>
      </c>
      <c r="AF20" s="21">
        <f t="shared" si="13"/>
        <v>494.77047673572406</v>
      </c>
      <c r="AG20" s="21">
        <f t="shared" si="13"/>
        <v>540.65413054933447</v>
      </c>
      <c r="AH20" s="8">
        <f>+AG20*(1+$AJ$27)</f>
        <v>546.06067185482777</v>
      </c>
    </row>
    <row r="21" spans="1:36" x14ac:dyDescent="0.15">
      <c r="B21" s="7" t="s">
        <v>42</v>
      </c>
      <c r="C21" s="8">
        <v>77.948999999999998</v>
      </c>
      <c r="D21" s="8">
        <v>79.594999999999999</v>
      </c>
      <c r="E21" s="8">
        <v>78.718000000000004</v>
      </c>
      <c r="F21" s="8">
        <v>83.147999999999996</v>
      </c>
      <c r="G21" s="8">
        <v>79.468000000000004</v>
      </c>
      <c r="H21" s="8">
        <v>82.504999999999995</v>
      </c>
      <c r="I21" s="8">
        <v>80.632000000000005</v>
      </c>
      <c r="J21" s="8">
        <v>85.85</v>
      </c>
      <c r="K21" s="8">
        <v>84.85</v>
      </c>
      <c r="L21" s="8">
        <f>+K21</f>
        <v>84.85</v>
      </c>
      <c r="M21" s="8">
        <f>+L21</f>
        <v>84.85</v>
      </c>
      <c r="N21" s="8">
        <f>+M21</f>
        <v>84.85</v>
      </c>
    </row>
    <row r="22" spans="1:36" x14ac:dyDescent="0.15">
      <c r="B22" s="7"/>
    </row>
    <row r="23" spans="1:36" x14ac:dyDescent="0.15">
      <c r="B23" s="7" t="s">
        <v>51</v>
      </c>
    </row>
    <row r="24" spans="1:36" s="16" customFormat="1" x14ac:dyDescent="0.15">
      <c r="A24" s="15"/>
      <c r="B24" s="15" t="s">
        <v>37</v>
      </c>
      <c r="G24" s="16">
        <f>+G10/C10-1</f>
        <v>-4.7762243626429113E-3</v>
      </c>
      <c r="H24" s="16">
        <f>+H10/D10-1</f>
        <v>2.9596533429109506E-2</v>
      </c>
      <c r="I24" s="16">
        <f>+I10/E10-1</f>
        <v>9.2097958771700794E-2</v>
      </c>
      <c r="J24" s="16">
        <f>+J10/F10-1</f>
        <v>7.8035108983562473E-2</v>
      </c>
      <c r="K24" s="16">
        <f>+K10/G10-1</f>
        <v>0.15270353871431941</v>
      </c>
      <c r="X24" s="16">
        <f>+X10/W10-1</f>
        <v>9.5009620183937882E-2</v>
      </c>
      <c r="Y24" s="16">
        <f t="shared" ref="Y24:AG24" si="14">+Y10/X10-1</f>
        <v>8.0000000000000071E-2</v>
      </c>
      <c r="Z24" s="16">
        <f t="shared" si="14"/>
        <v>8.0000000000000071E-2</v>
      </c>
      <c r="AA24" s="16">
        <f t="shared" si="14"/>
        <v>8.0000000000000071E-2</v>
      </c>
      <c r="AB24" s="16">
        <f t="shared" si="14"/>
        <v>8.0000000000000071E-2</v>
      </c>
      <c r="AC24" s="16">
        <f t="shared" si="14"/>
        <v>8.0000000000000071E-2</v>
      </c>
      <c r="AD24" s="16">
        <f t="shared" si="14"/>
        <v>8.0000000000000071E-2</v>
      </c>
      <c r="AE24" s="16">
        <f t="shared" si="14"/>
        <v>8.0000000000000071E-2</v>
      </c>
      <c r="AF24" s="16">
        <f t="shared" si="14"/>
        <v>8.0000000000000071E-2</v>
      </c>
      <c r="AG24" s="16">
        <f t="shared" si="14"/>
        <v>8.0000000000000071E-2</v>
      </c>
    </row>
    <row r="25" spans="1:36" s="16" customFormat="1" x14ac:dyDescent="0.15">
      <c r="A25" s="15"/>
      <c r="B25" s="15" t="s">
        <v>38</v>
      </c>
      <c r="G25" s="16">
        <f>+G11/C11-1</f>
        <v>2.4002274721574013E-2</v>
      </c>
      <c r="H25" s="16">
        <f>+H11/D11-1</f>
        <v>2.6526844043689435E-2</v>
      </c>
      <c r="I25" s="16">
        <f>+I11/E11-1</f>
        <v>6.3971826916623842E-2</v>
      </c>
      <c r="J25" s="16">
        <f>+J11/F11-1</f>
        <v>9.4995774216217743E-2</v>
      </c>
      <c r="K25" s="16">
        <f>+K11/G11-1</f>
        <v>0.10915714149152622</v>
      </c>
      <c r="X25" s="16">
        <f>+X11/W11-1</f>
        <v>7.5713450629329992E-2</v>
      </c>
      <c r="Y25" s="16">
        <f t="shared" ref="Y25:AG25" si="15">+Y11/X11-1</f>
        <v>8.0000000000000071E-2</v>
      </c>
      <c r="Z25" s="16">
        <f t="shared" si="15"/>
        <v>8.0000000000000071E-2</v>
      </c>
      <c r="AA25" s="16">
        <f t="shared" si="15"/>
        <v>8.0000000000000071E-2</v>
      </c>
      <c r="AB25" s="16">
        <f t="shared" si="15"/>
        <v>8.0000000000000293E-2</v>
      </c>
      <c r="AC25" s="16">
        <f t="shared" si="15"/>
        <v>8.0000000000000071E-2</v>
      </c>
      <c r="AD25" s="16">
        <f t="shared" si="15"/>
        <v>8.0000000000000071E-2</v>
      </c>
      <c r="AE25" s="16">
        <f t="shared" si="15"/>
        <v>8.0000000000000071E-2</v>
      </c>
      <c r="AF25" s="16">
        <f t="shared" si="15"/>
        <v>8.0000000000000071E-2</v>
      </c>
      <c r="AG25" s="16">
        <f t="shared" si="15"/>
        <v>8.0000000000000071E-2</v>
      </c>
    </row>
    <row r="26" spans="1:36" s="16" customFormat="1" x14ac:dyDescent="0.15">
      <c r="A26" s="15"/>
      <c r="B26" s="15" t="s">
        <v>39</v>
      </c>
      <c r="G26" s="16">
        <f>+G12/C12-1</f>
        <v>-4.337685192591878E-2</v>
      </c>
      <c r="H26" s="16">
        <f>+H12/D12-1</f>
        <v>8.8863935568806784E-2</v>
      </c>
      <c r="I26" s="16">
        <f>+I12/E12-1</f>
        <v>7.8162897140183096E-2</v>
      </c>
      <c r="J26" s="17">
        <f>+J12/F12-1</f>
        <v>0.14709746457607653</v>
      </c>
      <c r="K26" s="16">
        <f>+K12/G12-1</f>
        <v>0.11923686295220493</v>
      </c>
      <c r="X26" s="16">
        <f>+X12/W12-1</f>
        <v>0.10722011764085915</v>
      </c>
      <c r="Y26" s="16">
        <f t="shared" ref="Y26:AG26" si="16">+Y12/X12-1</f>
        <v>8.0000000000000071E-2</v>
      </c>
      <c r="Z26" s="16">
        <f t="shared" si="16"/>
        <v>8.0000000000000071E-2</v>
      </c>
      <c r="AA26" s="16">
        <f t="shared" si="16"/>
        <v>8.0000000000000293E-2</v>
      </c>
      <c r="AB26" s="16">
        <f t="shared" si="16"/>
        <v>8.0000000000000071E-2</v>
      </c>
      <c r="AC26" s="16">
        <f t="shared" si="16"/>
        <v>8.0000000000000071E-2</v>
      </c>
      <c r="AD26" s="16">
        <f t="shared" si="16"/>
        <v>8.0000000000000293E-2</v>
      </c>
      <c r="AE26" s="16">
        <f t="shared" si="16"/>
        <v>8.0000000000000071E-2</v>
      </c>
      <c r="AF26" s="16">
        <f t="shared" si="16"/>
        <v>8.0000000000000071E-2</v>
      </c>
      <c r="AG26" s="16">
        <f t="shared" si="16"/>
        <v>8.0000000000000071E-2</v>
      </c>
    </row>
    <row r="27" spans="1:36" s="10" customFormat="1" x14ac:dyDescent="0.15">
      <c r="A27" s="9"/>
      <c r="B27" s="9" t="s">
        <v>52</v>
      </c>
      <c r="C27" s="16">
        <f>(C10-C11)/C10</f>
        <v>0.36876527281046195</v>
      </c>
      <c r="D27" s="16">
        <f>(D10-D11)/D10</f>
        <v>0.35377397432812607</v>
      </c>
      <c r="E27" s="16">
        <f>(E10-E11)/E10</f>
        <v>0.34754242168760541</v>
      </c>
      <c r="F27" s="16">
        <f>(F10-F11)/F10</f>
        <v>0.38633702857419688</v>
      </c>
      <c r="G27" s="16">
        <f>(G10-G11)/G10</f>
        <v>0.35051210356044465</v>
      </c>
      <c r="H27" s="16">
        <f>(H10-H11)/H10</f>
        <v>0.35570066415970536</v>
      </c>
      <c r="I27" s="16">
        <f>(I10-I11)/I10</f>
        <v>0.36434595815616383</v>
      </c>
      <c r="J27" s="16">
        <f>(J10-J11)/J10</f>
        <v>0.37668230384649953</v>
      </c>
      <c r="K27" s="16">
        <f>(K10-K11)/K10</f>
        <v>0.37504821105023234</v>
      </c>
      <c r="W27" s="16">
        <f>(W10-W11)/W10</f>
        <v>0.3638378132663474</v>
      </c>
      <c r="X27" s="16">
        <f>(X10-X11)/X10</f>
        <v>0.37504821105023234</v>
      </c>
      <c r="Y27" s="16">
        <f t="shared" ref="Y27:AG27" si="17">(Y10-Y11)/Y10</f>
        <v>0.37504821105023239</v>
      </c>
      <c r="Z27" s="16">
        <f t="shared" si="17"/>
        <v>0.37504821105023234</v>
      </c>
      <c r="AA27" s="16">
        <f t="shared" si="17"/>
        <v>0.37504821105023234</v>
      </c>
      <c r="AB27" s="16">
        <f t="shared" si="17"/>
        <v>0.37504821105023228</v>
      </c>
      <c r="AC27" s="16">
        <f t="shared" si="17"/>
        <v>0.37504821105023234</v>
      </c>
      <c r="AD27" s="16">
        <f t="shared" si="17"/>
        <v>0.37504821105023239</v>
      </c>
      <c r="AE27" s="16">
        <f t="shared" si="17"/>
        <v>0.37504821105023234</v>
      </c>
      <c r="AF27" s="16">
        <f t="shared" si="17"/>
        <v>0.37504821105023234</v>
      </c>
      <c r="AG27" s="16">
        <f t="shared" si="17"/>
        <v>0.37504821105023239</v>
      </c>
      <c r="AI27" s="25" t="s">
        <v>56</v>
      </c>
      <c r="AJ27" s="16">
        <v>0.01</v>
      </c>
    </row>
    <row r="28" spans="1:36" x14ac:dyDescent="0.15">
      <c r="AI28" s="26" t="s">
        <v>53</v>
      </c>
      <c r="AJ28" s="14">
        <v>0.08</v>
      </c>
    </row>
    <row r="29" spans="1:36" x14ac:dyDescent="0.15">
      <c r="AI29" s="27" t="s">
        <v>55</v>
      </c>
      <c r="AJ29" s="8">
        <f>(AH20/(AJ28-AJ27)) / (1+AJ28)^10</f>
        <v>3613.3106757471978</v>
      </c>
    </row>
    <row r="30" spans="1:36" x14ac:dyDescent="0.15">
      <c r="AI30" s="27" t="s">
        <v>54</v>
      </c>
      <c r="AJ30" s="8">
        <f>NPV(AJ28,X20:AG20)</f>
        <v>2340.5683266221317</v>
      </c>
    </row>
    <row r="31" spans="1:36" x14ac:dyDescent="0.15">
      <c r="AI31" s="27" t="s">
        <v>57</v>
      </c>
      <c r="AJ31" s="8">
        <f>+AJ29+AJ30</f>
        <v>5953.8790023693291</v>
      </c>
    </row>
    <row r="32" spans="1:36" x14ac:dyDescent="0.15">
      <c r="AI32" s="27" t="s">
        <v>41</v>
      </c>
      <c r="AJ32" s="8">
        <f>+Main!K3</f>
        <v>79.491720000000001</v>
      </c>
    </row>
    <row r="33" spans="35:36" x14ac:dyDescent="0.15">
      <c r="AI33" s="27" t="s">
        <v>58</v>
      </c>
      <c r="AJ33" s="8">
        <f>+AJ31/AJ32</f>
        <v>74.899360617298626</v>
      </c>
    </row>
    <row r="34" spans="35:36" x14ac:dyDescent="0.15">
      <c r="AI34" s="27" t="s">
        <v>59</v>
      </c>
      <c r="AJ34" s="8">
        <f>+Main!K2</f>
        <v>87.85</v>
      </c>
    </row>
    <row r="35" spans="35:36" x14ac:dyDescent="0.15">
      <c r="AI35" s="24" t="s">
        <v>60</v>
      </c>
      <c r="AJ35" s="14">
        <f>+AJ33/AJ34-1</f>
        <v>-0.14741763668413621</v>
      </c>
    </row>
  </sheetData>
  <hyperlinks>
    <hyperlink ref="A1" location="Main!A1" display="Main" xr:uid="{5BD698A2-9DC3-3E4B-AA06-057708BEE442}"/>
  </hyperlinks>
  <pageMargins left="0.7" right="0.7" top="0.75" bottom="0.75" header="0.3" footer="0.3"/>
  <ignoredErrors>
    <ignoredError sqref="J19:N20 T13:V21 X17:X19 X14:X15 X13:AI13 X16:AI16 Y14:AI15 X21:AI23 Y17:AI19 X20:AG20" formula="1"/>
    <ignoredError sqref="W10:W12" formulaRange="1"/>
    <ignoredError sqref="W13:W21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Brannon</cp:lastModifiedBy>
  <dcterms:modified xsi:type="dcterms:W3CDTF">2026-08-29T04:50:01Z</dcterms:modified>
</cp:coreProperties>
</file>