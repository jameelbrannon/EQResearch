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4138E17-748A-DF4A-A88A-A0CBDBAB87F7}" xr6:coauthVersionLast="47" xr6:coauthVersionMax="47" xr10:uidLastSave="{00000000-0000-0000-0000-000000000000}"/>
  <bookViews>
    <workbookView xWindow="22160" yWindow="4620" windowWidth="27640" windowHeight="16680" activeTab="1" xr2:uid="{588F9232-53E4-E240-BFAB-66A243D9193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" i="2" l="1"/>
  <c r="AL24" i="2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W25" i="2"/>
  <c r="W24" i="2"/>
  <c r="W23" i="2"/>
  <c r="G25" i="2"/>
  <c r="G24" i="2"/>
  <c r="G23" i="2"/>
  <c r="H25" i="2"/>
  <c r="H24" i="2"/>
  <c r="H23" i="2"/>
  <c r="F5" i="2"/>
  <c r="J5" i="2" s="1"/>
  <c r="F4" i="2"/>
  <c r="J4" i="2" s="1"/>
  <c r="X4" i="2" s="1"/>
  <c r="F3" i="2"/>
  <c r="J3" i="2" s="1"/>
  <c r="I25" i="2"/>
  <c r="I24" i="2"/>
  <c r="I23" i="2"/>
  <c r="H61" i="2"/>
  <c r="G61" i="2"/>
  <c r="F61" i="2"/>
  <c r="D61" i="2"/>
  <c r="C61" i="2"/>
  <c r="E60" i="2"/>
  <c r="E59" i="2"/>
  <c r="E61" i="2" s="1"/>
  <c r="I60" i="2"/>
  <c r="I59" i="2"/>
  <c r="V22" i="2"/>
  <c r="W22" i="2"/>
  <c r="U7" i="2"/>
  <c r="V7" i="2"/>
  <c r="F18" i="2"/>
  <c r="F16" i="2"/>
  <c r="F15" i="2"/>
  <c r="F14" i="2"/>
  <c r="F12" i="2"/>
  <c r="F11" i="2"/>
  <c r="F10" i="2"/>
  <c r="F9" i="2"/>
  <c r="W7" i="2"/>
  <c r="W27" i="2" s="1"/>
  <c r="F6" i="2"/>
  <c r="W8" i="2"/>
  <c r="H31" i="2"/>
  <c r="H51" i="2"/>
  <c r="H39" i="2"/>
  <c r="I31" i="2"/>
  <c r="I51" i="2"/>
  <c r="I39" i="2"/>
  <c r="F31" i="2"/>
  <c r="F39" i="2" s="1"/>
  <c r="F51" i="2"/>
  <c r="G31" i="2"/>
  <c r="G51" i="2"/>
  <c r="G39" i="2"/>
  <c r="G22" i="2"/>
  <c r="C7" i="2"/>
  <c r="C8" i="2" s="1"/>
  <c r="C13" i="2" s="1"/>
  <c r="C17" i="2" s="1"/>
  <c r="C19" i="2" s="1"/>
  <c r="G7" i="2"/>
  <c r="E7" i="2"/>
  <c r="E8" i="2" s="1"/>
  <c r="E13" i="2" s="1"/>
  <c r="E17" i="2" s="1"/>
  <c r="E19" i="2" s="1"/>
  <c r="I7" i="2"/>
  <c r="I27" i="2" s="1"/>
  <c r="H22" i="2"/>
  <c r="D7" i="2"/>
  <c r="H7" i="2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K5" i="1"/>
  <c r="K8" i="1" s="1"/>
  <c r="L6" i="1"/>
  <c r="L7" i="1" s="1"/>
  <c r="X5" i="2" l="1"/>
  <c r="J25" i="2"/>
  <c r="X24" i="2"/>
  <c r="Y4" i="2"/>
  <c r="Z4" i="2" s="1"/>
  <c r="AA4" i="2" s="1"/>
  <c r="AB4" i="2" s="1"/>
  <c r="AC4" i="2" s="1"/>
  <c r="AD4" i="2" s="1"/>
  <c r="AE4" i="2" s="1"/>
  <c r="AF4" i="2" s="1"/>
  <c r="AG4" i="2" s="1"/>
  <c r="J6" i="2"/>
  <c r="X3" i="2"/>
  <c r="Y3" i="2" s="1"/>
  <c r="Z3" i="2" s="1"/>
  <c r="AA3" i="2" s="1"/>
  <c r="AB3" i="2" s="1"/>
  <c r="AC3" i="2" s="1"/>
  <c r="AD3" i="2" s="1"/>
  <c r="AE3" i="2" s="1"/>
  <c r="AF3" i="2" s="1"/>
  <c r="AG3" i="2" s="1"/>
  <c r="I61" i="2"/>
  <c r="F53" i="2"/>
  <c r="H53" i="2"/>
  <c r="G53" i="2"/>
  <c r="I22" i="2"/>
  <c r="F7" i="2"/>
  <c r="V8" i="2"/>
  <c r="V13" i="2" s="1"/>
  <c r="V17" i="2" s="1"/>
  <c r="V19" i="2" s="1"/>
  <c r="V27" i="2"/>
  <c r="I55" i="2"/>
  <c r="F55" i="2"/>
  <c r="I53" i="2"/>
  <c r="W13" i="2"/>
  <c r="C27" i="2"/>
  <c r="F54" i="2"/>
  <c r="F56" i="2" s="1"/>
  <c r="E27" i="2"/>
  <c r="H54" i="2"/>
  <c r="H55" i="2"/>
  <c r="G54" i="2"/>
  <c r="G55" i="2"/>
  <c r="U8" i="2"/>
  <c r="U13" i="2" s="1"/>
  <c r="U17" i="2" s="1"/>
  <c r="U19" i="2" s="1"/>
  <c r="U27" i="2"/>
  <c r="G27" i="2"/>
  <c r="G8" i="2"/>
  <c r="I8" i="2"/>
  <c r="I13" i="2" s="1"/>
  <c r="I17" i="2" s="1"/>
  <c r="I19" i="2" s="1"/>
  <c r="D8" i="2"/>
  <c r="D27" i="2"/>
  <c r="H8" i="2"/>
  <c r="H13" i="2" s="1"/>
  <c r="H17" i="2" s="1"/>
  <c r="H19" i="2" s="1"/>
  <c r="H27" i="2"/>
  <c r="F27" i="2" l="1"/>
  <c r="I54" i="2"/>
  <c r="X25" i="2"/>
  <c r="Y5" i="2"/>
  <c r="Z5" i="2" s="1"/>
  <c r="AA5" i="2" s="1"/>
  <c r="AB5" i="2" s="1"/>
  <c r="AC5" i="2" s="1"/>
  <c r="AD5" i="2" s="1"/>
  <c r="AE5" i="2" s="1"/>
  <c r="AF5" i="2" s="1"/>
  <c r="AG5" i="2" s="1"/>
  <c r="J14" i="2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J15" i="2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J16" i="2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J10" i="2"/>
  <c r="X10" i="2" s="1"/>
  <c r="J12" i="2"/>
  <c r="X12" i="2" s="1"/>
  <c r="X6" i="2"/>
  <c r="J7" i="2"/>
  <c r="J27" i="2" s="1"/>
  <c r="J9" i="2"/>
  <c r="X9" i="2" s="1"/>
  <c r="J11" i="2"/>
  <c r="X11" i="2" s="1"/>
  <c r="X23" i="2"/>
  <c r="G13" i="2"/>
  <c r="I56" i="2"/>
  <c r="H56" i="2"/>
  <c r="W17" i="2"/>
  <c r="G56" i="2"/>
  <c r="D13" i="2"/>
  <c r="F8" i="2"/>
  <c r="X22" i="2" l="1"/>
  <c r="Y6" i="2"/>
  <c r="G17" i="2"/>
  <c r="X7" i="2"/>
  <c r="X27" i="2" s="1"/>
  <c r="J8" i="2"/>
  <c r="D17" i="2"/>
  <c r="F13" i="2"/>
  <c r="W19" i="2"/>
  <c r="Y22" i="2" l="1"/>
  <c r="Y7" i="2"/>
  <c r="Y9" i="2"/>
  <c r="Y10" i="2"/>
  <c r="Y11" i="2"/>
  <c r="Y12" i="2"/>
  <c r="Z6" i="2"/>
  <c r="G19" i="2"/>
  <c r="X8" i="2"/>
  <c r="J13" i="2"/>
  <c r="D19" i="2"/>
  <c r="F19" i="2" s="1"/>
  <c r="F17" i="2"/>
  <c r="Y27" i="2" l="1"/>
  <c r="Y8" i="2"/>
  <c r="Y13" i="2" s="1"/>
  <c r="Y17" i="2" s="1"/>
  <c r="Z22" i="2"/>
  <c r="AA6" i="2"/>
  <c r="Z7" i="2"/>
  <c r="Z9" i="2"/>
  <c r="AA9" i="2" s="1"/>
  <c r="Z10" i="2"/>
  <c r="AA10" i="2" s="1"/>
  <c r="Z11" i="2"/>
  <c r="AA11" i="2" s="1"/>
  <c r="Z12" i="2"/>
  <c r="X13" i="2"/>
  <c r="J17" i="2"/>
  <c r="AA22" i="2" l="1"/>
  <c r="Z8" i="2"/>
  <c r="Z13" i="2" s="1"/>
  <c r="Z17" i="2" s="1"/>
  <c r="Z27" i="2"/>
  <c r="AA7" i="2"/>
  <c r="AB6" i="2"/>
  <c r="X17" i="2"/>
  <c r="J18" i="2"/>
  <c r="AA12" i="2"/>
  <c r="AB12" i="2" l="1"/>
  <c r="AA8" i="2"/>
  <c r="AA13" i="2" s="1"/>
  <c r="AA17" i="2" s="1"/>
  <c r="AA27" i="2"/>
  <c r="AB22" i="2"/>
  <c r="AC6" i="2"/>
  <c r="AB11" i="2"/>
  <c r="AB10" i="2"/>
  <c r="AB9" i="2"/>
  <c r="AB7" i="2"/>
  <c r="J19" i="2"/>
  <c r="X19" i="2" s="1"/>
  <c r="X18" i="2"/>
  <c r="Y18" i="2" s="1"/>
  <c r="AC11" i="2" l="1"/>
  <c r="AC22" i="2"/>
  <c r="AB8" i="2"/>
  <c r="AB13" i="2" s="1"/>
  <c r="AB17" i="2" s="1"/>
  <c r="AB27" i="2"/>
  <c r="AC12" i="2"/>
  <c r="AC7" i="2"/>
  <c r="AD6" i="2"/>
  <c r="Z18" i="2"/>
  <c r="Y19" i="2"/>
  <c r="AC10" i="2"/>
  <c r="AD10" i="2" s="1"/>
  <c r="AC9" i="2"/>
  <c r="AC8" i="2" l="1"/>
  <c r="AC13" i="2" s="1"/>
  <c r="AC17" i="2" s="1"/>
  <c r="AC27" i="2"/>
  <c r="AD22" i="2"/>
  <c r="AD11" i="2"/>
  <c r="AD7" i="2"/>
  <c r="AE6" i="2"/>
  <c r="AA18" i="2"/>
  <c r="Z19" i="2"/>
  <c r="AD9" i="2"/>
  <c r="AD12" i="2"/>
  <c r="AD8" i="2" l="1"/>
  <c r="AD13" i="2" s="1"/>
  <c r="AD17" i="2" s="1"/>
  <c r="AD27" i="2"/>
  <c r="AE22" i="2"/>
  <c r="AA19" i="2"/>
  <c r="AB18" i="2"/>
  <c r="AE10" i="2"/>
  <c r="AE7" i="2"/>
  <c r="AF6" i="2"/>
  <c r="AG6" i="2"/>
  <c r="AE9" i="2"/>
  <c r="AE12" i="2"/>
  <c r="AE11" i="2"/>
  <c r="AE8" i="2" l="1"/>
  <c r="AE27" i="2"/>
  <c r="AE13" i="2"/>
  <c r="AE17" i="2" s="1"/>
  <c r="AC18" i="2"/>
  <c r="AB19" i="2"/>
  <c r="AF22" i="2"/>
  <c r="AG22" i="2"/>
  <c r="AF7" i="2"/>
  <c r="AF27" i="2" s="1"/>
  <c r="AF9" i="2"/>
  <c r="AG9" i="2" s="1"/>
  <c r="AF12" i="2"/>
  <c r="AG12" i="2" s="1"/>
  <c r="AF11" i="2"/>
  <c r="AG11" i="2" s="1"/>
  <c r="AF10" i="2"/>
  <c r="AG10" i="2" s="1"/>
  <c r="AD18" i="2" l="1"/>
  <c r="AC19" i="2"/>
  <c r="AG7" i="2"/>
  <c r="AF8" i="2"/>
  <c r="AF13" i="2" s="1"/>
  <c r="AF17" i="2" s="1"/>
  <c r="AE18" i="2" l="1"/>
  <c r="AD19" i="2"/>
  <c r="AG8" i="2"/>
  <c r="AG13" i="2" s="1"/>
  <c r="AG17" i="2" s="1"/>
  <c r="AG27" i="2"/>
  <c r="AF18" i="2" l="1"/>
  <c r="AE19" i="2"/>
  <c r="AF19" i="2" l="1"/>
  <c r="AG18" i="2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FO19" i="2" s="1"/>
  <c r="FP19" i="2" s="1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GM19" i="2" s="1"/>
  <c r="GN19" i="2" s="1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GY19" i="2" s="1"/>
  <c r="GZ19" i="2" s="1"/>
  <c r="HA19" i="2" s="1"/>
  <c r="HB19" i="2" s="1"/>
  <c r="HC19" i="2" s="1"/>
  <c r="HD19" i="2" s="1"/>
  <c r="HE19" i="2" s="1"/>
  <c r="HF19" i="2" s="1"/>
  <c r="HG19" i="2" s="1"/>
  <c r="HH19" i="2" s="1"/>
  <c r="HI19" i="2" s="1"/>
  <c r="HJ19" i="2" s="1"/>
  <c r="HK19" i="2" s="1"/>
  <c r="HL19" i="2" s="1"/>
  <c r="HM19" i="2" s="1"/>
  <c r="HN19" i="2" s="1"/>
  <c r="HO19" i="2" s="1"/>
  <c r="HP19" i="2" s="1"/>
  <c r="HQ19" i="2" s="1"/>
  <c r="HR19" i="2" s="1"/>
  <c r="HS19" i="2" s="1"/>
  <c r="HT19" i="2" s="1"/>
  <c r="HU19" i="2" s="1"/>
  <c r="HV19" i="2" s="1"/>
  <c r="HW19" i="2" s="1"/>
  <c r="HX19" i="2" s="1"/>
  <c r="HY19" i="2" s="1"/>
  <c r="HZ19" i="2" s="1"/>
  <c r="AL23" i="2" s="1"/>
  <c r="AL25" i="2" s="1"/>
  <c r="AL27" i="2" s="1"/>
</calcChain>
</file>

<file path=xl/sharedStrings.xml><?xml version="1.0" encoding="utf-8"?>
<sst xmlns="http://schemas.openxmlformats.org/spreadsheetml/2006/main" count="77" uniqueCount="72">
  <si>
    <t>P</t>
  </si>
  <si>
    <t>S</t>
  </si>
  <si>
    <t>MC</t>
  </si>
  <si>
    <t>C</t>
  </si>
  <si>
    <t>D</t>
  </si>
  <si>
    <t>EV</t>
  </si>
  <si>
    <t>Q325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</si>
  <si>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</si>
  <si>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</si>
  <si>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</si>
  <si>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</si>
  <si>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</si>
  <si>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</si>
  <si>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</si>
  <si>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</si>
  <si>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Q425</t>
  </si>
  <si>
    <t>Sales</t>
  </si>
  <si>
    <t>Cogs</t>
  </si>
  <si>
    <t xml:space="preserve">Gross Profit </t>
  </si>
  <si>
    <t>Selling &amp; Admin</t>
  </si>
  <si>
    <t>Accretion/asset reitre</t>
  </si>
  <si>
    <t>Other Op Income</t>
  </si>
  <si>
    <t>Other Op Exp</t>
  </si>
  <si>
    <t>Operating Income</t>
  </si>
  <si>
    <t>Interest Exp</t>
  </si>
  <si>
    <t>Interest Income</t>
  </si>
  <si>
    <t xml:space="preserve">EBT </t>
  </si>
  <si>
    <t>Taxes</t>
  </si>
  <si>
    <t xml:space="preserve">Net Income </t>
  </si>
  <si>
    <t>Other Income</t>
  </si>
  <si>
    <t>GM%</t>
  </si>
  <si>
    <t>TL + E</t>
  </si>
  <si>
    <t>E</t>
  </si>
  <si>
    <t xml:space="preserve">Cash </t>
  </si>
  <si>
    <t>Investments</t>
  </si>
  <si>
    <t>A/R</t>
  </si>
  <si>
    <t>Inventory</t>
  </si>
  <si>
    <t>Prepaid Exp</t>
  </si>
  <si>
    <t>PPE</t>
  </si>
  <si>
    <t>Water Rights</t>
  </si>
  <si>
    <t>LT Inven</t>
  </si>
  <si>
    <t>LT Investments</t>
  </si>
  <si>
    <t>OA</t>
  </si>
  <si>
    <t xml:space="preserve">Total Assets </t>
  </si>
  <si>
    <t>A/P</t>
  </si>
  <si>
    <t xml:space="preserve">Accrued Liab </t>
  </si>
  <si>
    <t>Accrued employee comp</t>
  </si>
  <si>
    <t>OCL</t>
  </si>
  <si>
    <t>Asset retirement Obl</t>
  </si>
  <si>
    <t>Op Leaase</t>
  </si>
  <si>
    <t>Deferred other inc</t>
  </si>
  <si>
    <t>ONCL</t>
  </si>
  <si>
    <t>DSO</t>
  </si>
  <si>
    <t>DIO</t>
  </si>
  <si>
    <t>DPO</t>
  </si>
  <si>
    <t>CC</t>
  </si>
  <si>
    <t xml:space="preserve">Intrepid Potash </t>
  </si>
  <si>
    <t>Kevin Crutchfield</t>
  </si>
  <si>
    <t>CFFO</t>
  </si>
  <si>
    <t>Capex</t>
  </si>
  <si>
    <t xml:space="preserve">FCF </t>
  </si>
  <si>
    <t xml:space="preserve">Potash </t>
  </si>
  <si>
    <t>Trio</t>
  </si>
  <si>
    <t xml:space="preserve">Oilfield </t>
  </si>
  <si>
    <t xml:space="preserve">Terminal </t>
  </si>
  <si>
    <t xml:space="preserve">Discount </t>
  </si>
  <si>
    <t>NPV</t>
  </si>
  <si>
    <t>Shares</t>
  </si>
  <si>
    <t xml:space="preserve">Estimate </t>
  </si>
  <si>
    <t xml:space="preserve">Current </t>
  </si>
  <si>
    <t xml:space="preserve">Upside </t>
  </si>
  <si>
    <t>Finance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</si>
</sst>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0</xdr:row>
      <xdr:rowOff>76200</xdr:rowOff>
    </xdr:from>
    <xdr:to>
      <xdr:col>9</xdr:col>
      <xdr:colOff>50800</xdr:colOff>
      <xdr:row>62</xdr:row>
      <xdr:rowOff>139700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C27732-1626-C276-F497-CAC4D830A9A6}"/>
            </a:ext>
          </a:extLst>
        </xdr:cNvPr>
        <xdr:cNvCxnSpPr/>
      </xdr:nvCxnSpPr>
      <xdr:spPr>
        <a:xfrm>
          <a:off x="5549900" y="76200"/>
          <a:ext cx="38100" cy="11239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622300</xdr:colOff>
      <xdr:row>0</xdr:row>
      <xdr:rowOff>12700</xdr:rowOff>
    </xdr:from>
    <xdr:to>
      <xdr:col>23</xdr:col>
      <xdr:colOff>25400</xdr:colOff>
      <xdr:row>62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17CAB7-1036-FC41-B594-1040D6FC4017}"/>
            </a:ext>
          </a:extLst>
        </xdr:cNvPr>
        <xdr:cNvCxnSpPr/>
      </xdr:nvCxnSpPr>
      <xdr:spPr>
        <a:xfrm>
          <a:off x="12979400" y="12700"/>
          <a:ext cx="38100" cy="11239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49AE-AE85-0041-8BFE-232E956CA877}">
  <dimension ref="B2:L8"/>
  <sheetViews>
    <sheetView zoomScale="173" workbookViewId="0">
      <selection activeCell="K6" sqref="K6"/>
    </sheetView>
  </sheetViews>
  <sheetFormatPr baseColWidth="10" defaultRowHeight="16" x14ac:dyDescent="0.2"/>
  <cols>
    <col min="1" max="9" width="10.83203125" style="1"/>
    <col min="10" max="10" width="4" style="1" bestFit="1" customWidth="1"/>
    <col min="11" max="11" width="4.1640625" style="1" bestFit="1" customWidth="1"/>
    <col min="12" max="12" width="5.5" style="1" bestFit="1" customWidth="1"/>
    <col min="13" max="16384" width="10.83203125" style="1"/>
  </cols>
  <sheetData>
    <row r="2" spans="2:12" x14ac:dyDescent="0.2">
      <c r="B2" s="4" t="s">
        <v>56</v>
      </c>
    </row>
    <row r="3" spans="2:12" x14ac:dyDescent="0.2">
      <c r="J3" s="1" t="s">
        <v>0</v>
      </c>
      <c r="K3" s="1">
        <v>24.92</v>
      </c>
    </row>
    <row r="4" spans="2:12" x14ac:dyDescent="0.2">
      <c r="B4" s="1" t="s">
        <v>7</v>
      </c>
      <c r="J4" s="1" t="s">
        <v>1</v>
      </c>
      <c r="K4" s="1">
        <v>13.316051</v>
      </c>
      <c r="L4" s="1" t="s">
        <v>6</v>
      </c>
    </row>
    <row r="5" spans="2:12" x14ac:dyDescent="0.2">
      <c r="B5" s="1" t="s">
        <v>8</v>
      </c>
      <c r="C5" s="1" t="s">
        <v>57</v>
      </c>
      <c r="J5" s="1" t="s">
        <v>2</v>
      </c>
      <c r="K5" s="1">
        <f>+K4*K3</f>
        <v>331.83599092000003</v>
      </c>
    </row>
    <row r="6" spans="2:12" x14ac:dyDescent="0.2">
      <c r="J6" s="1" t="s">
        <v>3</v>
      </c>
      <c r="K6" s="1">
        <v>85.049000000000007</v>
      </c>
      <c r="L6" s="1" t="str">
        <f>+L4</f>
        <v>Q325</v>
      </c>
    </row>
    <row r="7" spans="2:12" x14ac:dyDescent="0.2">
      <c r="J7" s="1" t="s">
        <v>4</v>
      </c>
      <c r="K7" s="1">
        <v>0</v>
      </c>
      <c r="L7" s="1" t="str">
        <f>+L6</f>
        <v>Q325</v>
      </c>
    </row>
    <row r="8" spans="2:12" x14ac:dyDescent="0.2">
      <c r="J8" s="1" t="s">
        <v>5</v>
      </c>
      <c r="K8" s="1">
        <f>+K5-K6+K7</f>
        <v>246.78699092000002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0E6C-B009-C84D-96DF-B4620A9E89AD}">
  <dimension ref="B2:HZ61"/>
  <sheetViews>
    <sheetView tabSelected="1" zoomScale="170" zoomScaleNormal="1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8" sqref="B48"/>
    </sheetView>
  </sheetViews>
  <sheetFormatPr baseColWidth="10" defaultRowHeight="16" x14ac:dyDescent="0.2"/>
  <cols>
    <col min="1" max="1" width="2.33203125" style="1" customWidth="1"/>
    <col min="2" max="2" width="19" style="1" bestFit="1" customWidth="1"/>
    <col min="3" max="4" width="7.33203125" style="8" bestFit="1" customWidth="1"/>
    <col min="5" max="5" width="6.6640625" style="8" bestFit="1" customWidth="1"/>
    <col min="6" max="6" width="8.33203125" style="8" bestFit="1" customWidth="1"/>
    <col min="7" max="9" width="7.6640625" style="8" bestFit="1" customWidth="1"/>
    <col min="10" max="10" width="6.6640625" style="8" bestFit="1" customWidth="1"/>
    <col min="11" max="13" width="10.83203125" style="1"/>
    <col min="14" max="20" width="5.1640625" style="1" bestFit="1" customWidth="1"/>
    <col min="21" max="22" width="7.6640625" style="1" bestFit="1" customWidth="1"/>
    <col min="23" max="23" width="8.33203125" style="1" bestFit="1" customWidth="1"/>
    <col min="24" max="33" width="7.6640625" style="1" bestFit="1" customWidth="1"/>
    <col min="34" max="34" width="6.6640625" style="1" bestFit="1" customWidth="1"/>
    <col min="35" max="37" width="5.1640625" style="1" bestFit="1" customWidth="1"/>
    <col min="38" max="38" width="11.83203125" style="1" bestFit="1" customWidth="1"/>
    <col min="39" max="16384" width="10.83203125" style="1"/>
  </cols>
  <sheetData>
    <row r="2" spans="2:234" s="2" customFormat="1" x14ac:dyDescent="0.2"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6</v>
      </c>
      <c r="J2" s="7" t="s">
        <v>15</v>
      </c>
      <c r="N2" s="2">
        <v>2015</v>
      </c>
      <c r="O2" s="2">
        <f>+N2+1</f>
        <v>2016</v>
      </c>
      <c r="P2" s="2">
        <f t="shared" ref="P2:AH2" si="0">+O2+1</f>
        <v>2017</v>
      </c>
      <c r="Q2" s="2">
        <f t="shared" si="0"/>
        <v>2018</v>
      </c>
      <c r="R2" s="2">
        <f t="shared" si="0"/>
        <v>2019</v>
      </c>
      <c r="S2" s="2">
        <f t="shared" si="0"/>
        <v>2020</v>
      </c>
      <c r="T2" s="2">
        <f t="shared" si="0"/>
        <v>2021</v>
      </c>
      <c r="U2" s="2">
        <f t="shared" si="0"/>
        <v>2022</v>
      </c>
      <c r="V2" s="2">
        <f t="shared" si="0"/>
        <v>2023</v>
      </c>
      <c r="W2" s="2">
        <f t="shared" si="0"/>
        <v>2024</v>
      </c>
      <c r="X2" s="2">
        <f t="shared" si="0"/>
        <v>2025</v>
      </c>
      <c r="Y2" s="2">
        <f t="shared" si="0"/>
        <v>2026</v>
      </c>
      <c r="Z2" s="2">
        <f t="shared" si="0"/>
        <v>2027</v>
      </c>
      <c r="AA2" s="2">
        <f t="shared" si="0"/>
        <v>2028</v>
      </c>
      <c r="AB2" s="2">
        <f t="shared" si="0"/>
        <v>2029</v>
      </c>
      <c r="AC2" s="2">
        <f t="shared" si="0"/>
        <v>2030</v>
      </c>
      <c r="AD2" s="2">
        <f t="shared" si="0"/>
        <v>2031</v>
      </c>
      <c r="AE2" s="2">
        <f t="shared" si="0"/>
        <v>2032</v>
      </c>
      <c r="AF2" s="2">
        <f t="shared" si="0"/>
        <v>2033</v>
      </c>
      <c r="AG2" s="2">
        <f t="shared" si="0"/>
        <v>2034</v>
      </c>
      <c r="AH2" s="2">
        <f t="shared" si="0"/>
        <v>2035</v>
      </c>
      <c r="AI2" s="2">
        <f t="shared" ref="AI2:CT2" si="1">+AH2+1</f>
        <v>2036</v>
      </c>
      <c r="AJ2" s="2">
        <f t="shared" si="1"/>
        <v>2037</v>
      </c>
      <c r="AK2" s="2">
        <f t="shared" si="1"/>
        <v>2038</v>
      </c>
      <c r="AL2" s="2">
        <f t="shared" si="1"/>
        <v>2039</v>
      </c>
      <c r="AM2" s="2">
        <f t="shared" si="1"/>
        <v>2040</v>
      </c>
      <c r="AN2" s="2">
        <f t="shared" si="1"/>
        <v>2041</v>
      </c>
      <c r="AO2" s="2">
        <f t="shared" si="1"/>
        <v>2042</v>
      </c>
      <c r="AP2" s="2">
        <f t="shared" si="1"/>
        <v>2043</v>
      </c>
      <c r="AQ2" s="2">
        <f t="shared" si="1"/>
        <v>2044</v>
      </c>
      <c r="AR2" s="2">
        <f t="shared" si="1"/>
        <v>2045</v>
      </c>
      <c r="AS2" s="2">
        <f t="shared" si="1"/>
        <v>2046</v>
      </c>
      <c r="AT2" s="2">
        <f t="shared" si="1"/>
        <v>2047</v>
      </c>
      <c r="AU2" s="2">
        <f t="shared" si="1"/>
        <v>2048</v>
      </c>
      <c r="AV2" s="2">
        <f t="shared" si="1"/>
        <v>2049</v>
      </c>
      <c r="AW2" s="2">
        <f t="shared" si="1"/>
        <v>2050</v>
      </c>
      <c r="AX2" s="2">
        <f t="shared" si="1"/>
        <v>2051</v>
      </c>
      <c r="AY2" s="2">
        <f t="shared" si="1"/>
        <v>2052</v>
      </c>
      <c r="AZ2" s="2">
        <f t="shared" si="1"/>
        <v>2053</v>
      </c>
      <c r="BA2" s="2">
        <f t="shared" si="1"/>
        <v>2054</v>
      </c>
      <c r="BB2" s="2">
        <f t="shared" si="1"/>
        <v>2055</v>
      </c>
      <c r="BC2" s="2">
        <f t="shared" si="1"/>
        <v>2056</v>
      </c>
      <c r="BD2" s="2">
        <f t="shared" si="1"/>
        <v>2057</v>
      </c>
      <c r="BE2" s="2">
        <f t="shared" si="1"/>
        <v>2058</v>
      </c>
      <c r="BF2" s="2">
        <f t="shared" si="1"/>
        <v>2059</v>
      </c>
      <c r="BG2" s="2">
        <f t="shared" si="1"/>
        <v>2060</v>
      </c>
      <c r="BH2" s="2">
        <f t="shared" si="1"/>
        <v>2061</v>
      </c>
      <c r="BI2" s="2">
        <f t="shared" si="1"/>
        <v>2062</v>
      </c>
      <c r="BJ2" s="2">
        <f t="shared" si="1"/>
        <v>2063</v>
      </c>
      <c r="BK2" s="2">
        <f t="shared" si="1"/>
        <v>2064</v>
      </c>
      <c r="BL2" s="2">
        <f t="shared" si="1"/>
        <v>2065</v>
      </c>
      <c r="BM2" s="2">
        <f t="shared" si="1"/>
        <v>2066</v>
      </c>
      <c r="BN2" s="2">
        <f t="shared" si="1"/>
        <v>2067</v>
      </c>
      <c r="BO2" s="2">
        <f t="shared" si="1"/>
        <v>2068</v>
      </c>
      <c r="BP2" s="2">
        <f t="shared" si="1"/>
        <v>2069</v>
      </c>
      <c r="BQ2" s="2">
        <f t="shared" si="1"/>
        <v>2070</v>
      </c>
      <c r="BR2" s="2">
        <f t="shared" si="1"/>
        <v>2071</v>
      </c>
      <c r="BS2" s="2">
        <f t="shared" si="1"/>
        <v>2072</v>
      </c>
      <c r="BT2" s="2">
        <f t="shared" si="1"/>
        <v>2073</v>
      </c>
      <c r="BU2" s="2">
        <f t="shared" si="1"/>
        <v>2074</v>
      </c>
      <c r="BV2" s="2">
        <f t="shared" si="1"/>
        <v>2075</v>
      </c>
      <c r="BW2" s="2">
        <f t="shared" si="1"/>
        <v>2076</v>
      </c>
      <c r="BX2" s="2">
        <f t="shared" si="1"/>
        <v>2077</v>
      </c>
      <c r="BY2" s="2">
        <f t="shared" si="1"/>
        <v>2078</v>
      </c>
      <c r="BZ2" s="2">
        <f t="shared" si="1"/>
        <v>2079</v>
      </c>
      <c r="CA2" s="2">
        <f t="shared" si="1"/>
        <v>2080</v>
      </c>
      <c r="CB2" s="2">
        <f t="shared" si="1"/>
        <v>2081</v>
      </c>
      <c r="CC2" s="2">
        <f t="shared" si="1"/>
        <v>2082</v>
      </c>
      <c r="CD2" s="2">
        <f t="shared" si="1"/>
        <v>2083</v>
      </c>
      <c r="CE2" s="2">
        <f t="shared" si="1"/>
        <v>2084</v>
      </c>
      <c r="CF2" s="2">
        <f t="shared" si="1"/>
        <v>2085</v>
      </c>
      <c r="CG2" s="2">
        <f t="shared" si="1"/>
        <v>2086</v>
      </c>
      <c r="CH2" s="2">
        <f t="shared" si="1"/>
        <v>2087</v>
      </c>
      <c r="CI2" s="2">
        <f t="shared" si="1"/>
        <v>2088</v>
      </c>
      <c r="CJ2" s="2">
        <f t="shared" si="1"/>
        <v>2089</v>
      </c>
      <c r="CK2" s="2">
        <f t="shared" si="1"/>
        <v>2090</v>
      </c>
      <c r="CL2" s="2">
        <f t="shared" si="1"/>
        <v>2091</v>
      </c>
      <c r="CM2" s="2">
        <f t="shared" si="1"/>
        <v>2092</v>
      </c>
      <c r="CN2" s="2">
        <f t="shared" si="1"/>
        <v>2093</v>
      </c>
      <c r="CO2" s="2">
        <f t="shared" si="1"/>
        <v>2094</v>
      </c>
      <c r="CP2" s="2">
        <f t="shared" si="1"/>
        <v>2095</v>
      </c>
      <c r="CQ2" s="2">
        <f t="shared" si="1"/>
        <v>2096</v>
      </c>
      <c r="CR2" s="2">
        <f t="shared" si="1"/>
        <v>2097</v>
      </c>
      <c r="CS2" s="2">
        <f t="shared" si="1"/>
        <v>2098</v>
      </c>
      <c r="CT2" s="2">
        <f t="shared" si="1"/>
        <v>2099</v>
      </c>
      <c r="CU2" s="2">
        <f t="shared" ref="CU2:FF2" si="2">+CT2+1</f>
        <v>2100</v>
      </c>
      <c r="CV2" s="2">
        <f t="shared" si="2"/>
        <v>2101</v>
      </c>
      <c r="CW2" s="2">
        <f t="shared" si="2"/>
        <v>2102</v>
      </c>
      <c r="CX2" s="2">
        <f t="shared" si="2"/>
        <v>2103</v>
      </c>
      <c r="CY2" s="2">
        <f t="shared" si="2"/>
        <v>2104</v>
      </c>
      <c r="CZ2" s="2">
        <f t="shared" si="2"/>
        <v>2105</v>
      </c>
      <c r="DA2" s="2">
        <f t="shared" si="2"/>
        <v>2106</v>
      </c>
      <c r="DB2" s="2">
        <f t="shared" si="2"/>
        <v>2107</v>
      </c>
      <c r="DC2" s="2">
        <f t="shared" si="2"/>
        <v>2108</v>
      </c>
      <c r="DD2" s="2">
        <f t="shared" si="2"/>
        <v>2109</v>
      </c>
      <c r="DE2" s="2">
        <f t="shared" si="2"/>
        <v>2110</v>
      </c>
      <c r="DF2" s="2">
        <f t="shared" si="2"/>
        <v>2111</v>
      </c>
      <c r="DG2" s="2">
        <f t="shared" si="2"/>
        <v>2112</v>
      </c>
      <c r="DH2" s="2">
        <f t="shared" si="2"/>
        <v>2113</v>
      </c>
      <c r="DI2" s="2">
        <f t="shared" si="2"/>
        <v>2114</v>
      </c>
      <c r="DJ2" s="2">
        <f t="shared" si="2"/>
        <v>2115</v>
      </c>
      <c r="DK2" s="2">
        <f t="shared" si="2"/>
        <v>2116</v>
      </c>
      <c r="DL2" s="2">
        <f t="shared" si="2"/>
        <v>2117</v>
      </c>
      <c r="DM2" s="2">
        <f t="shared" si="2"/>
        <v>2118</v>
      </c>
      <c r="DN2" s="2">
        <f t="shared" si="2"/>
        <v>2119</v>
      </c>
      <c r="DO2" s="2">
        <f t="shared" si="2"/>
        <v>2120</v>
      </c>
      <c r="DP2" s="2">
        <f t="shared" si="2"/>
        <v>2121</v>
      </c>
      <c r="DQ2" s="2">
        <f t="shared" si="2"/>
        <v>2122</v>
      </c>
      <c r="DR2" s="2">
        <f t="shared" si="2"/>
        <v>2123</v>
      </c>
      <c r="DS2" s="2">
        <f t="shared" si="2"/>
        <v>2124</v>
      </c>
      <c r="DT2" s="2">
        <f t="shared" si="2"/>
        <v>2125</v>
      </c>
      <c r="DU2" s="2">
        <f t="shared" si="2"/>
        <v>2126</v>
      </c>
      <c r="DV2" s="2">
        <f t="shared" si="2"/>
        <v>2127</v>
      </c>
      <c r="DW2" s="2">
        <f t="shared" si="2"/>
        <v>2128</v>
      </c>
      <c r="DX2" s="2">
        <f t="shared" si="2"/>
        <v>2129</v>
      </c>
      <c r="DY2" s="2">
        <f t="shared" si="2"/>
        <v>2130</v>
      </c>
      <c r="DZ2" s="2">
        <f t="shared" si="2"/>
        <v>2131</v>
      </c>
      <c r="EA2" s="2">
        <f t="shared" si="2"/>
        <v>2132</v>
      </c>
      <c r="EB2" s="2">
        <f t="shared" si="2"/>
        <v>2133</v>
      </c>
      <c r="EC2" s="2">
        <f t="shared" si="2"/>
        <v>2134</v>
      </c>
      <c r="ED2" s="2">
        <f t="shared" si="2"/>
        <v>2135</v>
      </c>
      <c r="EE2" s="2">
        <f t="shared" si="2"/>
        <v>2136</v>
      </c>
      <c r="EF2" s="2">
        <f t="shared" si="2"/>
        <v>2137</v>
      </c>
      <c r="EG2" s="2">
        <f t="shared" si="2"/>
        <v>2138</v>
      </c>
      <c r="EH2" s="2">
        <f t="shared" si="2"/>
        <v>2139</v>
      </c>
      <c r="EI2" s="2">
        <f t="shared" si="2"/>
        <v>2140</v>
      </c>
      <c r="EJ2" s="2">
        <f t="shared" si="2"/>
        <v>2141</v>
      </c>
      <c r="EK2" s="2">
        <f t="shared" si="2"/>
        <v>2142</v>
      </c>
      <c r="EL2" s="2">
        <f t="shared" si="2"/>
        <v>2143</v>
      </c>
      <c r="EM2" s="2">
        <f t="shared" si="2"/>
        <v>2144</v>
      </c>
      <c r="EN2" s="2">
        <f t="shared" si="2"/>
        <v>2145</v>
      </c>
      <c r="EO2" s="2">
        <f t="shared" si="2"/>
        <v>2146</v>
      </c>
      <c r="EP2" s="2">
        <f t="shared" si="2"/>
        <v>2147</v>
      </c>
      <c r="EQ2" s="2">
        <f t="shared" si="2"/>
        <v>2148</v>
      </c>
      <c r="ER2" s="2">
        <f t="shared" si="2"/>
        <v>2149</v>
      </c>
      <c r="ES2" s="2">
        <f t="shared" si="2"/>
        <v>2150</v>
      </c>
      <c r="ET2" s="2">
        <f t="shared" si="2"/>
        <v>2151</v>
      </c>
      <c r="EU2" s="2">
        <f t="shared" si="2"/>
        <v>2152</v>
      </c>
      <c r="EV2" s="2">
        <f t="shared" si="2"/>
        <v>2153</v>
      </c>
      <c r="EW2" s="2">
        <f t="shared" si="2"/>
        <v>2154</v>
      </c>
      <c r="EX2" s="2">
        <f t="shared" si="2"/>
        <v>2155</v>
      </c>
      <c r="EY2" s="2">
        <f t="shared" si="2"/>
        <v>2156</v>
      </c>
      <c r="EZ2" s="2">
        <f t="shared" si="2"/>
        <v>2157</v>
      </c>
      <c r="FA2" s="2">
        <f t="shared" si="2"/>
        <v>2158</v>
      </c>
      <c r="FB2" s="2">
        <f t="shared" si="2"/>
        <v>2159</v>
      </c>
      <c r="FC2" s="2">
        <f t="shared" si="2"/>
        <v>2160</v>
      </c>
      <c r="FD2" s="2">
        <f t="shared" si="2"/>
        <v>2161</v>
      </c>
      <c r="FE2" s="2">
        <f t="shared" si="2"/>
        <v>2162</v>
      </c>
      <c r="FF2" s="2">
        <f t="shared" si="2"/>
        <v>2163</v>
      </c>
      <c r="FG2" s="2">
        <f t="shared" ref="FG2:GV2" si="3">+FF2+1</f>
        <v>2164</v>
      </c>
      <c r="FH2" s="2">
        <f t="shared" si="3"/>
        <v>2165</v>
      </c>
      <c r="FI2" s="2">
        <f t="shared" si="3"/>
        <v>2166</v>
      </c>
      <c r="FJ2" s="2">
        <f t="shared" si="3"/>
        <v>2167</v>
      </c>
      <c r="FK2" s="2">
        <f t="shared" si="3"/>
        <v>2168</v>
      </c>
      <c r="FL2" s="2">
        <f t="shared" si="3"/>
        <v>2169</v>
      </c>
      <c r="FM2" s="2">
        <f t="shared" si="3"/>
        <v>2170</v>
      </c>
      <c r="FN2" s="2">
        <f t="shared" si="3"/>
        <v>2171</v>
      </c>
      <c r="FO2" s="2">
        <f t="shared" si="3"/>
        <v>2172</v>
      </c>
      <c r="FP2" s="2">
        <f t="shared" si="3"/>
        <v>2173</v>
      </c>
      <c r="FQ2" s="2">
        <f t="shared" si="3"/>
        <v>2174</v>
      </c>
      <c r="FR2" s="2">
        <f t="shared" si="3"/>
        <v>2175</v>
      </c>
      <c r="FS2" s="2">
        <f t="shared" si="3"/>
        <v>2176</v>
      </c>
      <c r="FT2" s="2">
        <f t="shared" si="3"/>
        <v>2177</v>
      </c>
      <c r="FU2" s="2">
        <f t="shared" si="3"/>
        <v>2178</v>
      </c>
      <c r="FV2" s="2">
        <f t="shared" si="3"/>
        <v>2179</v>
      </c>
      <c r="FW2" s="2">
        <f t="shared" si="3"/>
        <v>2180</v>
      </c>
      <c r="FX2" s="2">
        <f t="shared" si="3"/>
        <v>2181</v>
      </c>
      <c r="FY2" s="2">
        <f t="shared" si="3"/>
        <v>2182</v>
      </c>
      <c r="FZ2" s="2">
        <f t="shared" si="3"/>
        <v>2183</v>
      </c>
      <c r="GA2" s="2">
        <f t="shared" si="3"/>
        <v>2184</v>
      </c>
      <c r="GB2" s="2">
        <f t="shared" si="3"/>
        <v>2185</v>
      </c>
      <c r="GC2" s="2">
        <f t="shared" si="3"/>
        <v>2186</v>
      </c>
      <c r="GD2" s="2">
        <f t="shared" si="3"/>
        <v>2187</v>
      </c>
      <c r="GE2" s="2">
        <f t="shared" si="3"/>
        <v>2188</v>
      </c>
      <c r="GF2" s="2">
        <f t="shared" si="3"/>
        <v>2189</v>
      </c>
      <c r="GG2" s="2">
        <f t="shared" si="3"/>
        <v>2190</v>
      </c>
      <c r="GH2" s="2">
        <f t="shared" si="3"/>
        <v>2191</v>
      </c>
      <c r="GI2" s="2">
        <f t="shared" si="3"/>
        <v>2192</v>
      </c>
      <c r="GJ2" s="2">
        <f t="shared" si="3"/>
        <v>2193</v>
      </c>
      <c r="GK2" s="2">
        <f t="shared" si="3"/>
        <v>2194</v>
      </c>
      <c r="GL2" s="2">
        <f t="shared" si="3"/>
        <v>2195</v>
      </c>
      <c r="GM2" s="2">
        <f t="shared" si="3"/>
        <v>2196</v>
      </c>
      <c r="GN2" s="2">
        <f t="shared" si="3"/>
        <v>2197</v>
      </c>
      <c r="GO2" s="2">
        <f t="shared" si="3"/>
        <v>2198</v>
      </c>
      <c r="GP2" s="2">
        <f t="shared" si="3"/>
        <v>2199</v>
      </c>
      <c r="GQ2" s="2">
        <f t="shared" si="3"/>
        <v>2200</v>
      </c>
      <c r="GR2" s="2">
        <f t="shared" si="3"/>
        <v>2201</v>
      </c>
      <c r="GS2" s="2">
        <f t="shared" si="3"/>
        <v>2202</v>
      </c>
      <c r="GT2" s="2">
        <f t="shared" si="3"/>
        <v>2203</v>
      </c>
      <c r="GU2" s="2">
        <f t="shared" si="3"/>
        <v>2204</v>
      </c>
      <c r="GV2" s="2">
        <f t="shared" si="3"/>
        <v>2205</v>
      </c>
      <c r="GW2" s="2">
        <f t="shared" ref="GW2:HS2" si="4">+GV2+1</f>
        <v>2206</v>
      </c>
      <c r="GX2" s="2">
        <f t="shared" si="4"/>
        <v>2207</v>
      </c>
      <c r="GY2" s="2">
        <f t="shared" si="4"/>
        <v>2208</v>
      </c>
      <c r="GZ2" s="2">
        <f t="shared" si="4"/>
        <v>2209</v>
      </c>
      <c r="HA2" s="2">
        <f t="shared" si="4"/>
        <v>2210</v>
      </c>
      <c r="HB2" s="2">
        <f t="shared" si="4"/>
        <v>2211</v>
      </c>
      <c r="HC2" s="2">
        <f t="shared" si="4"/>
        <v>2212</v>
      </c>
      <c r="HD2" s="2">
        <f t="shared" si="4"/>
        <v>2213</v>
      </c>
      <c r="HE2" s="2">
        <f t="shared" si="4"/>
        <v>2214</v>
      </c>
      <c r="HF2" s="2">
        <f t="shared" si="4"/>
        <v>2215</v>
      </c>
      <c r="HG2" s="2">
        <f t="shared" si="4"/>
        <v>2216</v>
      </c>
      <c r="HH2" s="2">
        <f t="shared" si="4"/>
        <v>2217</v>
      </c>
      <c r="HI2" s="2">
        <f t="shared" si="4"/>
        <v>2218</v>
      </c>
      <c r="HJ2" s="2">
        <f t="shared" si="4"/>
        <v>2219</v>
      </c>
      <c r="HK2" s="2">
        <f t="shared" si="4"/>
        <v>2220</v>
      </c>
      <c r="HL2" s="2">
        <f t="shared" si="4"/>
        <v>2221</v>
      </c>
      <c r="HM2" s="2">
        <f t="shared" si="4"/>
        <v>2222</v>
      </c>
      <c r="HN2" s="2">
        <f t="shared" si="4"/>
        <v>2223</v>
      </c>
      <c r="HO2" s="2">
        <f t="shared" si="4"/>
        <v>2224</v>
      </c>
      <c r="HP2" s="2">
        <f t="shared" si="4"/>
        <v>2225</v>
      </c>
      <c r="HQ2" s="2">
        <f t="shared" si="4"/>
        <v>2226</v>
      </c>
      <c r="HR2" s="2">
        <f t="shared" si="4"/>
        <v>2227</v>
      </c>
      <c r="HS2" s="2">
        <f t="shared" si="4"/>
        <v>2228</v>
      </c>
      <c r="HT2" s="2">
        <f t="shared" ref="HT2:HX2" si="5">+HS2+1</f>
        <v>2229</v>
      </c>
      <c r="HU2" s="2">
        <f t="shared" si="5"/>
        <v>2230</v>
      </c>
      <c r="HV2" s="2">
        <f t="shared" si="5"/>
        <v>2231</v>
      </c>
      <c r="HW2" s="2">
        <f t="shared" si="5"/>
        <v>2232</v>
      </c>
      <c r="HX2" s="2">
        <f t="shared" si="5"/>
        <v>2233</v>
      </c>
      <c r="HY2" s="2">
        <f t="shared" ref="HY2:HZ2" si="6">+HX2+1</f>
        <v>2234</v>
      </c>
      <c r="HZ2" s="2">
        <f t="shared" si="6"/>
        <v>2235</v>
      </c>
    </row>
    <row r="3" spans="2:234" x14ac:dyDescent="0.2">
      <c r="B3" s="1" t="s">
        <v>61</v>
      </c>
      <c r="C3" s="8">
        <v>37576</v>
      </c>
      <c r="D3" s="8">
        <v>30034</v>
      </c>
      <c r="E3" s="8">
        <v>28356</v>
      </c>
      <c r="F3" s="8">
        <f>+W3-SUM(C3:E3)</f>
        <v>28867</v>
      </c>
      <c r="G3" s="8">
        <v>43577</v>
      </c>
      <c r="H3" s="8">
        <v>33994</v>
      </c>
      <c r="I3" s="8">
        <v>32479</v>
      </c>
      <c r="J3" s="8">
        <f>+F3*1.15</f>
        <v>33197.049999999996</v>
      </c>
      <c r="V3" s="1">
        <v>155920</v>
      </c>
      <c r="W3" s="1">
        <v>124833</v>
      </c>
      <c r="X3" s="1">
        <f>SUM(G3:J3)</f>
        <v>143247.04999999999</v>
      </c>
      <c r="Y3" s="1">
        <f>+X3*1.1</f>
        <v>157571.755</v>
      </c>
      <c r="Z3" s="1">
        <f t="shared" ref="Z3:AG3" si="7">+Y3*1.1</f>
        <v>173328.93050000002</v>
      </c>
      <c r="AA3" s="1">
        <f t="shared" si="7"/>
        <v>190661.82355000003</v>
      </c>
      <c r="AB3" s="1">
        <f t="shared" si="7"/>
        <v>209728.00590500006</v>
      </c>
      <c r="AC3" s="1">
        <f t="shared" si="7"/>
        <v>230700.80649550009</v>
      </c>
      <c r="AD3" s="1">
        <f t="shared" si="7"/>
        <v>253770.88714505013</v>
      </c>
      <c r="AE3" s="1">
        <f t="shared" si="7"/>
        <v>279147.97585955518</v>
      </c>
      <c r="AF3" s="1">
        <f t="shared" si="7"/>
        <v>307062.77344551071</v>
      </c>
      <c r="AG3" s="1">
        <f t="shared" si="7"/>
        <v>337769.05079006182</v>
      </c>
    </row>
    <row r="4" spans="2:234" x14ac:dyDescent="0.2">
      <c r="B4" s="1" t="s">
        <v>62</v>
      </c>
      <c r="C4" s="8">
        <v>36487</v>
      </c>
      <c r="D4" s="8">
        <v>26522</v>
      </c>
      <c r="E4" s="8">
        <v>18928</v>
      </c>
      <c r="F4" s="8">
        <f>+W4-SUM(C4:E4)</f>
        <v>23491</v>
      </c>
      <c r="G4" s="8">
        <v>49842</v>
      </c>
      <c r="H4" s="8">
        <v>33212</v>
      </c>
      <c r="I4" s="8">
        <v>18094</v>
      </c>
      <c r="J4" s="8">
        <f>+F4*0.96</f>
        <v>22551.360000000001</v>
      </c>
      <c r="V4" s="1">
        <v>102182</v>
      </c>
      <c r="W4" s="1">
        <v>105428</v>
      </c>
      <c r="X4" s="1">
        <f t="shared" ref="X4:X19" si="8">SUM(G4:J4)</f>
        <v>123699.36</v>
      </c>
      <c r="Y4" s="1">
        <f>+X4*1.01</f>
        <v>124936.3536</v>
      </c>
      <c r="Z4" s="1">
        <f t="shared" ref="Z4:AG4" si="9">+Y4*1.01</f>
        <v>126185.71713600001</v>
      </c>
      <c r="AA4" s="1">
        <f t="shared" si="9"/>
        <v>127447.57430736</v>
      </c>
      <c r="AB4" s="1">
        <f t="shared" si="9"/>
        <v>128722.05005043361</v>
      </c>
      <c r="AC4" s="1">
        <f t="shared" si="9"/>
        <v>130009.27055093794</v>
      </c>
      <c r="AD4" s="1">
        <f t="shared" si="9"/>
        <v>131309.36325644734</v>
      </c>
      <c r="AE4" s="1">
        <f t="shared" si="9"/>
        <v>132622.45688901181</v>
      </c>
      <c r="AF4" s="1">
        <f t="shared" si="9"/>
        <v>133948.68145790193</v>
      </c>
      <c r="AG4" s="1">
        <f t="shared" si="9"/>
        <v>135288.16827248095</v>
      </c>
    </row>
    <row r="5" spans="2:234" x14ac:dyDescent="0.2">
      <c r="B5" s="1" t="s">
        <v>63</v>
      </c>
      <c r="C5" s="8">
        <v>5324</v>
      </c>
      <c r="D5" s="8">
        <v>5539</v>
      </c>
      <c r="E5" s="8">
        <v>10324</v>
      </c>
      <c r="F5" s="8">
        <f>+W5-SUM(C5:E5)</f>
        <v>3498</v>
      </c>
      <c r="G5" s="8">
        <v>4400</v>
      </c>
      <c r="H5" s="8">
        <v>4324</v>
      </c>
      <c r="I5" s="8">
        <v>2686</v>
      </c>
      <c r="J5" s="8">
        <f>+F5*0.9</f>
        <v>3148.2000000000003</v>
      </c>
      <c r="V5" s="1">
        <v>21310</v>
      </c>
      <c r="W5" s="1">
        <v>24685</v>
      </c>
      <c r="X5" s="1">
        <f t="shared" si="8"/>
        <v>14558.2</v>
      </c>
      <c r="Y5" s="1">
        <f>+X5</f>
        <v>14558.2</v>
      </c>
      <c r="Z5" s="1">
        <f t="shared" ref="Z5:AG5" si="10">+Y5</f>
        <v>14558.2</v>
      </c>
      <c r="AA5" s="1">
        <f t="shared" si="10"/>
        <v>14558.2</v>
      </c>
      <c r="AB5" s="1">
        <f t="shared" si="10"/>
        <v>14558.2</v>
      </c>
      <c r="AC5" s="1">
        <f t="shared" si="10"/>
        <v>14558.2</v>
      </c>
      <c r="AD5" s="1">
        <f t="shared" si="10"/>
        <v>14558.2</v>
      </c>
      <c r="AE5" s="1">
        <f t="shared" si="10"/>
        <v>14558.2</v>
      </c>
      <c r="AF5" s="1">
        <f t="shared" si="10"/>
        <v>14558.2</v>
      </c>
      <c r="AG5" s="1">
        <f t="shared" si="10"/>
        <v>14558.2</v>
      </c>
    </row>
    <row r="6" spans="2:234" x14ac:dyDescent="0.2">
      <c r="B6" s="1" t="s">
        <v>16</v>
      </c>
      <c r="C6" s="8">
        <v>79287</v>
      </c>
      <c r="D6" s="8">
        <v>62055</v>
      </c>
      <c r="E6" s="8">
        <v>57549</v>
      </c>
      <c r="F6" s="8">
        <f>+W6-SUM(C6:E6)</f>
        <v>55803</v>
      </c>
      <c r="G6" s="8">
        <v>97760</v>
      </c>
      <c r="H6" s="8">
        <v>71472</v>
      </c>
      <c r="I6" s="8">
        <v>53219</v>
      </c>
      <c r="J6" s="8">
        <f>SUM(J3:J5)</f>
        <v>58896.609999999993</v>
      </c>
      <c r="U6" s="1">
        <v>337568</v>
      </c>
      <c r="V6" s="1">
        <v>279083</v>
      </c>
      <c r="W6" s="1">
        <v>254694</v>
      </c>
      <c r="X6" s="1">
        <f t="shared" si="8"/>
        <v>281347.61</v>
      </c>
      <c r="Y6" s="1">
        <f>SUM(Y3:Y5)</f>
        <v>297066.30860000005</v>
      </c>
      <c r="Z6" s="1">
        <f t="shared" ref="Z6:AG6" si="11">SUM(Z3:Z5)</f>
        <v>314072.84763600002</v>
      </c>
      <c r="AA6" s="1">
        <f t="shared" si="11"/>
        <v>332667.59785736003</v>
      </c>
      <c r="AB6" s="1">
        <f t="shared" si="11"/>
        <v>353008.25595543365</v>
      </c>
      <c r="AC6" s="1">
        <f t="shared" si="11"/>
        <v>375268.27704643802</v>
      </c>
      <c r="AD6" s="1">
        <f t="shared" si="11"/>
        <v>399638.45040149748</v>
      </c>
      <c r="AE6" s="1">
        <f t="shared" si="11"/>
        <v>426328.63274856698</v>
      </c>
      <c r="AF6" s="1">
        <f t="shared" si="11"/>
        <v>455569.65490341262</v>
      </c>
      <c r="AG6" s="1">
        <f t="shared" si="11"/>
        <v>487615.41906254279</v>
      </c>
    </row>
    <row r="7" spans="2:234" x14ac:dyDescent="0.2">
      <c r="B7" s="1" t="s">
        <v>17</v>
      </c>
      <c r="C7" s="8">
        <f>12830+3089+56431+503</f>
        <v>72853</v>
      </c>
      <c r="D7" s="8">
        <f>9423+2586+41070+1352</f>
        <v>54431</v>
      </c>
      <c r="E7" s="8">
        <f>8022+3058+38266+471</f>
        <v>49817</v>
      </c>
      <c r="F7" s="8">
        <f t="shared" ref="F7:F19" si="12">+W7-SUM(C7:E7)</f>
        <v>48511</v>
      </c>
      <c r="G7" s="8">
        <f>17491+3490+60842+1335</f>
        <v>83158</v>
      </c>
      <c r="H7" s="8">
        <f>11011+3114+42641+419</f>
        <v>57185</v>
      </c>
      <c r="I7" s="8">
        <f>6579+2609+33051+406</f>
        <v>42645</v>
      </c>
      <c r="J7" s="8">
        <f>+J$6*(I7/I$6)</f>
        <v>47194.534535598184</v>
      </c>
      <c r="U7" s="1">
        <f>34137+9747+152276</f>
        <v>196160</v>
      </c>
      <c r="V7" s="1">
        <f>37635+10832+187278+6492</f>
        <v>242237</v>
      </c>
      <c r="W7" s="1">
        <f>38765+11475+171415+3957</f>
        <v>225612</v>
      </c>
      <c r="X7" s="1">
        <f t="shared" si="8"/>
        <v>230182.53453559818</v>
      </c>
      <c r="Y7" s="1">
        <f>+Y$6*(X7/X$6)</f>
        <v>243042.67535338999</v>
      </c>
      <c r="Z7" s="1">
        <f t="shared" ref="Z7:AG7" si="13">+Z$6*(Y7/Y$6)</f>
        <v>256956.45361148525</v>
      </c>
      <c r="AA7" s="1">
        <f t="shared" si="13"/>
        <v>272169.61548980733</v>
      </c>
      <c r="AB7" s="1">
        <f t="shared" si="13"/>
        <v>288811.17940832302</v>
      </c>
      <c r="AC7" s="1">
        <f t="shared" si="13"/>
        <v>307023.05642957531</v>
      </c>
      <c r="AD7" s="1">
        <f t="shared" si="13"/>
        <v>326961.3394309468</v>
      </c>
      <c r="AE7" s="1">
        <f t="shared" si="13"/>
        <v>348797.7211932292</v>
      </c>
      <c r="AF7" s="1">
        <f t="shared" si="13"/>
        <v>372721.05429712142</v>
      </c>
      <c r="AG7" s="1">
        <f t="shared" si="13"/>
        <v>398939.06700843829</v>
      </c>
    </row>
    <row r="8" spans="2:234" x14ac:dyDescent="0.2">
      <c r="B8" s="1" t="s">
        <v>18</v>
      </c>
      <c r="C8" s="8">
        <f>+C6-C7</f>
        <v>6434</v>
      </c>
      <c r="D8" s="8">
        <f>+D6-D7</f>
        <v>7624</v>
      </c>
      <c r="E8" s="8">
        <f>+E6-E7</f>
        <v>7732</v>
      </c>
      <c r="F8" s="8">
        <f t="shared" si="12"/>
        <v>7292</v>
      </c>
      <c r="G8" s="8">
        <f>+G6-G7</f>
        <v>14602</v>
      </c>
      <c r="H8" s="8">
        <f>+H6-H7</f>
        <v>14287</v>
      </c>
      <c r="I8" s="8">
        <f>+I6-I7</f>
        <v>10574</v>
      </c>
      <c r="J8" s="8">
        <f>+J6-J7</f>
        <v>11702.075464401809</v>
      </c>
      <c r="U8" s="1">
        <f>+U6-U7</f>
        <v>141408</v>
      </c>
      <c r="V8" s="1">
        <f>+V6-V7</f>
        <v>36846</v>
      </c>
      <c r="W8" s="1">
        <f>+W6-W7</f>
        <v>29082</v>
      </c>
      <c r="X8" s="1">
        <f t="shared" si="8"/>
        <v>51165.075464401809</v>
      </c>
      <c r="Y8" s="1">
        <f>+Y6-Y7</f>
        <v>54023.633246610058</v>
      </c>
      <c r="Z8" s="1">
        <f t="shared" ref="Z8:AG8" si="14">+Z6-Z7</f>
        <v>57116.394024514768</v>
      </c>
      <c r="AA8" s="1">
        <f t="shared" si="14"/>
        <v>60497.9823675527</v>
      </c>
      <c r="AB8" s="1">
        <f t="shared" si="14"/>
        <v>64197.076547110628</v>
      </c>
      <c r="AC8" s="1">
        <f t="shared" si="14"/>
        <v>68245.220616862702</v>
      </c>
      <c r="AD8" s="1">
        <f t="shared" si="14"/>
        <v>72677.110970550682</v>
      </c>
      <c r="AE8" s="1">
        <f t="shared" si="14"/>
        <v>77530.911555337778</v>
      </c>
      <c r="AF8" s="1">
        <f t="shared" si="14"/>
        <v>82848.600606291206</v>
      </c>
      <c r="AG8" s="1">
        <f t="shared" si="14"/>
        <v>88676.3520541045</v>
      </c>
    </row>
    <row r="9" spans="2:234" x14ac:dyDescent="0.2">
      <c r="B9" s="1" t="s">
        <v>19</v>
      </c>
      <c r="C9" s="8">
        <v>8357</v>
      </c>
      <c r="D9" s="8">
        <v>7937</v>
      </c>
      <c r="E9" s="8">
        <v>9154</v>
      </c>
      <c r="F9" s="8">
        <f t="shared" si="12"/>
        <v>7518</v>
      </c>
      <c r="G9" s="8">
        <v>9155</v>
      </c>
      <c r="H9" s="8">
        <v>8973</v>
      </c>
      <c r="I9" s="8">
        <v>9000</v>
      </c>
      <c r="J9" s="8">
        <f>+J$6*(I9/I$6)</f>
        <v>9960.1550198237455</v>
      </c>
      <c r="U9" s="1">
        <v>31799</v>
      </c>
      <c r="V9" s="1">
        <v>32423</v>
      </c>
      <c r="W9" s="1">
        <v>32966</v>
      </c>
      <c r="X9" s="1">
        <f t="shared" si="8"/>
        <v>37088.155019823746</v>
      </c>
      <c r="Y9" s="1">
        <f>+Y$6*(X9/X$6)</f>
        <v>39160.244881851322</v>
      </c>
      <c r="Z9" s="1">
        <f t="shared" ref="Z9:AG9" si="15">+Z$6*(Y9/Y$6)</f>
        <v>41402.102049636931</v>
      </c>
      <c r="AA9" s="1">
        <f t="shared" si="15"/>
        <v>43853.32237016748</v>
      </c>
      <c r="AB9" s="1">
        <f t="shared" si="15"/>
        <v>46534.693933077098</v>
      </c>
      <c r="AC9" s="1">
        <f t="shared" si="15"/>
        <v>49469.082154706979</v>
      </c>
      <c r="AD9" s="1">
        <f t="shared" si="15"/>
        <v>52681.63749595343</v>
      </c>
      <c r="AE9" s="1">
        <f t="shared" si="15"/>
        <v>56200.023951752635</v>
      </c>
      <c r="AF9" s="1">
        <f t="shared" si="15"/>
        <v>60054.670389364153</v>
      </c>
      <c r="AG9" s="1">
        <f t="shared" si="15"/>
        <v>64279.047020331564</v>
      </c>
    </row>
    <row r="10" spans="2:234" x14ac:dyDescent="0.2">
      <c r="B10" s="1" t="s">
        <v>20</v>
      </c>
      <c r="C10" s="8">
        <v>622</v>
      </c>
      <c r="D10" s="8">
        <v>622</v>
      </c>
      <c r="E10" s="8">
        <v>623</v>
      </c>
      <c r="F10" s="8">
        <f t="shared" si="12"/>
        <v>622</v>
      </c>
      <c r="G10" s="8">
        <v>657</v>
      </c>
      <c r="H10" s="8">
        <v>658</v>
      </c>
      <c r="I10" s="8">
        <v>657</v>
      </c>
      <c r="J10" s="8">
        <f>+J$6*(I10/I$6)</f>
        <v>727.09131644713352</v>
      </c>
      <c r="U10" s="1">
        <v>1961</v>
      </c>
      <c r="V10" s="1">
        <v>2140</v>
      </c>
      <c r="W10" s="1">
        <v>2489</v>
      </c>
      <c r="X10" s="1">
        <f t="shared" si="8"/>
        <v>2699.0913164471335</v>
      </c>
      <c r="Y10" s="1">
        <f>+Y$6*(X10/X$6)</f>
        <v>2849.8877028003353</v>
      </c>
      <c r="Z10" s="1">
        <f t="shared" ref="Z10:AG10" si="16">+Z$6*(Y10/Y$6)</f>
        <v>3013.0389086516548</v>
      </c>
      <c r="AA10" s="1">
        <f t="shared" si="16"/>
        <v>3191.4265226568928</v>
      </c>
      <c r="AB10" s="1">
        <f t="shared" si="16"/>
        <v>3386.5633985071286</v>
      </c>
      <c r="AC10" s="1">
        <f t="shared" si="16"/>
        <v>3600.1135673913068</v>
      </c>
      <c r="AD10" s="1">
        <f t="shared" si="16"/>
        <v>3833.9073546673112</v>
      </c>
      <c r="AE10" s="1">
        <f t="shared" si="16"/>
        <v>4089.9580081893578</v>
      </c>
      <c r="AF10" s="1">
        <f t="shared" si="16"/>
        <v>4370.4799894572352</v>
      </c>
      <c r="AG10" s="1">
        <f t="shared" si="16"/>
        <v>4677.9090938694644</v>
      </c>
    </row>
    <row r="11" spans="2:234" x14ac:dyDescent="0.2">
      <c r="B11" s="1" t="s">
        <v>21</v>
      </c>
      <c r="C11" s="8">
        <v>-1132</v>
      </c>
      <c r="D11" s="8">
        <v>-1266</v>
      </c>
      <c r="E11" s="8">
        <v>-1370</v>
      </c>
      <c r="F11" s="8">
        <f t="shared" si="12"/>
        <v>-1447</v>
      </c>
      <c r="G11" s="8">
        <v>-1284</v>
      </c>
      <c r="H11" s="8">
        <v>-1222</v>
      </c>
      <c r="I11" s="8">
        <v>-1145</v>
      </c>
      <c r="J11" s="8">
        <f>+J$6*(I11/I$6)</f>
        <v>-1267.1530552997988</v>
      </c>
      <c r="U11" s="1">
        <v>-1465</v>
      </c>
      <c r="V11" s="1">
        <v>-1329</v>
      </c>
      <c r="W11" s="1">
        <v>-5215</v>
      </c>
      <c r="X11" s="1">
        <f t="shared" si="8"/>
        <v>-4918.1530552997992</v>
      </c>
      <c r="Y11" s="1">
        <f>+Y$6*(X11/X$6)</f>
        <v>-5192.9269037249796</v>
      </c>
      <c r="Z11" s="1">
        <f t="shared" ref="Z11:AG11" si="17">+Z$6*(Y11/Y$6)</f>
        <v>-5490.2131039524447</v>
      </c>
      <c r="AA11" s="1">
        <f t="shared" si="17"/>
        <v>-5815.2623468222109</v>
      </c>
      <c r="AB11" s="1">
        <f t="shared" si="17"/>
        <v>-6170.8312808247047</v>
      </c>
      <c r="AC11" s="1">
        <f t="shared" si="17"/>
        <v>-6559.952022741656</v>
      </c>
      <c r="AD11" s="1">
        <f t="shared" si="17"/>
        <v>-6985.9597025096537</v>
      </c>
      <c r="AE11" s="1">
        <f t="shared" si="17"/>
        <v>-7452.5227625503931</v>
      </c>
      <c r="AF11" s="1">
        <f t="shared" si="17"/>
        <v>-7963.6762870141101</v>
      </c>
      <c r="AG11" s="1">
        <f t="shared" si="17"/>
        <v>-8523.8586639272926</v>
      </c>
    </row>
    <row r="12" spans="2:234" x14ac:dyDescent="0.2">
      <c r="B12" s="1" t="s">
        <v>22</v>
      </c>
      <c r="C12" s="8">
        <v>1265</v>
      </c>
      <c r="D12" s="8">
        <v>887</v>
      </c>
      <c r="E12" s="8">
        <v>540</v>
      </c>
      <c r="F12" s="8">
        <f t="shared" si="12"/>
        <v>3348</v>
      </c>
      <c r="G12" s="8">
        <v>596</v>
      </c>
      <c r="H12" s="8">
        <v>2654</v>
      </c>
      <c r="I12" s="8">
        <v>970</v>
      </c>
      <c r="J12" s="8">
        <f>+J$6*(I12/I$6)</f>
        <v>1073.4833743587815</v>
      </c>
      <c r="U12" s="1">
        <v>6203</v>
      </c>
      <c r="V12" s="1">
        <v>3486</v>
      </c>
      <c r="W12" s="1">
        <v>6040</v>
      </c>
      <c r="X12" s="1">
        <f t="shared" si="8"/>
        <v>5293.4833743587815</v>
      </c>
      <c r="Y12" s="1">
        <f>+Y$6*(X12/X$6)</f>
        <v>5589.2266710786544</v>
      </c>
      <c r="Z12" s="1">
        <f t="shared" ref="Z12:AG12" si="18">+Z$6*(Y12/Y$6)</f>
        <v>5909.2003564511706</v>
      </c>
      <c r="AA12" s="1">
        <f t="shared" si="18"/>
        <v>6259.0558293557515</v>
      </c>
      <c r="AB12" s="1">
        <f t="shared" si="18"/>
        <v>6641.7601127355501</v>
      </c>
      <c r="AC12" s="1">
        <f t="shared" si="18"/>
        <v>7060.5767202699362</v>
      </c>
      <c r="AD12" s="1">
        <f t="shared" si="18"/>
        <v>7519.095303332535</v>
      </c>
      <c r="AE12" s="1">
        <f t="shared" si="18"/>
        <v>8021.2642626239131</v>
      </c>
      <c r="AF12" s="1">
        <f t="shared" si="18"/>
        <v>8571.4266209461766</v>
      </c>
      <c r="AG12" s="1">
        <f t="shared" si="18"/>
        <v>9174.3594832334293</v>
      </c>
    </row>
    <row r="13" spans="2:234" x14ac:dyDescent="0.2">
      <c r="B13" s="1" t="s">
        <v>23</v>
      </c>
      <c r="C13" s="8">
        <f>+C8-SUM(C9:C12)</f>
        <v>-2678</v>
      </c>
      <c r="D13" s="8">
        <f>+D8-SUM(D9:D12)</f>
        <v>-556</v>
      </c>
      <c r="E13" s="8">
        <f>+E8-SUM(E9:E12)</f>
        <v>-1215</v>
      </c>
      <c r="F13" s="8">
        <f t="shared" si="12"/>
        <v>-2749</v>
      </c>
      <c r="G13" s="8">
        <f>+G8-SUM(G9:G12)</f>
        <v>5478</v>
      </c>
      <c r="H13" s="8">
        <f>+H8-SUM(H9:H12)</f>
        <v>3224</v>
      </c>
      <c r="I13" s="8">
        <f>+I8-SUM(I9:I12)</f>
        <v>1092</v>
      </c>
      <c r="J13" s="8">
        <f>+J8-SUM(J9:J12)</f>
        <v>1208.4988090719489</v>
      </c>
      <c r="U13" s="1">
        <f>+U8-SUM(U9:U12)</f>
        <v>102910</v>
      </c>
      <c r="V13" s="1">
        <f>+V8-SUM(V9:V12)</f>
        <v>126</v>
      </c>
      <c r="W13" s="1">
        <f>+W8-SUM(W9:W12)</f>
        <v>-7198</v>
      </c>
      <c r="X13" s="1">
        <f t="shared" si="8"/>
        <v>11002.498809071949</v>
      </c>
      <c r="Y13" s="1">
        <f>+Y8-SUM(Y9:Y12)</f>
        <v>11617.200894604721</v>
      </c>
      <c r="Z13" s="1">
        <f t="shared" ref="Z13:AG13" si="19">+Z8-SUM(Z9:Z12)</f>
        <v>12282.265813727463</v>
      </c>
      <c r="AA13" s="1">
        <f t="shared" si="19"/>
        <v>13009.439992194792</v>
      </c>
      <c r="AB13" s="1">
        <f t="shared" si="19"/>
        <v>13804.890383615559</v>
      </c>
      <c r="AC13" s="1">
        <f t="shared" si="19"/>
        <v>14675.400197236137</v>
      </c>
      <c r="AD13" s="1">
        <f t="shared" si="19"/>
        <v>15628.43051910706</v>
      </c>
      <c r="AE13" s="1">
        <f t="shared" si="19"/>
        <v>16672.188095322264</v>
      </c>
      <c r="AF13" s="1">
        <f t="shared" si="19"/>
        <v>17815.699893537749</v>
      </c>
      <c r="AG13" s="1">
        <f t="shared" si="19"/>
        <v>19068.895120597343</v>
      </c>
    </row>
    <row r="14" spans="2:234" x14ac:dyDescent="0.2">
      <c r="B14" s="1" t="s">
        <v>24</v>
      </c>
      <c r="C14" s="8">
        <v>0</v>
      </c>
      <c r="D14" s="8">
        <v>0</v>
      </c>
      <c r="E14" s="8">
        <v>0</v>
      </c>
      <c r="F14" s="8">
        <f t="shared" si="12"/>
        <v>-112</v>
      </c>
      <c r="G14" s="8">
        <v>-105</v>
      </c>
      <c r="H14" s="8">
        <v>-66</v>
      </c>
      <c r="I14" s="8">
        <v>-36</v>
      </c>
      <c r="J14" s="8">
        <f>+J$6*(F14/F$6)</f>
        <v>-118.20906259520098</v>
      </c>
      <c r="U14" s="1">
        <v>-101</v>
      </c>
      <c r="V14" s="1">
        <v>0</v>
      </c>
      <c r="W14" s="1">
        <v>-112</v>
      </c>
      <c r="X14" s="13">
        <f t="shared" si="8"/>
        <v>-325.20906259520098</v>
      </c>
      <c r="Y14" s="13">
        <f>+X14</f>
        <v>-325.20906259520098</v>
      </c>
      <c r="Z14" s="13">
        <f t="shared" ref="Z14:AG14" si="20">+Y14</f>
        <v>-325.20906259520098</v>
      </c>
      <c r="AA14" s="13">
        <f t="shared" si="20"/>
        <v>-325.20906259520098</v>
      </c>
      <c r="AB14" s="13">
        <f t="shared" si="20"/>
        <v>-325.20906259520098</v>
      </c>
      <c r="AC14" s="13">
        <f t="shared" si="20"/>
        <v>-325.20906259520098</v>
      </c>
      <c r="AD14" s="13">
        <f t="shared" si="20"/>
        <v>-325.20906259520098</v>
      </c>
      <c r="AE14" s="13">
        <f t="shared" si="20"/>
        <v>-325.20906259520098</v>
      </c>
      <c r="AF14" s="13">
        <f t="shared" si="20"/>
        <v>-325.20906259520098</v>
      </c>
      <c r="AG14" s="13">
        <f t="shared" si="20"/>
        <v>-325.20906259520098</v>
      </c>
    </row>
    <row r="15" spans="2:234" x14ac:dyDescent="0.2">
      <c r="B15" s="1" t="s">
        <v>25</v>
      </c>
      <c r="C15" s="8">
        <v>244</v>
      </c>
      <c r="D15" s="8">
        <v>547</v>
      </c>
      <c r="E15" s="8">
        <v>536</v>
      </c>
      <c r="F15" s="8">
        <f t="shared" si="12"/>
        <v>385</v>
      </c>
      <c r="G15" s="8">
        <v>375</v>
      </c>
      <c r="H15" s="8">
        <v>651</v>
      </c>
      <c r="I15" s="8">
        <v>776</v>
      </c>
      <c r="J15" s="8">
        <f>+J$6*(F15/F$6)</f>
        <v>406.34365267100333</v>
      </c>
      <c r="U15" s="1">
        <v>176</v>
      </c>
      <c r="V15" s="1">
        <v>298</v>
      </c>
      <c r="W15" s="1">
        <v>1712</v>
      </c>
      <c r="X15" s="13">
        <f t="shared" si="8"/>
        <v>2208.3436526710034</v>
      </c>
      <c r="Y15" s="13">
        <f>+X15</f>
        <v>2208.3436526710034</v>
      </c>
      <c r="Z15" s="13">
        <f t="shared" ref="Z15:AG15" si="21">+Y15</f>
        <v>2208.3436526710034</v>
      </c>
      <c r="AA15" s="13">
        <f t="shared" si="21"/>
        <v>2208.3436526710034</v>
      </c>
      <c r="AB15" s="13">
        <f t="shared" si="21"/>
        <v>2208.3436526710034</v>
      </c>
      <c r="AC15" s="13">
        <f t="shared" si="21"/>
        <v>2208.3436526710034</v>
      </c>
      <c r="AD15" s="13">
        <f t="shared" si="21"/>
        <v>2208.3436526710034</v>
      </c>
      <c r="AE15" s="13">
        <f t="shared" si="21"/>
        <v>2208.3436526710034</v>
      </c>
      <c r="AF15" s="13">
        <f t="shared" si="21"/>
        <v>2208.3436526710034</v>
      </c>
      <c r="AG15" s="13">
        <f t="shared" si="21"/>
        <v>2208.3436526710034</v>
      </c>
    </row>
    <row r="16" spans="2:234" x14ac:dyDescent="0.2">
      <c r="B16" s="1" t="s">
        <v>29</v>
      </c>
      <c r="C16" s="8">
        <v>8</v>
      </c>
      <c r="D16" s="8">
        <v>60</v>
      </c>
      <c r="E16" s="8">
        <v>136</v>
      </c>
      <c r="F16" s="8">
        <f t="shared" si="12"/>
        <v>-159</v>
      </c>
      <c r="G16" s="8">
        <v>-466</v>
      </c>
      <c r="H16" s="8">
        <v>-354</v>
      </c>
      <c r="I16" s="8">
        <v>24</v>
      </c>
      <c r="J16" s="8">
        <f>+J$6*(F16/F$6)</f>
        <v>-167.81465136282992</v>
      </c>
      <c r="U16" s="1">
        <v>305</v>
      </c>
      <c r="V16" s="1">
        <v>95</v>
      </c>
      <c r="W16" s="1">
        <v>45</v>
      </c>
      <c r="X16" s="1">
        <f t="shared" si="8"/>
        <v>-963.81465136282986</v>
      </c>
      <c r="Y16" s="1">
        <f>+X16</f>
        <v>-963.81465136282986</v>
      </c>
      <c r="Z16" s="1">
        <f t="shared" ref="Z16:AG16" si="22">+Y16</f>
        <v>-963.81465136282986</v>
      </c>
      <c r="AA16" s="1">
        <f t="shared" si="22"/>
        <v>-963.81465136282986</v>
      </c>
      <c r="AB16" s="1">
        <f t="shared" si="22"/>
        <v>-963.81465136282986</v>
      </c>
      <c r="AC16" s="1">
        <f t="shared" si="22"/>
        <v>-963.81465136282986</v>
      </c>
      <c r="AD16" s="1">
        <f t="shared" si="22"/>
        <v>-963.81465136282986</v>
      </c>
      <c r="AE16" s="1">
        <f t="shared" si="22"/>
        <v>-963.81465136282986</v>
      </c>
      <c r="AF16" s="1">
        <f t="shared" si="22"/>
        <v>-963.81465136282986</v>
      </c>
      <c r="AG16" s="1">
        <f t="shared" si="22"/>
        <v>-963.81465136282986</v>
      </c>
    </row>
    <row r="17" spans="2:234" x14ac:dyDescent="0.2">
      <c r="B17" s="1" t="s">
        <v>26</v>
      </c>
      <c r="C17" s="8">
        <f>+C13+SUM(C14:C16)</f>
        <v>-2426</v>
      </c>
      <c r="D17" s="8">
        <f>+D13+SUM(D14:D16)</f>
        <v>51</v>
      </c>
      <c r="E17" s="8">
        <f>+E13+SUM(E14:E16)</f>
        <v>-543</v>
      </c>
      <c r="F17" s="8">
        <f t="shared" si="12"/>
        <v>-2635</v>
      </c>
      <c r="G17" s="8">
        <f>+G13+SUM(G14:G16)</f>
        <v>5282</v>
      </c>
      <c r="H17" s="8">
        <f>+H13+SUM(H14:H16)</f>
        <v>3455</v>
      </c>
      <c r="I17" s="8">
        <f>+I13+SUM(I14:I16)</f>
        <v>1856</v>
      </c>
      <c r="J17" s="8">
        <f>+J13+SUM(J14:J16)</f>
        <v>1328.8187477849215</v>
      </c>
      <c r="U17" s="1">
        <f>+U13+SUM(U14:U16)</f>
        <v>103290</v>
      </c>
      <c r="V17" s="1">
        <f>+V13+SUM(V14:V16)</f>
        <v>519</v>
      </c>
      <c r="W17" s="1">
        <f>+W13+SUM(W14:W16)</f>
        <v>-5553</v>
      </c>
      <c r="X17" s="1">
        <f t="shared" si="8"/>
        <v>11921.818747784921</v>
      </c>
      <c r="Y17" s="1">
        <f>+Y13+SUM(Y14:Y16)</f>
        <v>12536.520833317692</v>
      </c>
      <c r="Z17" s="1">
        <f t="shared" ref="Z17:AG17" si="23">+Z13+SUM(Z14:Z16)</f>
        <v>13201.585752440435</v>
      </c>
      <c r="AA17" s="1">
        <f t="shared" si="23"/>
        <v>13928.759930907763</v>
      </c>
      <c r="AB17" s="1">
        <f t="shared" si="23"/>
        <v>14724.21032232853</v>
      </c>
      <c r="AC17" s="1">
        <f t="shared" si="23"/>
        <v>15594.720135949108</v>
      </c>
      <c r="AD17" s="1">
        <f t="shared" si="23"/>
        <v>16547.750457820031</v>
      </c>
      <c r="AE17" s="1">
        <f t="shared" si="23"/>
        <v>17591.508034035236</v>
      </c>
      <c r="AF17" s="1">
        <f t="shared" si="23"/>
        <v>18735.01983225072</v>
      </c>
      <c r="AG17" s="1">
        <f t="shared" si="23"/>
        <v>19988.215059310314</v>
      </c>
    </row>
    <row r="18" spans="2:234" x14ac:dyDescent="0.2">
      <c r="B18" s="1" t="s">
        <v>27</v>
      </c>
      <c r="C18" s="8">
        <v>775</v>
      </c>
      <c r="D18" s="8">
        <v>304</v>
      </c>
      <c r="E18" s="8">
        <v>7</v>
      </c>
      <c r="F18" s="8">
        <f t="shared" si="12"/>
        <v>-195419</v>
      </c>
      <c r="G18" s="8">
        <v>-196</v>
      </c>
      <c r="H18" s="8">
        <v>-30</v>
      </c>
      <c r="I18" s="8">
        <v>-264</v>
      </c>
      <c r="J18" s="8">
        <f>+J17*(I18/I17)</f>
        <v>-189.01301153837247</v>
      </c>
      <c r="U18" s="1">
        <v>-24289</v>
      </c>
      <c r="V18" s="1">
        <v>8389</v>
      </c>
      <c r="W18" s="1">
        <v>-194333</v>
      </c>
      <c r="X18" s="1">
        <f t="shared" si="8"/>
        <v>-679.01301153837244</v>
      </c>
      <c r="Y18" s="1">
        <f>+Y17*(X18/X17)</f>
        <v>-714.02366915083428</v>
      </c>
      <c r="Z18" s="1">
        <f t="shared" ref="Z18:AG18" si="24">+Z17*(Y18/Y17)</f>
        <v>-751.90276655666958</v>
      </c>
      <c r="AA18" s="1">
        <f t="shared" si="24"/>
        <v>-793.31932717379721</v>
      </c>
      <c r="AB18" s="1">
        <f t="shared" si="24"/>
        <v>-838.62459285805755</v>
      </c>
      <c r="AC18" s="1">
        <f t="shared" si="24"/>
        <v>-888.20490460621602</v>
      </c>
      <c r="AD18" s="1">
        <f t="shared" si="24"/>
        <v>-942.48521221961562</v>
      </c>
      <c r="AE18" s="1">
        <f t="shared" si="24"/>
        <v>-1001.9329349316858</v>
      </c>
      <c r="AF18" s="1">
        <f t="shared" si="24"/>
        <v>-1067.0622080956671</v>
      </c>
      <c r="AG18" s="1">
        <f t="shared" si="24"/>
        <v>-1138.438554538558</v>
      </c>
    </row>
    <row r="19" spans="2:234" x14ac:dyDescent="0.2">
      <c r="B19" s="1" t="s">
        <v>28</v>
      </c>
      <c r="C19" s="8">
        <f>+C17+C18</f>
        <v>-1651</v>
      </c>
      <c r="D19" s="8">
        <f>+D17+D18</f>
        <v>355</v>
      </c>
      <c r="E19" s="8">
        <f>+E17+E18</f>
        <v>-536</v>
      </c>
      <c r="F19" s="8">
        <f t="shared" si="12"/>
        <v>-198054</v>
      </c>
      <c r="G19" s="8">
        <f>+G17+G18</f>
        <v>5086</v>
      </c>
      <c r="H19" s="8">
        <f>+H17+H18</f>
        <v>3425</v>
      </c>
      <c r="I19" s="8">
        <f>+I17+I18</f>
        <v>1592</v>
      </c>
      <c r="J19" s="8">
        <f>+J17+J18</f>
        <v>1139.805736246549</v>
      </c>
      <c r="U19" s="1">
        <f>+U17+U18</f>
        <v>79001</v>
      </c>
      <c r="V19" s="1">
        <f>+V17+V18</f>
        <v>8908</v>
      </c>
      <c r="W19" s="1">
        <f>+W17+W18</f>
        <v>-199886</v>
      </c>
      <c r="X19" s="1">
        <f t="shared" si="8"/>
        <v>11242.80573624655</v>
      </c>
      <c r="Y19" s="1">
        <f>+Y17+Y18</f>
        <v>11822.497164166858</v>
      </c>
      <c r="Z19" s="1">
        <f t="shared" ref="Z19:AG19" si="25">+Z17+Z18</f>
        <v>12449.682985883765</v>
      </c>
      <c r="AA19" s="1">
        <f t="shared" si="25"/>
        <v>13135.440603733967</v>
      </c>
      <c r="AB19" s="1">
        <f t="shared" si="25"/>
        <v>13885.585729470473</v>
      </c>
      <c r="AC19" s="1">
        <f t="shared" si="25"/>
        <v>14706.515231342892</v>
      </c>
      <c r="AD19" s="1">
        <f t="shared" si="25"/>
        <v>15605.265245600416</v>
      </c>
      <c r="AE19" s="1">
        <f t="shared" si="25"/>
        <v>16589.575099103549</v>
      </c>
      <c r="AF19" s="1">
        <f t="shared" si="25"/>
        <v>17667.957624155053</v>
      </c>
      <c r="AG19" s="1">
        <f t="shared" si="25"/>
        <v>18849.776504771755</v>
      </c>
      <c r="AH19" s="1">
        <f t="shared" ref="AH19:CS19" si="26">+AG19*(1+$AL$21)</f>
        <v>19038.274269819474</v>
      </c>
      <c r="AI19" s="1">
        <f t="shared" si="26"/>
        <v>19228.65701251767</v>
      </c>
      <c r="AJ19" s="1">
        <f t="shared" si="26"/>
        <v>19420.943582642845</v>
      </c>
      <c r="AK19" s="1">
        <f t="shared" si="26"/>
        <v>19615.153018469275</v>
      </c>
      <c r="AL19" s="1">
        <f t="shared" si="26"/>
        <v>19811.304548653967</v>
      </c>
      <c r="AM19" s="1">
        <f t="shared" si="26"/>
        <v>20009.417594140508</v>
      </c>
      <c r="AN19" s="1">
        <f t="shared" si="26"/>
        <v>20209.511770081914</v>
      </c>
      <c r="AO19" s="1">
        <f t="shared" si="26"/>
        <v>20411.606887782735</v>
      </c>
      <c r="AP19" s="1">
        <f t="shared" si="26"/>
        <v>20615.722956660564</v>
      </c>
      <c r="AQ19" s="1">
        <f t="shared" si="26"/>
        <v>20821.880186227168</v>
      </c>
      <c r="AR19" s="1">
        <f t="shared" si="26"/>
        <v>21030.098988089441</v>
      </c>
      <c r="AS19" s="1">
        <f t="shared" si="26"/>
        <v>21240.399977970337</v>
      </c>
      <c r="AT19" s="1">
        <f t="shared" si="26"/>
        <v>21452.803977750042</v>
      </c>
      <c r="AU19" s="1">
        <f t="shared" si="26"/>
        <v>21667.332017527544</v>
      </c>
      <c r="AV19" s="1">
        <f t="shared" si="26"/>
        <v>21884.00533770282</v>
      </c>
      <c r="AW19" s="1">
        <f t="shared" si="26"/>
        <v>22102.845391079849</v>
      </c>
      <c r="AX19" s="1">
        <f t="shared" si="26"/>
        <v>22323.873844990649</v>
      </c>
      <c r="AY19" s="1">
        <f t="shared" si="26"/>
        <v>22547.112583440554</v>
      </c>
      <c r="AZ19" s="1">
        <f t="shared" si="26"/>
        <v>22772.583709274961</v>
      </c>
      <c r="BA19" s="1">
        <f t="shared" si="26"/>
        <v>23000.309546367709</v>
      </c>
      <c r="BB19" s="1">
        <f t="shared" si="26"/>
        <v>23230.312641831388</v>
      </c>
      <c r="BC19" s="1">
        <f t="shared" si="26"/>
        <v>23462.615768249703</v>
      </c>
      <c r="BD19" s="1">
        <f t="shared" si="26"/>
        <v>23697.241925932201</v>
      </c>
      <c r="BE19" s="1">
        <f t="shared" si="26"/>
        <v>23934.214345191525</v>
      </c>
      <c r="BF19" s="1">
        <f t="shared" si="26"/>
        <v>24173.55648864344</v>
      </c>
      <c r="BG19" s="1">
        <f t="shared" si="26"/>
        <v>24415.292053529876</v>
      </c>
      <c r="BH19" s="1">
        <f t="shared" si="26"/>
        <v>24659.444974065176</v>
      </c>
      <c r="BI19" s="1">
        <f t="shared" si="26"/>
        <v>24906.039423805829</v>
      </c>
      <c r="BJ19" s="1">
        <f t="shared" si="26"/>
        <v>25155.099818043887</v>
      </c>
      <c r="BK19" s="1">
        <f t="shared" si="26"/>
        <v>25406.650816224326</v>
      </c>
      <c r="BL19" s="1">
        <f t="shared" si="26"/>
        <v>25660.717324386569</v>
      </c>
      <c r="BM19" s="1">
        <f t="shared" si="26"/>
        <v>25917.324497630434</v>
      </c>
      <c r="BN19" s="1">
        <f t="shared" si="26"/>
        <v>26176.497742606738</v>
      </c>
      <c r="BO19" s="1">
        <f t="shared" si="26"/>
        <v>26438.262720032806</v>
      </c>
      <c r="BP19" s="1">
        <f t="shared" si="26"/>
        <v>26702.645347233134</v>
      </c>
      <c r="BQ19" s="1">
        <f t="shared" si="26"/>
        <v>26969.671800705466</v>
      </c>
      <c r="BR19" s="1">
        <f t="shared" si="26"/>
        <v>27239.368518712519</v>
      </c>
      <c r="BS19" s="1">
        <f t="shared" si="26"/>
        <v>27511.762203899645</v>
      </c>
      <c r="BT19" s="1">
        <f t="shared" si="26"/>
        <v>27786.879825938642</v>
      </c>
      <c r="BU19" s="1">
        <f t="shared" si="26"/>
        <v>28064.74862419803</v>
      </c>
      <c r="BV19" s="1">
        <f t="shared" si="26"/>
        <v>28345.396110440011</v>
      </c>
      <c r="BW19" s="1">
        <f t="shared" si="26"/>
        <v>28628.850071544413</v>
      </c>
      <c r="BX19" s="1">
        <f t="shared" si="26"/>
        <v>28915.138572259857</v>
      </c>
      <c r="BY19" s="1">
        <f t="shared" si="26"/>
        <v>29204.289957982455</v>
      </c>
      <c r="BZ19" s="1">
        <f t="shared" si="26"/>
        <v>29496.33285756228</v>
      </c>
      <c r="CA19" s="1">
        <f t="shared" si="26"/>
        <v>29791.296186137904</v>
      </c>
      <c r="CB19" s="1">
        <f t="shared" si="26"/>
        <v>30089.209147999285</v>
      </c>
      <c r="CC19" s="1">
        <f t="shared" si="26"/>
        <v>30390.101239479278</v>
      </c>
      <c r="CD19" s="1">
        <f t="shared" si="26"/>
        <v>30694.00225187407</v>
      </c>
      <c r="CE19" s="1">
        <f t="shared" si="26"/>
        <v>31000.942274392812</v>
      </c>
      <c r="CF19" s="1">
        <f t="shared" si="26"/>
        <v>31310.951697136741</v>
      </c>
      <c r="CG19" s="1">
        <f t="shared" si="26"/>
        <v>31624.061214108107</v>
      </c>
      <c r="CH19" s="1">
        <f t="shared" si="26"/>
        <v>31940.30182624919</v>
      </c>
      <c r="CI19" s="1">
        <f t="shared" si="26"/>
        <v>32259.704844511682</v>
      </c>
      <c r="CJ19" s="1">
        <f t="shared" si="26"/>
        <v>32582.301892956799</v>
      </c>
      <c r="CK19" s="1">
        <f t="shared" si="26"/>
        <v>32908.124911886371</v>
      </c>
      <c r="CL19" s="1">
        <f t="shared" si="26"/>
        <v>33237.206161005233</v>
      </c>
      <c r="CM19" s="1">
        <f t="shared" si="26"/>
        <v>33569.578222615288</v>
      </c>
      <c r="CN19" s="1">
        <f t="shared" si="26"/>
        <v>33905.274004841442</v>
      </c>
      <c r="CO19" s="1">
        <f t="shared" si="26"/>
        <v>34244.326744889855</v>
      </c>
      <c r="CP19" s="1">
        <f t="shared" si="26"/>
        <v>34586.770012338755</v>
      </c>
      <c r="CQ19" s="1">
        <f t="shared" si="26"/>
        <v>34932.637712462143</v>
      </c>
      <c r="CR19" s="1">
        <f t="shared" si="26"/>
        <v>35281.964089586763</v>
      </c>
      <c r="CS19" s="1">
        <f t="shared" si="26"/>
        <v>35634.783730482632</v>
      </c>
      <c r="CT19" s="1">
        <f t="shared" ref="CT19:FE19" si="27">+CS19*(1+$AL$21)</f>
        <v>35991.131567787459</v>
      </c>
      <c r="CU19" s="1">
        <f t="shared" si="27"/>
        <v>36351.042883465336</v>
      </c>
      <c r="CV19" s="1">
        <f t="shared" si="27"/>
        <v>36714.553312299991</v>
      </c>
      <c r="CW19" s="1">
        <f t="shared" si="27"/>
        <v>37081.698845422994</v>
      </c>
      <c r="CX19" s="1">
        <f t="shared" si="27"/>
        <v>37452.515833877223</v>
      </c>
      <c r="CY19" s="1">
        <f t="shared" si="27"/>
        <v>37827.040992215996</v>
      </c>
      <c r="CZ19" s="1">
        <f t="shared" si="27"/>
        <v>38205.311402138155</v>
      </c>
      <c r="DA19" s="1">
        <f t="shared" si="27"/>
        <v>38587.364516159534</v>
      </c>
      <c r="DB19" s="1">
        <f t="shared" si="27"/>
        <v>38973.238161321133</v>
      </c>
      <c r="DC19" s="1">
        <f t="shared" si="27"/>
        <v>39362.970542934345</v>
      </c>
      <c r="DD19" s="1">
        <f t="shared" si="27"/>
        <v>39756.600248363691</v>
      </c>
      <c r="DE19" s="1">
        <f t="shared" si="27"/>
        <v>40154.166250847331</v>
      </c>
      <c r="DF19" s="1">
        <f t="shared" si="27"/>
        <v>40555.707913355807</v>
      </c>
      <c r="DG19" s="1">
        <f t="shared" si="27"/>
        <v>40961.264992489363</v>
      </c>
      <c r="DH19" s="1">
        <f t="shared" si="27"/>
        <v>41370.877642414256</v>
      </c>
      <c r="DI19" s="1">
        <f t="shared" si="27"/>
        <v>41784.5864188384</v>
      </c>
      <c r="DJ19" s="1">
        <f t="shared" si="27"/>
        <v>42202.432283026785</v>
      </c>
      <c r="DK19" s="1">
        <f t="shared" si="27"/>
        <v>42624.456605857056</v>
      </c>
      <c r="DL19" s="1">
        <f t="shared" si="27"/>
        <v>43050.701171915629</v>
      </c>
      <c r="DM19" s="1">
        <f t="shared" si="27"/>
        <v>43481.208183634786</v>
      </c>
      <c r="DN19" s="1">
        <f t="shared" si="27"/>
        <v>43916.020265471132</v>
      </c>
      <c r="DO19" s="1">
        <f t="shared" si="27"/>
        <v>44355.180468125844</v>
      </c>
      <c r="DP19" s="1">
        <f t="shared" si="27"/>
        <v>44798.732272807101</v>
      </c>
      <c r="DQ19" s="1">
        <f t="shared" si="27"/>
        <v>45246.719595535171</v>
      </c>
      <c r="DR19" s="1">
        <f t="shared" si="27"/>
        <v>45699.186791490523</v>
      </c>
      <c r="DS19" s="1">
        <f t="shared" si="27"/>
        <v>46156.178659405428</v>
      </c>
      <c r="DT19" s="1">
        <f t="shared" si="27"/>
        <v>46617.74044599948</v>
      </c>
      <c r="DU19" s="1">
        <f t="shared" si="27"/>
        <v>47083.917850459475</v>
      </c>
      <c r="DV19" s="1">
        <f t="shared" si="27"/>
        <v>47554.757028964072</v>
      </c>
      <c r="DW19" s="1">
        <f t="shared" si="27"/>
        <v>48030.304599253715</v>
      </c>
      <c r="DX19" s="1">
        <f t="shared" si="27"/>
        <v>48510.607645246251</v>
      </c>
      <c r="DY19" s="1">
        <f t="shared" si="27"/>
        <v>48995.713721698718</v>
      </c>
      <c r="DZ19" s="1">
        <f t="shared" si="27"/>
        <v>49485.670858915706</v>
      </c>
      <c r="EA19" s="1">
        <f t="shared" si="27"/>
        <v>49980.527567504862</v>
      </c>
      <c r="EB19" s="1">
        <f t="shared" si="27"/>
        <v>50480.332843179909</v>
      </c>
      <c r="EC19" s="1">
        <f t="shared" si="27"/>
        <v>50985.13617161171</v>
      </c>
      <c r="ED19" s="1">
        <f t="shared" si="27"/>
        <v>51494.987533327825</v>
      </c>
      <c r="EE19" s="1">
        <f t="shared" si="27"/>
        <v>52009.937408661106</v>
      </c>
      <c r="EF19" s="1">
        <f t="shared" si="27"/>
        <v>52530.036782747717</v>
      </c>
      <c r="EG19" s="1">
        <f t="shared" si="27"/>
        <v>53055.337150575193</v>
      </c>
      <c r="EH19" s="1">
        <f t="shared" si="27"/>
        <v>53585.890522080947</v>
      </c>
      <c r="EI19" s="1">
        <f t="shared" si="27"/>
        <v>54121.749427301758</v>
      </c>
      <c r="EJ19" s="1">
        <f t="shared" si="27"/>
        <v>54662.966921574778</v>
      </c>
      <c r="EK19" s="1">
        <f t="shared" si="27"/>
        <v>55209.596590790527</v>
      </c>
      <c r="EL19" s="1">
        <f t="shared" si="27"/>
        <v>55761.692556698436</v>
      </c>
      <c r="EM19" s="1">
        <f t="shared" si="27"/>
        <v>56319.309482265424</v>
      </c>
      <c r="EN19" s="1">
        <f t="shared" si="27"/>
        <v>56882.502577088082</v>
      </c>
      <c r="EO19" s="1">
        <f t="shared" si="27"/>
        <v>57451.327602858961</v>
      </c>
      <c r="EP19" s="1">
        <f t="shared" si="27"/>
        <v>58025.840878887553</v>
      </c>
      <c r="EQ19" s="1">
        <f t="shared" si="27"/>
        <v>58606.099287676429</v>
      </c>
      <c r="ER19" s="1">
        <f t="shared" si="27"/>
        <v>59192.160280553195</v>
      </c>
      <c r="ES19" s="1">
        <f t="shared" si="27"/>
        <v>59784.081883358725</v>
      </c>
      <c r="ET19" s="1">
        <f t="shared" si="27"/>
        <v>60381.922702192314</v>
      </c>
      <c r="EU19" s="1">
        <f t="shared" si="27"/>
        <v>60985.741929214237</v>
      </c>
      <c r="EV19" s="1">
        <f t="shared" si="27"/>
        <v>61595.599348506381</v>
      </c>
      <c r="EW19" s="1">
        <f t="shared" si="27"/>
        <v>62211.555341991443</v>
      </c>
      <c r="EX19" s="1">
        <f t="shared" si="27"/>
        <v>62833.670895411356</v>
      </c>
      <c r="EY19" s="1">
        <f t="shared" si="27"/>
        <v>63462.00760436547</v>
      </c>
      <c r="EZ19" s="1">
        <f t="shared" si="27"/>
        <v>64096.627680409125</v>
      </c>
      <c r="FA19" s="1">
        <f t="shared" si="27"/>
        <v>64737.593957213219</v>
      </c>
      <c r="FB19" s="1">
        <f t="shared" si="27"/>
        <v>65384.969896785355</v>
      </c>
      <c r="FC19" s="1">
        <f t="shared" si="27"/>
        <v>66038.819595753215</v>
      </c>
      <c r="FD19" s="1">
        <f t="shared" si="27"/>
        <v>66699.207791710753</v>
      </c>
      <c r="FE19" s="1">
        <f t="shared" si="27"/>
        <v>67366.199869627861</v>
      </c>
      <c r="FF19" s="1">
        <f t="shared" ref="FF19:HQ19" si="28">+FE19*(1+$AL$21)</f>
        <v>68039.861868324137</v>
      </c>
      <c r="FG19" s="1">
        <f t="shared" si="28"/>
        <v>68720.260487007385</v>
      </c>
      <c r="FH19" s="1">
        <f t="shared" si="28"/>
        <v>69407.463091877464</v>
      </c>
      <c r="FI19" s="1">
        <f t="shared" si="28"/>
        <v>70101.537722796245</v>
      </c>
      <c r="FJ19" s="1">
        <f t="shared" si="28"/>
        <v>70802.553100024204</v>
      </c>
      <c r="FK19" s="1">
        <f t="shared" si="28"/>
        <v>71510.578631024444</v>
      </c>
      <c r="FL19" s="1">
        <f t="shared" si="28"/>
        <v>72225.684417334691</v>
      </c>
      <c r="FM19" s="1">
        <f t="shared" si="28"/>
        <v>72947.941261508036</v>
      </c>
      <c r="FN19" s="1">
        <f t="shared" si="28"/>
        <v>73677.420674123117</v>
      </c>
      <c r="FO19" s="1">
        <f t="shared" si="28"/>
        <v>74414.19488086435</v>
      </c>
      <c r="FP19" s="1">
        <f t="shared" si="28"/>
        <v>75158.33682967299</v>
      </c>
      <c r="FQ19" s="1">
        <f t="shared" si="28"/>
        <v>75909.920197969725</v>
      </c>
      <c r="FR19" s="1">
        <f t="shared" si="28"/>
        <v>76669.019399949422</v>
      </c>
      <c r="FS19" s="1">
        <f t="shared" si="28"/>
        <v>77435.709593948923</v>
      </c>
      <c r="FT19" s="1">
        <f t="shared" si="28"/>
        <v>78210.066689888408</v>
      </c>
      <c r="FU19" s="1">
        <f t="shared" si="28"/>
        <v>78992.167356787293</v>
      </c>
      <c r="FV19" s="1">
        <f t="shared" si="28"/>
        <v>79782.089030355171</v>
      </c>
      <c r="FW19" s="1">
        <f t="shared" si="28"/>
        <v>80579.909920658727</v>
      </c>
      <c r="FX19" s="1">
        <f t="shared" si="28"/>
        <v>81385.709019865317</v>
      </c>
      <c r="FY19" s="1">
        <f t="shared" si="28"/>
        <v>82199.56611006397</v>
      </c>
      <c r="FZ19" s="1">
        <f t="shared" si="28"/>
        <v>83021.561771164605</v>
      </c>
      <c r="GA19" s="1">
        <f t="shared" si="28"/>
        <v>83851.777388876246</v>
      </c>
      <c r="GB19" s="1">
        <f t="shared" si="28"/>
        <v>84690.295162765004</v>
      </c>
      <c r="GC19" s="1">
        <f t="shared" si="28"/>
        <v>85537.198114392653</v>
      </c>
      <c r="GD19" s="1">
        <f t="shared" si="28"/>
        <v>86392.570095536576</v>
      </c>
      <c r="GE19" s="1">
        <f t="shared" si="28"/>
        <v>87256.495796491945</v>
      </c>
      <c r="GF19" s="1">
        <f t="shared" si="28"/>
        <v>88129.060754456863</v>
      </c>
      <c r="GG19" s="1">
        <f t="shared" si="28"/>
        <v>89010.351362001427</v>
      </c>
      <c r="GH19" s="1">
        <f t="shared" si="28"/>
        <v>89900.454875621435</v>
      </c>
      <c r="GI19" s="1">
        <f t="shared" si="28"/>
        <v>90799.459424377652</v>
      </c>
      <c r="GJ19" s="1">
        <f t="shared" si="28"/>
        <v>91707.454018621429</v>
      </c>
      <c r="GK19" s="1">
        <f t="shared" si="28"/>
        <v>92624.528558807651</v>
      </c>
      <c r="GL19" s="1">
        <f t="shared" si="28"/>
        <v>93550.773844395735</v>
      </c>
      <c r="GM19" s="1">
        <f t="shared" si="28"/>
        <v>94486.2815828397</v>
      </c>
      <c r="GN19" s="1">
        <f t="shared" si="28"/>
        <v>95431.144398668097</v>
      </c>
      <c r="GO19" s="1">
        <f t="shared" si="28"/>
        <v>96385.455842654774</v>
      </c>
      <c r="GP19" s="1">
        <f t="shared" si="28"/>
        <v>97349.310401081326</v>
      </c>
      <c r="GQ19" s="1">
        <f t="shared" si="28"/>
        <v>98322.803505092146</v>
      </c>
      <c r="GR19" s="1">
        <f t="shared" si="28"/>
        <v>99306.031540143071</v>
      </c>
      <c r="GS19" s="1">
        <f t="shared" si="28"/>
        <v>100299.09185554451</v>
      </c>
      <c r="GT19" s="1">
        <f t="shared" si="28"/>
        <v>101302.08277409995</v>
      </c>
      <c r="GU19" s="1">
        <f t="shared" si="28"/>
        <v>102315.10360184095</v>
      </c>
      <c r="GV19" s="1">
        <f t="shared" si="28"/>
        <v>103338.25463785935</v>
      </c>
      <c r="GW19" s="1">
        <f t="shared" si="28"/>
        <v>104371.63718423794</v>
      </c>
      <c r="GX19" s="1">
        <f t="shared" si="28"/>
        <v>105415.35355608033</v>
      </c>
      <c r="GY19" s="1">
        <f t="shared" si="28"/>
        <v>106469.50709164114</v>
      </c>
      <c r="GZ19" s="1">
        <f t="shared" si="28"/>
        <v>107534.20216255754</v>
      </c>
      <c r="HA19" s="1">
        <f t="shared" si="28"/>
        <v>108609.54418418312</v>
      </c>
      <c r="HB19" s="1">
        <f t="shared" si="28"/>
        <v>109695.63962602495</v>
      </c>
      <c r="HC19" s="1">
        <f t="shared" si="28"/>
        <v>110792.5960222852</v>
      </c>
      <c r="HD19" s="1">
        <f t="shared" si="28"/>
        <v>111900.52198250806</v>
      </c>
      <c r="HE19" s="1">
        <f t="shared" si="28"/>
        <v>113019.52720233313</v>
      </c>
      <c r="HF19" s="1">
        <f t="shared" si="28"/>
        <v>114149.72247435647</v>
      </c>
      <c r="HG19" s="1">
        <f t="shared" si="28"/>
        <v>115291.21969910004</v>
      </c>
      <c r="HH19" s="1">
        <f t="shared" si="28"/>
        <v>116444.13189609104</v>
      </c>
      <c r="HI19" s="1">
        <f t="shared" si="28"/>
        <v>117608.57321505196</v>
      </c>
      <c r="HJ19" s="1">
        <f t="shared" si="28"/>
        <v>118784.65894720248</v>
      </c>
      <c r="HK19" s="1">
        <f t="shared" si="28"/>
        <v>119972.50553667451</v>
      </c>
      <c r="HL19" s="1">
        <f t="shared" si="28"/>
        <v>121172.23059204125</v>
      </c>
      <c r="HM19" s="1">
        <f t="shared" si="28"/>
        <v>122383.95289796166</v>
      </c>
      <c r="HN19" s="1">
        <f t="shared" si="28"/>
        <v>123607.79242694128</v>
      </c>
      <c r="HO19" s="1">
        <f t="shared" si="28"/>
        <v>124843.87035121069</v>
      </c>
      <c r="HP19" s="1">
        <f t="shared" si="28"/>
        <v>126092.30905472279</v>
      </c>
      <c r="HQ19" s="1">
        <f t="shared" si="28"/>
        <v>127353.23214527003</v>
      </c>
      <c r="HR19" s="1">
        <f t="shared" ref="HR19:HZ19" si="29">+HQ19*(1+$AL$21)</f>
        <v>128626.76446672273</v>
      </c>
      <c r="HS19" s="1">
        <f t="shared" si="29"/>
        <v>129913.03211138996</v>
      </c>
      <c r="HT19" s="1">
        <f t="shared" si="29"/>
        <v>131212.16243250386</v>
      </c>
      <c r="HU19" s="1">
        <f t="shared" si="29"/>
        <v>132524.28405682891</v>
      </c>
      <c r="HV19" s="1">
        <f t="shared" si="29"/>
        <v>133849.52689739721</v>
      </c>
      <c r="HW19" s="1">
        <f t="shared" si="29"/>
        <v>135188.0221663712</v>
      </c>
      <c r="HX19" s="1">
        <f t="shared" si="29"/>
        <v>136539.90238803491</v>
      </c>
      <c r="HY19" s="1">
        <f t="shared" si="29"/>
        <v>137905.30141191525</v>
      </c>
      <c r="HZ19" s="1">
        <f t="shared" si="29"/>
        <v>139284.35442603441</v>
      </c>
    </row>
    <row r="21" spans="2:234" x14ac:dyDescent="0.2">
      <c r="AK21" s="1" t="s">
        <v>64</v>
      </c>
      <c r="AL21" s="5">
        <v>0.01</v>
      </c>
    </row>
    <row r="22" spans="2:234" s="3" customFormat="1" x14ac:dyDescent="0.2">
      <c r="B22" s="3" t="s">
        <v>16</v>
      </c>
      <c r="C22" s="9"/>
      <c r="D22" s="9"/>
      <c r="E22" s="9"/>
      <c r="F22" s="9"/>
      <c r="G22" s="9">
        <f>+G6/C6-1</f>
        <v>0.23298901459255617</v>
      </c>
      <c r="H22" s="9">
        <f>+H6/D6-1</f>
        <v>0.15175247764080257</v>
      </c>
      <c r="I22" s="9">
        <f>+I6/E6-1</f>
        <v>-7.5240230064814284E-2</v>
      </c>
      <c r="J22" s="9"/>
      <c r="V22" s="3">
        <f>+V6/U6-1</f>
        <v>-0.17325398142003978</v>
      </c>
      <c r="W22" s="3">
        <f>+W6/V6-1</f>
        <v>-8.738977293493333E-2</v>
      </c>
      <c r="X22" s="3">
        <f>+X6/W6-1</f>
        <v>0.10464954023259287</v>
      </c>
      <c r="Y22" s="3">
        <f t="shared" ref="Y22:AG22" si="30">+Y6/X6-1</f>
        <v>5.5869316252588952E-2</v>
      </c>
      <c r="Z22" s="3">
        <f t="shared" si="30"/>
        <v>5.7248292868173456E-2</v>
      </c>
      <c r="AA22" s="3">
        <f t="shared" si="30"/>
        <v>5.9205214208490675E-2</v>
      </c>
      <c r="AB22" s="3">
        <f t="shared" si="30"/>
        <v>6.1144091667127753E-2</v>
      </c>
      <c r="AC22" s="3">
        <f t="shared" si="30"/>
        <v>6.3058075032145E-2</v>
      </c>
      <c r="AD22" s="3">
        <f t="shared" si="30"/>
        <v>6.4940670037088477E-2</v>
      </c>
      <c r="AE22" s="3">
        <f t="shared" si="30"/>
        <v>6.6785821835349424E-2</v>
      </c>
      <c r="AF22" s="3">
        <f t="shared" si="30"/>
        <v>6.8587985672758922E-2</v>
      </c>
      <c r="AG22" s="3">
        <f t="shared" si="30"/>
        <v>7.0342183273651715E-2</v>
      </c>
      <c r="AK22" s="1" t="s">
        <v>65</v>
      </c>
      <c r="AL22" s="5">
        <v>0.08</v>
      </c>
    </row>
    <row r="23" spans="2:234" s="3" customFormat="1" x14ac:dyDescent="0.2">
      <c r="B23" s="1" t="s">
        <v>61</v>
      </c>
      <c r="C23" s="9"/>
      <c r="D23" s="9"/>
      <c r="E23" s="9"/>
      <c r="F23" s="9"/>
      <c r="G23" s="9">
        <f t="shared" ref="G23:I25" si="31">+G3/C3-1</f>
        <v>0.15970300191611675</v>
      </c>
      <c r="H23" s="9">
        <f t="shared" si="31"/>
        <v>0.13185056935473138</v>
      </c>
      <c r="I23" s="9">
        <f t="shared" si="31"/>
        <v>0.14540132599802513</v>
      </c>
      <c r="J23" s="9"/>
      <c r="W23" s="3">
        <f t="shared" ref="W23:X25" si="32">+W3/V3-1</f>
        <v>-0.19937788609543361</v>
      </c>
      <c r="X23" s="3">
        <f t="shared" si="32"/>
        <v>0.14750947265546754</v>
      </c>
      <c r="AK23" s="3" t="s">
        <v>66</v>
      </c>
      <c r="AL23" s="6">
        <f>NPV(AL22,X19:HZ19)</f>
        <v>220416.54364302556</v>
      </c>
    </row>
    <row r="24" spans="2:234" s="3" customFormat="1" x14ac:dyDescent="0.2">
      <c r="B24" s="1" t="s">
        <v>62</v>
      </c>
      <c r="C24" s="9"/>
      <c r="D24" s="9"/>
      <c r="E24" s="9"/>
      <c r="F24" s="9"/>
      <c r="G24" s="9">
        <f t="shared" si="31"/>
        <v>0.36602077452243265</v>
      </c>
      <c r="H24" s="9">
        <f t="shared" si="31"/>
        <v>0.25224342055651916</v>
      </c>
      <c r="I24" s="9">
        <f t="shared" si="31"/>
        <v>-4.4061707523246008E-2</v>
      </c>
      <c r="J24" s="9"/>
      <c r="W24" s="3">
        <f t="shared" si="32"/>
        <v>3.176684738995128E-2</v>
      </c>
      <c r="X24" s="3">
        <f t="shared" si="32"/>
        <v>0.17330652198656904</v>
      </c>
      <c r="AK24" s="3" t="s">
        <v>67</v>
      </c>
      <c r="AL24" s="2">
        <f>+Main!K4 * 1000</f>
        <v>13316.050999999999</v>
      </c>
    </row>
    <row r="25" spans="2:234" s="3" customFormat="1" x14ac:dyDescent="0.2">
      <c r="B25" s="1" t="s">
        <v>63</v>
      </c>
      <c r="C25" s="9"/>
      <c r="D25" s="9"/>
      <c r="E25" s="9"/>
      <c r="F25" s="9"/>
      <c r="G25" s="10">
        <f t="shared" si="31"/>
        <v>-0.17355371900826444</v>
      </c>
      <c r="H25" s="10">
        <f t="shared" si="31"/>
        <v>-0.21935367394836613</v>
      </c>
      <c r="I25" s="10">
        <f t="shared" si="31"/>
        <v>-0.73982952344052699</v>
      </c>
      <c r="J25" s="10">
        <f>+J5/F5-1</f>
        <v>-9.9999999999999867E-2</v>
      </c>
      <c r="W25" s="3">
        <f t="shared" si="32"/>
        <v>0.15837634913186305</v>
      </c>
      <c r="X25" s="3">
        <f t="shared" si="32"/>
        <v>-0.41024103706704473</v>
      </c>
      <c r="AK25" s="3" t="s">
        <v>68</v>
      </c>
      <c r="AL25" s="2">
        <f>+AL23/AL24</f>
        <v>16.552695963917948</v>
      </c>
    </row>
    <row r="26" spans="2:234" s="3" customFormat="1" x14ac:dyDescent="0.2">
      <c r="C26" s="9"/>
      <c r="D26" s="9"/>
      <c r="E26" s="9"/>
      <c r="F26" s="9"/>
      <c r="G26" s="9"/>
      <c r="H26" s="9"/>
      <c r="I26" s="9"/>
      <c r="J26" s="9"/>
      <c r="AK26" s="3" t="s">
        <v>69</v>
      </c>
      <c r="AL26" s="2">
        <f>+Main!K3</f>
        <v>24.92</v>
      </c>
    </row>
    <row r="27" spans="2:234" x14ac:dyDescent="0.2">
      <c r="B27" s="1" t="s">
        <v>30</v>
      </c>
      <c r="C27" s="9">
        <f t="shared" ref="C27:J27" si="33">+(C6-C7)/C6</f>
        <v>8.1148233632247407E-2</v>
      </c>
      <c r="D27" s="9">
        <f t="shared" si="33"/>
        <v>0.12285875433083555</v>
      </c>
      <c r="E27" s="9">
        <f t="shared" si="33"/>
        <v>0.13435507133051833</v>
      </c>
      <c r="F27" s="9">
        <f t="shared" si="33"/>
        <v>0.13067397810153575</v>
      </c>
      <c r="G27" s="9">
        <f t="shared" si="33"/>
        <v>0.1493657937806874</v>
      </c>
      <c r="H27" s="9">
        <f t="shared" si="33"/>
        <v>0.19989646295052607</v>
      </c>
      <c r="I27" s="9">
        <f t="shared" si="33"/>
        <v>0.19868843833969071</v>
      </c>
      <c r="J27" s="9">
        <f t="shared" si="33"/>
        <v>0.19868843833969069</v>
      </c>
      <c r="U27" s="3">
        <f>+(U6-U7)/U6</f>
        <v>0.41890226561759408</v>
      </c>
      <c r="V27" s="3">
        <f>+(V6-V7)/V6</f>
        <v>0.13202523980321265</v>
      </c>
      <c r="W27" s="3">
        <f>+(W6-W7)/W6</f>
        <v>0.11418407971919245</v>
      </c>
      <c r="X27" s="3">
        <f>+(X6-X7)/X6</f>
        <v>0.1818571533783486</v>
      </c>
      <c r="Y27" s="3">
        <f t="shared" ref="Y27:AG27" si="34">+(Y6-Y7)/Y6</f>
        <v>0.18185715337834862</v>
      </c>
      <c r="Z27" s="3">
        <f t="shared" si="34"/>
        <v>0.1818571533783486</v>
      </c>
      <c r="AA27" s="3">
        <f t="shared" si="34"/>
        <v>0.18185715337834857</v>
      </c>
      <c r="AB27" s="3">
        <f t="shared" si="34"/>
        <v>0.18185715337834857</v>
      </c>
      <c r="AC27" s="3">
        <f t="shared" si="34"/>
        <v>0.18185715337834862</v>
      </c>
      <c r="AD27" s="3">
        <f t="shared" si="34"/>
        <v>0.1818571533783486</v>
      </c>
      <c r="AE27" s="3">
        <f t="shared" si="34"/>
        <v>0.18185715337834857</v>
      </c>
      <c r="AF27" s="3">
        <f t="shared" si="34"/>
        <v>0.18185715337834851</v>
      </c>
      <c r="AG27" s="3">
        <f t="shared" si="34"/>
        <v>0.18185715337834846</v>
      </c>
      <c r="AK27" s="3" t="s">
        <v>70</v>
      </c>
      <c r="AL27" s="3">
        <f>+AL25/AL26-1</f>
        <v>-0.33576661461003421</v>
      </c>
    </row>
    <row r="29" spans="2:234" x14ac:dyDescent="0.2">
      <c r="B29" s="1" t="s">
        <v>33</v>
      </c>
      <c r="F29" s="8">
        <v>41309</v>
      </c>
      <c r="G29" s="8">
        <v>45668</v>
      </c>
      <c r="H29" s="8">
        <v>85049</v>
      </c>
      <c r="I29" s="8">
        <v>77207</v>
      </c>
    </row>
    <row r="30" spans="2:234" x14ac:dyDescent="0.2">
      <c r="B30" s="1" t="s">
        <v>34</v>
      </c>
      <c r="F30" s="8">
        <v>989</v>
      </c>
      <c r="G30" s="8">
        <v>496</v>
      </c>
      <c r="H30" s="8">
        <v>0</v>
      </c>
      <c r="I30" s="8">
        <v>0</v>
      </c>
    </row>
    <row r="31" spans="2:234" x14ac:dyDescent="0.2">
      <c r="B31" s="1" t="s">
        <v>35</v>
      </c>
      <c r="F31" s="8">
        <f>22465+763</f>
        <v>23228</v>
      </c>
      <c r="G31" s="8">
        <f>47847+2431</f>
        <v>50278</v>
      </c>
      <c r="H31" s="8">
        <f>20749+2234</f>
        <v>22983</v>
      </c>
      <c r="I31" s="8">
        <f>25024+3184</f>
        <v>28208</v>
      </c>
    </row>
    <row r="32" spans="2:234" x14ac:dyDescent="0.2">
      <c r="B32" s="1" t="s">
        <v>36</v>
      </c>
      <c r="F32" s="8">
        <v>112968</v>
      </c>
      <c r="G32" s="8">
        <v>98109</v>
      </c>
      <c r="H32" s="8">
        <v>100196</v>
      </c>
      <c r="I32" s="8">
        <v>110860</v>
      </c>
    </row>
    <row r="33" spans="2:10" x14ac:dyDescent="0.2">
      <c r="B33" s="1" t="s">
        <v>37</v>
      </c>
      <c r="F33" s="8">
        <v>5269</v>
      </c>
      <c r="G33" s="8">
        <v>4370</v>
      </c>
      <c r="H33" s="8">
        <v>3404</v>
      </c>
      <c r="I33" s="8">
        <v>5259</v>
      </c>
    </row>
    <row r="34" spans="2:10" x14ac:dyDescent="0.2">
      <c r="B34" s="1" t="s">
        <v>38</v>
      </c>
      <c r="F34" s="8">
        <v>344338</v>
      </c>
      <c r="G34" s="8">
        <v>341256</v>
      </c>
      <c r="H34" s="8">
        <v>336255</v>
      </c>
      <c r="I34" s="8">
        <v>334150</v>
      </c>
    </row>
    <row r="35" spans="2:10" x14ac:dyDescent="0.2">
      <c r="B35" s="1" t="s">
        <v>39</v>
      </c>
      <c r="F35" s="8">
        <v>19184</v>
      </c>
      <c r="G35" s="8">
        <v>19184</v>
      </c>
      <c r="H35" s="8">
        <v>19184</v>
      </c>
      <c r="I35" s="8">
        <v>19184</v>
      </c>
    </row>
    <row r="36" spans="2:10" x14ac:dyDescent="0.2">
      <c r="B36" s="1" t="s">
        <v>40</v>
      </c>
      <c r="F36" s="8">
        <v>33775</v>
      </c>
      <c r="G36" s="8">
        <v>28514</v>
      </c>
      <c r="H36" s="8">
        <v>29150</v>
      </c>
      <c r="I36" s="8">
        <v>30423</v>
      </c>
    </row>
    <row r="37" spans="2:10" x14ac:dyDescent="0.2">
      <c r="B37" s="1" t="s">
        <v>41</v>
      </c>
      <c r="F37" s="8">
        <v>3571</v>
      </c>
      <c r="G37" s="8">
        <v>3097</v>
      </c>
      <c r="H37" s="8">
        <v>322</v>
      </c>
      <c r="I37" s="8">
        <v>236</v>
      </c>
    </row>
    <row r="38" spans="2:10" x14ac:dyDescent="0.2">
      <c r="B38" s="1" t="s">
        <v>42</v>
      </c>
      <c r="F38" s="8">
        <v>9889</v>
      </c>
      <c r="G38" s="8">
        <v>10304</v>
      </c>
      <c r="H38" s="8">
        <v>10617</v>
      </c>
      <c r="I38" s="8">
        <v>11010</v>
      </c>
    </row>
    <row r="39" spans="2:10" s="4" customFormat="1" x14ac:dyDescent="0.2">
      <c r="B39" s="4" t="s">
        <v>43</v>
      </c>
      <c r="C39" s="11"/>
      <c r="D39" s="11"/>
      <c r="E39" s="11"/>
      <c r="F39" s="11">
        <f>+SUM(F29:F38)</f>
        <v>594520</v>
      </c>
      <c r="G39" s="11">
        <f>+SUM(G29:G38)</f>
        <v>601276</v>
      </c>
      <c r="H39" s="11">
        <f>+SUM(H29:H38)</f>
        <v>607160</v>
      </c>
      <c r="I39" s="11">
        <f>+SUM(I29:I38)</f>
        <v>616537</v>
      </c>
      <c r="J39" s="11"/>
    </row>
    <row r="41" spans="2:10" x14ac:dyDescent="0.2">
      <c r="B41" s="1" t="s">
        <v>44</v>
      </c>
      <c r="F41" s="8">
        <v>8616</v>
      </c>
      <c r="G41" s="8">
        <v>8824</v>
      </c>
      <c r="H41" s="8">
        <v>7778</v>
      </c>
      <c r="I41" s="8">
        <v>9241</v>
      </c>
    </row>
    <row r="42" spans="2:10" x14ac:dyDescent="0.2">
      <c r="B42" s="1" t="s">
        <v>45</v>
      </c>
      <c r="F42" s="8">
        <v>9483</v>
      </c>
      <c r="G42" s="8">
        <v>11205</v>
      </c>
      <c r="H42" s="8">
        <v>11388</v>
      </c>
      <c r="I42" s="8">
        <v>12516</v>
      </c>
    </row>
    <row r="43" spans="2:10" x14ac:dyDescent="0.2">
      <c r="B43" s="1" t="s">
        <v>46</v>
      </c>
      <c r="F43" s="8">
        <v>9842</v>
      </c>
      <c r="G43" s="8">
        <v>7595</v>
      </c>
      <c r="H43" s="8">
        <v>7976</v>
      </c>
      <c r="I43" s="8">
        <v>10398</v>
      </c>
    </row>
    <row r="44" spans="2:10" x14ac:dyDescent="0.2">
      <c r="B44" s="1" t="s">
        <v>47</v>
      </c>
      <c r="F44" s="8">
        <v>10062</v>
      </c>
      <c r="G44" s="8">
        <v>10873</v>
      </c>
      <c r="H44" s="8">
        <v>12941</v>
      </c>
      <c r="I44" s="8">
        <v>10087</v>
      </c>
    </row>
    <row r="45" spans="2:10" x14ac:dyDescent="0.2">
      <c r="B45" s="1" t="s">
        <v>48</v>
      </c>
      <c r="F45" s="8">
        <v>32354</v>
      </c>
      <c r="G45" s="8">
        <v>33011</v>
      </c>
      <c r="H45" s="8">
        <v>33669</v>
      </c>
      <c r="I45" s="8">
        <v>34326</v>
      </c>
    </row>
    <row r="46" spans="2:10" x14ac:dyDescent="0.2">
      <c r="B46" s="1" t="s">
        <v>49</v>
      </c>
      <c r="F46" s="8">
        <v>780</v>
      </c>
      <c r="G46" s="8">
        <v>2189</v>
      </c>
      <c r="H46" s="8">
        <v>2110</v>
      </c>
      <c r="I46" s="8">
        <v>1790</v>
      </c>
    </row>
    <row r="47" spans="2:10" x14ac:dyDescent="0.2">
      <c r="B47" s="1" t="s">
        <v>71</v>
      </c>
      <c r="F47" s="8">
        <v>1838</v>
      </c>
      <c r="G47" s="8">
        <v>1586</v>
      </c>
      <c r="H47" s="8">
        <v>1308</v>
      </c>
      <c r="I47" s="8">
        <v>1921</v>
      </c>
    </row>
    <row r="48" spans="2:10" x14ac:dyDescent="0.2">
      <c r="B48" s="1" t="s">
        <v>50</v>
      </c>
      <c r="F48" s="8">
        <v>45489</v>
      </c>
      <c r="G48" s="8">
        <v>44925</v>
      </c>
      <c r="H48" s="8">
        <v>44361</v>
      </c>
      <c r="I48" s="8">
        <v>43797</v>
      </c>
    </row>
    <row r="49" spans="2:10" x14ac:dyDescent="0.2">
      <c r="B49" s="1" t="s">
        <v>51</v>
      </c>
      <c r="F49" s="8">
        <v>1664</v>
      </c>
      <c r="G49" s="8">
        <v>1615</v>
      </c>
      <c r="H49" s="8">
        <v>1792</v>
      </c>
      <c r="I49" s="8">
        <v>1729</v>
      </c>
    </row>
    <row r="50" spans="2:10" x14ac:dyDescent="0.2">
      <c r="B50" s="1" t="s">
        <v>32</v>
      </c>
      <c r="F50" s="8">
        <v>474392</v>
      </c>
      <c r="G50" s="8">
        <v>479453</v>
      </c>
      <c r="H50" s="8">
        <v>483837</v>
      </c>
      <c r="I50" s="8">
        <v>490732</v>
      </c>
    </row>
    <row r="51" spans="2:10" s="4" customFormat="1" x14ac:dyDescent="0.2">
      <c r="B51" s="4" t="s">
        <v>31</v>
      </c>
      <c r="C51" s="11"/>
      <c r="D51" s="11"/>
      <c r="E51" s="11"/>
      <c r="F51" s="11">
        <f>SUM(F41:F50)</f>
        <v>594520</v>
      </c>
      <c r="G51" s="11">
        <f>SUM(G41:G50)</f>
        <v>601276</v>
      </c>
      <c r="H51" s="11">
        <f>SUM(H41:H50)</f>
        <v>607160</v>
      </c>
      <c r="I51" s="11">
        <f>SUM(I41:I50)</f>
        <v>616537</v>
      </c>
      <c r="J51" s="11"/>
    </row>
    <row r="53" spans="2:10" x14ac:dyDescent="0.2">
      <c r="B53" s="1" t="s">
        <v>52</v>
      </c>
      <c r="F53" s="8">
        <f t="shared" ref="F53:I54" si="35">+F31/(SUM(C6:F6)/365)</f>
        <v>33.287867009038301</v>
      </c>
      <c r="G53" s="8">
        <f t="shared" si="35"/>
        <v>67.180406125190814</v>
      </c>
      <c r="H53" s="8">
        <f t="shared" si="35"/>
        <v>29.686022563202446</v>
      </c>
      <c r="I53" s="8">
        <f t="shared" si="35"/>
        <v>37.001875983813356</v>
      </c>
    </row>
    <row r="54" spans="2:10" x14ac:dyDescent="0.2">
      <c r="B54" s="1" t="s">
        <v>53</v>
      </c>
      <c r="F54" s="12">
        <f t="shared" si="35"/>
        <v>182.76208712302537</v>
      </c>
      <c r="G54" s="12">
        <f t="shared" si="35"/>
        <v>151.78976080570709</v>
      </c>
      <c r="H54" s="12">
        <f t="shared" si="35"/>
        <v>153.22992738958652</v>
      </c>
      <c r="I54" s="12">
        <f t="shared" si="35"/>
        <v>174.79081983075523</v>
      </c>
    </row>
    <row r="55" spans="2:10" x14ac:dyDescent="0.2">
      <c r="B55" s="1" t="s">
        <v>54</v>
      </c>
      <c r="F55" s="8">
        <f>+F41/(SUM(C7:F7)/365)</f>
        <v>13.939152172756767</v>
      </c>
      <c r="G55" s="8">
        <f>+G41/(SUM(D7:G7)/365)</f>
        <v>13.652089506055095</v>
      </c>
      <c r="H55" s="8">
        <f>+H41/(SUM(E7:H7)/365)</f>
        <v>11.894909729292625</v>
      </c>
      <c r="I55" s="8">
        <f>+I41/(SUM(F7:I7)/365)</f>
        <v>14.570106134367752</v>
      </c>
    </row>
    <row r="56" spans="2:10" s="4" customFormat="1" x14ac:dyDescent="0.2">
      <c r="B56" s="4" t="s">
        <v>55</v>
      </c>
      <c r="C56" s="11"/>
      <c r="D56" s="11"/>
      <c r="E56" s="11"/>
      <c r="F56" s="11">
        <f t="shared" ref="F56:H56" si="36">+SUM(F53:F54)-F55</f>
        <v>202.11080195930691</v>
      </c>
      <c r="G56" s="11">
        <f t="shared" si="36"/>
        <v>205.31807742484281</v>
      </c>
      <c r="H56" s="11">
        <f t="shared" si="36"/>
        <v>171.02104022349633</v>
      </c>
      <c r="I56" s="11">
        <f>+SUM(I53:I54)-I55</f>
        <v>197.22258968020083</v>
      </c>
      <c r="J56" s="11"/>
    </row>
    <row r="59" spans="2:10" x14ac:dyDescent="0.2">
      <c r="B59" s="1" t="s">
        <v>58</v>
      </c>
      <c r="C59" s="8">
        <v>41532</v>
      </c>
      <c r="D59" s="8">
        <v>27746</v>
      </c>
      <c r="E59" s="8">
        <f>+-4342</f>
        <v>-4342</v>
      </c>
      <c r="F59" s="8">
        <v>7559</v>
      </c>
      <c r="G59" s="8">
        <v>10917</v>
      </c>
      <c r="H59" s="8">
        <v>39943</v>
      </c>
      <c r="I59" s="8">
        <f>+-3987</f>
        <v>-3987</v>
      </c>
    </row>
    <row r="60" spans="2:10" x14ac:dyDescent="0.2">
      <c r="B60" s="1" t="s">
        <v>59</v>
      </c>
      <c r="C60" s="8">
        <v>-11673</v>
      </c>
      <c r="D60" s="8">
        <v>-11301</v>
      </c>
      <c r="E60" s="8">
        <f>+-9609</f>
        <v>-9609</v>
      </c>
      <c r="F60" s="8">
        <v>-6123</v>
      </c>
      <c r="G60" s="8">
        <v>-8272</v>
      </c>
      <c r="H60" s="8">
        <v>-4137</v>
      </c>
      <c r="I60" s="8">
        <f>+-7748</f>
        <v>-7748</v>
      </c>
    </row>
    <row r="61" spans="2:10" s="4" customFormat="1" x14ac:dyDescent="0.2">
      <c r="B61" s="4" t="s">
        <v>60</v>
      </c>
      <c r="C61" s="11">
        <f t="shared" ref="C61:H61" si="37">+C59+C60</f>
        <v>29859</v>
      </c>
      <c r="D61" s="11">
        <f t="shared" si="37"/>
        <v>16445</v>
      </c>
      <c r="E61" s="11">
        <f t="shared" si="37"/>
        <v>-13951</v>
      </c>
      <c r="F61" s="11">
        <f t="shared" si="37"/>
        <v>1436</v>
      </c>
      <c r="G61" s="11">
        <f t="shared" si="37"/>
        <v>2645</v>
      </c>
      <c r="H61" s="11">
        <f t="shared" si="37"/>
        <v>35806</v>
      </c>
      <c r="I61" s="11">
        <f>+I59+I60</f>
        <v>-11735</v>
      </c>
      <c r="J61" s="11"/>
    </row>
  </sheetData>
  <pageMargins left="0.7" right="0.7" top="0.75" bottom="0.75" header="0.3" footer="0.3"/>
  <ignoredErrors>
    <ignoredError sqref="F28:J36 F20:J22 F8:I8 F9:I9 F10:I10 F11:I11 F12:I12 F13:I13 F14:I14 F15:I15 F16:I16 F17:I17 F18:I18 F19:I19 F27:H2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2025-11-22T19:34:08Z</dcterms:created>
  <dcterms:modified xsi:type="dcterms:W3CDTF">2025-11-24T00:47:05Z</dcterms:modified>
</cp:coreProperties>
</file>