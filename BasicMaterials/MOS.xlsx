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36803C4F-C2AA-C242-8344-DF01D6F7A39F}" xr6:coauthVersionLast="47" xr6:coauthVersionMax="47" xr10:uidLastSave="{00000000-0000-0000-0000-000000000000}"/>
  <bookViews>
    <workbookView xWindow="4420" yWindow="1260" windowWidth="27940" windowHeight="16020" activeTab="1" xr2:uid="{125D92BB-5EA0-A141-BAC2-AD33AD987F6A}"/>
  </bookViews>
  <sheets>
    <sheet name="Main" sheetId="1" r:id="rId1"/>
    <sheet name="Mode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J19" i="2"/>
  <c r="I19" i="2"/>
  <c r="H19" i="2"/>
  <c r="G19" i="2"/>
  <c r="F19" i="2"/>
  <c r="E19" i="2"/>
  <c r="D19" i="2"/>
  <c r="C19" i="2"/>
  <c r="Y6" i="2"/>
  <c r="Z6" i="2" s="1"/>
  <c r="AA6" i="2" s="1"/>
  <c r="AB6" i="2" s="1"/>
  <c r="AC6" i="2" s="1"/>
  <c r="AD6" i="2" s="1"/>
  <c r="AE6" i="2" s="1"/>
  <c r="AF6" i="2" s="1"/>
  <c r="X6" i="2"/>
  <c r="X17" i="2" s="1"/>
  <c r="W14" i="2"/>
  <c r="W16" i="2"/>
  <c r="AI24" i="2"/>
  <c r="AI22" i="2"/>
  <c r="HN2" i="2"/>
  <c r="HO2" i="2" s="1"/>
  <c r="HP2" i="2" s="1"/>
  <c r="HQ2" i="2" s="1"/>
  <c r="HR2" i="2" s="1"/>
  <c r="HS2" i="2" s="1"/>
  <c r="HT2" i="2" s="1"/>
  <c r="HU2" i="2" s="1"/>
  <c r="HV2" i="2" s="1"/>
  <c r="HW2" i="2" s="1"/>
  <c r="HX2" i="2" s="1"/>
  <c r="HY2" i="2" s="1"/>
  <c r="GM2" i="2"/>
  <c r="GN2" i="2" s="1"/>
  <c r="GO2" i="2" s="1"/>
  <c r="GP2" i="2" s="1"/>
  <c r="GQ2" i="2" s="1"/>
  <c r="GR2" i="2" s="1"/>
  <c r="GS2" i="2" s="1"/>
  <c r="GT2" i="2" s="1"/>
  <c r="GU2" i="2" s="1"/>
  <c r="GV2" i="2" s="1"/>
  <c r="GW2" i="2" s="1"/>
  <c r="GX2" i="2" s="1"/>
  <c r="GY2" i="2" s="1"/>
  <c r="GZ2" i="2" s="1"/>
  <c r="HA2" i="2" s="1"/>
  <c r="HB2" i="2" s="1"/>
  <c r="HC2" i="2" s="1"/>
  <c r="HD2" i="2" s="1"/>
  <c r="HE2" i="2" s="1"/>
  <c r="HF2" i="2" s="1"/>
  <c r="HG2" i="2" s="1"/>
  <c r="HH2" i="2" s="1"/>
  <c r="HI2" i="2" s="1"/>
  <c r="HJ2" i="2" s="1"/>
  <c r="HK2" i="2" s="1"/>
  <c r="HL2" i="2" s="1"/>
  <c r="HM2" i="2" s="1"/>
  <c r="AH2" i="2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F2" i="2" s="1"/>
  <c r="CG2" i="2" s="1"/>
  <c r="CH2" i="2" s="1"/>
  <c r="CI2" i="2" s="1"/>
  <c r="CJ2" i="2" s="1"/>
  <c r="CK2" i="2" s="1"/>
  <c r="CL2" i="2" s="1"/>
  <c r="CM2" i="2" s="1"/>
  <c r="CN2" i="2" s="1"/>
  <c r="CO2" i="2" s="1"/>
  <c r="CP2" i="2" s="1"/>
  <c r="CQ2" i="2" s="1"/>
  <c r="CR2" i="2" s="1"/>
  <c r="CS2" i="2" s="1"/>
  <c r="CT2" i="2" s="1"/>
  <c r="CU2" i="2" s="1"/>
  <c r="CV2" i="2" s="1"/>
  <c r="CW2" i="2" s="1"/>
  <c r="CX2" i="2" s="1"/>
  <c r="CY2" i="2" s="1"/>
  <c r="CZ2" i="2" s="1"/>
  <c r="DA2" i="2" s="1"/>
  <c r="DB2" i="2" s="1"/>
  <c r="DC2" i="2" s="1"/>
  <c r="DD2" i="2" s="1"/>
  <c r="DE2" i="2" s="1"/>
  <c r="DF2" i="2" s="1"/>
  <c r="DG2" i="2" s="1"/>
  <c r="DH2" i="2" s="1"/>
  <c r="DI2" i="2" s="1"/>
  <c r="DJ2" i="2" s="1"/>
  <c r="DK2" i="2" s="1"/>
  <c r="DL2" i="2" s="1"/>
  <c r="DM2" i="2" s="1"/>
  <c r="DN2" i="2" s="1"/>
  <c r="DO2" i="2" s="1"/>
  <c r="DP2" i="2" s="1"/>
  <c r="DQ2" i="2" s="1"/>
  <c r="DR2" i="2" s="1"/>
  <c r="DS2" i="2" s="1"/>
  <c r="DT2" i="2" s="1"/>
  <c r="DU2" i="2" s="1"/>
  <c r="DV2" i="2" s="1"/>
  <c r="DW2" i="2" s="1"/>
  <c r="DX2" i="2" s="1"/>
  <c r="DY2" i="2" s="1"/>
  <c r="DZ2" i="2" s="1"/>
  <c r="EA2" i="2" s="1"/>
  <c r="EB2" i="2" s="1"/>
  <c r="EC2" i="2" s="1"/>
  <c r="ED2" i="2" s="1"/>
  <c r="EE2" i="2" s="1"/>
  <c r="EF2" i="2" s="1"/>
  <c r="EG2" i="2" s="1"/>
  <c r="EH2" i="2" s="1"/>
  <c r="EI2" i="2" s="1"/>
  <c r="EJ2" i="2" s="1"/>
  <c r="EK2" i="2" s="1"/>
  <c r="EL2" i="2" s="1"/>
  <c r="EM2" i="2" s="1"/>
  <c r="EN2" i="2" s="1"/>
  <c r="EO2" i="2" s="1"/>
  <c r="EP2" i="2" s="1"/>
  <c r="EQ2" i="2" s="1"/>
  <c r="ER2" i="2" s="1"/>
  <c r="ES2" i="2" s="1"/>
  <c r="ET2" i="2" s="1"/>
  <c r="EU2" i="2" s="1"/>
  <c r="EV2" i="2" s="1"/>
  <c r="EW2" i="2" s="1"/>
  <c r="EX2" i="2" s="1"/>
  <c r="EY2" i="2" s="1"/>
  <c r="EZ2" i="2" s="1"/>
  <c r="FA2" i="2" s="1"/>
  <c r="FB2" i="2" s="1"/>
  <c r="FC2" i="2" s="1"/>
  <c r="FD2" i="2" s="1"/>
  <c r="FE2" i="2" s="1"/>
  <c r="FF2" i="2" s="1"/>
  <c r="FG2" i="2" s="1"/>
  <c r="FH2" i="2" s="1"/>
  <c r="FI2" i="2" s="1"/>
  <c r="FJ2" i="2" s="1"/>
  <c r="FK2" i="2" s="1"/>
  <c r="FL2" i="2" s="1"/>
  <c r="FM2" i="2" s="1"/>
  <c r="FN2" i="2" s="1"/>
  <c r="FO2" i="2" s="1"/>
  <c r="FP2" i="2" s="1"/>
  <c r="FQ2" i="2" s="1"/>
  <c r="FR2" i="2" s="1"/>
  <c r="FS2" i="2" s="1"/>
  <c r="FT2" i="2" s="1"/>
  <c r="FU2" i="2" s="1"/>
  <c r="FV2" i="2" s="1"/>
  <c r="FW2" i="2" s="1"/>
  <c r="FX2" i="2" s="1"/>
  <c r="FY2" i="2" s="1"/>
  <c r="FZ2" i="2" s="1"/>
  <c r="GA2" i="2" s="1"/>
  <c r="GB2" i="2" s="1"/>
  <c r="GC2" i="2" s="1"/>
  <c r="GD2" i="2" s="1"/>
  <c r="GE2" i="2" s="1"/>
  <c r="GF2" i="2" s="1"/>
  <c r="GG2" i="2" s="1"/>
  <c r="GH2" i="2" s="1"/>
  <c r="GI2" i="2" s="1"/>
  <c r="GJ2" i="2" s="1"/>
  <c r="GK2" i="2" s="1"/>
  <c r="GL2" i="2" s="1"/>
  <c r="V17" i="2"/>
  <c r="W17" i="2"/>
  <c r="V18" i="2"/>
  <c r="W18" i="2"/>
  <c r="Y12" i="2"/>
  <c r="Z12" i="2" s="1"/>
  <c r="AA12" i="2" s="1"/>
  <c r="AB12" i="2" s="1"/>
  <c r="AC12" i="2" s="1"/>
  <c r="AD12" i="2" s="1"/>
  <c r="AE12" i="2" s="1"/>
  <c r="AF12" i="2" s="1"/>
  <c r="X12" i="2"/>
  <c r="X11" i="2"/>
  <c r="Y11" i="2" s="1"/>
  <c r="Z11" i="2" s="1"/>
  <c r="AA11" i="2" s="1"/>
  <c r="AB11" i="2" s="1"/>
  <c r="AC11" i="2" s="1"/>
  <c r="AD11" i="2" s="1"/>
  <c r="AE11" i="2" s="1"/>
  <c r="AF11" i="2" s="1"/>
  <c r="X9" i="2"/>
  <c r="X8" i="2"/>
  <c r="X7" i="2"/>
  <c r="X18" i="2" s="1"/>
  <c r="W15" i="2"/>
  <c r="W13" i="2"/>
  <c r="W12" i="2"/>
  <c r="W10" i="2"/>
  <c r="W9" i="2"/>
  <c r="W7" i="2"/>
  <c r="J17" i="2"/>
  <c r="J18" i="2"/>
  <c r="J15" i="2"/>
  <c r="J14" i="2"/>
  <c r="J13" i="2"/>
  <c r="J12" i="2"/>
  <c r="J11" i="2"/>
  <c r="J10" i="2"/>
  <c r="J9" i="2"/>
  <c r="J8" i="2"/>
  <c r="J7" i="2"/>
  <c r="J6" i="2"/>
  <c r="W6" i="2"/>
  <c r="H48" i="2"/>
  <c r="G48" i="2"/>
  <c r="F48" i="2"/>
  <c r="E48" i="2"/>
  <c r="D48" i="2"/>
  <c r="C48" i="2"/>
  <c r="I48" i="2"/>
  <c r="F46" i="2"/>
  <c r="F45" i="2"/>
  <c r="F47" i="2"/>
  <c r="C47" i="2"/>
  <c r="I47" i="2"/>
  <c r="H47" i="2"/>
  <c r="G47" i="2"/>
  <c r="E47" i="2"/>
  <c r="D47" i="2"/>
  <c r="H46" i="2"/>
  <c r="H43" i="2"/>
  <c r="G43" i="2"/>
  <c r="F43" i="2"/>
  <c r="I43" i="2"/>
  <c r="H42" i="2"/>
  <c r="G42" i="2"/>
  <c r="F42" i="2"/>
  <c r="I42" i="2"/>
  <c r="H41" i="2"/>
  <c r="G41" i="2"/>
  <c r="F41" i="2"/>
  <c r="I41" i="2"/>
  <c r="H40" i="2"/>
  <c r="G40" i="2"/>
  <c r="F40" i="2"/>
  <c r="F15" i="2"/>
  <c r="F14" i="2"/>
  <c r="F13" i="2"/>
  <c r="F12" i="2"/>
  <c r="F11" i="2"/>
  <c r="F10" i="2"/>
  <c r="F9" i="2"/>
  <c r="F8" i="2"/>
  <c r="F7" i="2"/>
  <c r="F6" i="2"/>
  <c r="U17" i="2"/>
  <c r="U18" i="2"/>
  <c r="T18" i="2"/>
  <c r="T10" i="2"/>
  <c r="T13" i="2" s="1"/>
  <c r="T15" i="2" s="1"/>
  <c r="U10" i="2"/>
  <c r="U13" i="2" s="1"/>
  <c r="U15" i="2" s="1"/>
  <c r="V10" i="2"/>
  <c r="V13" i="2" s="1"/>
  <c r="V15" i="2" s="1"/>
  <c r="G32" i="2"/>
  <c r="G31" i="2"/>
  <c r="G38" i="2"/>
  <c r="G29" i="2"/>
  <c r="H38" i="2"/>
  <c r="H32" i="2"/>
  <c r="H31" i="2"/>
  <c r="H29" i="2"/>
  <c r="F32" i="2"/>
  <c r="F31" i="2"/>
  <c r="F38" i="2"/>
  <c r="F29" i="2"/>
  <c r="I32" i="2"/>
  <c r="I31" i="2"/>
  <c r="I38" i="2"/>
  <c r="I29" i="2"/>
  <c r="C18" i="2"/>
  <c r="C10" i="2"/>
  <c r="C13" i="2" s="1"/>
  <c r="C15" i="2" s="1"/>
  <c r="G18" i="2"/>
  <c r="G17" i="2"/>
  <c r="G10" i="2"/>
  <c r="G13" i="2" s="1"/>
  <c r="G15" i="2" s="1"/>
  <c r="D18" i="2"/>
  <c r="D10" i="2"/>
  <c r="D13" i="2" s="1"/>
  <c r="D15" i="2" s="1"/>
  <c r="H18" i="2"/>
  <c r="H17" i="2"/>
  <c r="H10" i="2"/>
  <c r="H13" i="2" s="1"/>
  <c r="H15" i="2" s="1"/>
  <c r="I18" i="2"/>
  <c r="E18" i="2"/>
  <c r="I17" i="2"/>
  <c r="E10" i="2"/>
  <c r="E13" i="2" s="1"/>
  <c r="E15" i="2" s="1"/>
  <c r="I10" i="2"/>
  <c r="I13" i="2" s="1"/>
  <c r="I15" i="2" s="1"/>
  <c r="O2" i="2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N2" i="2"/>
  <c r="J7" i="1"/>
  <c r="J6" i="1"/>
  <c r="I7" i="1"/>
  <c r="I6" i="1"/>
  <c r="I5" i="1"/>
  <c r="Y17" i="2" l="1"/>
  <c r="Y9" i="2"/>
  <c r="Y7" i="2"/>
  <c r="Y8" i="2"/>
  <c r="Z8" i="2" s="1"/>
  <c r="AA8" i="2" s="1"/>
  <c r="AB8" i="2" s="1"/>
  <c r="AC8" i="2" s="1"/>
  <c r="AD8" i="2" s="1"/>
  <c r="AE8" i="2" s="1"/>
  <c r="AF8" i="2" s="1"/>
  <c r="X10" i="2"/>
  <c r="X13" i="2" s="1"/>
  <c r="X14" i="2" s="1"/>
  <c r="X15" i="2" s="1"/>
  <c r="Z9" i="2"/>
  <c r="AA9" i="2" s="1"/>
  <c r="AB9" i="2" s="1"/>
  <c r="AC9" i="2" s="1"/>
  <c r="AD9" i="2" s="1"/>
  <c r="AE9" i="2" s="1"/>
  <c r="AF9" i="2" s="1"/>
  <c r="Y10" i="2"/>
  <c r="Y13" i="2" s="1"/>
  <c r="I40" i="2"/>
  <c r="F18" i="2"/>
  <c r="Z18" i="2" l="1"/>
  <c r="Z17" i="2"/>
  <c r="Z7" i="2"/>
  <c r="Y18" i="2"/>
  <c r="Y14" i="2"/>
  <c r="AA17" i="2" l="1"/>
  <c r="Z10" i="2"/>
  <c r="Z13" i="2" s="1"/>
  <c r="Z14" i="2" s="1"/>
  <c r="AA7" i="2"/>
  <c r="AA18" i="2" s="1"/>
  <c r="Y15" i="2"/>
  <c r="AB17" i="2" l="1"/>
  <c r="AA10" i="2"/>
  <c r="AA13" i="2" s="1"/>
  <c r="AA14" i="2" s="1"/>
  <c r="AB7" i="2"/>
  <c r="AB18" i="2" s="1"/>
  <c r="Z15" i="2"/>
  <c r="AC17" i="2" l="1"/>
  <c r="AB10" i="2"/>
  <c r="AB13" i="2" s="1"/>
  <c r="AB14" i="2" s="1"/>
  <c r="AC7" i="2"/>
  <c r="AC18" i="2" s="1"/>
  <c r="AA15" i="2"/>
  <c r="AD17" i="2" l="1"/>
  <c r="AD7" i="2"/>
  <c r="AD18" i="2" s="1"/>
  <c r="AC10" i="2"/>
  <c r="AC13" i="2" s="1"/>
  <c r="AC14" i="2" s="1"/>
  <c r="AB15" i="2"/>
  <c r="AE17" i="2" l="1"/>
  <c r="AD10" i="2"/>
  <c r="AD13" i="2" s="1"/>
  <c r="AD14" i="2" s="1"/>
  <c r="AE7" i="2"/>
  <c r="AE18" i="2" s="1"/>
  <c r="AC15" i="2"/>
  <c r="AF17" i="2" l="1"/>
  <c r="AE10" i="2"/>
  <c r="AE13" i="2" s="1"/>
  <c r="AE14" i="2" s="1"/>
  <c r="AF7" i="2"/>
  <c r="AD15" i="2"/>
  <c r="AF10" i="2" l="1"/>
  <c r="AF13" i="2" s="1"/>
  <c r="AF14" i="2" s="1"/>
  <c r="AF15" i="2" s="1"/>
  <c r="AG15" i="2" s="1"/>
  <c r="AH15" i="2" s="1"/>
  <c r="AI15" i="2" s="1"/>
  <c r="AJ15" i="2" s="1"/>
  <c r="AK15" i="2" s="1"/>
  <c r="AL15" i="2" s="1"/>
  <c r="AM15" i="2" s="1"/>
  <c r="AN15" i="2" s="1"/>
  <c r="AO15" i="2" s="1"/>
  <c r="AP15" i="2" s="1"/>
  <c r="AQ15" i="2" s="1"/>
  <c r="AR15" i="2" s="1"/>
  <c r="AS15" i="2" s="1"/>
  <c r="AT15" i="2" s="1"/>
  <c r="AU15" i="2" s="1"/>
  <c r="AV15" i="2" s="1"/>
  <c r="AW15" i="2" s="1"/>
  <c r="AX15" i="2" s="1"/>
  <c r="AY15" i="2" s="1"/>
  <c r="AZ15" i="2" s="1"/>
  <c r="BA15" i="2" s="1"/>
  <c r="BB15" i="2" s="1"/>
  <c r="BC15" i="2" s="1"/>
  <c r="BD15" i="2" s="1"/>
  <c r="BE15" i="2" s="1"/>
  <c r="BF15" i="2" s="1"/>
  <c r="BG15" i="2" s="1"/>
  <c r="BH15" i="2" s="1"/>
  <c r="BI15" i="2" s="1"/>
  <c r="BJ15" i="2" s="1"/>
  <c r="BK15" i="2" s="1"/>
  <c r="BL15" i="2" s="1"/>
  <c r="BM15" i="2" s="1"/>
  <c r="BN15" i="2" s="1"/>
  <c r="BO15" i="2" s="1"/>
  <c r="BP15" i="2" s="1"/>
  <c r="BQ15" i="2" s="1"/>
  <c r="BR15" i="2" s="1"/>
  <c r="BS15" i="2" s="1"/>
  <c r="BT15" i="2" s="1"/>
  <c r="BU15" i="2" s="1"/>
  <c r="BV15" i="2" s="1"/>
  <c r="BW15" i="2" s="1"/>
  <c r="BX15" i="2" s="1"/>
  <c r="BY15" i="2" s="1"/>
  <c r="BZ15" i="2" s="1"/>
  <c r="CA15" i="2" s="1"/>
  <c r="CB15" i="2" s="1"/>
  <c r="CC15" i="2" s="1"/>
  <c r="CD15" i="2" s="1"/>
  <c r="CE15" i="2" s="1"/>
  <c r="CF15" i="2" s="1"/>
  <c r="CG15" i="2" s="1"/>
  <c r="CH15" i="2" s="1"/>
  <c r="CI15" i="2" s="1"/>
  <c r="CJ15" i="2" s="1"/>
  <c r="CK15" i="2" s="1"/>
  <c r="CL15" i="2" s="1"/>
  <c r="CM15" i="2" s="1"/>
  <c r="CN15" i="2" s="1"/>
  <c r="CO15" i="2" s="1"/>
  <c r="CP15" i="2" s="1"/>
  <c r="CQ15" i="2" s="1"/>
  <c r="CR15" i="2" s="1"/>
  <c r="CS15" i="2" s="1"/>
  <c r="CT15" i="2" s="1"/>
  <c r="CU15" i="2" s="1"/>
  <c r="CV15" i="2" s="1"/>
  <c r="CW15" i="2" s="1"/>
  <c r="CX15" i="2" s="1"/>
  <c r="CY15" i="2" s="1"/>
  <c r="CZ15" i="2" s="1"/>
  <c r="DA15" i="2" s="1"/>
  <c r="DB15" i="2" s="1"/>
  <c r="DC15" i="2" s="1"/>
  <c r="DD15" i="2" s="1"/>
  <c r="DE15" i="2" s="1"/>
  <c r="DF15" i="2" s="1"/>
  <c r="DG15" i="2" s="1"/>
  <c r="DH15" i="2" s="1"/>
  <c r="DI15" i="2" s="1"/>
  <c r="DJ15" i="2" s="1"/>
  <c r="DK15" i="2" s="1"/>
  <c r="DL15" i="2" s="1"/>
  <c r="DM15" i="2" s="1"/>
  <c r="DN15" i="2" s="1"/>
  <c r="DO15" i="2" s="1"/>
  <c r="DP15" i="2" s="1"/>
  <c r="DQ15" i="2" s="1"/>
  <c r="DR15" i="2" s="1"/>
  <c r="DS15" i="2" s="1"/>
  <c r="DT15" i="2" s="1"/>
  <c r="DU15" i="2" s="1"/>
  <c r="DV15" i="2" s="1"/>
  <c r="DW15" i="2" s="1"/>
  <c r="DX15" i="2" s="1"/>
  <c r="DY15" i="2" s="1"/>
  <c r="DZ15" i="2" s="1"/>
  <c r="EA15" i="2" s="1"/>
  <c r="EB15" i="2" s="1"/>
  <c r="EC15" i="2" s="1"/>
  <c r="ED15" i="2" s="1"/>
  <c r="EE15" i="2" s="1"/>
  <c r="EF15" i="2" s="1"/>
  <c r="EG15" i="2" s="1"/>
  <c r="EH15" i="2" s="1"/>
  <c r="EI15" i="2" s="1"/>
  <c r="EJ15" i="2" s="1"/>
  <c r="EK15" i="2" s="1"/>
  <c r="EL15" i="2" s="1"/>
  <c r="EM15" i="2" s="1"/>
  <c r="EN15" i="2" s="1"/>
  <c r="EO15" i="2" s="1"/>
  <c r="EP15" i="2" s="1"/>
  <c r="EQ15" i="2" s="1"/>
  <c r="ER15" i="2" s="1"/>
  <c r="ES15" i="2" s="1"/>
  <c r="ET15" i="2" s="1"/>
  <c r="EU15" i="2" s="1"/>
  <c r="EV15" i="2" s="1"/>
  <c r="EW15" i="2" s="1"/>
  <c r="EX15" i="2" s="1"/>
  <c r="EY15" i="2" s="1"/>
  <c r="EZ15" i="2" s="1"/>
  <c r="FA15" i="2" s="1"/>
  <c r="FB15" i="2" s="1"/>
  <c r="FC15" i="2" s="1"/>
  <c r="FD15" i="2" s="1"/>
  <c r="FE15" i="2" s="1"/>
  <c r="FF15" i="2" s="1"/>
  <c r="FG15" i="2" s="1"/>
  <c r="FH15" i="2" s="1"/>
  <c r="FI15" i="2" s="1"/>
  <c r="FJ15" i="2" s="1"/>
  <c r="FK15" i="2" s="1"/>
  <c r="FL15" i="2" s="1"/>
  <c r="FM15" i="2" s="1"/>
  <c r="FN15" i="2" s="1"/>
  <c r="FO15" i="2" s="1"/>
  <c r="FP15" i="2" s="1"/>
  <c r="FQ15" i="2" s="1"/>
  <c r="FR15" i="2" s="1"/>
  <c r="FS15" i="2" s="1"/>
  <c r="FT15" i="2" s="1"/>
  <c r="FU15" i="2" s="1"/>
  <c r="FV15" i="2" s="1"/>
  <c r="FW15" i="2" s="1"/>
  <c r="FX15" i="2" s="1"/>
  <c r="FY15" i="2" s="1"/>
  <c r="FZ15" i="2" s="1"/>
  <c r="GA15" i="2" s="1"/>
  <c r="GB15" i="2" s="1"/>
  <c r="GC15" i="2" s="1"/>
  <c r="GD15" i="2" s="1"/>
  <c r="GE15" i="2" s="1"/>
  <c r="GF15" i="2" s="1"/>
  <c r="GG15" i="2" s="1"/>
  <c r="GH15" i="2" s="1"/>
  <c r="GI15" i="2" s="1"/>
  <c r="GJ15" i="2" s="1"/>
  <c r="GK15" i="2" s="1"/>
  <c r="GL15" i="2" s="1"/>
  <c r="GM15" i="2" s="1"/>
  <c r="GN15" i="2" s="1"/>
  <c r="GO15" i="2" s="1"/>
  <c r="GP15" i="2" s="1"/>
  <c r="GQ15" i="2" s="1"/>
  <c r="GR15" i="2" s="1"/>
  <c r="GS15" i="2" s="1"/>
  <c r="GT15" i="2" s="1"/>
  <c r="GU15" i="2" s="1"/>
  <c r="GV15" i="2" s="1"/>
  <c r="GW15" i="2" s="1"/>
  <c r="GX15" i="2" s="1"/>
  <c r="GY15" i="2" s="1"/>
  <c r="GZ15" i="2" s="1"/>
  <c r="HA15" i="2" s="1"/>
  <c r="HB15" i="2" s="1"/>
  <c r="HC15" i="2" s="1"/>
  <c r="HD15" i="2" s="1"/>
  <c r="HE15" i="2" s="1"/>
  <c r="HF15" i="2" s="1"/>
  <c r="HG15" i="2" s="1"/>
  <c r="HH15" i="2" s="1"/>
  <c r="HI15" i="2" s="1"/>
  <c r="HJ15" i="2" s="1"/>
  <c r="HK15" i="2" s="1"/>
  <c r="HL15" i="2" s="1"/>
  <c r="HM15" i="2" s="1"/>
  <c r="HN15" i="2" s="1"/>
  <c r="HO15" i="2" s="1"/>
  <c r="HP15" i="2" s="1"/>
  <c r="HQ15" i="2" s="1"/>
  <c r="HR15" i="2" s="1"/>
  <c r="HS15" i="2" s="1"/>
  <c r="HT15" i="2" s="1"/>
  <c r="HU15" i="2" s="1"/>
  <c r="HV15" i="2" s="1"/>
  <c r="HW15" i="2" s="1"/>
  <c r="HX15" i="2" s="1"/>
  <c r="HY15" i="2" s="1"/>
  <c r="AF18" i="2"/>
  <c r="AE15" i="2"/>
  <c r="AI21" i="2" l="1"/>
  <c r="AI23" i="2" s="1"/>
  <c r="AI25" i="2" s="1"/>
</calcChain>
</file>

<file path=xl/sharedStrings.xml><?xml version="1.0" encoding="utf-8"?>
<sst xmlns="http://schemas.openxmlformats.org/spreadsheetml/2006/main" count="63" uniqueCount="62">
  <si>
    <t>P</t>
  </si>
  <si>
    <t>S</t>
  </si>
  <si>
    <t>MC</t>
  </si>
  <si>
    <t>C</t>
  </si>
  <si>
    <t>D</t>
  </si>
  <si>
    <t>EV</t>
  </si>
  <si>
    <t>Q325</t>
  </si>
  <si>
    <t xml:space="preserve">CEO </t>
  </si>
  <si>
    <t xml:space="preserve">CFO </t>
  </si>
  <si>
    <t>Q124</t>
  </si>
  <si>
    <t>Q224</t>
  </si>
  <si>
    <t>Q324</t>
  </si>
  <si>
    <t>Q424</t>
  </si>
  <si>
    <t>Q125</t>
  </si>
  <si>
    <t>Q225</t>
  </si>
  <si>
    <t>Q425</t>
  </si>
  <si>
    <t>Sales</t>
  </si>
  <si>
    <t>Costs</t>
  </si>
  <si>
    <t>SGA</t>
  </si>
  <si>
    <t>Other Opex</t>
  </si>
  <si>
    <t xml:space="preserve">Operating Earnings </t>
  </si>
  <si>
    <t>Interest Expense</t>
  </si>
  <si>
    <t xml:space="preserve">Other Income </t>
  </si>
  <si>
    <t xml:space="preserve">EBT </t>
  </si>
  <si>
    <t>Taxes</t>
  </si>
  <si>
    <t xml:space="preserve">Net Earnings </t>
  </si>
  <si>
    <t xml:space="preserve">Sales </t>
  </si>
  <si>
    <t>GM%</t>
  </si>
  <si>
    <t xml:space="preserve">Phosphate </t>
  </si>
  <si>
    <t xml:space="preserve">Potash </t>
  </si>
  <si>
    <t xml:space="preserve">Total Assets </t>
  </si>
  <si>
    <t xml:space="preserve">Cash </t>
  </si>
  <si>
    <t>A/R</t>
  </si>
  <si>
    <t xml:space="preserve">Inventories </t>
  </si>
  <si>
    <t>OCA</t>
  </si>
  <si>
    <t>PPE</t>
  </si>
  <si>
    <t>Equity Securities</t>
  </si>
  <si>
    <t>Goodwill</t>
  </si>
  <si>
    <t>Deferred I/T</t>
  </si>
  <si>
    <t>OA</t>
  </si>
  <si>
    <t>Total Liabilities</t>
  </si>
  <si>
    <t>Equity</t>
  </si>
  <si>
    <t>Debt</t>
  </si>
  <si>
    <t>A/P</t>
  </si>
  <si>
    <t xml:space="preserve">Accrued Liabilities </t>
  </si>
  <si>
    <t>LTD</t>
  </si>
  <si>
    <t>Deferred i/t</t>
  </si>
  <si>
    <t>ONCL</t>
  </si>
  <si>
    <t xml:space="preserve">DSO </t>
  </si>
  <si>
    <t>DIO</t>
  </si>
  <si>
    <t>DPO</t>
  </si>
  <si>
    <t>CC</t>
  </si>
  <si>
    <t>CFFO</t>
  </si>
  <si>
    <t>Capex</t>
  </si>
  <si>
    <t xml:space="preserve">FCF </t>
  </si>
  <si>
    <t xml:space="preserve">Terminal </t>
  </si>
  <si>
    <t xml:space="preserve">Discount </t>
  </si>
  <si>
    <t>NPV</t>
  </si>
  <si>
    <t>Shares</t>
  </si>
  <si>
    <t>Estimate</t>
  </si>
  <si>
    <t xml:space="preserve">Current </t>
  </si>
  <si>
    <t>Upside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</si>
</sst>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/>
    <xf numFmtId="9" fontId="0" fillId="0" borderId="0" xfId="0" applyNumberFormat="1" applyFont="1"/>
    <xf numFmtId="9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9" fontId="0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3" fontId="0" fillId="2" borderId="0" xfId="0" applyNumberFormat="1" applyFill="1" applyAlignment="1">
      <alignment horizontal="right"/>
    </xf>
    <xf numFmtId="3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6649</xdr:colOff>
      <xdr:row>0</xdr:row>
      <xdr:rowOff>39895</xdr:rowOff>
    </xdr:from>
    <xdr:to>
      <xdr:col>9</xdr:col>
      <xdr:colOff>13298</xdr:colOff>
      <xdr:row>57</xdr:row>
      <xdr:rowOff>93089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7C416F2-A766-40A3-FB97-8B42027696A9}"/>
            </a:ext>
          </a:extLst>
        </xdr:cNvPr>
        <xdr:cNvCxnSpPr/>
      </xdr:nvCxnSpPr>
      <xdr:spPr>
        <a:xfrm>
          <a:off x="4927068" y="39895"/>
          <a:ext cx="6649" cy="1180235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6649</xdr:colOff>
      <xdr:row>0</xdr:row>
      <xdr:rowOff>33246</xdr:rowOff>
    </xdr:from>
    <xdr:to>
      <xdr:col>22</xdr:col>
      <xdr:colOff>13298</xdr:colOff>
      <xdr:row>57</xdr:row>
      <xdr:rowOff>86440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17981C4-3930-8C44-8EC2-A5BA3CD3FCA9}"/>
            </a:ext>
          </a:extLst>
        </xdr:cNvPr>
        <xdr:cNvCxnSpPr/>
      </xdr:nvCxnSpPr>
      <xdr:spPr>
        <a:xfrm>
          <a:off x="11257120" y="33246"/>
          <a:ext cx="6649" cy="1180235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220D1-6208-004A-8F4A-9ED714151B37}">
  <dimension ref="B3:J8"/>
  <sheetViews>
    <sheetView workbookViewId="0">
      <selection activeCell="I9" sqref="I9"/>
    </sheetView>
  </sheetViews>
  <sheetFormatPr baseColWidth="10" defaultRowHeight="16" x14ac:dyDescent="0.2"/>
  <cols>
    <col min="1" max="1" width="10.83203125" style="1"/>
    <col min="2" max="2" width="5.1640625" style="1" bestFit="1" customWidth="1"/>
    <col min="3" max="7" width="10.83203125" style="1"/>
    <col min="8" max="8" width="4" style="1" bestFit="1" customWidth="1"/>
    <col min="9" max="9" width="6.6640625" style="1" bestFit="1" customWidth="1"/>
    <col min="10" max="10" width="5.5" style="1" bestFit="1" customWidth="1"/>
    <col min="11" max="16384" width="10.83203125" style="1"/>
  </cols>
  <sheetData>
    <row r="3" spans="2:10" x14ac:dyDescent="0.2">
      <c r="B3" s="1" t="s">
        <v>7</v>
      </c>
      <c r="H3" s="1" t="s">
        <v>0</v>
      </c>
      <c r="I3" s="1">
        <v>24.46</v>
      </c>
    </row>
    <row r="4" spans="2:10" x14ac:dyDescent="0.2">
      <c r="B4" s="1" t="s">
        <v>8</v>
      </c>
      <c r="H4" s="1" t="s">
        <v>1</v>
      </c>
      <c r="I4" s="1">
        <v>317.40787699999998</v>
      </c>
      <c r="J4" s="1" t="s">
        <v>6</v>
      </c>
    </row>
    <row r="5" spans="2:10" x14ac:dyDescent="0.2">
      <c r="H5" s="1" t="s">
        <v>2</v>
      </c>
      <c r="I5" s="1">
        <f>+I4*I3</f>
        <v>7763.7966714200002</v>
      </c>
    </row>
    <row r="6" spans="2:10" x14ac:dyDescent="0.2">
      <c r="H6" s="1" t="s">
        <v>3</v>
      </c>
      <c r="I6" s="1">
        <f>153.3+1940.8</f>
        <v>2094.1</v>
      </c>
      <c r="J6" s="1" t="str">
        <f>+J4</f>
        <v>Q325</v>
      </c>
    </row>
    <row r="7" spans="2:10" x14ac:dyDescent="0.2">
      <c r="H7" s="1" t="s">
        <v>4</v>
      </c>
      <c r="I7" s="1">
        <f>1153.7+42.6+3372</f>
        <v>4568.3</v>
      </c>
      <c r="J7" s="1" t="str">
        <f>+J6</f>
        <v>Q325</v>
      </c>
    </row>
    <row r="8" spans="2:10" x14ac:dyDescent="0.2">
      <c r="H8" s="1" t="s">
        <v>5</v>
      </c>
      <c r="I8" s="1">
        <f>+I5-I6+I7</f>
        <v>10237.996671420002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0C4B2-1876-5D47-B15B-26300F50F305}">
  <dimension ref="B2:HY48"/>
  <sheetViews>
    <sheetView tabSelected="1" zoomScale="140" zoomScaleNormal="140" workbookViewId="0">
      <pane xSplit="2" ySplit="2" topLeftCell="S12" activePane="bottomRight" state="frozen"/>
      <selection pane="topRight" activeCell="C1" sqref="C1"/>
      <selection pane="bottomLeft" activeCell="A3" sqref="A3"/>
      <selection pane="bottomRight" activeCell="I21" sqref="I21"/>
    </sheetView>
  </sheetViews>
  <sheetFormatPr baseColWidth="10" defaultRowHeight="16" x14ac:dyDescent="0.2"/>
  <cols>
    <col min="1" max="1" width="2.1640625" customWidth="1"/>
    <col min="2" max="2" width="16.83203125" bestFit="1" customWidth="1"/>
    <col min="3" max="4" width="5.6640625" style="4" bestFit="1" customWidth="1"/>
    <col min="5" max="5" width="7.1640625" style="4" bestFit="1" customWidth="1"/>
    <col min="6" max="8" width="6.6640625" style="4" bestFit="1" customWidth="1"/>
    <col min="9" max="9" width="7.1640625" style="4" bestFit="1" customWidth="1"/>
    <col min="10" max="10" width="5.5" style="4" bestFit="1" customWidth="1"/>
    <col min="13" max="19" width="5.1640625" bestFit="1" customWidth="1"/>
    <col min="20" max="32" width="6.6640625" bestFit="1" customWidth="1"/>
    <col min="33" max="33" width="5.6640625" bestFit="1" customWidth="1"/>
    <col min="34" max="34" width="5.1640625" bestFit="1" customWidth="1"/>
    <col min="35" max="35" width="6.6640625" bestFit="1" customWidth="1"/>
  </cols>
  <sheetData>
    <row r="2" spans="2:233" x14ac:dyDescent="0.2"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6</v>
      </c>
      <c r="J2" s="4" t="s">
        <v>15</v>
      </c>
      <c r="M2">
        <v>2015</v>
      </c>
      <c r="N2">
        <f>+M2+1</f>
        <v>2016</v>
      </c>
      <c r="O2">
        <f t="shared" ref="O2:AI2" si="0">+N2+1</f>
        <v>2017</v>
      </c>
      <c r="P2">
        <f t="shared" si="0"/>
        <v>2018</v>
      </c>
      <c r="Q2">
        <f t="shared" si="0"/>
        <v>2019</v>
      </c>
      <c r="R2">
        <f t="shared" si="0"/>
        <v>2020</v>
      </c>
      <c r="S2">
        <f t="shared" si="0"/>
        <v>2021</v>
      </c>
      <c r="T2">
        <f t="shared" si="0"/>
        <v>2022</v>
      </c>
      <c r="U2">
        <f t="shared" si="0"/>
        <v>2023</v>
      </c>
      <c r="V2">
        <f t="shared" si="0"/>
        <v>2024</v>
      </c>
      <c r="W2">
        <f t="shared" si="0"/>
        <v>2025</v>
      </c>
      <c r="X2">
        <f t="shared" si="0"/>
        <v>2026</v>
      </c>
      <c r="Y2">
        <f t="shared" si="0"/>
        <v>2027</v>
      </c>
      <c r="Z2">
        <f t="shared" si="0"/>
        <v>2028</v>
      </c>
      <c r="AA2">
        <f t="shared" si="0"/>
        <v>2029</v>
      </c>
      <c r="AB2">
        <f t="shared" si="0"/>
        <v>2030</v>
      </c>
      <c r="AC2">
        <f t="shared" si="0"/>
        <v>2031</v>
      </c>
      <c r="AD2">
        <f t="shared" si="0"/>
        <v>2032</v>
      </c>
      <c r="AE2">
        <f t="shared" si="0"/>
        <v>2033</v>
      </c>
      <c r="AF2">
        <f t="shared" si="0"/>
        <v>2034</v>
      </c>
      <c r="AG2">
        <f t="shared" si="0"/>
        <v>2035</v>
      </c>
      <c r="AH2">
        <f t="shared" ref="AH2:CS2" si="1">+AG2+1</f>
        <v>2036</v>
      </c>
      <c r="AI2">
        <f t="shared" si="1"/>
        <v>2037</v>
      </c>
      <c r="AJ2">
        <f t="shared" si="1"/>
        <v>2038</v>
      </c>
      <c r="AK2">
        <f t="shared" si="1"/>
        <v>2039</v>
      </c>
      <c r="AL2">
        <f t="shared" si="1"/>
        <v>2040</v>
      </c>
      <c r="AM2">
        <f t="shared" si="1"/>
        <v>2041</v>
      </c>
      <c r="AN2">
        <f t="shared" si="1"/>
        <v>2042</v>
      </c>
      <c r="AO2">
        <f t="shared" si="1"/>
        <v>2043</v>
      </c>
      <c r="AP2">
        <f t="shared" si="1"/>
        <v>2044</v>
      </c>
      <c r="AQ2">
        <f t="shared" si="1"/>
        <v>2045</v>
      </c>
      <c r="AR2">
        <f t="shared" si="1"/>
        <v>2046</v>
      </c>
      <c r="AS2">
        <f t="shared" si="1"/>
        <v>2047</v>
      </c>
      <c r="AT2">
        <f t="shared" si="1"/>
        <v>2048</v>
      </c>
      <c r="AU2">
        <f t="shared" si="1"/>
        <v>2049</v>
      </c>
      <c r="AV2">
        <f t="shared" si="1"/>
        <v>2050</v>
      </c>
      <c r="AW2">
        <f t="shared" si="1"/>
        <v>2051</v>
      </c>
      <c r="AX2">
        <f t="shared" si="1"/>
        <v>2052</v>
      </c>
      <c r="AY2">
        <f t="shared" si="1"/>
        <v>2053</v>
      </c>
      <c r="AZ2">
        <f t="shared" si="1"/>
        <v>2054</v>
      </c>
      <c r="BA2">
        <f t="shared" si="1"/>
        <v>2055</v>
      </c>
      <c r="BB2">
        <f t="shared" si="1"/>
        <v>2056</v>
      </c>
      <c r="BC2">
        <f t="shared" si="1"/>
        <v>2057</v>
      </c>
      <c r="BD2">
        <f t="shared" si="1"/>
        <v>2058</v>
      </c>
      <c r="BE2">
        <f t="shared" si="1"/>
        <v>2059</v>
      </c>
      <c r="BF2">
        <f t="shared" si="1"/>
        <v>2060</v>
      </c>
      <c r="BG2">
        <f t="shared" si="1"/>
        <v>2061</v>
      </c>
      <c r="BH2">
        <f t="shared" si="1"/>
        <v>2062</v>
      </c>
      <c r="BI2">
        <f t="shared" si="1"/>
        <v>2063</v>
      </c>
      <c r="BJ2">
        <f t="shared" si="1"/>
        <v>2064</v>
      </c>
      <c r="BK2">
        <f t="shared" si="1"/>
        <v>2065</v>
      </c>
      <c r="BL2">
        <f t="shared" si="1"/>
        <v>2066</v>
      </c>
      <c r="BM2">
        <f t="shared" si="1"/>
        <v>2067</v>
      </c>
      <c r="BN2">
        <f t="shared" si="1"/>
        <v>2068</v>
      </c>
      <c r="BO2">
        <f t="shared" si="1"/>
        <v>2069</v>
      </c>
      <c r="BP2">
        <f t="shared" si="1"/>
        <v>2070</v>
      </c>
      <c r="BQ2">
        <f t="shared" si="1"/>
        <v>2071</v>
      </c>
      <c r="BR2">
        <f t="shared" si="1"/>
        <v>2072</v>
      </c>
      <c r="BS2">
        <f t="shared" si="1"/>
        <v>2073</v>
      </c>
      <c r="BT2">
        <f t="shared" si="1"/>
        <v>2074</v>
      </c>
      <c r="BU2">
        <f t="shared" si="1"/>
        <v>2075</v>
      </c>
      <c r="BV2">
        <f t="shared" si="1"/>
        <v>2076</v>
      </c>
      <c r="BW2">
        <f t="shared" si="1"/>
        <v>2077</v>
      </c>
      <c r="BX2">
        <f t="shared" si="1"/>
        <v>2078</v>
      </c>
      <c r="BY2">
        <f t="shared" si="1"/>
        <v>2079</v>
      </c>
      <c r="BZ2">
        <f t="shared" si="1"/>
        <v>2080</v>
      </c>
      <c r="CA2">
        <f t="shared" si="1"/>
        <v>2081</v>
      </c>
      <c r="CB2">
        <f t="shared" si="1"/>
        <v>2082</v>
      </c>
      <c r="CC2">
        <f t="shared" si="1"/>
        <v>2083</v>
      </c>
      <c r="CD2">
        <f t="shared" si="1"/>
        <v>2084</v>
      </c>
      <c r="CE2">
        <f t="shared" si="1"/>
        <v>2085</v>
      </c>
      <c r="CF2">
        <f t="shared" si="1"/>
        <v>2086</v>
      </c>
      <c r="CG2">
        <f t="shared" si="1"/>
        <v>2087</v>
      </c>
      <c r="CH2">
        <f t="shared" si="1"/>
        <v>2088</v>
      </c>
      <c r="CI2">
        <f t="shared" si="1"/>
        <v>2089</v>
      </c>
      <c r="CJ2">
        <f t="shared" si="1"/>
        <v>2090</v>
      </c>
      <c r="CK2">
        <f t="shared" si="1"/>
        <v>2091</v>
      </c>
      <c r="CL2">
        <f t="shared" si="1"/>
        <v>2092</v>
      </c>
      <c r="CM2">
        <f t="shared" si="1"/>
        <v>2093</v>
      </c>
      <c r="CN2">
        <f t="shared" si="1"/>
        <v>2094</v>
      </c>
      <c r="CO2">
        <f t="shared" si="1"/>
        <v>2095</v>
      </c>
      <c r="CP2">
        <f t="shared" si="1"/>
        <v>2096</v>
      </c>
      <c r="CQ2">
        <f t="shared" si="1"/>
        <v>2097</v>
      </c>
      <c r="CR2">
        <f t="shared" si="1"/>
        <v>2098</v>
      </c>
      <c r="CS2">
        <f t="shared" si="1"/>
        <v>2099</v>
      </c>
      <c r="CT2">
        <f t="shared" ref="CT2:FE2" si="2">+CS2+1</f>
        <v>2100</v>
      </c>
      <c r="CU2">
        <f t="shared" si="2"/>
        <v>2101</v>
      </c>
      <c r="CV2">
        <f t="shared" si="2"/>
        <v>2102</v>
      </c>
      <c r="CW2">
        <f t="shared" si="2"/>
        <v>2103</v>
      </c>
      <c r="CX2">
        <f t="shared" si="2"/>
        <v>2104</v>
      </c>
      <c r="CY2">
        <f t="shared" si="2"/>
        <v>2105</v>
      </c>
      <c r="CZ2">
        <f t="shared" si="2"/>
        <v>2106</v>
      </c>
      <c r="DA2">
        <f t="shared" si="2"/>
        <v>2107</v>
      </c>
      <c r="DB2">
        <f t="shared" si="2"/>
        <v>2108</v>
      </c>
      <c r="DC2">
        <f t="shared" si="2"/>
        <v>2109</v>
      </c>
      <c r="DD2">
        <f t="shared" si="2"/>
        <v>2110</v>
      </c>
      <c r="DE2">
        <f t="shared" si="2"/>
        <v>2111</v>
      </c>
      <c r="DF2">
        <f t="shared" si="2"/>
        <v>2112</v>
      </c>
      <c r="DG2">
        <f t="shared" si="2"/>
        <v>2113</v>
      </c>
      <c r="DH2">
        <f t="shared" si="2"/>
        <v>2114</v>
      </c>
      <c r="DI2">
        <f t="shared" si="2"/>
        <v>2115</v>
      </c>
      <c r="DJ2">
        <f t="shared" si="2"/>
        <v>2116</v>
      </c>
      <c r="DK2">
        <f t="shared" si="2"/>
        <v>2117</v>
      </c>
      <c r="DL2">
        <f t="shared" si="2"/>
        <v>2118</v>
      </c>
      <c r="DM2">
        <f t="shared" si="2"/>
        <v>2119</v>
      </c>
      <c r="DN2">
        <f t="shared" si="2"/>
        <v>2120</v>
      </c>
      <c r="DO2">
        <f t="shared" si="2"/>
        <v>2121</v>
      </c>
      <c r="DP2">
        <f t="shared" si="2"/>
        <v>2122</v>
      </c>
      <c r="DQ2">
        <f t="shared" si="2"/>
        <v>2123</v>
      </c>
      <c r="DR2">
        <f t="shared" si="2"/>
        <v>2124</v>
      </c>
      <c r="DS2">
        <f t="shared" si="2"/>
        <v>2125</v>
      </c>
      <c r="DT2">
        <f t="shared" si="2"/>
        <v>2126</v>
      </c>
      <c r="DU2">
        <f t="shared" si="2"/>
        <v>2127</v>
      </c>
      <c r="DV2">
        <f t="shared" si="2"/>
        <v>2128</v>
      </c>
      <c r="DW2">
        <f t="shared" si="2"/>
        <v>2129</v>
      </c>
      <c r="DX2">
        <f t="shared" si="2"/>
        <v>2130</v>
      </c>
      <c r="DY2">
        <f t="shared" si="2"/>
        <v>2131</v>
      </c>
      <c r="DZ2">
        <f t="shared" si="2"/>
        <v>2132</v>
      </c>
      <c r="EA2">
        <f t="shared" si="2"/>
        <v>2133</v>
      </c>
      <c r="EB2">
        <f t="shared" si="2"/>
        <v>2134</v>
      </c>
      <c r="EC2">
        <f t="shared" si="2"/>
        <v>2135</v>
      </c>
      <c r="ED2">
        <f t="shared" si="2"/>
        <v>2136</v>
      </c>
      <c r="EE2">
        <f t="shared" si="2"/>
        <v>2137</v>
      </c>
      <c r="EF2">
        <f t="shared" si="2"/>
        <v>2138</v>
      </c>
      <c r="EG2">
        <f t="shared" si="2"/>
        <v>2139</v>
      </c>
      <c r="EH2">
        <f t="shared" si="2"/>
        <v>2140</v>
      </c>
      <c r="EI2">
        <f t="shared" si="2"/>
        <v>2141</v>
      </c>
      <c r="EJ2">
        <f t="shared" si="2"/>
        <v>2142</v>
      </c>
      <c r="EK2">
        <f t="shared" si="2"/>
        <v>2143</v>
      </c>
      <c r="EL2">
        <f t="shared" si="2"/>
        <v>2144</v>
      </c>
      <c r="EM2">
        <f t="shared" si="2"/>
        <v>2145</v>
      </c>
      <c r="EN2">
        <f t="shared" si="2"/>
        <v>2146</v>
      </c>
      <c r="EO2">
        <f t="shared" si="2"/>
        <v>2147</v>
      </c>
      <c r="EP2">
        <f t="shared" si="2"/>
        <v>2148</v>
      </c>
      <c r="EQ2">
        <f t="shared" si="2"/>
        <v>2149</v>
      </c>
      <c r="ER2">
        <f t="shared" si="2"/>
        <v>2150</v>
      </c>
      <c r="ES2">
        <f t="shared" si="2"/>
        <v>2151</v>
      </c>
      <c r="ET2">
        <f t="shared" si="2"/>
        <v>2152</v>
      </c>
      <c r="EU2">
        <f t="shared" si="2"/>
        <v>2153</v>
      </c>
      <c r="EV2">
        <f t="shared" si="2"/>
        <v>2154</v>
      </c>
      <c r="EW2">
        <f t="shared" si="2"/>
        <v>2155</v>
      </c>
      <c r="EX2">
        <f t="shared" si="2"/>
        <v>2156</v>
      </c>
      <c r="EY2">
        <f t="shared" si="2"/>
        <v>2157</v>
      </c>
      <c r="EZ2">
        <f t="shared" si="2"/>
        <v>2158</v>
      </c>
      <c r="FA2">
        <f t="shared" si="2"/>
        <v>2159</v>
      </c>
      <c r="FB2">
        <f t="shared" si="2"/>
        <v>2160</v>
      </c>
      <c r="FC2">
        <f t="shared" si="2"/>
        <v>2161</v>
      </c>
      <c r="FD2">
        <f t="shared" si="2"/>
        <v>2162</v>
      </c>
      <c r="FE2">
        <f t="shared" si="2"/>
        <v>2163</v>
      </c>
      <c r="FF2">
        <f t="shared" ref="FF2:GL2" si="3">+FE2+1</f>
        <v>2164</v>
      </c>
      <c r="FG2">
        <f t="shared" si="3"/>
        <v>2165</v>
      </c>
      <c r="FH2">
        <f t="shared" si="3"/>
        <v>2166</v>
      </c>
      <c r="FI2">
        <f t="shared" si="3"/>
        <v>2167</v>
      </c>
      <c r="FJ2">
        <f t="shared" si="3"/>
        <v>2168</v>
      </c>
      <c r="FK2">
        <f t="shared" si="3"/>
        <v>2169</v>
      </c>
      <c r="FL2">
        <f t="shared" si="3"/>
        <v>2170</v>
      </c>
      <c r="FM2">
        <f t="shared" si="3"/>
        <v>2171</v>
      </c>
      <c r="FN2">
        <f t="shared" si="3"/>
        <v>2172</v>
      </c>
      <c r="FO2">
        <f t="shared" si="3"/>
        <v>2173</v>
      </c>
      <c r="FP2">
        <f t="shared" si="3"/>
        <v>2174</v>
      </c>
      <c r="FQ2">
        <f t="shared" si="3"/>
        <v>2175</v>
      </c>
      <c r="FR2">
        <f t="shared" si="3"/>
        <v>2176</v>
      </c>
      <c r="FS2">
        <f t="shared" si="3"/>
        <v>2177</v>
      </c>
      <c r="FT2">
        <f t="shared" si="3"/>
        <v>2178</v>
      </c>
      <c r="FU2">
        <f t="shared" si="3"/>
        <v>2179</v>
      </c>
      <c r="FV2">
        <f t="shared" si="3"/>
        <v>2180</v>
      </c>
      <c r="FW2">
        <f t="shared" si="3"/>
        <v>2181</v>
      </c>
      <c r="FX2">
        <f t="shared" si="3"/>
        <v>2182</v>
      </c>
      <c r="FY2">
        <f t="shared" si="3"/>
        <v>2183</v>
      </c>
      <c r="FZ2">
        <f t="shared" si="3"/>
        <v>2184</v>
      </c>
      <c r="GA2">
        <f t="shared" si="3"/>
        <v>2185</v>
      </c>
      <c r="GB2">
        <f t="shared" si="3"/>
        <v>2186</v>
      </c>
      <c r="GC2">
        <f t="shared" si="3"/>
        <v>2187</v>
      </c>
      <c r="GD2">
        <f t="shared" si="3"/>
        <v>2188</v>
      </c>
      <c r="GE2">
        <f t="shared" si="3"/>
        <v>2189</v>
      </c>
      <c r="GF2">
        <f t="shared" si="3"/>
        <v>2190</v>
      </c>
      <c r="GG2">
        <f t="shared" si="3"/>
        <v>2191</v>
      </c>
      <c r="GH2">
        <f t="shared" si="3"/>
        <v>2192</v>
      </c>
      <c r="GI2">
        <f t="shared" si="3"/>
        <v>2193</v>
      </c>
      <c r="GJ2">
        <f t="shared" si="3"/>
        <v>2194</v>
      </c>
      <c r="GK2">
        <f t="shared" si="3"/>
        <v>2195</v>
      </c>
      <c r="GL2">
        <f t="shared" si="3"/>
        <v>2196</v>
      </c>
      <c r="GM2">
        <f t="shared" ref="GM2:HM2" si="4">+GL2+1</f>
        <v>2197</v>
      </c>
      <c r="GN2">
        <f t="shared" si="4"/>
        <v>2198</v>
      </c>
      <c r="GO2">
        <f t="shared" si="4"/>
        <v>2199</v>
      </c>
      <c r="GP2">
        <f t="shared" si="4"/>
        <v>2200</v>
      </c>
      <c r="GQ2">
        <f t="shared" si="4"/>
        <v>2201</v>
      </c>
      <c r="GR2">
        <f t="shared" si="4"/>
        <v>2202</v>
      </c>
      <c r="GS2">
        <f t="shared" si="4"/>
        <v>2203</v>
      </c>
      <c r="GT2">
        <f t="shared" si="4"/>
        <v>2204</v>
      </c>
      <c r="GU2">
        <f t="shared" si="4"/>
        <v>2205</v>
      </c>
      <c r="GV2">
        <f t="shared" si="4"/>
        <v>2206</v>
      </c>
      <c r="GW2">
        <f t="shared" si="4"/>
        <v>2207</v>
      </c>
      <c r="GX2">
        <f t="shared" si="4"/>
        <v>2208</v>
      </c>
      <c r="GY2">
        <f t="shared" si="4"/>
        <v>2209</v>
      </c>
      <c r="GZ2">
        <f t="shared" si="4"/>
        <v>2210</v>
      </c>
      <c r="HA2">
        <f t="shared" si="4"/>
        <v>2211</v>
      </c>
      <c r="HB2">
        <f t="shared" si="4"/>
        <v>2212</v>
      </c>
      <c r="HC2">
        <f t="shared" si="4"/>
        <v>2213</v>
      </c>
      <c r="HD2">
        <f t="shared" si="4"/>
        <v>2214</v>
      </c>
      <c r="HE2">
        <f t="shared" si="4"/>
        <v>2215</v>
      </c>
      <c r="HF2">
        <f t="shared" si="4"/>
        <v>2216</v>
      </c>
      <c r="HG2">
        <f t="shared" si="4"/>
        <v>2217</v>
      </c>
      <c r="HH2">
        <f t="shared" si="4"/>
        <v>2218</v>
      </c>
      <c r="HI2">
        <f t="shared" si="4"/>
        <v>2219</v>
      </c>
      <c r="HJ2">
        <f t="shared" si="4"/>
        <v>2220</v>
      </c>
      <c r="HK2">
        <f t="shared" si="4"/>
        <v>2221</v>
      </c>
      <c r="HL2">
        <f t="shared" si="4"/>
        <v>2222</v>
      </c>
      <c r="HM2">
        <f t="shared" si="4"/>
        <v>2223</v>
      </c>
      <c r="HN2">
        <f t="shared" ref="HN2:HY2" si="5">+HM2+1</f>
        <v>2224</v>
      </c>
      <c r="HO2">
        <f t="shared" si="5"/>
        <v>2225</v>
      </c>
      <c r="HP2">
        <f t="shared" si="5"/>
        <v>2226</v>
      </c>
      <c r="HQ2">
        <f t="shared" si="5"/>
        <v>2227</v>
      </c>
      <c r="HR2">
        <f t="shared" si="5"/>
        <v>2228</v>
      </c>
      <c r="HS2">
        <f t="shared" si="5"/>
        <v>2229</v>
      </c>
      <c r="HT2">
        <f t="shared" si="5"/>
        <v>2230</v>
      </c>
      <c r="HU2">
        <f t="shared" si="5"/>
        <v>2231</v>
      </c>
      <c r="HV2">
        <f t="shared" si="5"/>
        <v>2232</v>
      </c>
      <c r="HW2">
        <f t="shared" si="5"/>
        <v>2233</v>
      </c>
      <c r="HX2">
        <f t="shared" si="5"/>
        <v>2234</v>
      </c>
      <c r="HY2">
        <f t="shared" si="5"/>
        <v>2235</v>
      </c>
    </row>
    <row r="3" spans="2:233" x14ac:dyDescent="0.2">
      <c r="B3" t="s">
        <v>28</v>
      </c>
      <c r="E3" s="4">
        <v>1005.3</v>
      </c>
      <c r="I3" s="4">
        <v>1290.2</v>
      </c>
    </row>
    <row r="4" spans="2:233" x14ac:dyDescent="0.2">
      <c r="B4" t="s">
        <v>29</v>
      </c>
      <c r="E4" s="4">
        <v>525.70000000000005</v>
      </c>
      <c r="I4" s="4">
        <v>694.8</v>
      </c>
    </row>
    <row r="6" spans="2:233" s="1" customFormat="1" x14ac:dyDescent="0.2">
      <c r="B6" s="1" t="s">
        <v>16</v>
      </c>
      <c r="C6" s="5">
        <v>2679.4</v>
      </c>
      <c r="D6" s="5">
        <v>2816.6</v>
      </c>
      <c r="E6" s="5">
        <v>2810.9</v>
      </c>
      <c r="F6" s="5">
        <f>+V6-SUM(C6:E6)</f>
        <v>2815.8999999999996</v>
      </c>
      <c r="G6" s="5">
        <v>2620.9</v>
      </c>
      <c r="H6" s="5">
        <v>3005.7</v>
      </c>
      <c r="I6" s="5">
        <v>3452.1</v>
      </c>
      <c r="J6" s="5">
        <f>+F6*1.05</f>
        <v>2956.6949999999997</v>
      </c>
      <c r="T6" s="5">
        <v>19125.2</v>
      </c>
      <c r="U6" s="5">
        <v>13696.1</v>
      </c>
      <c r="V6" s="5">
        <v>11122.8</v>
      </c>
      <c r="W6" s="1">
        <f>SUM(G6:J6)</f>
        <v>12035.395</v>
      </c>
      <c r="X6" s="1">
        <f>+W6*0.95</f>
        <v>11433.625249999999</v>
      </c>
      <c r="Y6" s="1">
        <f t="shared" ref="Y6:AF6" si="6">+X6*0.95</f>
        <v>10861.943987499999</v>
      </c>
      <c r="Z6" s="1">
        <f t="shared" si="6"/>
        <v>10318.846788124998</v>
      </c>
      <c r="AA6" s="1">
        <f t="shared" si="6"/>
        <v>9802.9044487187475</v>
      </c>
      <c r="AB6" s="1">
        <f t="shared" si="6"/>
        <v>9312.7592262828093</v>
      </c>
      <c r="AC6" s="1">
        <f t="shared" si="6"/>
        <v>8847.1212649686677</v>
      </c>
      <c r="AD6" s="1">
        <f t="shared" si="6"/>
        <v>8404.7652017202345</v>
      </c>
      <c r="AE6" s="1">
        <f t="shared" si="6"/>
        <v>7984.5269416342226</v>
      </c>
      <c r="AF6" s="1">
        <f t="shared" si="6"/>
        <v>7585.300594552511</v>
      </c>
    </row>
    <row r="7" spans="2:233" s="1" customFormat="1" x14ac:dyDescent="0.2">
      <c r="B7" s="1" t="s">
        <v>17</v>
      </c>
      <c r="C7" s="5">
        <v>2280.1999999999998</v>
      </c>
      <c r="D7" s="5">
        <v>2422.6</v>
      </c>
      <c r="E7" s="5">
        <v>2394.1</v>
      </c>
      <c r="F7" s="5">
        <f t="shared" ref="F7:F15" si="7">+V7-SUM(C7:E7)</f>
        <v>2514</v>
      </c>
      <c r="G7" s="5">
        <v>2132.5</v>
      </c>
      <c r="H7" s="5">
        <v>2487.1</v>
      </c>
      <c r="I7" s="5">
        <v>2899.8</v>
      </c>
      <c r="J7" s="5">
        <f>+J$6*(F7/F$6)</f>
        <v>2639.7000000000003</v>
      </c>
      <c r="T7" s="5">
        <v>13369.4</v>
      </c>
      <c r="U7" s="5">
        <v>11485.5</v>
      </c>
      <c r="V7" s="5">
        <v>9610.9</v>
      </c>
      <c r="W7" s="1">
        <f t="shared" ref="W7:W15" si="8">SUM(G7:J7)</f>
        <v>10159.1</v>
      </c>
      <c r="X7" s="1">
        <f>+X$6*(W7/W$6)</f>
        <v>9651.1449999999986</v>
      </c>
      <c r="Y7" s="1">
        <f t="shared" ref="Y7:AF7" si="9">+Y$6*(X7/X$6)</f>
        <v>9168.5877499999988</v>
      </c>
      <c r="Z7" s="1">
        <f t="shared" si="9"/>
        <v>8710.1583624999985</v>
      </c>
      <c r="AA7" s="1">
        <f t="shared" si="9"/>
        <v>8274.6504443749982</v>
      </c>
      <c r="AB7" s="1">
        <f t="shared" si="9"/>
        <v>7860.9179221562472</v>
      </c>
      <c r="AC7" s="1">
        <f t="shared" si="9"/>
        <v>7467.8720260484342</v>
      </c>
      <c r="AD7" s="1">
        <f t="shared" si="9"/>
        <v>7094.478424746012</v>
      </c>
      <c r="AE7" s="1">
        <f t="shared" si="9"/>
        <v>6739.7545035087114</v>
      </c>
      <c r="AF7" s="1">
        <f t="shared" si="9"/>
        <v>6402.7667783332754</v>
      </c>
    </row>
    <row r="8" spans="2:233" s="1" customFormat="1" x14ac:dyDescent="0.2">
      <c r="B8" s="1" t="s">
        <v>18</v>
      </c>
      <c r="C8" s="5">
        <v>106.8</v>
      </c>
      <c r="D8" s="5">
        <v>128.4</v>
      </c>
      <c r="E8" s="5">
        <v>148.19999999999999</v>
      </c>
      <c r="F8" s="5">
        <f t="shared" si="7"/>
        <v>113.5</v>
      </c>
      <c r="G8" s="5">
        <v>122.6</v>
      </c>
      <c r="H8" s="5">
        <v>167.2</v>
      </c>
      <c r="I8" s="5">
        <v>125.5</v>
      </c>
      <c r="J8" s="5">
        <f>+J$6*(F8/F$6)</f>
        <v>119.175</v>
      </c>
      <c r="T8" s="5">
        <v>498</v>
      </c>
      <c r="U8" s="5">
        <v>500.5</v>
      </c>
      <c r="V8" s="5">
        <v>496.9</v>
      </c>
      <c r="W8" s="1">
        <v>540</v>
      </c>
      <c r="X8" s="1">
        <f>+X$6*(W8/W$6)</f>
        <v>513</v>
      </c>
      <c r="Y8" s="1">
        <f t="shared" ref="Y8:AF8" si="10">+Y$6*(X8/X$6)</f>
        <v>487.34999999999997</v>
      </c>
      <c r="Z8" s="1">
        <f t="shared" si="10"/>
        <v>462.9824999999999</v>
      </c>
      <c r="AA8" s="1">
        <f t="shared" si="10"/>
        <v>439.83337499999988</v>
      </c>
      <c r="AB8" s="1">
        <f t="shared" si="10"/>
        <v>417.84170624999985</v>
      </c>
      <c r="AC8" s="1">
        <f t="shared" si="10"/>
        <v>396.94962093749984</v>
      </c>
      <c r="AD8" s="1">
        <f t="shared" si="10"/>
        <v>377.10213989062481</v>
      </c>
      <c r="AE8" s="1">
        <f t="shared" si="10"/>
        <v>358.24703289609357</v>
      </c>
      <c r="AF8" s="1">
        <f t="shared" si="10"/>
        <v>340.33468125128888</v>
      </c>
    </row>
    <row r="9" spans="2:233" s="1" customFormat="1" x14ac:dyDescent="0.2">
      <c r="B9" s="1" t="s">
        <v>19</v>
      </c>
      <c r="C9" s="5">
        <v>119.5</v>
      </c>
      <c r="D9" s="5">
        <v>32.299999999999997</v>
      </c>
      <c r="E9" s="5">
        <v>153.19999999999999</v>
      </c>
      <c r="F9" s="5">
        <f t="shared" si="7"/>
        <v>88.5</v>
      </c>
      <c r="G9" s="5">
        <v>27.3</v>
      </c>
      <c r="H9" s="5">
        <v>107</v>
      </c>
      <c r="I9" s="5">
        <v>87</v>
      </c>
      <c r="J9" s="5">
        <f>+J$6*(F9/F$6)</f>
        <v>92.925000000000011</v>
      </c>
      <c r="T9" s="5">
        <v>472.5</v>
      </c>
      <c r="U9" s="5">
        <v>372</v>
      </c>
      <c r="V9" s="5">
        <v>393.5</v>
      </c>
      <c r="W9" s="1">
        <f t="shared" si="8"/>
        <v>314.22500000000002</v>
      </c>
      <c r="X9" s="1">
        <f>+X$6*(W9/W$6)</f>
        <v>298.51375000000002</v>
      </c>
      <c r="Y9" s="1">
        <f t="shared" ref="Y9:AF9" si="11">+Y$6*(X9/X$6)</f>
        <v>283.58806250000004</v>
      </c>
      <c r="Z9" s="1">
        <f t="shared" si="11"/>
        <v>269.40865937500001</v>
      </c>
      <c r="AA9" s="1">
        <f t="shared" si="11"/>
        <v>255.93822640624998</v>
      </c>
      <c r="AB9" s="1">
        <f t="shared" si="11"/>
        <v>243.14131508593746</v>
      </c>
      <c r="AC9" s="1">
        <f t="shared" si="11"/>
        <v>230.98424933164057</v>
      </c>
      <c r="AD9" s="1">
        <f t="shared" si="11"/>
        <v>219.43503686505855</v>
      </c>
      <c r="AE9" s="1">
        <f t="shared" si="11"/>
        <v>208.4632850218056</v>
      </c>
      <c r="AF9" s="1">
        <f t="shared" si="11"/>
        <v>198.0401207707153</v>
      </c>
    </row>
    <row r="10" spans="2:233" s="1" customFormat="1" x14ac:dyDescent="0.2">
      <c r="B10" s="1" t="s">
        <v>20</v>
      </c>
      <c r="C10" s="5">
        <f>+C6-SUM(C7:C9)</f>
        <v>172.90000000000009</v>
      </c>
      <c r="D10" s="5">
        <f>+D6-SUM(D7:D9)</f>
        <v>233.29999999999973</v>
      </c>
      <c r="E10" s="5">
        <f>+E6-SUM(E7:E9)</f>
        <v>115.40000000000055</v>
      </c>
      <c r="F10" s="5">
        <f t="shared" si="7"/>
        <v>99.899999999999636</v>
      </c>
      <c r="G10" s="5">
        <f>+G6-SUM(G7:G9)</f>
        <v>338.5</v>
      </c>
      <c r="H10" s="5">
        <f>+H6-SUM(H7:H9)</f>
        <v>244.40000000000009</v>
      </c>
      <c r="I10" s="5">
        <f>+I6-SUM(I7:I9)</f>
        <v>339.79999999999973</v>
      </c>
      <c r="J10" s="5">
        <f>+J6-SUM(J7:J9)</f>
        <v>104.89499999999907</v>
      </c>
      <c r="T10" s="5">
        <f>+T6-SUM(T7:T9)</f>
        <v>4785.3000000000011</v>
      </c>
      <c r="U10" s="5">
        <f>+U6-SUM(U7:U9)</f>
        <v>1338.1000000000004</v>
      </c>
      <c r="V10" s="5">
        <f>+V6-SUM(V7:V9)</f>
        <v>621.5</v>
      </c>
      <c r="W10" s="1">
        <f t="shared" si="8"/>
        <v>1027.5949999999989</v>
      </c>
      <c r="X10" s="5">
        <f>+X6-SUM(X7:X9)</f>
        <v>970.96650000000045</v>
      </c>
      <c r="Y10" s="5">
        <f t="shared" ref="Y10:AF10" si="12">+Y6-SUM(Y7:Y9)</f>
        <v>922.41817499999888</v>
      </c>
      <c r="Z10" s="5">
        <f t="shared" si="12"/>
        <v>876.29726624999967</v>
      </c>
      <c r="AA10" s="5">
        <f t="shared" si="12"/>
        <v>832.4824029374995</v>
      </c>
      <c r="AB10" s="5">
        <f t="shared" si="12"/>
        <v>790.8582827906248</v>
      </c>
      <c r="AC10" s="5">
        <f t="shared" si="12"/>
        <v>751.31536865109229</v>
      </c>
      <c r="AD10" s="5">
        <f t="shared" si="12"/>
        <v>713.74960021853894</v>
      </c>
      <c r="AE10" s="5">
        <f t="shared" si="12"/>
        <v>678.06212020761177</v>
      </c>
      <c r="AF10" s="5">
        <f t="shared" si="12"/>
        <v>644.15901419723104</v>
      </c>
    </row>
    <row r="11" spans="2:233" s="1" customFormat="1" x14ac:dyDescent="0.2">
      <c r="B11" s="1" t="s">
        <v>21</v>
      </c>
      <c r="C11" s="5">
        <v>-48</v>
      </c>
      <c r="D11" s="5">
        <v>-46.4</v>
      </c>
      <c r="E11" s="5">
        <v>-41.7</v>
      </c>
      <c r="F11" s="5">
        <f t="shared" si="7"/>
        <v>-46.699999999999989</v>
      </c>
      <c r="G11" s="5">
        <v>-40.700000000000003</v>
      </c>
      <c r="H11" s="5">
        <v>-53</v>
      </c>
      <c r="I11" s="5">
        <v>-45.6</v>
      </c>
      <c r="J11" s="5">
        <f>+I11</f>
        <v>-45.6</v>
      </c>
      <c r="T11" s="5">
        <v>-137.80000000000001</v>
      </c>
      <c r="U11" s="5">
        <v>-129.4</v>
      </c>
      <c r="V11" s="5">
        <v>-182.8</v>
      </c>
      <c r="W11" s="1">
        <v>-190</v>
      </c>
      <c r="X11" s="1">
        <f>+W11</f>
        <v>-190</v>
      </c>
      <c r="Y11" s="1">
        <f t="shared" ref="Y11:AF11" si="13">+X11</f>
        <v>-190</v>
      </c>
      <c r="Z11" s="1">
        <f t="shared" si="13"/>
        <v>-190</v>
      </c>
      <c r="AA11" s="1">
        <f t="shared" si="13"/>
        <v>-190</v>
      </c>
      <c r="AB11" s="1">
        <f t="shared" si="13"/>
        <v>-190</v>
      </c>
      <c r="AC11" s="1">
        <f t="shared" si="13"/>
        <v>-190</v>
      </c>
      <c r="AD11" s="1">
        <f t="shared" si="13"/>
        <v>-190</v>
      </c>
      <c r="AE11" s="1">
        <f t="shared" si="13"/>
        <v>-190</v>
      </c>
      <c r="AF11" s="1">
        <f t="shared" si="13"/>
        <v>-190</v>
      </c>
    </row>
    <row r="12" spans="2:233" s="1" customFormat="1" x14ac:dyDescent="0.2">
      <c r="B12" s="1" t="s">
        <v>22</v>
      </c>
      <c r="C12" s="5">
        <v>0.6</v>
      </c>
      <c r="D12" s="5">
        <v>6.6</v>
      </c>
      <c r="E12" s="5">
        <v>-0.4</v>
      </c>
      <c r="F12" s="5">
        <f t="shared" si="7"/>
        <v>33.5</v>
      </c>
      <c r="G12" s="5">
        <v>-118.1</v>
      </c>
      <c r="H12" s="5">
        <v>203.5</v>
      </c>
      <c r="I12" s="5">
        <v>306.3</v>
      </c>
      <c r="J12" s="5">
        <f>+I12</f>
        <v>306.3</v>
      </c>
      <c r="T12" s="5">
        <v>-102.5</v>
      </c>
      <c r="U12" s="5">
        <v>-76.8</v>
      </c>
      <c r="V12" s="5">
        <v>40.299999999999997</v>
      </c>
      <c r="W12" s="1">
        <f t="shared" si="8"/>
        <v>698</v>
      </c>
      <c r="X12" s="1">
        <f>+W12</f>
        <v>698</v>
      </c>
      <c r="Y12" s="1">
        <f t="shared" ref="Y12:AF12" si="14">+X12</f>
        <v>698</v>
      </c>
      <c r="Z12" s="1">
        <f t="shared" si="14"/>
        <v>698</v>
      </c>
      <c r="AA12" s="1">
        <f t="shared" si="14"/>
        <v>698</v>
      </c>
      <c r="AB12" s="1">
        <f t="shared" si="14"/>
        <v>698</v>
      </c>
      <c r="AC12" s="1">
        <f t="shared" si="14"/>
        <v>698</v>
      </c>
      <c r="AD12" s="1">
        <f t="shared" si="14"/>
        <v>698</v>
      </c>
      <c r="AE12" s="1">
        <f t="shared" si="14"/>
        <v>698</v>
      </c>
      <c r="AF12" s="1">
        <f t="shared" si="14"/>
        <v>698</v>
      </c>
    </row>
    <row r="13" spans="2:233" s="1" customFormat="1" x14ac:dyDescent="0.2">
      <c r="B13" s="1" t="s">
        <v>23</v>
      </c>
      <c r="C13" s="5">
        <f>+SUM(C10:C12)</f>
        <v>125.50000000000009</v>
      </c>
      <c r="D13" s="5">
        <f>+SUM(D10:D12)</f>
        <v>193.49999999999972</v>
      </c>
      <c r="E13" s="5">
        <f>+SUM(E10:E12)</f>
        <v>73.300000000000537</v>
      </c>
      <c r="F13" s="5">
        <f t="shared" si="7"/>
        <v>86.699999999999704</v>
      </c>
      <c r="G13" s="5">
        <f>+SUM(G10:G12)</f>
        <v>179.70000000000002</v>
      </c>
      <c r="H13" s="5">
        <f>+SUM(H10:H12)</f>
        <v>394.90000000000009</v>
      </c>
      <c r="I13" s="5">
        <f>+SUM(I10:I12)</f>
        <v>600.49999999999977</v>
      </c>
      <c r="J13" s="5">
        <f>+SUM(J10:J12)</f>
        <v>365.59499999999906</v>
      </c>
      <c r="T13" s="5">
        <f>+SUM(T10:T12)</f>
        <v>4545.0000000000009</v>
      </c>
      <c r="U13" s="5">
        <f>+SUM(U10:U12)</f>
        <v>1131.9000000000003</v>
      </c>
      <c r="V13" s="5">
        <f>+SUM(V10:V12)</f>
        <v>479</v>
      </c>
      <c r="W13" s="1">
        <f t="shared" si="8"/>
        <v>1540.694999999999</v>
      </c>
      <c r="X13" s="5">
        <f>+SUM(X10:X12)</f>
        <v>1478.9665000000005</v>
      </c>
      <c r="Y13" s="5">
        <f t="shared" ref="Y13:AF13" si="15">+SUM(Y10:Y12)</f>
        <v>1430.4181749999989</v>
      </c>
      <c r="Z13" s="5">
        <f t="shared" si="15"/>
        <v>1384.2972662499997</v>
      </c>
      <c r="AA13" s="5">
        <f t="shared" si="15"/>
        <v>1340.4824029374995</v>
      </c>
      <c r="AB13" s="5">
        <f t="shared" si="15"/>
        <v>1298.8582827906248</v>
      </c>
      <c r="AC13" s="5">
        <f t="shared" si="15"/>
        <v>1259.3153686510923</v>
      </c>
      <c r="AD13" s="5">
        <f t="shared" si="15"/>
        <v>1221.7496002185389</v>
      </c>
      <c r="AE13" s="5">
        <f t="shared" si="15"/>
        <v>1186.0621202076118</v>
      </c>
      <c r="AF13" s="5">
        <f t="shared" si="15"/>
        <v>1152.159014197231</v>
      </c>
    </row>
    <row r="14" spans="2:233" s="1" customFormat="1" x14ac:dyDescent="0.2">
      <c r="B14" s="1" t="s">
        <v>24</v>
      </c>
      <c r="C14" s="5">
        <v>6.2</v>
      </c>
      <c r="D14" s="5">
        <v>98.7</v>
      </c>
      <c r="E14" s="5">
        <v>48</v>
      </c>
      <c r="F14" s="5">
        <f t="shared" si="7"/>
        <v>33.799999999999983</v>
      </c>
      <c r="G14" s="5">
        <v>63.3</v>
      </c>
      <c r="H14" s="5">
        <v>146</v>
      </c>
      <c r="I14" s="5">
        <v>175.5</v>
      </c>
      <c r="J14" s="5">
        <f>+J13*(I14/I13)</f>
        <v>106.8474979184011</v>
      </c>
      <c r="T14" s="5">
        <v>1224.3</v>
      </c>
      <c r="U14" s="5">
        <v>177</v>
      </c>
      <c r="V14" s="5">
        <v>186.7</v>
      </c>
      <c r="W14" s="1">
        <f>+W13*0.28</f>
        <v>431.39459999999974</v>
      </c>
      <c r="X14" s="1">
        <f>+X13*(W14/W13)</f>
        <v>414.11062000000015</v>
      </c>
      <c r="Y14" s="1">
        <f t="shared" ref="Y14:AF14" si="16">+Y13*(X14/X13)</f>
        <v>400.51708899999971</v>
      </c>
      <c r="Z14" s="1">
        <f t="shared" si="16"/>
        <v>387.60323454999997</v>
      </c>
      <c r="AA14" s="1">
        <f t="shared" si="16"/>
        <v>375.33507282249991</v>
      </c>
      <c r="AB14" s="1">
        <f t="shared" si="16"/>
        <v>363.68031918137495</v>
      </c>
      <c r="AC14" s="1">
        <f t="shared" si="16"/>
        <v>352.60830322230589</v>
      </c>
      <c r="AD14" s="1">
        <f t="shared" si="16"/>
        <v>342.08988806119095</v>
      </c>
      <c r="AE14" s="1">
        <f t="shared" si="16"/>
        <v>332.09739365813135</v>
      </c>
      <c r="AF14" s="1">
        <f t="shared" si="16"/>
        <v>322.60452397522471</v>
      </c>
    </row>
    <row r="15" spans="2:233" s="1" customFormat="1" x14ac:dyDescent="0.2">
      <c r="B15" s="1" t="s">
        <v>25</v>
      </c>
      <c r="C15" s="5">
        <f>+C13-C14</f>
        <v>119.30000000000008</v>
      </c>
      <c r="D15" s="5">
        <f>+D13-D14</f>
        <v>94.799999999999713</v>
      </c>
      <c r="E15" s="5">
        <f>+E13-E14</f>
        <v>25.300000000000537</v>
      </c>
      <c r="F15" s="5">
        <f t="shared" si="7"/>
        <v>52.899999999999693</v>
      </c>
      <c r="G15" s="5">
        <f>+G13-G14</f>
        <v>116.40000000000002</v>
      </c>
      <c r="H15" s="5">
        <f>+H13-H14</f>
        <v>248.90000000000009</v>
      </c>
      <c r="I15" s="5">
        <f>+I13-I14</f>
        <v>424.99999999999977</v>
      </c>
      <c r="J15" s="5">
        <f>+J13-J14</f>
        <v>258.74750208159799</v>
      </c>
      <c r="T15" s="5">
        <f>+T13-T14</f>
        <v>3320.7000000000007</v>
      </c>
      <c r="U15" s="5">
        <f>+U13-U14</f>
        <v>954.90000000000032</v>
      </c>
      <c r="V15" s="5">
        <f>+V13-V14</f>
        <v>292.3</v>
      </c>
      <c r="W15" s="1">
        <f t="shared" si="8"/>
        <v>1049.0475020815979</v>
      </c>
      <c r="X15" s="5">
        <f>+X13-X14</f>
        <v>1064.8558800000003</v>
      </c>
      <c r="Y15" s="5">
        <f t="shared" ref="Y15:AF15" si="17">+Y13-Y14</f>
        <v>1029.9010859999992</v>
      </c>
      <c r="Z15" s="5">
        <f t="shared" si="17"/>
        <v>996.69403169999964</v>
      </c>
      <c r="AA15" s="5">
        <f t="shared" si="17"/>
        <v>965.14733011499959</v>
      </c>
      <c r="AB15" s="5">
        <f t="shared" si="17"/>
        <v>935.1779636092499</v>
      </c>
      <c r="AC15" s="5">
        <f t="shared" si="17"/>
        <v>906.70706542878634</v>
      </c>
      <c r="AD15" s="5">
        <f t="shared" si="17"/>
        <v>879.65971215734794</v>
      </c>
      <c r="AE15" s="5">
        <f t="shared" si="17"/>
        <v>853.96472654948047</v>
      </c>
      <c r="AF15" s="5">
        <f t="shared" si="17"/>
        <v>829.55449022200628</v>
      </c>
      <c r="AG15" s="1">
        <f>+AF15*(1+$AI$19)</f>
        <v>821.25894531978622</v>
      </c>
      <c r="AH15" s="1">
        <f t="shared" ref="AH15:CS15" si="18">+AG15*(1+$AI$19)</f>
        <v>813.04635586658833</v>
      </c>
      <c r="AI15" s="1">
        <f t="shared" si="18"/>
        <v>804.91589230792249</v>
      </c>
      <c r="AJ15" s="1">
        <f t="shared" si="18"/>
        <v>796.86673338484331</v>
      </c>
      <c r="AK15" s="1">
        <f t="shared" si="18"/>
        <v>788.89806605099488</v>
      </c>
      <c r="AL15" s="1">
        <f t="shared" si="18"/>
        <v>781.00908539048498</v>
      </c>
      <c r="AM15" s="1">
        <f t="shared" si="18"/>
        <v>773.19899453658013</v>
      </c>
      <c r="AN15" s="1">
        <f t="shared" si="18"/>
        <v>765.46700459121428</v>
      </c>
      <c r="AO15" s="1">
        <f t="shared" si="18"/>
        <v>757.81233454530218</v>
      </c>
      <c r="AP15" s="1">
        <f t="shared" si="18"/>
        <v>750.23421119984914</v>
      </c>
      <c r="AQ15" s="1">
        <f t="shared" si="18"/>
        <v>742.73186908785067</v>
      </c>
      <c r="AR15" s="1">
        <f t="shared" si="18"/>
        <v>735.3045503969721</v>
      </c>
      <c r="AS15" s="1">
        <f t="shared" si="18"/>
        <v>727.95150489300238</v>
      </c>
      <c r="AT15" s="1">
        <f t="shared" si="18"/>
        <v>720.6719898440723</v>
      </c>
      <c r="AU15" s="1">
        <f t="shared" si="18"/>
        <v>713.46526994563158</v>
      </c>
      <c r="AV15" s="1">
        <f t="shared" si="18"/>
        <v>706.33061724617528</v>
      </c>
      <c r="AW15" s="1">
        <f t="shared" si="18"/>
        <v>699.26731107371347</v>
      </c>
      <c r="AX15" s="1">
        <f t="shared" si="18"/>
        <v>692.27463796297639</v>
      </c>
      <c r="AY15" s="1">
        <f t="shared" si="18"/>
        <v>685.35189158334663</v>
      </c>
      <c r="AZ15" s="1">
        <f t="shared" si="18"/>
        <v>678.49837266751319</v>
      </c>
      <c r="BA15" s="1">
        <f t="shared" si="18"/>
        <v>671.71338894083806</v>
      </c>
      <c r="BB15" s="1">
        <f t="shared" si="18"/>
        <v>664.99625505142967</v>
      </c>
      <c r="BC15" s="1">
        <f t="shared" si="18"/>
        <v>658.34629250091541</v>
      </c>
      <c r="BD15" s="1">
        <f t="shared" si="18"/>
        <v>651.76282957590627</v>
      </c>
      <c r="BE15" s="1">
        <f t="shared" si="18"/>
        <v>645.24520128014717</v>
      </c>
      <c r="BF15" s="1">
        <f t="shared" si="18"/>
        <v>638.7927492673457</v>
      </c>
      <c r="BG15" s="1">
        <f t="shared" si="18"/>
        <v>632.4048217746722</v>
      </c>
      <c r="BH15" s="1">
        <f t="shared" si="18"/>
        <v>626.08077355692546</v>
      </c>
      <c r="BI15" s="1">
        <f t="shared" si="18"/>
        <v>619.81996582135616</v>
      </c>
      <c r="BJ15" s="1">
        <f t="shared" si="18"/>
        <v>613.62176616314264</v>
      </c>
      <c r="BK15" s="1">
        <f t="shared" si="18"/>
        <v>607.48554850151118</v>
      </c>
      <c r="BL15" s="1">
        <f t="shared" si="18"/>
        <v>601.41069301649611</v>
      </c>
      <c r="BM15" s="1">
        <f t="shared" si="18"/>
        <v>595.39658608633113</v>
      </c>
      <c r="BN15" s="1">
        <f t="shared" si="18"/>
        <v>589.44262022546786</v>
      </c>
      <c r="BO15" s="1">
        <f t="shared" si="18"/>
        <v>583.54819402321323</v>
      </c>
      <c r="BP15" s="1">
        <f t="shared" si="18"/>
        <v>577.71271208298106</v>
      </c>
      <c r="BQ15" s="1">
        <f t="shared" si="18"/>
        <v>571.93558496215121</v>
      </c>
      <c r="BR15" s="1">
        <f t="shared" si="18"/>
        <v>566.21622911252973</v>
      </c>
      <c r="BS15" s="1">
        <f t="shared" si="18"/>
        <v>560.55406682140438</v>
      </c>
      <c r="BT15" s="1">
        <f t="shared" si="18"/>
        <v>554.9485261531903</v>
      </c>
      <c r="BU15" s="1">
        <f t="shared" si="18"/>
        <v>549.39904089165839</v>
      </c>
      <c r="BV15" s="1">
        <f t="shared" si="18"/>
        <v>543.90505048274179</v>
      </c>
      <c r="BW15" s="1">
        <f t="shared" si="18"/>
        <v>538.46599997791441</v>
      </c>
      <c r="BX15" s="1">
        <f t="shared" si="18"/>
        <v>533.08133997813525</v>
      </c>
      <c r="BY15" s="1">
        <f t="shared" si="18"/>
        <v>527.75052657835386</v>
      </c>
      <c r="BZ15" s="1">
        <f t="shared" si="18"/>
        <v>522.47302131257027</v>
      </c>
      <c r="CA15" s="1">
        <f t="shared" si="18"/>
        <v>517.2482910994446</v>
      </c>
      <c r="CB15" s="1">
        <f t="shared" si="18"/>
        <v>512.0758081884502</v>
      </c>
      <c r="CC15" s="1">
        <f t="shared" si="18"/>
        <v>506.95505010656569</v>
      </c>
      <c r="CD15" s="1">
        <f t="shared" si="18"/>
        <v>501.88549960550006</v>
      </c>
      <c r="CE15" s="1">
        <f t="shared" si="18"/>
        <v>496.86664460944507</v>
      </c>
      <c r="CF15" s="1">
        <f t="shared" si="18"/>
        <v>491.89797816335061</v>
      </c>
      <c r="CG15" s="1">
        <f t="shared" si="18"/>
        <v>486.97899838171708</v>
      </c>
      <c r="CH15" s="1">
        <f t="shared" si="18"/>
        <v>482.10920839789992</v>
      </c>
      <c r="CI15" s="1">
        <f t="shared" si="18"/>
        <v>477.28811631392091</v>
      </c>
      <c r="CJ15" s="1">
        <f t="shared" si="18"/>
        <v>472.51523515078168</v>
      </c>
      <c r="CK15" s="1">
        <f t="shared" si="18"/>
        <v>467.79008279927388</v>
      </c>
      <c r="CL15" s="1">
        <f t="shared" si="18"/>
        <v>463.11218197128113</v>
      </c>
      <c r="CM15" s="1">
        <f t="shared" si="18"/>
        <v>458.48106015156833</v>
      </c>
      <c r="CN15" s="1">
        <f t="shared" si="18"/>
        <v>453.89624955005263</v>
      </c>
      <c r="CO15" s="1">
        <f t="shared" si="18"/>
        <v>449.3572870545521</v>
      </c>
      <c r="CP15" s="1">
        <f t="shared" si="18"/>
        <v>444.8637141840066</v>
      </c>
      <c r="CQ15" s="1">
        <f t="shared" si="18"/>
        <v>440.4150770421665</v>
      </c>
      <c r="CR15" s="1">
        <f t="shared" si="18"/>
        <v>436.01092627174484</v>
      </c>
      <c r="CS15" s="1">
        <f t="shared" si="18"/>
        <v>431.65081700902738</v>
      </c>
      <c r="CT15" s="1">
        <f t="shared" ref="CT15:FE15" si="19">+CS15*(1+$AI$19)</f>
        <v>427.33430883893709</v>
      </c>
      <c r="CU15" s="1">
        <f t="shared" si="19"/>
        <v>423.06096575054772</v>
      </c>
      <c r="CV15" s="1">
        <f t="shared" si="19"/>
        <v>418.83035609304227</v>
      </c>
      <c r="CW15" s="1">
        <f t="shared" si="19"/>
        <v>414.64205253211185</v>
      </c>
      <c r="CX15" s="1">
        <f t="shared" si="19"/>
        <v>410.49563200679074</v>
      </c>
      <c r="CY15" s="1">
        <f t="shared" si="19"/>
        <v>406.39067568672283</v>
      </c>
      <c r="CZ15" s="1">
        <f t="shared" si="19"/>
        <v>402.32676892985558</v>
      </c>
      <c r="DA15" s="1">
        <f t="shared" si="19"/>
        <v>398.30350124055701</v>
      </c>
      <c r="DB15" s="1">
        <f t="shared" si="19"/>
        <v>394.32046622815142</v>
      </c>
      <c r="DC15" s="1">
        <f t="shared" si="19"/>
        <v>390.3772615658699</v>
      </c>
      <c r="DD15" s="1">
        <f t="shared" si="19"/>
        <v>386.47348895021122</v>
      </c>
      <c r="DE15" s="1">
        <f t="shared" si="19"/>
        <v>382.60875406070909</v>
      </c>
      <c r="DF15" s="1">
        <f t="shared" si="19"/>
        <v>378.782666520102</v>
      </c>
      <c r="DG15" s="1">
        <f t="shared" si="19"/>
        <v>374.99483985490099</v>
      </c>
      <c r="DH15" s="1">
        <f t="shared" si="19"/>
        <v>371.24489145635198</v>
      </c>
      <c r="DI15" s="1">
        <f t="shared" si="19"/>
        <v>367.53244254178844</v>
      </c>
      <c r="DJ15" s="1">
        <f t="shared" si="19"/>
        <v>363.85711811637054</v>
      </c>
      <c r="DK15" s="1">
        <f t="shared" si="19"/>
        <v>360.21854693520686</v>
      </c>
      <c r="DL15" s="1">
        <f t="shared" si="19"/>
        <v>356.61636146585477</v>
      </c>
      <c r="DM15" s="1">
        <f t="shared" si="19"/>
        <v>353.05019785119623</v>
      </c>
      <c r="DN15" s="1">
        <f t="shared" si="19"/>
        <v>349.51969587268428</v>
      </c>
      <c r="DO15" s="1">
        <f t="shared" si="19"/>
        <v>346.02449891395742</v>
      </c>
      <c r="DP15" s="1">
        <f t="shared" si="19"/>
        <v>342.56425392481782</v>
      </c>
      <c r="DQ15" s="1">
        <f t="shared" si="19"/>
        <v>339.13861138556962</v>
      </c>
      <c r="DR15" s="1">
        <f t="shared" si="19"/>
        <v>335.74722527171394</v>
      </c>
      <c r="DS15" s="1">
        <f t="shared" si="19"/>
        <v>332.38975301899683</v>
      </c>
      <c r="DT15" s="1">
        <f t="shared" si="19"/>
        <v>329.06585548880685</v>
      </c>
      <c r="DU15" s="1">
        <f t="shared" si="19"/>
        <v>325.77519693391878</v>
      </c>
      <c r="DV15" s="1">
        <f t="shared" si="19"/>
        <v>322.51744496457957</v>
      </c>
      <c r="DW15" s="1">
        <f t="shared" si="19"/>
        <v>319.29227051493376</v>
      </c>
      <c r="DX15" s="1">
        <f t="shared" si="19"/>
        <v>316.09934780978443</v>
      </c>
      <c r="DY15" s="1">
        <f t="shared" si="19"/>
        <v>312.93835433168658</v>
      </c>
      <c r="DZ15" s="1">
        <f t="shared" si="19"/>
        <v>309.80897078836972</v>
      </c>
      <c r="EA15" s="1">
        <f t="shared" si="19"/>
        <v>306.71088108048605</v>
      </c>
      <c r="EB15" s="1">
        <f t="shared" si="19"/>
        <v>303.64377226968116</v>
      </c>
      <c r="EC15" s="1">
        <f t="shared" si="19"/>
        <v>300.60733454698436</v>
      </c>
      <c r="ED15" s="1">
        <f t="shared" si="19"/>
        <v>297.60126120151449</v>
      </c>
      <c r="EE15" s="1">
        <f t="shared" si="19"/>
        <v>294.62524858949934</v>
      </c>
      <c r="EF15" s="1">
        <f t="shared" si="19"/>
        <v>291.67899610360433</v>
      </c>
      <c r="EG15" s="1">
        <f t="shared" si="19"/>
        <v>288.76220614256829</v>
      </c>
      <c r="EH15" s="1">
        <f t="shared" si="19"/>
        <v>285.87458408114259</v>
      </c>
      <c r="EI15" s="1">
        <f t="shared" si="19"/>
        <v>283.01583824033116</v>
      </c>
      <c r="EJ15" s="1">
        <f t="shared" si="19"/>
        <v>280.18567985792782</v>
      </c>
      <c r="EK15" s="1">
        <f t="shared" si="19"/>
        <v>277.38382305934852</v>
      </c>
      <c r="EL15" s="1">
        <f t="shared" si="19"/>
        <v>274.60998482875505</v>
      </c>
      <c r="EM15" s="1">
        <f t="shared" si="19"/>
        <v>271.8638849804675</v>
      </c>
      <c r="EN15" s="1">
        <f t="shared" si="19"/>
        <v>269.14524613066283</v>
      </c>
      <c r="EO15" s="1">
        <f t="shared" si="19"/>
        <v>266.45379366935617</v>
      </c>
      <c r="EP15" s="1">
        <f t="shared" si="19"/>
        <v>263.78925573266258</v>
      </c>
      <c r="EQ15" s="1">
        <f t="shared" si="19"/>
        <v>261.15136317533597</v>
      </c>
      <c r="ER15" s="1">
        <f t="shared" si="19"/>
        <v>258.53984954358259</v>
      </c>
      <c r="ES15" s="1">
        <f t="shared" si="19"/>
        <v>255.95445104814675</v>
      </c>
      <c r="ET15" s="1">
        <f t="shared" si="19"/>
        <v>253.39490653766529</v>
      </c>
      <c r="EU15" s="1">
        <f t="shared" si="19"/>
        <v>250.86095747228865</v>
      </c>
      <c r="EV15" s="1">
        <f t="shared" si="19"/>
        <v>248.35234789756575</v>
      </c>
      <c r="EW15" s="1">
        <f t="shared" si="19"/>
        <v>245.86882441859009</v>
      </c>
      <c r="EX15" s="1">
        <f t="shared" si="19"/>
        <v>243.41013617440419</v>
      </c>
      <c r="EY15" s="1">
        <f t="shared" si="19"/>
        <v>240.97603481266015</v>
      </c>
      <c r="EZ15" s="1">
        <f t="shared" si="19"/>
        <v>238.56627446453354</v>
      </c>
      <c r="FA15" s="1">
        <f t="shared" si="19"/>
        <v>236.18061171988819</v>
      </c>
      <c r="FB15" s="1">
        <f t="shared" si="19"/>
        <v>233.81880560268931</v>
      </c>
      <c r="FC15" s="1">
        <f t="shared" si="19"/>
        <v>231.48061754666242</v>
      </c>
      <c r="FD15" s="1">
        <f t="shared" si="19"/>
        <v>229.16581137119579</v>
      </c>
      <c r="FE15" s="1">
        <f t="shared" si="19"/>
        <v>226.87415325748384</v>
      </c>
      <c r="FF15" s="1">
        <f t="shared" ref="FF15:GL15" si="20">+FE15*(1+$AI$19)</f>
        <v>224.605411724909</v>
      </c>
      <c r="FG15" s="1">
        <f t="shared" si="20"/>
        <v>222.35935760765992</v>
      </c>
      <c r="FH15" s="1">
        <f t="shared" si="20"/>
        <v>220.13576403158331</v>
      </c>
      <c r="FI15" s="1">
        <f t="shared" si="20"/>
        <v>217.93440639126746</v>
      </c>
      <c r="FJ15" s="1">
        <f t="shared" si="20"/>
        <v>215.75506232735478</v>
      </c>
      <c r="FK15" s="1">
        <f t="shared" si="20"/>
        <v>213.59751170408123</v>
      </c>
      <c r="FL15" s="1">
        <f t="shared" si="20"/>
        <v>211.46153658704043</v>
      </c>
      <c r="FM15" s="1">
        <f t="shared" si="20"/>
        <v>209.34692122117002</v>
      </c>
      <c r="FN15" s="1">
        <f t="shared" si="20"/>
        <v>207.25345200895831</v>
      </c>
      <c r="FO15" s="1">
        <f t="shared" si="20"/>
        <v>205.18091748886872</v>
      </c>
      <c r="FP15" s="1">
        <f t="shared" si="20"/>
        <v>203.12910831398003</v>
      </c>
      <c r="FQ15" s="1">
        <f t="shared" si="20"/>
        <v>201.09781723084023</v>
      </c>
      <c r="FR15" s="1">
        <f t="shared" si="20"/>
        <v>199.08683905853184</v>
      </c>
      <c r="FS15" s="1">
        <f t="shared" si="20"/>
        <v>197.09597066794652</v>
      </c>
      <c r="FT15" s="1">
        <f t="shared" si="20"/>
        <v>195.12501096126704</v>
      </c>
      <c r="FU15" s="1">
        <f t="shared" si="20"/>
        <v>193.17376085165438</v>
      </c>
      <c r="FV15" s="1">
        <f t="shared" si="20"/>
        <v>191.24202324313782</v>
      </c>
      <c r="FW15" s="1">
        <f t="shared" si="20"/>
        <v>189.32960301070645</v>
      </c>
      <c r="FX15" s="1">
        <f t="shared" si="20"/>
        <v>187.4363069805994</v>
      </c>
      <c r="FY15" s="1">
        <f t="shared" si="20"/>
        <v>185.56194391079339</v>
      </c>
      <c r="FZ15" s="1">
        <f t="shared" si="20"/>
        <v>183.70632447168546</v>
      </c>
      <c r="GA15" s="1">
        <f t="shared" si="20"/>
        <v>181.8692612269686</v>
      </c>
      <c r="GB15" s="1">
        <f t="shared" si="20"/>
        <v>180.0505686146989</v>
      </c>
      <c r="GC15" s="1">
        <f t="shared" si="20"/>
        <v>178.25006292855193</v>
      </c>
      <c r="GD15" s="1">
        <f t="shared" si="20"/>
        <v>176.4675622992664</v>
      </c>
      <c r="GE15" s="1">
        <f t="shared" si="20"/>
        <v>174.70288667627375</v>
      </c>
      <c r="GF15" s="1">
        <f t="shared" si="20"/>
        <v>172.955857809511</v>
      </c>
      <c r="GG15" s="1">
        <f t="shared" si="20"/>
        <v>171.22629923141588</v>
      </c>
      <c r="GH15" s="1">
        <f t="shared" si="20"/>
        <v>169.51403623910173</v>
      </c>
      <c r="GI15" s="1">
        <f t="shared" si="20"/>
        <v>167.81889587671071</v>
      </c>
      <c r="GJ15" s="1">
        <f t="shared" si="20"/>
        <v>166.14070691794362</v>
      </c>
      <c r="GK15" s="1">
        <f t="shared" si="20"/>
        <v>164.47929984876419</v>
      </c>
      <c r="GL15" s="1">
        <f t="shared" si="20"/>
        <v>162.83450685027654</v>
      </c>
      <c r="GM15" s="1">
        <f t="shared" ref="GM15:HM15" si="21">+GL15*(1+$AI$19)</f>
        <v>161.20616178177377</v>
      </c>
      <c r="GN15" s="1">
        <f t="shared" si="21"/>
        <v>159.59410016395603</v>
      </c>
      <c r="GO15" s="1">
        <f t="shared" si="21"/>
        <v>157.99815916231645</v>
      </c>
      <c r="GP15" s="1">
        <f t="shared" si="21"/>
        <v>156.4181775706933</v>
      </c>
      <c r="GQ15" s="1">
        <f t="shared" si="21"/>
        <v>154.85399579498636</v>
      </c>
      <c r="GR15" s="1">
        <f t="shared" si="21"/>
        <v>153.3054558370365</v>
      </c>
      <c r="GS15" s="1">
        <f t="shared" si="21"/>
        <v>151.77240127866614</v>
      </c>
      <c r="GT15" s="1">
        <f t="shared" si="21"/>
        <v>150.25467726587948</v>
      </c>
      <c r="GU15" s="1">
        <f t="shared" si="21"/>
        <v>148.75213049322068</v>
      </c>
      <c r="GV15" s="1">
        <f t="shared" si="21"/>
        <v>147.26460918828846</v>
      </c>
      <c r="GW15" s="1">
        <f t="shared" si="21"/>
        <v>145.79196309640557</v>
      </c>
      <c r="GX15" s="1">
        <f t="shared" si="21"/>
        <v>144.33404346544151</v>
      </c>
      <c r="GY15" s="1">
        <f t="shared" si="21"/>
        <v>142.89070303078711</v>
      </c>
      <c r="GZ15" s="1">
        <f t="shared" si="21"/>
        <v>141.46179600047924</v>
      </c>
      <c r="HA15" s="1">
        <f t="shared" si="21"/>
        <v>140.04717804047445</v>
      </c>
      <c r="HB15" s="1">
        <f t="shared" si="21"/>
        <v>138.64670626006969</v>
      </c>
      <c r="HC15" s="1">
        <f t="shared" si="21"/>
        <v>137.26023919746899</v>
      </c>
      <c r="HD15" s="1">
        <f t="shared" si="21"/>
        <v>135.88763680549431</v>
      </c>
      <c r="HE15" s="1">
        <f t="shared" si="21"/>
        <v>134.52876043743936</v>
      </c>
      <c r="HF15" s="1">
        <f t="shared" si="21"/>
        <v>133.18347283306497</v>
      </c>
      <c r="HG15" s="1">
        <f t="shared" si="21"/>
        <v>131.85163810473432</v>
      </c>
      <c r="HH15" s="1">
        <f t="shared" si="21"/>
        <v>130.53312172368697</v>
      </c>
      <c r="HI15" s="1">
        <f t="shared" si="21"/>
        <v>129.22779050645011</v>
      </c>
      <c r="HJ15" s="1">
        <f t="shared" si="21"/>
        <v>127.9355126013856</v>
      </c>
      <c r="HK15" s="1">
        <f t="shared" si="21"/>
        <v>126.65615747537174</v>
      </c>
      <c r="HL15" s="1">
        <f t="shared" si="21"/>
        <v>125.38959590061802</v>
      </c>
      <c r="HM15" s="1">
        <f t="shared" si="21"/>
        <v>124.13569994161183</v>
      </c>
      <c r="HN15" s="1">
        <f t="shared" ref="HN15:HY15" si="22">+HM15*(1+$AI$19)</f>
        <v>122.89434294219571</v>
      </c>
      <c r="HO15" s="1">
        <f t="shared" si="22"/>
        <v>121.66539951277375</v>
      </c>
      <c r="HP15" s="1">
        <f t="shared" si="22"/>
        <v>120.448745517646</v>
      </c>
      <c r="HQ15" s="1">
        <f t="shared" si="22"/>
        <v>119.24425806246954</v>
      </c>
      <c r="HR15" s="1">
        <f t="shared" si="22"/>
        <v>118.05181548184484</v>
      </c>
      <c r="HS15" s="1">
        <f t="shared" si="22"/>
        <v>116.8712973270264</v>
      </c>
      <c r="HT15" s="1">
        <f t="shared" si="22"/>
        <v>115.70258435375614</v>
      </c>
      <c r="HU15" s="1">
        <f t="shared" si="22"/>
        <v>114.54555851021857</v>
      </c>
      <c r="HV15" s="1">
        <f t="shared" si="22"/>
        <v>113.40010292511639</v>
      </c>
      <c r="HW15" s="1">
        <f t="shared" si="22"/>
        <v>112.26610189586522</v>
      </c>
      <c r="HX15" s="1">
        <f t="shared" si="22"/>
        <v>111.14344087690657</v>
      </c>
      <c r="HY15" s="1">
        <f t="shared" si="22"/>
        <v>110.0320064681375</v>
      </c>
    </row>
    <row r="16" spans="2:233" s="1" customFormat="1" x14ac:dyDescent="0.2">
      <c r="C16" s="5"/>
      <c r="D16" s="5"/>
      <c r="E16" s="5"/>
      <c r="F16" s="5"/>
      <c r="G16" s="5"/>
      <c r="H16" s="5"/>
      <c r="I16" s="5"/>
      <c r="J16" s="5"/>
      <c r="W16" s="3">
        <f>+W14/W13</f>
        <v>0.28000000000000003</v>
      </c>
    </row>
    <row r="17" spans="2:35" s="2" customFormat="1" x14ac:dyDescent="0.2">
      <c r="B17" s="2" t="s">
        <v>26</v>
      </c>
      <c r="C17" s="6"/>
      <c r="D17" s="6"/>
      <c r="E17" s="6"/>
      <c r="F17" s="6"/>
      <c r="G17" s="6">
        <f>+G6/C6-1</f>
        <v>-2.1833246249160276E-2</v>
      </c>
      <c r="H17" s="6">
        <f>+H6/D6-1</f>
        <v>6.7137683732159337E-2</v>
      </c>
      <c r="I17" s="6">
        <f>+I6/E6-1</f>
        <v>0.22811199260023463</v>
      </c>
      <c r="J17" s="6">
        <f>+J6/F6-1</f>
        <v>5.0000000000000044E-2</v>
      </c>
      <c r="U17" s="2">
        <f>+U6/T6-1</f>
        <v>-0.28387154121264091</v>
      </c>
      <c r="V17" s="2">
        <f t="shared" ref="V17:AF17" si="23">+V6/U6-1</f>
        <v>-0.18788560247077646</v>
      </c>
      <c r="W17" s="2">
        <f t="shared" si="23"/>
        <v>8.2047236307404736E-2</v>
      </c>
      <c r="X17" s="2">
        <f t="shared" si="23"/>
        <v>-5.0000000000000155E-2</v>
      </c>
      <c r="Y17" s="2">
        <f t="shared" si="23"/>
        <v>-5.0000000000000044E-2</v>
      </c>
      <c r="Z17" s="2">
        <f t="shared" si="23"/>
        <v>-5.0000000000000044E-2</v>
      </c>
      <c r="AA17" s="2">
        <f t="shared" si="23"/>
        <v>-5.0000000000000044E-2</v>
      </c>
      <c r="AB17" s="2">
        <f t="shared" si="23"/>
        <v>-5.0000000000000044E-2</v>
      </c>
      <c r="AC17" s="2">
        <f t="shared" si="23"/>
        <v>-5.0000000000000155E-2</v>
      </c>
      <c r="AD17" s="2">
        <f t="shared" si="23"/>
        <v>-4.9999999999999933E-2</v>
      </c>
      <c r="AE17" s="2">
        <f t="shared" si="23"/>
        <v>-5.0000000000000044E-2</v>
      </c>
      <c r="AF17" s="2">
        <f t="shared" si="23"/>
        <v>-5.0000000000000044E-2</v>
      </c>
    </row>
    <row r="18" spans="2:35" s="3" customFormat="1" x14ac:dyDescent="0.2">
      <c r="B18" s="3" t="s">
        <v>27</v>
      </c>
      <c r="C18" s="7">
        <f>(C6-C7)/C6</f>
        <v>0.14898857953273131</v>
      </c>
      <c r="D18" s="7">
        <f>(D6-D7)/D6</f>
        <v>0.13988496769154299</v>
      </c>
      <c r="E18" s="7">
        <f>(E6-E7)/E6</f>
        <v>0.14827991034899859</v>
      </c>
      <c r="F18" s="7">
        <f>(F6-F7)/F6</f>
        <v>0.10721261408430685</v>
      </c>
      <c r="G18" s="7">
        <f>(G6-G7)/G6</f>
        <v>0.18634820099965663</v>
      </c>
      <c r="H18" s="7">
        <f>(H6-H7)/H6</f>
        <v>0.17253884286522272</v>
      </c>
      <c r="I18" s="7">
        <f>(I6-I7)/I6</f>
        <v>0.15998957156513419</v>
      </c>
      <c r="J18" s="7">
        <f>(J6-J7)/J6</f>
        <v>0.1072126140843068</v>
      </c>
      <c r="T18" s="7">
        <f>(T6-T7)/T6</f>
        <v>0.30095371551670053</v>
      </c>
      <c r="U18" s="7">
        <f>(U6-U7)/U6</f>
        <v>0.16140361124699734</v>
      </c>
      <c r="V18" s="7">
        <f t="shared" ref="V18:AF18" si="24">(V6-V7)/V6</f>
        <v>0.13592800374006542</v>
      </c>
      <c r="W18" s="7">
        <f t="shared" si="24"/>
        <v>0.15589808228147062</v>
      </c>
      <c r="X18" s="7">
        <f t="shared" si="24"/>
        <v>0.15589808228147067</v>
      </c>
      <c r="Y18" s="7">
        <f t="shared" si="24"/>
        <v>0.15589808228147065</v>
      </c>
      <c r="Z18" s="7">
        <f t="shared" si="24"/>
        <v>0.15589808228147059</v>
      </c>
      <c r="AA18" s="7">
        <f t="shared" si="24"/>
        <v>0.15589808228147059</v>
      </c>
      <c r="AB18" s="7">
        <f t="shared" si="24"/>
        <v>0.15589808228147062</v>
      </c>
      <c r="AC18" s="7">
        <f t="shared" si="24"/>
        <v>0.15589808228147059</v>
      </c>
      <c r="AD18" s="7">
        <f t="shared" si="24"/>
        <v>0.15589808228147065</v>
      </c>
      <c r="AE18" s="7">
        <f t="shared" si="24"/>
        <v>0.15589808228147065</v>
      </c>
      <c r="AF18" s="7">
        <f t="shared" si="24"/>
        <v>0.15589808228147065</v>
      </c>
    </row>
    <row r="19" spans="2:35" x14ac:dyDescent="0.2">
      <c r="C19" s="7">
        <f>+C10/C6</f>
        <v>6.4529372247518132E-2</v>
      </c>
      <c r="D19" s="7">
        <f t="shared" ref="D19:J19" si="25">+D10/D6</f>
        <v>8.2830362848824723E-2</v>
      </c>
      <c r="E19" s="7">
        <f t="shared" si="25"/>
        <v>4.1054466540965721E-2</v>
      </c>
      <c r="F19" s="7">
        <f t="shared" si="25"/>
        <v>3.5477112113356177E-2</v>
      </c>
      <c r="G19" s="7">
        <f t="shared" si="25"/>
        <v>0.12915410736769811</v>
      </c>
      <c r="H19" s="7">
        <f t="shared" si="25"/>
        <v>8.1312173536946503E-2</v>
      </c>
      <c r="I19" s="7">
        <f t="shared" si="25"/>
        <v>9.8432837982677129E-2</v>
      </c>
      <c r="J19" s="7">
        <f t="shared" si="25"/>
        <v>3.5477112113355989E-2</v>
      </c>
      <c r="T19" s="7">
        <f t="shared" ref="T19:AF19" si="26">+T10/T6</f>
        <v>0.25020914813962736</v>
      </c>
      <c r="U19" s="7">
        <f t="shared" si="26"/>
        <v>9.7699345069034271E-2</v>
      </c>
      <c r="V19" s="7">
        <f t="shared" si="26"/>
        <v>5.5876218218434213E-2</v>
      </c>
      <c r="W19" s="7">
        <f t="shared" si="26"/>
        <v>8.5381078061833357E-2</v>
      </c>
      <c r="X19" s="7">
        <f t="shared" si="26"/>
        <v>8.4922015438629192E-2</v>
      </c>
      <c r="Y19" s="7">
        <f t="shared" si="26"/>
        <v>8.4922015438629053E-2</v>
      </c>
      <c r="Z19" s="7">
        <f t="shared" si="26"/>
        <v>8.4922015438629123E-2</v>
      </c>
      <c r="AA19" s="7">
        <f t="shared" si="26"/>
        <v>8.4922015438629109E-2</v>
      </c>
      <c r="AB19" s="7">
        <f t="shared" si="26"/>
        <v>8.492201543862915E-2</v>
      </c>
      <c r="AC19" s="7">
        <f t="shared" si="26"/>
        <v>8.4922015438629012E-2</v>
      </c>
      <c r="AD19" s="7">
        <f t="shared" si="26"/>
        <v>8.4922015438629164E-2</v>
      </c>
      <c r="AE19" s="7">
        <f t="shared" si="26"/>
        <v>8.4922015438629136E-2</v>
      </c>
      <c r="AF19" s="7">
        <f t="shared" si="26"/>
        <v>8.4922015438629123E-2</v>
      </c>
      <c r="AH19" t="s">
        <v>55</v>
      </c>
      <c r="AI19" s="3">
        <v>-0.01</v>
      </c>
    </row>
    <row r="20" spans="2:35" s="1" customFormat="1" x14ac:dyDescent="0.2">
      <c r="B20" s="1" t="s">
        <v>31</v>
      </c>
      <c r="C20" s="5"/>
      <c r="D20" s="5"/>
      <c r="E20" s="5"/>
      <c r="F20" s="5">
        <v>272.8</v>
      </c>
      <c r="G20" s="5">
        <v>259.2</v>
      </c>
      <c r="H20" s="5">
        <v>286.2</v>
      </c>
      <c r="I20" s="5">
        <v>153.30000000000001</v>
      </c>
      <c r="J20" s="5"/>
      <c r="AH20" s="1" t="s">
        <v>56</v>
      </c>
      <c r="AI20" s="3">
        <v>0.08</v>
      </c>
    </row>
    <row r="21" spans="2:35" s="1" customFormat="1" x14ac:dyDescent="0.2">
      <c r="B21" s="1" t="s">
        <v>32</v>
      </c>
      <c r="C21" s="5"/>
      <c r="D21" s="5"/>
      <c r="E21" s="5"/>
      <c r="F21" s="5">
        <v>1113.3</v>
      </c>
      <c r="G21" s="5">
        <v>1067.4000000000001</v>
      </c>
      <c r="H21" s="5">
        <v>1114.4000000000001</v>
      </c>
      <c r="I21" s="5">
        <v>1060.4000000000001</v>
      </c>
      <c r="J21" s="5"/>
      <c r="AH21" s="1" t="s">
        <v>57</v>
      </c>
      <c r="AI21" s="1">
        <f>NPV(AI20,W15:HY15)</f>
        <v>10723.068277280423</v>
      </c>
    </row>
    <row r="22" spans="2:35" s="1" customFormat="1" x14ac:dyDescent="0.2">
      <c r="B22" s="1" t="s">
        <v>33</v>
      </c>
      <c r="C22" s="5"/>
      <c r="D22" s="5"/>
      <c r="E22" s="5"/>
      <c r="F22" s="5">
        <v>2548.4</v>
      </c>
      <c r="G22" s="5">
        <v>2782.6</v>
      </c>
      <c r="H22" s="5">
        <v>3067.3</v>
      </c>
      <c r="I22" s="5">
        <v>3279.1</v>
      </c>
      <c r="J22" s="5"/>
      <c r="AH22" s="1" t="s">
        <v>58</v>
      </c>
      <c r="AI22" s="1">
        <f>+Main!I4</f>
        <v>317.40787699999998</v>
      </c>
    </row>
    <row r="23" spans="2:35" s="1" customFormat="1" x14ac:dyDescent="0.2">
      <c r="B23" s="1" t="s">
        <v>34</v>
      </c>
      <c r="C23" s="5"/>
      <c r="D23" s="5"/>
      <c r="E23" s="5"/>
      <c r="F23" s="5">
        <v>563.79999999999995</v>
      </c>
      <c r="G23" s="5">
        <v>485.6</v>
      </c>
      <c r="H23" s="5">
        <v>550</v>
      </c>
      <c r="I23" s="5">
        <v>583</v>
      </c>
      <c r="J23" s="5"/>
      <c r="AH23" s="1" t="s">
        <v>59</v>
      </c>
      <c r="AI23" s="1">
        <f>+AI21/AI22</f>
        <v>33.783245641633599</v>
      </c>
    </row>
    <row r="24" spans="2:35" s="1" customFormat="1" x14ac:dyDescent="0.2">
      <c r="B24" s="1" t="s">
        <v>35</v>
      </c>
      <c r="C24" s="5"/>
      <c r="D24" s="5"/>
      <c r="E24" s="5"/>
      <c r="F24" s="5">
        <v>13352.6</v>
      </c>
      <c r="G24" s="5">
        <v>13516.7</v>
      </c>
      <c r="H24" s="5">
        <v>13975.1</v>
      </c>
      <c r="I24" s="5">
        <v>13996.9</v>
      </c>
      <c r="J24" s="5"/>
      <c r="AH24" s="1" t="s">
        <v>60</v>
      </c>
      <c r="AI24" s="1">
        <f>+Main!I3</f>
        <v>24.46</v>
      </c>
    </row>
    <row r="25" spans="2:35" s="1" customFormat="1" x14ac:dyDescent="0.2">
      <c r="B25" s="1" t="s">
        <v>36</v>
      </c>
      <c r="C25" s="5"/>
      <c r="D25" s="5"/>
      <c r="E25" s="5"/>
      <c r="F25" s="5">
        <v>1533.4</v>
      </c>
      <c r="G25" s="5">
        <v>1418.1</v>
      </c>
      <c r="H25" s="5">
        <v>1630.1</v>
      </c>
      <c r="I25" s="5">
        <v>1940.8</v>
      </c>
      <c r="J25" s="5"/>
      <c r="AH25" s="1" t="s">
        <v>61</v>
      </c>
      <c r="AI25" s="3">
        <f>+AI23/AI24-1</f>
        <v>0.38116294528346684</v>
      </c>
    </row>
    <row r="26" spans="2:35" s="1" customFormat="1" x14ac:dyDescent="0.2">
      <c r="B26" s="1" t="s">
        <v>37</v>
      </c>
      <c r="C26" s="5"/>
      <c r="D26" s="5"/>
      <c r="E26" s="5"/>
      <c r="F26" s="5">
        <v>1061.0999999999999</v>
      </c>
      <c r="G26" s="5">
        <v>1065.0999999999999</v>
      </c>
      <c r="H26" s="5">
        <v>1106.2</v>
      </c>
      <c r="I26" s="5">
        <v>1091.8</v>
      </c>
      <c r="J26" s="5"/>
    </row>
    <row r="27" spans="2:35" s="1" customFormat="1" x14ac:dyDescent="0.2">
      <c r="B27" s="1" t="s">
        <v>38</v>
      </c>
      <c r="C27" s="5"/>
      <c r="D27" s="5"/>
      <c r="E27" s="5"/>
      <c r="F27" s="5">
        <v>958.3</v>
      </c>
      <c r="G27" s="5">
        <v>1020.3</v>
      </c>
      <c r="H27" s="5">
        <v>1036.5999999999999</v>
      </c>
      <c r="I27" s="5">
        <v>1018</v>
      </c>
      <c r="J27" s="5"/>
    </row>
    <row r="28" spans="2:35" s="1" customFormat="1" x14ac:dyDescent="0.2">
      <c r="B28" s="1" t="s">
        <v>39</v>
      </c>
      <c r="C28" s="5"/>
      <c r="D28" s="5"/>
      <c r="E28" s="5"/>
      <c r="F28" s="5">
        <v>1520.3</v>
      </c>
      <c r="G28" s="5">
        <v>1550.7</v>
      </c>
      <c r="H28" s="5">
        <v>1538.9</v>
      </c>
      <c r="I28" s="5">
        <v>1544.2</v>
      </c>
      <c r="J28" s="5"/>
    </row>
    <row r="29" spans="2:35" s="1" customFormat="1" x14ac:dyDescent="0.2">
      <c r="B29" s="1" t="s">
        <v>30</v>
      </c>
      <c r="C29" s="5"/>
      <c r="D29" s="5"/>
      <c r="E29" s="5"/>
      <c r="F29" s="5">
        <f>+SUM(F20:F28)</f>
        <v>22924</v>
      </c>
      <c r="G29" s="5">
        <f>+SUM(G20:G28)</f>
        <v>23165.699999999997</v>
      </c>
      <c r="H29" s="5">
        <f>+SUM(H20:H28)</f>
        <v>24304.799999999999</v>
      </c>
      <c r="I29" s="5">
        <f>+SUM(I20:I28)</f>
        <v>24667.5</v>
      </c>
      <c r="J29" s="5"/>
    </row>
    <row r="31" spans="2:35" s="1" customFormat="1" x14ac:dyDescent="0.2">
      <c r="B31" s="1" t="s">
        <v>42</v>
      </c>
      <c r="C31" s="5"/>
      <c r="D31" s="5"/>
      <c r="E31" s="5"/>
      <c r="F31" s="5">
        <f>847.1+45.3</f>
        <v>892.4</v>
      </c>
      <c r="G31" s="5">
        <f>1234.4+33.3</f>
        <v>1267.7</v>
      </c>
      <c r="H31" s="5">
        <f>1041.5+38.4</f>
        <v>1079.9000000000001</v>
      </c>
      <c r="I31" s="5">
        <f>1153.7+42.6</f>
        <v>1196.3</v>
      </c>
      <c r="J31" s="5"/>
    </row>
    <row r="32" spans="2:35" s="1" customFormat="1" x14ac:dyDescent="0.2">
      <c r="B32" s="1" t="s">
        <v>43</v>
      </c>
      <c r="C32" s="5"/>
      <c r="D32" s="5"/>
      <c r="E32" s="5"/>
      <c r="F32" s="5">
        <f>402.3+1156.5</f>
        <v>1558.8</v>
      </c>
      <c r="G32" s="5">
        <f>383.8+936</f>
        <v>1319.8</v>
      </c>
      <c r="H32" s="5">
        <f>402.1+1263.4</f>
        <v>1665.5</v>
      </c>
      <c r="I32" s="5">
        <f>405.5+1215</f>
        <v>1620.5</v>
      </c>
      <c r="J32" s="5"/>
    </row>
    <row r="33" spans="2:10" s="1" customFormat="1" x14ac:dyDescent="0.2">
      <c r="B33" s="1" t="s">
        <v>44</v>
      </c>
      <c r="C33" s="5"/>
      <c r="D33" s="5"/>
      <c r="E33" s="5"/>
      <c r="F33" s="5">
        <v>1720.1</v>
      </c>
      <c r="G33" s="5">
        <v>1503.5</v>
      </c>
      <c r="H33" s="5">
        <v>1671.3</v>
      </c>
      <c r="I33" s="5">
        <v>1635.9</v>
      </c>
      <c r="J33" s="5"/>
    </row>
    <row r="34" spans="2:10" s="1" customFormat="1" x14ac:dyDescent="0.2">
      <c r="B34" s="1" t="s">
        <v>45</v>
      </c>
      <c r="C34" s="5"/>
      <c r="D34" s="5"/>
      <c r="E34" s="5"/>
      <c r="F34" s="5">
        <v>3332.3</v>
      </c>
      <c r="G34" s="5">
        <v>3329.9</v>
      </c>
      <c r="H34" s="5">
        <v>3331.3</v>
      </c>
      <c r="I34" s="5">
        <v>3372</v>
      </c>
      <c r="J34" s="5"/>
    </row>
    <row r="35" spans="2:10" s="1" customFormat="1" x14ac:dyDescent="0.2">
      <c r="B35" s="1" t="s">
        <v>46</v>
      </c>
      <c r="C35" s="5"/>
      <c r="D35" s="5"/>
      <c r="E35" s="5"/>
      <c r="F35" s="5">
        <v>942.8</v>
      </c>
      <c r="G35" s="5">
        <v>945</v>
      </c>
      <c r="H35" s="5">
        <v>991.2</v>
      </c>
      <c r="I35" s="5">
        <v>971</v>
      </c>
      <c r="J35" s="5"/>
    </row>
    <row r="36" spans="2:10" s="1" customFormat="1" x14ac:dyDescent="0.2">
      <c r="B36" s="1" t="s">
        <v>47</v>
      </c>
      <c r="C36" s="5"/>
      <c r="D36" s="5"/>
      <c r="E36" s="5"/>
      <c r="F36" s="5">
        <v>2862.9</v>
      </c>
      <c r="G36" s="5">
        <v>2883.1</v>
      </c>
      <c r="H36" s="5">
        <v>2981</v>
      </c>
      <c r="I36" s="5">
        <v>2937.8</v>
      </c>
      <c r="J36" s="5"/>
    </row>
    <row r="37" spans="2:10" s="1" customFormat="1" x14ac:dyDescent="0.2">
      <c r="B37" s="1" t="s">
        <v>41</v>
      </c>
      <c r="C37" s="5"/>
      <c r="D37" s="5"/>
      <c r="E37" s="5"/>
      <c r="F37" s="5">
        <v>11614.7</v>
      </c>
      <c r="G37" s="5">
        <v>11916.7</v>
      </c>
      <c r="H37" s="5">
        <v>12584.6</v>
      </c>
      <c r="I37" s="5">
        <v>12937</v>
      </c>
      <c r="J37" s="5"/>
    </row>
    <row r="38" spans="2:10" s="1" customFormat="1" x14ac:dyDescent="0.2">
      <c r="B38" s="1" t="s">
        <v>40</v>
      </c>
      <c r="C38" s="5"/>
      <c r="D38" s="5"/>
      <c r="E38" s="5"/>
      <c r="F38" s="5">
        <f>SUM(F31:F37)</f>
        <v>22924</v>
      </c>
      <c r="G38" s="5">
        <f>SUM(G31:G37)</f>
        <v>23165.7</v>
      </c>
      <c r="H38" s="5">
        <f>SUM(H31:H37)</f>
        <v>24304.800000000003</v>
      </c>
      <c r="I38" s="5">
        <f>SUM(I31:I37)</f>
        <v>24670.5</v>
      </c>
      <c r="J38" s="5"/>
    </row>
    <row r="40" spans="2:10" s="1" customFormat="1" x14ac:dyDescent="0.2">
      <c r="B40" s="1" t="s">
        <v>48</v>
      </c>
      <c r="C40" s="5"/>
      <c r="D40" s="5"/>
      <c r="E40" s="5"/>
      <c r="F40" s="5">
        <f t="shared" ref="F40:H40" si="27">+F21 / (SUM(C6:F6)/365)</f>
        <v>36.53347178767936</v>
      </c>
      <c r="G40" s="5">
        <f t="shared" si="27"/>
        <v>35.212440009761131</v>
      </c>
      <c r="H40" s="5">
        <f t="shared" si="27"/>
        <v>36.145165016794934</v>
      </c>
      <c r="I40" s="5">
        <f>+I21 / (SUM(F6:I6)/365)</f>
        <v>32.539639836564497</v>
      </c>
      <c r="J40" s="5"/>
    </row>
    <row r="41" spans="2:10" s="1" customFormat="1" x14ac:dyDescent="0.2">
      <c r="B41" s="1" t="s">
        <v>49</v>
      </c>
      <c r="C41" s="5"/>
      <c r="D41" s="5"/>
      <c r="E41" s="5"/>
      <c r="F41" s="8">
        <f t="shared" ref="F41:H41" si="28">+F22/(SUM(C7:F7)/365)</f>
        <v>96.782403312905146</v>
      </c>
      <c r="G41" s="8">
        <f t="shared" si="28"/>
        <v>107.32616873784764</v>
      </c>
      <c r="H41" s="8">
        <f t="shared" si="28"/>
        <v>117.50627118821961</v>
      </c>
      <c r="I41" s="8">
        <f>+I22/(SUM(F7:I7)/365)</f>
        <v>119.2887256563079</v>
      </c>
      <c r="J41" s="5"/>
    </row>
    <row r="42" spans="2:10" s="1" customFormat="1" x14ac:dyDescent="0.2">
      <c r="B42" s="1" t="s">
        <v>50</v>
      </c>
      <c r="C42" s="5"/>
      <c r="D42" s="5"/>
      <c r="E42" s="5"/>
      <c r="F42" s="5">
        <f t="shared" ref="F42:H42" si="29">F32/(SUM(C7:F7)/365)</f>
        <v>59.199658720827394</v>
      </c>
      <c r="G42" s="5">
        <f t="shared" si="29"/>
        <v>50.905296305689397</v>
      </c>
      <c r="H42" s="5">
        <f t="shared" si="29"/>
        <v>63.804223474710582</v>
      </c>
      <c r="I42" s="5">
        <f>I32/(SUM(F7:I7)/365)</f>
        <v>58.951352482707748</v>
      </c>
      <c r="J42" s="5"/>
    </row>
    <row r="43" spans="2:10" s="1" customFormat="1" x14ac:dyDescent="0.2">
      <c r="B43" s="1" t="s">
        <v>51</v>
      </c>
      <c r="C43" s="5"/>
      <c r="D43" s="5"/>
      <c r="E43" s="5"/>
      <c r="F43" s="5">
        <f t="shared" ref="F43:H43" si="30">SUM(F40:F41)-F42</f>
        <v>74.116216379757105</v>
      </c>
      <c r="G43" s="5">
        <f t="shared" si="30"/>
        <v>91.633312441919372</v>
      </c>
      <c r="H43" s="5">
        <f t="shared" si="30"/>
        <v>89.847212730303951</v>
      </c>
      <c r="I43" s="5">
        <f>SUM(I40:I41)-I42</f>
        <v>92.877013010164646</v>
      </c>
      <c r="J43" s="5"/>
    </row>
    <row r="44" spans="2:10" s="1" customFormat="1" x14ac:dyDescent="0.2">
      <c r="C44" s="5"/>
      <c r="D44" s="5"/>
      <c r="E44" s="5"/>
      <c r="F44" s="5"/>
      <c r="G44" s="5"/>
      <c r="H44" s="5"/>
      <c r="I44" s="5"/>
      <c r="J44" s="5"/>
    </row>
    <row r="45" spans="2:10" x14ac:dyDescent="0.2">
      <c r="B45" s="1" t="s">
        <v>52</v>
      </c>
      <c r="C45" s="4">
        <v>-80</v>
      </c>
      <c r="D45" s="4">
        <v>847</v>
      </c>
      <c r="E45" s="4">
        <v>312.89999999999998</v>
      </c>
      <c r="F45" s="4">
        <f>1299.2-SUM(C45:E45)</f>
        <v>219.29999999999995</v>
      </c>
      <c r="G45" s="4">
        <v>42.9</v>
      </c>
      <c r="H45" s="4">
        <v>609.5</v>
      </c>
      <c r="I45" s="4">
        <v>228.5</v>
      </c>
    </row>
    <row r="46" spans="2:10" x14ac:dyDescent="0.2">
      <c r="B46" s="1" t="s">
        <v>53</v>
      </c>
      <c r="C46" s="4">
        <v>-383</v>
      </c>
      <c r="D46" s="4">
        <v>-333.9</v>
      </c>
      <c r="E46" s="4">
        <v>-240.8</v>
      </c>
      <c r="F46" s="4">
        <f>+-1251.8-SUM(C46:E46)</f>
        <v>-294.09999999999991</v>
      </c>
      <c r="G46" s="4">
        <v>-340.8</v>
      </c>
      <c r="H46" s="4">
        <f>+-395.1</f>
        <v>-395.1</v>
      </c>
      <c r="I46" s="4">
        <v>-364.4</v>
      </c>
    </row>
    <row r="47" spans="2:10" s="11" customFormat="1" x14ac:dyDescent="0.2">
      <c r="B47" s="9" t="s">
        <v>54</v>
      </c>
      <c r="C47" s="10">
        <f>+C45+C46</f>
        <v>-463</v>
      </c>
      <c r="D47" s="10">
        <f>+D45+D46</f>
        <v>513.1</v>
      </c>
      <c r="E47" s="10">
        <f>+E45+E46</f>
        <v>72.099999999999966</v>
      </c>
      <c r="F47" s="10">
        <f>+F45+F46</f>
        <v>-74.799999999999955</v>
      </c>
      <c r="G47" s="10">
        <f>+G45+G46</f>
        <v>-297.90000000000003</v>
      </c>
      <c r="H47" s="10">
        <f>+H45+H46</f>
        <v>214.39999999999998</v>
      </c>
      <c r="I47" s="10">
        <f>+I45+I46</f>
        <v>-135.89999999999998</v>
      </c>
      <c r="J47" s="10"/>
    </row>
    <row r="48" spans="2:10" x14ac:dyDescent="0.2">
      <c r="C48" s="5">
        <f t="shared" ref="C48:I48" si="31">+C15</f>
        <v>119.30000000000008</v>
      </c>
      <c r="D48" s="5">
        <f t="shared" si="31"/>
        <v>94.799999999999713</v>
      </c>
      <c r="E48" s="5">
        <f t="shared" si="31"/>
        <v>25.300000000000537</v>
      </c>
      <c r="F48" s="5">
        <f t="shared" si="31"/>
        <v>52.899999999999693</v>
      </c>
      <c r="G48" s="5">
        <f t="shared" si="31"/>
        <v>116.40000000000002</v>
      </c>
      <c r="H48" s="5">
        <f t="shared" si="31"/>
        <v>248.90000000000009</v>
      </c>
      <c r="I48" s="5">
        <f>+I15</f>
        <v>424.99999999999977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Brannon</dc:creator>
  <cp:lastModifiedBy>Jameel Brannon</cp:lastModifiedBy>
  <dcterms:created xsi:type="dcterms:W3CDTF">2025-11-22T06:32:32Z</dcterms:created>
  <dcterms:modified xsi:type="dcterms:W3CDTF">2025-11-22T07:29:15Z</dcterms:modified>
</cp:coreProperties>
</file>