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B463219B-C3A9-2F4F-B1EC-88FE0BF1A99B}" xr6:coauthVersionLast="47" xr6:coauthVersionMax="47" xr10:uidLastSave="{00000000-0000-0000-0000-000000000000}"/>
  <bookViews>
    <workbookView xWindow="18540" yWindow="620" windowWidth="32480" windowHeight="26680" xr2:uid="{F509E0CF-2959-224B-8C22-30F868E5ACC8}"/>
  </bookViews>
  <sheets>
    <sheet name="Main" sheetId="2" r:id="rId1"/>
    <sheet name="Model" sheetId="1" r:id="rId2"/>
    <sheet name="Sheet2" sheetId="4" r:id="rId3"/>
    <sheet name="Trai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4" l="1"/>
  <c r="E28" i="4"/>
  <c r="E29" i="4" s="1"/>
  <c r="E30" i="4"/>
  <c r="E27" i="4"/>
  <c r="F19" i="4"/>
  <c r="F18" i="4"/>
  <c r="F17" i="4"/>
  <c r="F16" i="4"/>
  <c r="F15" i="4"/>
  <c r="F14" i="4"/>
  <c r="F13" i="4"/>
  <c r="E14" i="4"/>
  <c r="G83" i="1"/>
  <c r="G84" i="1" s="1"/>
  <c r="F83" i="1"/>
  <c r="F84" i="1" s="1"/>
  <c r="E83" i="1"/>
  <c r="E84" i="1" s="1"/>
  <c r="D83" i="1"/>
  <c r="D84" i="1" s="1"/>
  <c r="G82" i="1"/>
  <c r="F82" i="1"/>
  <c r="E82" i="1"/>
  <c r="D82" i="1"/>
  <c r="J87" i="1"/>
  <c r="J88" i="1" s="1"/>
  <c r="I87" i="1"/>
  <c r="I88" i="1" s="1"/>
  <c r="H87" i="1"/>
  <c r="H88" i="1" s="1"/>
  <c r="J86" i="1"/>
  <c r="I86" i="1"/>
  <c r="H86" i="1"/>
  <c r="J85" i="1"/>
  <c r="I85" i="1"/>
  <c r="H85" i="1"/>
  <c r="J83" i="1"/>
  <c r="J84" i="1" s="1"/>
  <c r="I83" i="1"/>
  <c r="I84" i="1" s="1"/>
  <c r="H83" i="1"/>
  <c r="H84" i="1" s="1"/>
  <c r="J82" i="1"/>
  <c r="I82" i="1"/>
  <c r="H82" i="1"/>
  <c r="G36" i="1"/>
  <c r="G35" i="1"/>
  <c r="G34" i="1"/>
  <c r="G32" i="1"/>
  <c r="G31" i="1"/>
  <c r="G30" i="1"/>
  <c r="G29" i="1"/>
  <c r="G28" i="1"/>
  <c r="G51" i="1" s="1"/>
  <c r="F34" i="1"/>
  <c r="F36" i="1" s="1"/>
  <c r="E34" i="1"/>
  <c r="E36" i="1" s="1"/>
  <c r="G52" i="1"/>
  <c r="F52" i="1"/>
  <c r="E52" i="1"/>
  <c r="D52" i="1"/>
  <c r="F51" i="1"/>
  <c r="E51" i="1"/>
  <c r="D51" i="1"/>
  <c r="D34" i="1"/>
  <c r="D36" i="1" s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G11" i="1"/>
  <c r="G10" i="1"/>
  <c r="G7" i="1"/>
  <c r="G6" i="1"/>
  <c r="G25" i="1"/>
  <c r="G24" i="1"/>
  <c r="G23" i="1"/>
  <c r="G22" i="1"/>
  <c r="G21" i="1"/>
  <c r="G20" i="1"/>
  <c r="G17" i="1"/>
  <c r="G16" i="1"/>
  <c r="G15" i="1"/>
  <c r="G14" i="1"/>
  <c r="D25" i="1"/>
  <c r="E25" i="1"/>
  <c r="F27" i="1"/>
  <c r="F25" i="1"/>
  <c r="F18" i="1"/>
  <c r="E18" i="1"/>
  <c r="E27" i="1" s="1"/>
  <c r="D18" i="1"/>
  <c r="D27" i="1" s="1"/>
  <c r="Q47" i="1"/>
  <c r="Q46" i="1"/>
  <c r="Q45" i="1"/>
  <c r="Q44" i="1"/>
  <c r="Q42" i="1"/>
  <c r="Q41" i="1"/>
  <c r="Q40" i="1"/>
  <c r="Q25" i="1"/>
  <c r="Z49" i="1"/>
  <c r="AA49" i="1"/>
  <c r="AD11" i="1"/>
  <c r="AD10" i="1"/>
  <c r="AD9" i="1"/>
  <c r="AD7" i="1"/>
  <c r="AD6" i="1"/>
  <c r="AD5" i="1"/>
  <c r="AE11" i="1"/>
  <c r="AE10" i="1"/>
  <c r="AE9" i="1"/>
  <c r="AE7" i="1"/>
  <c r="AE6" i="1"/>
  <c r="AE5" i="1"/>
  <c r="R47" i="1"/>
  <c r="R46" i="1"/>
  <c r="R45" i="1"/>
  <c r="R44" i="1"/>
  <c r="R42" i="1"/>
  <c r="R41" i="1"/>
  <c r="R40" i="1"/>
  <c r="R39" i="1"/>
  <c r="R25" i="1"/>
  <c r="R18" i="1"/>
  <c r="Q18" i="1"/>
  <c r="P47" i="1"/>
  <c r="P46" i="1"/>
  <c r="P45" i="1"/>
  <c r="P44" i="1"/>
  <c r="P42" i="1"/>
  <c r="P41" i="1"/>
  <c r="P40" i="1"/>
  <c r="P39" i="1"/>
  <c r="P18" i="1"/>
  <c r="P25" i="1"/>
  <c r="P92" i="1"/>
  <c r="Q92" i="1" s="1"/>
  <c r="Q93" i="1"/>
  <c r="P94" i="1"/>
  <c r="R93" i="1"/>
  <c r="AR45" i="1"/>
  <c r="AF27" i="1"/>
  <c r="AG27" i="1" s="1"/>
  <c r="AH27" i="1" s="1"/>
  <c r="AI27" i="1" s="1"/>
  <c r="AJ27" i="1" s="1"/>
  <c r="AK27" i="1" s="1"/>
  <c r="AL27" i="1" s="1"/>
  <c r="AM27" i="1" s="1"/>
  <c r="AN27" i="1" s="1"/>
  <c r="AO27" i="1" s="1"/>
  <c r="N87" i="1"/>
  <c r="M87" i="1"/>
  <c r="L87" i="1"/>
  <c r="K87" i="1"/>
  <c r="N86" i="1"/>
  <c r="M86" i="1"/>
  <c r="L86" i="1"/>
  <c r="K86" i="1"/>
  <c r="P83" i="1"/>
  <c r="P82" i="1"/>
  <c r="P79" i="1"/>
  <c r="P66" i="1"/>
  <c r="Q83" i="1"/>
  <c r="Q82" i="1"/>
  <c r="Q79" i="1"/>
  <c r="Q66" i="1"/>
  <c r="R83" i="1"/>
  <c r="R82" i="1"/>
  <c r="R79" i="1"/>
  <c r="R66" i="1"/>
  <c r="S54" i="1"/>
  <c r="K12" i="2"/>
  <c r="K11" i="2"/>
  <c r="AR47" i="1"/>
  <c r="AF22" i="1"/>
  <c r="AF21" i="1"/>
  <c r="AF20" i="1"/>
  <c r="AF44" i="1" s="1"/>
  <c r="L94" i="1"/>
  <c r="H94" i="1"/>
  <c r="AE94" i="1"/>
  <c r="AD94" i="1"/>
  <c r="AC94" i="1"/>
  <c r="I92" i="1"/>
  <c r="J92" i="1" s="1"/>
  <c r="M93" i="1"/>
  <c r="N93" i="1" s="1"/>
  <c r="M92" i="1"/>
  <c r="N92" i="1" s="1"/>
  <c r="J93" i="1"/>
  <c r="K93" i="1" s="1"/>
  <c r="O83" i="1"/>
  <c r="N83" i="1"/>
  <c r="M83" i="1"/>
  <c r="L83" i="1"/>
  <c r="K83" i="1"/>
  <c r="O82" i="1"/>
  <c r="N82" i="1"/>
  <c r="M82" i="1"/>
  <c r="L82" i="1"/>
  <c r="K82" i="1"/>
  <c r="E15" i="4" l="1"/>
  <c r="E16" i="4" s="1"/>
  <c r="E17" i="4" s="1"/>
  <c r="E18" i="4" s="1"/>
  <c r="E19" i="4" s="1"/>
  <c r="E21" i="4" a="1"/>
  <c r="E21" i="4" s="1"/>
  <c r="G18" i="1"/>
  <c r="G27" i="1" s="1"/>
  <c r="Q27" i="1"/>
  <c r="Q34" i="1" s="1"/>
  <c r="Q36" i="1" s="1"/>
  <c r="Q51" i="1"/>
  <c r="R27" i="1"/>
  <c r="P27" i="1"/>
  <c r="P84" i="1"/>
  <c r="P54" i="1" s="1"/>
  <c r="Q84" i="1"/>
  <c r="R84" i="1"/>
  <c r="O84" i="1"/>
  <c r="O54" i="1" s="1"/>
  <c r="AE54" i="1" s="1"/>
  <c r="Q94" i="1"/>
  <c r="R92" i="1"/>
  <c r="R94" i="1" s="1"/>
  <c r="Q54" i="1"/>
  <c r="R54" i="1"/>
  <c r="N94" i="1"/>
  <c r="AF46" i="1"/>
  <c r="AF45" i="1"/>
  <c r="J94" i="1"/>
  <c r="AF54" i="1"/>
  <c r="AF32" i="1"/>
  <c r="M94" i="1"/>
  <c r="O92" i="1"/>
  <c r="O93" i="1"/>
  <c r="I94" i="1"/>
  <c r="K92" i="1"/>
  <c r="K94" i="1" s="1"/>
  <c r="M84" i="1"/>
  <c r="N84" i="1"/>
  <c r="K84" i="1"/>
  <c r="L84" i="1"/>
  <c r="H79" i="1"/>
  <c r="H66" i="1"/>
  <c r="L79" i="1"/>
  <c r="L66" i="1"/>
  <c r="I79" i="1"/>
  <c r="I66" i="1"/>
  <c r="M79" i="1"/>
  <c r="M66" i="1"/>
  <c r="J66" i="1"/>
  <c r="J79" i="1"/>
  <c r="N79" i="1"/>
  <c r="N66" i="1"/>
  <c r="O35" i="1"/>
  <c r="O32" i="1"/>
  <c r="O31" i="1"/>
  <c r="O30" i="1"/>
  <c r="O29" i="1"/>
  <c r="O28" i="1"/>
  <c r="O22" i="1"/>
  <c r="O46" i="1" s="1"/>
  <c r="O21" i="1"/>
  <c r="O45" i="1" s="1"/>
  <c r="O20" i="1"/>
  <c r="O44" i="1" s="1"/>
  <c r="O17" i="1"/>
  <c r="O42" i="1" s="1"/>
  <c r="O16" i="1"/>
  <c r="O41" i="1" s="1"/>
  <c r="O15" i="1"/>
  <c r="O40" i="1" s="1"/>
  <c r="O14" i="1"/>
  <c r="O39" i="1" s="1"/>
  <c r="K66" i="1"/>
  <c r="K79" i="1"/>
  <c r="O79" i="1"/>
  <c r="O66" i="1"/>
  <c r="AE24" i="1"/>
  <c r="AF24" i="1" s="1"/>
  <c r="AE18" i="1"/>
  <c r="AC47" i="1"/>
  <c r="AC46" i="1"/>
  <c r="AC45" i="1"/>
  <c r="AC44" i="1"/>
  <c r="AC42" i="1"/>
  <c r="AC41" i="1"/>
  <c r="AC40" i="1"/>
  <c r="AC25" i="1"/>
  <c r="AB25" i="1"/>
  <c r="N25" i="1"/>
  <c r="R48" i="1" s="1"/>
  <c r="M25" i="1"/>
  <c r="Q48" i="1" s="1"/>
  <c r="L25" i="1"/>
  <c r="P48" i="1" s="1"/>
  <c r="K25" i="1"/>
  <c r="J25" i="1"/>
  <c r="I25" i="1"/>
  <c r="H25" i="1"/>
  <c r="N47" i="1"/>
  <c r="M47" i="1"/>
  <c r="L47" i="1"/>
  <c r="N46" i="1"/>
  <c r="M46" i="1"/>
  <c r="L46" i="1"/>
  <c r="N45" i="1"/>
  <c r="M45" i="1"/>
  <c r="L45" i="1"/>
  <c r="N44" i="1"/>
  <c r="M44" i="1"/>
  <c r="L44" i="1"/>
  <c r="N42" i="1"/>
  <c r="M42" i="1"/>
  <c r="L42" i="1"/>
  <c r="N41" i="1"/>
  <c r="M41" i="1"/>
  <c r="L41" i="1"/>
  <c r="N40" i="1"/>
  <c r="M40" i="1"/>
  <c r="L40" i="1"/>
  <c r="AC39" i="1"/>
  <c r="AC18" i="1"/>
  <c r="AB18" i="1"/>
  <c r="AD35" i="1"/>
  <c r="AD32" i="1"/>
  <c r="AD31" i="1"/>
  <c r="AD30" i="1"/>
  <c r="AD29" i="1"/>
  <c r="AD28" i="1"/>
  <c r="AD24" i="1"/>
  <c r="AD47" i="1" s="1"/>
  <c r="AD22" i="1"/>
  <c r="AD21" i="1"/>
  <c r="AD20" i="1"/>
  <c r="AE44" i="1" s="1"/>
  <c r="AD17" i="1"/>
  <c r="AD42" i="1" s="1"/>
  <c r="AD16" i="1"/>
  <c r="AD41" i="1" s="1"/>
  <c r="AD15" i="1"/>
  <c r="AD40" i="1" s="1"/>
  <c r="AD14" i="1"/>
  <c r="AD39" i="1" s="1"/>
  <c r="N18" i="1"/>
  <c r="R43" i="1" s="1"/>
  <c r="M18" i="1"/>
  <c r="Q43" i="1" s="1"/>
  <c r="L18" i="1"/>
  <c r="P43" i="1" s="1"/>
  <c r="K18" i="1"/>
  <c r="J18" i="1"/>
  <c r="I18" i="1"/>
  <c r="H18" i="1"/>
  <c r="W2" i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IA2" i="1" s="1"/>
  <c r="IB2" i="1" s="1"/>
  <c r="IC2" i="1" s="1"/>
  <c r="ID2" i="1" s="1"/>
  <c r="IE2" i="1" s="1"/>
  <c r="IF2" i="1" s="1"/>
  <c r="IG2" i="1" s="1"/>
  <c r="L39" i="1"/>
  <c r="M39" i="1"/>
  <c r="N39" i="1"/>
  <c r="L11" i="2"/>
  <c r="L12" i="2" s="1"/>
  <c r="K10" i="2"/>
  <c r="N96" i="1" l="1"/>
  <c r="R51" i="1"/>
  <c r="R34" i="1"/>
  <c r="R36" i="1" s="1"/>
  <c r="P51" i="1"/>
  <c r="R86" i="1"/>
  <c r="Q87" i="1"/>
  <c r="P87" i="1"/>
  <c r="O87" i="1"/>
  <c r="R87" i="1"/>
  <c r="Q86" i="1"/>
  <c r="P86" i="1"/>
  <c r="O86" i="1"/>
  <c r="L48" i="1"/>
  <c r="M48" i="1"/>
  <c r="N48" i="1"/>
  <c r="AG54" i="1"/>
  <c r="AG32" i="1"/>
  <c r="AF25" i="1"/>
  <c r="AF47" i="1"/>
  <c r="O94" i="1"/>
  <c r="AE25" i="1"/>
  <c r="O25" i="1" s="1"/>
  <c r="O48" i="1" s="1"/>
  <c r="AE47" i="1"/>
  <c r="L96" i="1"/>
  <c r="K96" i="1"/>
  <c r="AD45" i="1"/>
  <c r="AE45" i="1"/>
  <c r="AD46" i="1"/>
  <c r="AE46" i="1"/>
  <c r="N27" i="1"/>
  <c r="R49" i="1" s="1"/>
  <c r="M96" i="1"/>
  <c r="J54" i="1"/>
  <c r="I54" i="1"/>
  <c r="H54" i="1"/>
  <c r="K54" i="1"/>
  <c r="N54" i="1"/>
  <c r="L54" i="1"/>
  <c r="M54" i="1"/>
  <c r="O18" i="1"/>
  <c r="O43" i="1" s="1"/>
  <c r="O24" i="1"/>
  <c r="O47" i="1" s="1"/>
  <c r="AD25" i="1"/>
  <c r="AC48" i="1"/>
  <c r="AE42" i="1"/>
  <c r="AE39" i="1"/>
  <c r="AE40" i="1"/>
  <c r="AE41" i="1"/>
  <c r="K13" i="2"/>
  <c r="AC27" i="1"/>
  <c r="K27" i="1"/>
  <c r="AD18" i="1"/>
  <c r="M27" i="1"/>
  <c r="Q49" i="1" s="1"/>
  <c r="I27" i="1"/>
  <c r="J27" i="1"/>
  <c r="L27" i="1"/>
  <c r="P49" i="1" s="1"/>
  <c r="AD44" i="1"/>
  <c r="AC43" i="1"/>
  <c r="AB27" i="1"/>
  <c r="H27" i="1"/>
  <c r="L43" i="1"/>
  <c r="N43" i="1"/>
  <c r="M43" i="1"/>
  <c r="AB51" i="1" l="1"/>
  <c r="AB49" i="1"/>
  <c r="N34" i="1"/>
  <c r="N36" i="1" s="1"/>
  <c r="N52" i="1"/>
  <c r="O96" i="1"/>
  <c r="R96" i="1"/>
  <c r="Q96" i="1"/>
  <c r="P96" i="1"/>
  <c r="K34" i="1"/>
  <c r="K36" i="1" s="1"/>
  <c r="N85" i="1"/>
  <c r="N88" i="1" s="1"/>
  <c r="I51" i="1"/>
  <c r="L85" i="1"/>
  <c r="L88" i="1" s="1"/>
  <c r="J34" i="1"/>
  <c r="J36" i="1" s="1"/>
  <c r="M85" i="1"/>
  <c r="M88" i="1" s="1"/>
  <c r="H52" i="1"/>
  <c r="K85" i="1"/>
  <c r="K88" i="1" s="1"/>
  <c r="AH54" i="1"/>
  <c r="AH32" i="1"/>
  <c r="AF48" i="1"/>
  <c r="N51" i="1"/>
  <c r="N49" i="1"/>
  <c r="AC52" i="1"/>
  <c r="AC49" i="1"/>
  <c r="M51" i="1"/>
  <c r="M49" i="1"/>
  <c r="L51" i="1"/>
  <c r="L49" i="1"/>
  <c r="AE27" i="1"/>
  <c r="O27" i="1" s="1"/>
  <c r="AE48" i="1"/>
  <c r="I52" i="1"/>
  <c r="AD48" i="1"/>
  <c r="K51" i="1"/>
  <c r="L52" i="1"/>
  <c r="AD27" i="1"/>
  <c r="AC51" i="1"/>
  <c r="AC34" i="1"/>
  <c r="AC36" i="1" s="1"/>
  <c r="L34" i="1"/>
  <c r="L36" i="1" s="1"/>
  <c r="K52" i="1"/>
  <c r="AE43" i="1"/>
  <c r="M52" i="1"/>
  <c r="J52" i="1"/>
  <c r="AB52" i="1"/>
  <c r="AD43" i="1"/>
  <c r="M34" i="1"/>
  <c r="M36" i="1" s="1"/>
  <c r="J51" i="1"/>
  <c r="I34" i="1"/>
  <c r="H34" i="1"/>
  <c r="H51" i="1"/>
  <c r="O85" i="1" l="1"/>
  <c r="O88" i="1" s="1"/>
  <c r="P85" i="1"/>
  <c r="P88" i="1" s="1"/>
  <c r="Q85" i="1"/>
  <c r="Q88" i="1" s="1"/>
  <c r="R85" i="1"/>
  <c r="R88" i="1" s="1"/>
  <c r="O49" i="1"/>
  <c r="N97" i="1"/>
  <c r="AI54" i="1"/>
  <c r="AI32" i="1"/>
  <c r="AE49" i="1"/>
  <c r="AD51" i="1"/>
  <c r="AD49" i="1"/>
  <c r="AE51" i="1"/>
  <c r="AE34" i="1"/>
  <c r="O34" i="1" s="1"/>
  <c r="AE52" i="1"/>
  <c r="M97" i="1"/>
  <c r="AD34" i="1"/>
  <c r="AD52" i="1"/>
  <c r="O51" i="1"/>
  <c r="O52" i="1"/>
  <c r="I36" i="1"/>
  <c r="H36" i="1"/>
  <c r="K97" i="1" s="1"/>
  <c r="AJ32" i="1" l="1"/>
  <c r="AJ54" i="1"/>
  <c r="AF31" i="1"/>
  <c r="AF49" i="1"/>
  <c r="AF18" i="1"/>
  <c r="AF29" i="1"/>
  <c r="AF28" i="1"/>
  <c r="AF30" i="1"/>
  <c r="AE36" i="1"/>
  <c r="O36" i="1" s="1"/>
  <c r="L97" i="1"/>
  <c r="AD36" i="1"/>
  <c r="O97" i="1" l="1"/>
  <c r="AK32" i="1"/>
  <c r="AK54" i="1"/>
  <c r="AF43" i="1"/>
  <c r="AF17" i="1"/>
  <c r="AF42" i="1" s="1"/>
  <c r="AF52" i="1"/>
  <c r="AF15" i="1"/>
  <c r="AF40" i="1" s="1"/>
  <c r="AF16" i="1"/>
  <c r="AF41" i="1" s="1"/>
  <c r="AF14" i="1"/>
  <c r="AF39" i="1" s="1"/>
  <c r="AF34" i="1"/>
  <c r="AF51" i="1"/>
  <c r="AF35" i="1" l="1"/>
  <c r="AF36" i="1" s="1"/>
  <c r="P34" i="1"/>
  <c r="AL32" i="1"/>
  <c r="AL54" i="1"/>
  <c r="AI49" i="1"/>
  <c r="AK49" i="1"/>
  <c r="AK52" i="1"/>
  <c r="AL49" i="1"/>
  <c r="AL52" i="1"/>
  <c r="AN49" i="1"/>
  <c r="AH49" i="1"/>
  <c r="AJ49" i="1"/>
  <c r="AM49" i="1"/>
  <c r="AG31" i="1"/>
  <c r="AH31" i="1" s="1"/>
  <c r="AI31" i="1" s="1"/>
  <c r="AJ31" i="1" s="1"/>
  <c r="AK31" i="1" s="1"/>
  <c r="AL31" i="1" s="1"/>
  <c r="AM31" i="1" s="1"/>
  <c r="AN31" i="1" s="1"/>
  <c r="AO31" i="1" s="1"/>
  <c r="AG30" i="1"/>
  <c r="AH30" i="1" s="1"/>
  <c r="AI30" i="1" s="1"/>
  <c r="AJ30" i="1" s="1"/>
  <c r="AK30" i="1" s="1"/>
  <c r="AL30" i="1" s="1"/>
  <c r="AM30" i="1" s="1"/>
  <c r="AN30" i="1" s="1"/>
  <c r="AO30" i="1" s="1"/>
  <c r="AG29" i="1"/>
  <c r="AH29" i="1" s="1"/>
  <c r="AI29" i="1" s="1"/>
  <c r="AJ29" i="1" s="1"/>
  <c r="AK29" i="1" s="1"/>
  <c r="AL29" i="1" s="1"/>
  <c r="AM29" i="1" s="1"/>
  <c r="AN29" i="1" s="1"/>
  <c r="AO29" i="1" s="1"/>
  <c r="AG49" i="1"/>
  <c r="AG28" i="1"/>
  <c r="AO49" i="1"/>
  <c r="P36" i="1" l="1"/>
  <c r="AH52" i="1"/>
  <c r="AM32" i="1"/>
  <c r="AM54" i="1"/>
  <c r="AI52" i="1"/>
  <c r="AH28" i="1"/>
  <c r="AH34" i="1" s="1"/>
  <c r="AG51" i="1"/>
  <c r="AG34" i="1"/>
  <c r="AG35" i="1" s="1"/>
  <c r="AG36" i="1" s="1"/>
  <c r="AG52" i="1"/>
  <c r="AM52" i="1"/>
  <c r="AO52" i="1"/>
  <c r="AN52" i="1"/>
  <c r="AJ52" i="1"/>
  <c r="P97" i="1" l="1"/>
  <c r="Q97" i="1"/>
  <c r="R97" i="1"/>
  <c r="AN32" i="1"/>
  <c r="AN54" i="1"/>
  <c r="AH51" i="1"/>
  <c r="AI28" i="1"/>
  <c r="AI51" i="1" s="1"/>
  <c r="AH35" i="1"/>
  <c r="AH36" i="1" s="1"/>
  <c r="AO32" i="1" l="1"/>
  <c r="AO54" i="1"/>
  <c r="AI34" i="1"/>
  <c r="AI35" i="1" s="1"/>
  <c r="AJ28" i="1"/>
  <c r="AJ51" i="1" l="1"/>
  <c r="AJ34" i="1"/>
  <c r="AJ35" i="1" s="1"/>
  <c r="AK28" i="1"/>
  <c r="AI36" i="1"/>
  <c r="AK34" i="1" l="1"/>
  <c r="AK35" i="1" s="1"/>
  <c r="AL28" i="1"/>
  <c r="AK51" i="1"/>
  <c r="AJ36" i="1"/>
  <c r="AM28" i="1" l="1"/>
  <c r="AL34" i="1"/>
  <c r="AL35" i="1" s="1"/>
  <c r="AL51" i="1"/>
  <c r="AK36" i="1"/>
  <c r="AN28" i="1" l="1"/>
  <c r="AM51" i="1"/>
  <c r="AM34" i="1"/>
  <c r="AM35" i="1" s="1"/>
  <c r="AL36" i="1"/>
  <c r="AO28" i="1" l="1"/>
  <c r="AN51" i="1"/>
  <c r="AN34" i="1"/>
  <c r="AN35" i="1" s="1"/>
  <c r="AM36" i="1"/>
  <c r="AO51" i="1" l="1"/>
  <c r="AO34" i="1"/>
  <c r="AO35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DH36" i="1" s="1"/>
  <c r="DI36" i="1" s="1"/>
  <c r="DJ36" i="1" s="1"/>
  <c r="DK36" i="1" s="1"/>
  <c r="DL36" i="1" s="1"/>
  <c r="DM36" i="1" s="1"/>
  <c r="DN36" i="1" s="1"/>
  <c r="DO36" i="1" s="1"/>
  <c r="DP36" i="1" s="1"/>
  <c r="DQ36" i="1" s="1"/>
  <c r="DR36" i="1" s="1"/>
  <c r="DS36" i="1" s="1"/>
  <c r="DT36" i="1" s="1"/>
  <c r="DU36" i="1" s="1"/>
  <c r="DV36" i="1" s="1"/>
  <c r="DW36" i="1" s="1"/>
  <c r="DX36" i="1" s="1"/>
  <c r="DY36" i="1" s="1"/>
  <c r="DZ36" i="1" s="1"/>
  <c r="EA36" i="1" s="1"/>
  <c r="EB36" i="1" s="1"/>
  <c r="EC36" i="1" s="1"/>
  <c r="ED36" i="1" s="1"/>
  <c r="EE36" i="1" s="1"/>
  <c r="EF36" i="1" s="1"/>
  <c r="EG36" i="1" s="1"/>
  <c r="EH36" i="1" s="1"/>
  <c r="EI36" i="1" s="1"/>
  <c r="EJ36" i="1" s="1"/>
  <c r="EK36" i="1" s="1"/>
  <c r="EL36" i="1" s="1"/>
  <c r="EM36" i="1" s="1"/>
  <c r="EN36" i="1" s="1"/>
  <c r="EO36" i="1" s="1"/>
  <c r="EP36" i="1" s="1"/>
  <c r="EQ36" i="1" s="1"/>
  <c r="ER36" i="1" s="1"/>
  <c r="ES36" i="1" s="1"/>
  <c r="ET36" i="1" s="1"/>
  <c r="EU36" i="1" s="1"/>
  <c r="EV36" i="1" s="1"/>
  <c r="EW36" i="1" s="1"/>
  <c r="EX36" i="1" s="1"/>
  <c r="EY36" i="1" s="1"/>
  <c r="EZ36" i="1" s="1"/>
  <c r="FA36" i="1" s="1"/>
  <c r="FB36" i="1" s="1"/>
  <c r="FC36" i="1" s="1"/>
  <c r="FD36" i="1" s="1"/>
  <c r="FE36" i="1" s="1"/>
  <c r="FF36" i="1" s="1"/>
  <c r="FG36" i="1" s="1"/>
  <c r="FH36" i="1" s="1"/>
  <c r="FI36" i="1" s="1"/>
  <c r="FJ36" i="1" s="1"/>
  <c r="FK36" i="1" s="1"/>
  <c r="FL36" i="1" s="1"/>
  <c r="FM36" i="1" s="1"/>
  <c r="FN36" i="1" s="1"/>
  <c r="FO36" i="1" s="1"/>
  <c r="FP36" i="1" s="1"/>
  <c r="FQ36" i="1" s="1"/>
  <c r="FR36" i="1" s="1"/>
  <c r="FS36" i="1" s="1"/>
  <c r="FT36" i="1" s="1"/>
  <c r="FU36" i="1" s="1"/>
  <c r="FV36" i="1" s="1"/>
  <c r="FW36" i="1" s="1"/>
  <c r="FX36" i="1" s="1"/>
  <c r="FY36" i="1" s="1"/>
  <c r="FZ36" i="1" s="1"/>
  <c r="GA36" i="1" s="1"/>
  <c r="GB36" i="1" s="1"/>
  <c r="GC36" i="1" s="1"/>
  <c r="GD36" i="1" s="1"/>
  <c r="GE36" i="1" s="1"/>
  <c r="GF36" i="1" s="1"/>
  <c r="GG36" i="1" s="1"/>
  <c r="GH36" i="1" s="1"/>
  <c r="GI36" i="1" s="1"/>
  <c r="GJ36" i="1" s="1"/>
  <c r="GK36" i="1" s="1"/>
  <c r="GL36" i="1" s="1"/>
  <c r="GM36" i="1" s="1"/>
  <c r="GN36" i="1" s="1"/>
  <c r="GO36" i="1" s="1"/>
  <c r="GP36" i="1" s="1"/>
  <c r="GQ36" i="1" s="1"/>
  <c r="GR36" i="1" s="1"/>
  <c r="GS36" i="1" s="1"/>
  <c r="GT36" i="1" s="1"/>
  <c r="GU36" i="1" s="1"/>
  <c r="GV36" i="1" s="1"/>
  <c r="GW36" i="1" s="1"/>
  <c r="GX36" i="1" s="1"/>
  <c r="GY36" i="1" s="1"/>
  <c r="GZ36" i="1" s="1"/>
  <c r="HA36" i="1" s="1"/>
  <c r="HB36" i="1" s="1"/>
  <c r="HC36" i="1" s="1"/>
  <c r="HD36" i="1" s="1"/>
  <c r="HE36" i="1" s="1"/>
  <c r="HF36" i="1" s="1"/>
  <c r="HG36" i="1" s="1"/>
  <c r="HH36" i="1" s="1"/>
  <c r="HI36" i="1" s="1"/>
  <c r="HJ36" i="1" s="1"/>
  <c r="HK36" i="1" s="1"/>
  <c r="HL36" i="1" s="1"/>
  <c r="HM36" i="1" s="1"/>
  <c r="HN36" i="1" s="1"/>
  <c r="HO36" i="1" s="1"/>
  <c r="HP36" i="1" s="1"/>
  <c r="HQ36" i="1" s="1"/>
  <c r="HR36" i="1" s="1"/>
  <c r="HS36" i="1" s="1"/>
  <c r="HT36" i="1" s="1"/>
  <c r="HU36" i="1" s="1"/>
  <c r="HV36" i="1" s="1"/>
  <c r="HW36" i="1" s="1"/>
  <c r="HX36" i="1" s="1"/>
  <c r="HY36" i="1" s="1"/>
  <c r="HZ36" i="1" s="1"/>
  <c r="IA36" i="1" s="1"/>
  <c r="IB36" i="1" s="1"/>
  <c r="IC36" i="1" s="1"/>
  <c r="ID36" i="1" s="1"/>
  <c r="IE36" i="1" s="1"/>
  <c r="IF36" i="1" s="1"/>
  <c r="IG36" i="1" s="1"/>
  <c r="AN36" i="1"/>
  <c r="AR44" i="1" l="1"/>
  <c r="AR46" i="1" s="1"/>
  <c r="AR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<sst xmlns="http://schemas.openxmlformats.org/spreadsheetml/2006/main" count="216" uniqueCount="199">
  <si>
    <t>Q123</t>
  </si>
  <si>
    <t>Q223</t>
  </si>
  <si>
    <t>Q323</t>
  </si>
  <si>
    <t>Q423</t>
  </si>
  <si>
    <t>Q124</t>
  </si>
  <si>
    <t>Q224</t>
  </si>
  <si>
    <t>Q324</t>
  </si>
  <si>
    <t>Q424</t>
  </si>
  <si>
    <t>P</t>
  </si>
  <si>
    <t>S</t>
  </si>
  <si>
    <t>MC</t>
  </si>
  <si>
    <t>C</t>
  </si>
  <si>
    <t>D</t>
  </si>
  <si>
    <t>EV</t>
  </si>
  <si>
    <t xml:space="preserve">CEO </t>
  </si>
  <si>
    <t xml:space="preserve">CFO </t>
  </si>
  <si>
    <t>Chuck Magro</t>
  </si>
  <si>
    <t xml:space="preserve">Total Revenue </t>
  </si>
  <si>
    <t>Corn</t>
  </si>
  <si>
    <t>Soybean</t>
  </si>
  <si>
    <t>Other oilseeds</t>
  </si>
  <si>
    <t>Other seeds</t>
  </si>
  <si>
    <t>Herbacides</t>
  </si>
  <si>
    <t>Fungicides</t>
  </si>
  <si>
    <t xml:space="preserve">Net Income </t>
  </si>
  <si>
    <t>Taxes</t>
  </si>
  <si>
    <t>EBT</t>
  </si>
  <si>
    <t>Interest Expense</t>
  </si>
  <si>
    <t>Other income</t>
  </si>
  <si>
    <t>SG&amp;A</t>
  </si>
  <si>
    <t>R&amp;D</t>
  </si>
  <si>
    <t>Cogs</t>
  </si>
  <si>
    <t>Other Crops</t>
  </si>
  <si>
    <t>Insecticides</t>
  </si>
  <si>
    <t>Seed</t>
  </si>
  <si>
    <t>Seed Segment</t>
  </si>
  <si>
    <t xml:space="preserve">Herbacides Segment </t>
  </si>
  <si>
    <t xml:space="preserve">GM % </t>
  </si>
  <si>
    <t>Seeds % Rev</t>
  </si>
  <si>
    <t xml:space="preserve">Segment </t>
  </si>
  <si>
    <t>raw materials</t>
  </si>
  <si>
    <t>corn, soybean seeds</t>
  </si>
  <si>
    <t>Crop Protection</t>
  </si>
  <si>
    <t>chlorinated pyridines derivatives, chlorine, seed treatment</t>
  </si>
  <si>
    <t>cash</t>
  </si>
  <si>
    <t>securities</t>
  </si>
  <si>
    <t>a/r</t>
  </si>
  <si>
    <t>inventories</t>
  </si>
  <si>
    <t>oca</t>
  </si>
  <si>
    <t>ppe</t>
  </si>
  <si>
    <t>goodwill</t>
  </si>
  <si>
    <t>other intangibles</t>
  </si>
  <si>
    <t>deferred i/t</t>
  </si>
  <si>
    <t>oa</t>
  </si>
  <si>
    <t xml:space="preserve">total assets </t>
  </si>
  <si>
    <t>short term debt</t>
  </si>
  <si>
    <t>income taxes</t>
  </si>
  <si>
    <t>deferred revenue</t>
  </si>
  <si>
    <t>accrued/ocl</t>
  </si>
  <si>
    <t xml:space="preserve">long term debt </t>
  </si>
  <si>
    <t>equity</t>
  </si>
  <si>
    <t>noncontrolling</t>
  </si>
  <si>
    <t xml:space="preserve">total liab + equity </t>
  </si>
  <si>
    <t>a/p</t>
  </si>
  <si>
    <t xml:space="preserve">Investment </t>
  </si>
  <si>
    <t>pension / post employment</t>
  </si>
  <si>
    <t>other noncur obligations</t>
  </si>
  <si>
    <t xml:space="preserve">CFFO </t>
  </si>
  <si>
    <t>Capex</t>
  </si>
  <si>
    <t xml:space="preserve">FCF </t>
  </si>
  <si>
    <t xml:space="preserve">Total Debt </t>
  </si>
  <si>
    <t xml:space="preserve">Total Cash </t>
  </si>
  <si>
    <t xml:space="preserve">Net Cash </t>
  </si>
  <si>
    <t xml:space="preserve">Balance Sheet Key Metrics </t>
  </si>
  <si>
    <t>4Q FCF</t>
  </si>
  <si>
    <t>TR</t>
  </si>
  <si>
    <t xml:space="preserve">terminal </t>
  </si>
  <si>
    <t>discount</t>
  </si>
  <si>
    <t>NPV</t>
  </si>
  <si>
    <t>ROIC</t>
  </si>
  <si>
    <t>Shares</t>
  </si>
  <si>
    <t>Estimate</t>
  </si>
  <si>
    <t>Current Price</t>
  </si>
  <si>
    <t>Upside</t>
  </si>
  <si>
    <t xml:space="preserve">4Q NI </t>
  </si>
  <si>
    <t xml:space="preserve">Occurrence and nature of off target mods by CRISPR-Cas in Plants </t>
  </si>
  <si>
    <t>https://pubs.acs.org/doi/10.1021/acsagscitech.1c00270?utm_source=chatgpt.com</t>
  </si>
  <si>
    <t xml:space="preserve">CRISPR-Cas9 Editing in Maize: Systemic Eval of off target activity </t>
  </si>
  <si>
    <t>https://pubmed.ncbi.nlm.nih.gov/31040331/</t>
  </si>
  <si>
    <t>Which factors effect the ocurr of off target effects caused by CRISPR/Cas</t>
  </si>
  <si>
    <t>https://www.frontiersin.org/journals/plant-science/articles/10.3389/fpls.2020.574959/full?utm_source=chatgpt.com</t>
  </si>
  <si>
    <t xml:space="preserve">Impact of Bt corn on Rhyizopheric and soil eubacterial communities </t>
  </si>
  <si>
    <t>https://www.researchgate.net/publication/233236682_The_Effect_of_Bt-corn_on_Soil_Invertebrates_Soil_Microbial_Community_and_Decomposition_Rates_of_Corn_Post-Harvest_Residues_Under_Field_and_Laboratory_Conditions?utm_source=chatgpt.com</t>
  </si>
  <si>
    <t>Soil Microbial Endpoints chnaged by Bt Crops  v conventional?</t>
  </si>
  <si>
    <t>https://environmentalevidencejournal.biomedcentral.com/articles/10.1186/2047-2382-3-11?utm_source=chatgpt.com</t>
  </si>
  <si>
    <t xml:space="preserve">Gene editing risks </t>
  </si>
  <si>
    <t>https://www.greens-efa.eu/files/assets/docs/chapter_4_gene_editing_is_risky_and_its_products_can_be_unsafe.pdf?utm_source=chatgpt.com</t>
  </si>
  <si>
    <t>assessment of genetically mod Maize DP23211 for food/feed</t>
  </si>
  <si>
    <t>https://efsa.onlinelibrary.wiley.com/doi/10.2903/j.efsa.2024.8483?utm_source=chatgpt.com</t>
  </si>
  <si>
    <t xml:space="preserve">CTVA plant breeding innovation </t>
  </si>
  <si>
    <t>https://www.corteva.com/resources/media-center/corteva-announces-plant-breeding-innovation-to-combat-corn-disease.html?utm_source=chatgpt.com</t>
  </si>
  <si>
    <t>CTVA</t>
  </si>
  <si>
    <t>https://www.corteva.com/our-impact/innovation/crispr.html?utm_source=chatgpt.com</t>
  </si>
  <si>
    <t xml:space="preserve">Research </t>
  </si>
  <si>
    <t xml:space="preserve">Dave Anderson </t>
  </si>
  <si>
    <t xml:space="preserve">Public </t>
  </si>
  <si>
    <t>Employees</t>
  </si>
  <si>
    <t>Q325</t>
  </si>
  <si>
    <t>Q125</t>
  </si>
  <si>
    <t>Q225</t>
  </si>
  <si>
    <t>Q425</t>
  </si>
  <si>
    <t xml:space="preserve">DSO </t>
  </si>
  <si>
    <t>DIO</t>
  </si>
  <si>
    <t xml:space="preserve">DPO </t>
  </si>
  <si>
    <t>CCC</t>
  </si>
  <si>
    <t>Biologicals</t>
  </si>
  <si>
    <t>Stockholders</t>
  </si>
  <si>
    <t xml:space="preserve">Seed </t>
  </si>
  <si>
    <t xml:space="preserve">Down Cycle: Vol down, Price up --&gt; Bad demand, bottom forming </t>
  </si>
  <si>
    <t xml:space="preserve">Early Cycle: Volume up, Price down --&gt; Best time to buy </t>
  </si>
  <si>
    <t xml:space="preserve">Mid-Cycle: Volume up, price up --&gt; Max Returns </t>
  </si>
  <si>
    <t>Total Volume YY</t>
  </si>
  <si>
    <t>Total Price YY</t>
  </si>
  <si>
    <t xml:space="preserve">YY Growth </t>
  </si>
  <si>
    <t>Press Releases</t>
  </si>
  <si>
    <t>Ir</t>
  </si>
  <si>
    <t xml:space="preserve">About </t>
  </si>
  <si>
    <t xml:space="preserve">Two new products [Goltrevo bioinsecticide] to combat sap-feeding/chewing insects &amp; Varpelgo to control chewing pests in fruits, vegetables, row crops and rice </t>
  </si>
  <si>
    <t>https://www.pioneer.com/us/agronomy/corn-stunt-disease.html</t>
  </si>
  <si>
    <t>Corn Stunt Disease [References in 11/5/25] PR</t>
  </si>
  <si>
    <t>Splitting into two companies [Crop protection (New Corteva) &amp; Seed Business (SpinCo)</t>
  </si>
  <si>
    <t>ENLIST™ corn</t>
  </si>
  <si>
    <t xml:space="preserve"> ENLIST E3™ soybeans</t>
  </si>
  <si>
    <t xml:space="preserve"> ENLIST™ cotton</t>
  </si>
  <si>
    <t xml:space="preserve"> Enlist™ weed control system</t>
  </si>
  <si>
    <t xml:space="preserve"> Herculex® Insect Protection</t>
  </si>
  <si>
    <t xml:space="preserve"> Herculex® XTRA Insect Protection</t>
  </si>
  <si>
    <t xml:space="preserve"> Leptra® insect protection technology offering protection against above ground pests</t>
  </si>
  <si>
    <t xml:space="preserve"> PowerCore® corn, PowerCore® Ultra corn, PowerCore® Enlist™ corn, PowerCore® Ultra Enlist™ corn, POWERCORE® trait technology family of products</t>
  </si>
  <si>
    <t xml:space="preserve"> Optimum® AcreMax® family of products offering above and below ground insect protection</t>
  </si>
  <si>
    <t xml:space="preserve"> REFUGE ADVANCED® trait technology</t>
  </si>
  <si>
    <t xml:space="preserve"> SMARTSTAX® trait technology</t>
  </si>
  <si>
    <t xml:space="preserve"> NEXERA® canola trait</t>
  </si>
  <si>
    <t xml:space="preserve"> Omega-9 Oils</t>
  </si>
  <si>
    <t xml:space="preserve"> Pioneer® brand Optimum® AQUAmax® products</t>
  </si>
  <si>
    <t xml:space="preserve"> Pioneer® brand A-Series soybeans</t>
  </si>
  <si>
    <t xml:space="preserve"> Pioneer® brand Plenish® high oleic soybeans</t>
  </si>
  <si>
    <t xml:space="preserve"> ExpressSun® herbicide tolerant trait</t>
  </si>
  <si>
    <t xml:space="preserve"> Pioneer Protector® products for canola, sunflower and sorghum</t>
  </si>
  <si>
    <t xml:space="preserve"> Pioneer MAXIMUS® rapeseed hybrids</t>
  </si>
  <si>
    <t xml:space="preserve"> Qrome® corn</t>
  </si>
  <si>
    <t xml:space="preserve"> Clearfield® canola</t>
  </si>
  <si>
    <t xml:space="preserve"> PROPOUND™ advanced canola meal</t>
  </si>
  <si>
    <t xml:space="preserve"> Vorceed™ Enlist™ products</t>
  </si>
  <si>
    <t xml:space="preserve"> Conkesta®</t>
  </si>
  <si>
    <t xml:space="preserve"> Conkesta E3® soybeans</t>
  </si>
  <si>
    <t xml:space="preserve"> WideStrike™ Insect Protection</t>
  </si>
  <si>
    <t xml:space="preserve"> WideStrike™ 3 Insect Protection</t>
  </si>
  <si>
    <t xml:space="preserve"> Inzen® trait</t>
  </si>
  <si>
    <t xml:space="preserve"> BOLT® technology</t>
  </si>
  <si>
    <t xml:space="preserve"> STS® herbicide tolerant trait</t>
  </si>
  <si>
    <t xml:space="preserve"> MAXIMUS® canola hybrids</t>
  </si>
  <si>
    <t xml:space="preserve"> CottonBest ® program</t>
  </si>
  <si>
    <t xml:space="preserve"> Brevant® Protector products</t>
  </si>
  <si>
    <t xml:space="preserve"> Optimum® GLY herbicide tolerance trait Optimum® AcreMax® insect protection</t>
  </si>
  <si>
    <t xml:space="preserve"> Optimum® AcreMax® Leptra® insect protection</t>
  </si>
  <si>
    <t xml:space="preserve"> Optimum® AcreMax® Xtra insect protection</t>
  </si>
  <si>
    <t xml:space="preserve"> Optimum® AcreMax® XTreme insect protection</t>
  </si>
  <si>
    <t xml:space="preserve"> Bovalta® BMR products</t>
  </si>
  <si>
    <t xml:space="preserve"> Optimum® Intrasect® insect protection</t>
  </si>
  <si>
    <t xml:space="preserve"> Optimum® Leptra® insect protection</t>
  </si>
  <si>
    <t>biotech tait inserted into corn or soybeans that makes the crop tolerant to 2,4-D choline and FOP herbacides</t>
  </si>
  <si>
    <t xml:space="preserve">Important Commodties </t>
  </si>
  <si>
    <t xml:space="preserve">Soybeans </t>
  </si>
  <si>
    <t>Solutions/Traits/Tech</t>
  </si>
  <si>
    <t>Q122</t>
  </si>
  <si>
    <t>Q222</t>
  </si>
  <si>
    <t>Q322</t>
  </si>
  <si>
    <t>Q422</t>
  </si>
  <si>
    <t>$M</t>
  </si>
  <si>
    <t xml:space="preserve">Revenue </t>
  </si>
  <si>
    <t>Year (t)</t>
  </si>
  <si>
    <t xml:space="preserve">Steps </t>
  </si>
  <si>
    <t>Test: Is 5% LT growth rate for revenue in the DCF realistic?</t>
  </si>
  <si>
    <t xml:space="preserve">1. Get data set: Historicla revenue with 1,2,3,…n as time index </t>
  </si>
  <si>
    <t xml:space="preserve">2. log-transform  revenue to conver the regression into a growth rate model </t>
  </si>
  <si>
    <t>3. Run log-linear regression</t>
  </si>
  <si>
    <t xml:space="preserve">4. Convert Beta into actual % growth </t>
  </si>
  <si>
    <t>5. Convert LT growth rate into log-slope</t>
  </si>
  <si>
    <t xml:space="preserve">6. Compute the t-statistic </t>
  </si>
  <si>
    <t xml:space="preserve">7. Compare against critical t-value </t>
  </si>
  <si>
    <t>R^2 / SE y</t>
  </si>
  <si>
    <t>F / df</t>
  </si>
  <si>
    <t>SSR / SSE</t>
  </si>
  <si>
    <t>SE slope/ SE intercept</t>
  </si>
  <si>
    <t>Slope/ Intercept</t>
  </si>
  <si>
    <t>Covert slope to Growth</t>
  </si>
  <si>
    <t>5% LTGR</t>
  </si>
  <si>
    <t>T-Stat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</si>
</sst>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\x"/>
    <numFmt numFmtId="166" formatCode="0.0%"/>
    <numFmt numFmtId="183" formatCode="0.0"/>
  </numFmts>
  <fonts count="13">
    <font>
      <sz val="10"/>
      <color theme="1"/>
      <name val="ArialMT"/>
      <family val="2"/>
    </font>
    <font>
      <sz val="10"/>
      <color theme="1"/>
      <name val="ArialMT"/>
    </font>
    <font>
      <u/>
      <sz val="10"/>
      <color theme="1"/>
      <name val="ArialMT"/>
      <family val="2"/>
    </font>
    <font>
      <b/>
      <u/>
      <sz val="10"/>
      <color theme="1"/>
      <name val="ArialMT"/>
    </font>
    <font>
      <u/>
      <sz val="10"/>
      <color theme="10"/>
      <name val="ArialMT"/>
      <family val="2"/>
    </font>
    <font>
      <b/>
      <sz val="10"/>
      <name val="Aptos Narrow"/>
      <scheme val="minor"/>
    </font>
    <font>
      <sz val="10"/>
      <name val="Aptos Narrow"/>
      <scheme val="minor"/>
    </font>
    <font>
      <b/>
      <u/>
      <sz val="10"/>
      <name val="Aptos Narrow"/>
      <scheme val="minor"/>
    </font>
    <font>
      <i/>
      <sz val="10"/>
      <color theme="1"/>
      <name val="ArialMT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b/>
      <i/>
      <sz val="10"/>
      <color theme="1"/>
      <name val="ArialM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3" fontId="0" fillId="0" borderId="0" xfId="0" applyNumberFormat="1"/>
    <xf numFmtId="4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3" fontId="4" fillId="0" borderId="0" xfId="1" applyNumberFormat="1"/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1" fillId="0" borderId="0" xfId="0" applyNumberFormat="1" applyFont="1"/>
    <xf numFmtId="3" fontId="1" fillId="0" borderId="0" xfId="0" applyNumberFormat="1" applyFont="1" applyAlignment="1">
      <alignment horizontal="left"/>
    </xf>
    <xf numFmtId="1" fontId="5" fillId="0" borderId="0" xfId="0" applyNumberFormat="1" applyFont="1"/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9" fontId="6" fillId="0" borderId="0" xfId="0" applyNumberFormat="1" applyFont="1"/>
    <xf numFmtId="9" fontId="6" fillId="0" borderId="0" xfId="0" applyNumberFormat="1" applyFont="1" applyAlignment="1">
      <alignment horizontal="right"/>
    </xf>
    <xf numFmtId="1" fontId="6" fillId="0" borderId="0" xfId="0" applyNumberFormat="1" applyFont="1"/>
    <xf numFmtId="1" fontId="6" fillId="0" borderId="0" xfId="0" applyNumberFormat="1" applyFont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9" fontId="6" fillId="0" borderId="3" xfId="0" applyNumberFormat="1" applyFont="1" applyBorder="1"/>
    <xf numFmtId="9" fontId="6" fillId="0" borderId="4" xfId="0" applyNumberFormat="1" applyFont="1" applyBorder="1"/>
    <xf numFmtId="9" fontId="6" fillId="0" borderId="5" xfId="0" applyNumberFormat="1" applyFont="1" applyBorder="1"/>
    <xf numFmtId="166" fontId="6" fillId="0" borderId="6" xfId="0" applyNumberFormat="1" applyFont="1" applyBorder="1"/>
    <xf numFmtId="3" fontId="6" fillId="0" borderId="5" xfId="0" applyNumberFormat="1" applyFont="1" applyBorder="1"/>
    <xf numFmtId="3" fontId="5" fillId="0" borderId="1" xfId="0" applyNumberFormat="1" applyFont="1" applyBorder="1"/>
    <xf numFmtId="3" fontId="5" fillId="0" borderId="2" xfId="0" applyNumberFormat="1" applyFont="1" applyBorder="1"/>
    <xf numFmtId="1" fontId="6" fillId="0" borderId="6" xfId="0" applyNumberFormat="1" applyFont="1" applyBorder="1"/>
    <xf numFmtId="3" fontId="6" fillId="0" borderId="1" xfId="0" applyNumberFormat="1" applyFont="1" applyBorder="1"/>
    <xf numFmtId="3" fontId="6" fillId="0" borderId="2" xfId="0" applyNumberFormat="1" applyFont="1" applyBorder="1"/>
    <xf numFmtId="9" fontId="5" fillId="0" borderId="0" xfId="0" applyNumberFormat="1" applyFont="1"/>
    <xf numFmtId="3" fontId="6" fillId="0" borderId="6" xfId="0" applyNumberFormat="1" applyFont="1" applyBorder="1"/>
    <xf numFmtId="3" fontId="6" fillId="0" borderId="7" xfId="0" applyNumberFormat="1" applyFont="1" applyBorder="1"/>
    <xf numFmtId="9" fontId="6" fillId="0" borderId="8" xfId="0" applyNumberFormat="1" applyFont="1" applyBorder="1"/>
    <xf numFmtId="3" fontId="7" fillId="0" borderId="0" xfId="0" applyNumberFormat="1" applyFont="1"/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14" fontId="4" fillId="0" borderId="0" xfId="1" applyNumberFormat="1" applyAlignment="1">
      <alignment horizontal="left"/>
    </xf>
    <xf numFmtId="3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9" fontId="6" fillId="0" borderId="9" xfId="0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3" fontId="5" fillId="0" borderId="0" xfId="0" applyNumberFormat="1" applyFont="1" applyBorder="1"/>
    <xf numFmtId="3" fontId="6" fillId="0" borderId="9" xfId="0" applyNumberFormat="1" applyFont="1" applyBorder="1"/>
    <xf numFmtId="3" fontId="5" fillId="0" borderId="9" xfId="0" applyNumberFormat="1" applyFont="1" applyBorder="1"/>
    <xf numFmtId="10" fontId="0" fillId="0" borderId="0" xfId="0" applyNumberFormat="1"/>
    <xf numFmtId="0" fontId="12" fillId="0" borderId="0" xfId="0" applyFont="1"/>
    <xf numFmtId="0" fontId="8" fillId="0" borderId="0" xfId="0" applyFont="1"/>
    <xf numFmtId="183" fontId="0" fillId="0" borderId="0" xfId="0" applyNumberFormat="1"/>
    <xf numFmtId="0" fontId="0" fillId="0" borderId="9" xfId="0" applyBorder="1"/>
    <xf numFmtId="2" fontId="0" fillId="0" borderId="9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5C7D99"/>
      <color rgb="FF4F7494"/>
      <color rgb="FF2B4C68"/>
      <color rgb="FFDDE7F0"/>
      <color rgb="FFADD8E6"/>
      <color rgb="FF4F81A3"/>
      <color rgb="FF274A66"/>
      <color rgb="FF2A52BE"/>
      <color rgb="FF3B74C5"/>
      <color rgb="FF2E7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498231</xdr:colOff>
      <xdr:row>0</xdr:row>
      <xdr:rowOff>0</xdr:rowOff>
    </xdr:from>
    <xdr:to>
      <xdr:col>31</xdr:col>
      <xdr:colOff>68384</xdr:colOff>
      <xdr:row>102</xdr:row>
      <xdr:rowOff>48846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0F1C96-F872-02A4-1396-AAEA28AC6D22}"/>
            </a:ext>
          </a:extLst>
        </xdr:cNvPr>
        <xdr:cNvCxnSpPr/>
      </xdr:nvCxnSpPr>
      <xdr:spPr>
        <a:xfrm>
          <a:off x="11986846" y="0"/>
          <a:ext cx="87923" cy="175162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565159</xdr:colOff>
      <xdr:row>0</xdr:row>
      <xdr:rowOff>0</xdr:rowOff>
    </xdr:from>
    <xdr:to>
      <xdr:col>18</xdr:col>
      <xdr:colOff>18425</xdr:colOff>
      <xdr:row>102</xdr:row>
      <xdr:rowOff>89551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D304D6E-F7A3-9244-BF55-83C3EB11E8D0}"/>
            </a:ext>
          </a:extLst>
        </xdr:cNvPr>
        <xdr:cNvCxnSpPr/>
      </xdr:nvCxnSpPr>
      <xdr:spPr>
        <a:xfrm>
          <a:off x="7583580" y="0"/>
          <a:ext cx="32564" cy="1446060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rteva.com/resources/media-center/corteva-announces-plant-breeding-innovation-to-combat-corn-disease.html?utm_source=chatgpt.com" TargetMode="External"/><Relationship Id="rId13" Type="http://schemas.openxmlformats.org/officeDocument/2006/relationships/hyperlink" Target="https://www.corteva.com/content/dam/dpagco/corteva/global/corporate/files/press-releases/11.04.2025_3q_2025_Earnings_Release_Graphic_Version_Final.pdf" TargetMode="External"/><Relationship Id="rId3" Type="http://schemas.openxmlformats.org/officeDocument/2006/relationships/hyperlink" Target="https://www.frontiersin.org/journals/plant-science/articles/10.3389/fpls.2020.574959/full?utm_source=chatgpt.com" TargetMode="External"/><Relationship Id="rId7" Type="http://schemas.openxmlformats.org/officeDocument/2006/relationships/hyperlink" Target="https://efsa.onlinelibrary.wiley.com/doi/10.2903/j.efsa.2024.8483?utm_source=chatgpt.com" TargetMode="External"/><Relationship Id="rId12" Type="http://schemas.openxmlformats.org/officeDocument/2006/relationships/hyperlink" Target="https://www.pioneer.com/us/agronomy/corn-stunt-disease.html" TargetMode="External"/><Relationship Id="rId2" Type="http://schemas.openxmlformats.org/officeDocument/2006/relationships/hyperlink" Target="https://pubmed.ncbi.nlm.nih.gov/31040331/" TargetMode="External"/><Relationship Id="rId1" Type="http://schemas.openxmlformats.org/officeDocument/2006/relationships/hyperlink" Target="https://pubs.acs.org/doi/10.1021/acsagscitech.1c00270?utm_source=chatgpt.com" TargetMode="External"/><Relationship Id="rId6" Type="http://schemas.openxmlformats.org/officeDocument/2006/relationships/hyperlink" Target="https://www.greens-efa.eu/files/assets/docs/chapter_4_gene_editing_is_risky_and_its_products_can_be_unsafe.pdf?utm_source=chatgpt.com" TargetMode="External"/><Relationship Id="rId11" Type="http://schemas.openxmlformats.org/officeDocument/2006/relationships/hyperlink" Target="https://www.corteva.com/resources/media-center/corteva-announces-solutions-to-control-insects-help-farmers-protect-yield.html" TargetMode="External"/><Relationship Id="rId5" Type="http://schemas.openxmlformats.org/officeDocument/2006/relationships/hyperlink" Target="https://environmentalevidencejournal.biomedcentral.com/articles/10.1186/2047-2382-3-11?utm_source=chatgpt.com" TargetMode="External"/><Relationship Id="rId15" Type="http://schemas.openxmlformats.org/officeDocument/2006/relationships/hyperlink" Target="https://www.corteva.com/resources/media-center/corteva-announces-plan-to-separate-into-two-industry-leading-public-companies.html" TargetMode="External"/><Relationship Id="rId10" Type="http://schemas.openxmlformats.org/officeDocument/2006/relationships/hyperlink" Target="https://investors.corteva.com/" TargetMode="External"/><Relationship Id="rId4" Type="http://schemas.openxmlformats.org/officeDocument/2006/relationships/hyperlink" Target="https://www.researchgate.net/publication/233236682_The_Effect_of_Bt-corn_on_Soil_Invertebrates_Soil_Microbial_Community_and_Decomposition_Rates_of_Corn_Post-Harvest_Residues_Under_Field_and_Laboratory_Conditions?utm_source=chatgpt.com" TargetMode="External"/><Relationship Id="rId9" Type="http://schemas.openxmlformats.org/officeDocument/2006/relationships/hyperlink" Target="https://www.corteva.com/our-impact/innovation/crispr.html?utm_source=chatgpt.com" TargetMode="External"/><Relationship Id="rId14" Type="http://schemas.openxmlformats.org/officeDocument/2006/relationships/hyperlink" Target="https://www.corteva.com/resources/media-center/corteva-declares-quarterly-dividend-10-31-2025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1FF7-3FEF-354F-968B-8697BCE60DF5}">
  <dimension ref="B2:L50"/>
  <sheetViews>
    <sheetView showGridLines="0" tabSelected="1" zoomScale="180" zoomScaleNormal="180" workbookViewId="0">
      <selection activeCell="F8" sqref="F8"/>
    </sheetView>
  </sheetViews>
  <sheetFormatPr baseColWidth="10" defaultRowHeight="13"/>
  <cols>
    <col min="1" max="1" width="1.33203125" style="1" customWidth="1"/>
    <col min="2" max="2" width="18.6640625" style="1" customWidth="1"/>
    <col min="3" max="3" width="12.5" style="1" customWidth="1"/>
    <col min="4" max="4" width="10.83203125" style="1"/>
    <col min="5" max="5" width="3.6640625" style="1" bestFit="1" customWidth="1"/>
    <col min="6" max="6" width="6.6640625" style="1" bestFit="1" customWidth="1"/>
    <col min="7" max="7" width="5.5" style="1" bestFit="1" customWidth="1"/>
    <col min="8" max="9" width="10.83203125" style="1"/>
    <col min="10" max="10" width="3.6640625" style="1" bestFit="1" customWidth="1"/>
    <col min="11" max="11" width="6.6640625" style="1" bestFit="1" customWidth="1"/>
    <col min="12" max="12" width="5.5" style="1" bestFit="1" customWidth="1"/>
    <col min="13" max="16384" width="10.83203125" style="1"/>
  </cols>
  <sheetData>
    <row r="2" spans="2:12">
      <c r="B2" s="5" t="s">
        <v>125</v>
      </c>
    </row>
    <row r="3" spans="2:12">
      <c r="B3" s="9" t="s">
        <v>118</v>
      </c>
    </row>
    <row r="4" spans="2:12">
      <c r="B4" s="6" t="s">
        <v>119</v>
      </c>
    </row>
    <row r="5" spans="2:12">
      <c r="B5" s="6" t="s">
        <v>120</v>
      </c>
    </row>
    <row r="7" spans="2:12">
      <c r="B7" s="1" t="s">
        <v>14</v>
      </c>
      <c r="C7" s="6" t="s">
        <v>16</v>
      </c>
    </row>
    <row r="8" spans="2:12">
      <c r="B8" s="1" t="s">
        <v>15</v>
      </c>
      <c r="C8" s="6" t="s">
        <v>104</v>
      </c>
      <c r="J8" s="1" t="s">
        <v>8</v>
      </c>
      <c r="K8" s="2">
        <v>65.540000000000006</v>
      </c>
    </row>
    <row r="9" spans="2:12">
      <c r="B9" s="1" t="s">
        <v>105</v>
      </c>
      <c r="C9" s="7">
        <v>2019</v>
      </c>
      <c r="J9" s="1" t="s">
        <v>9</v>
      </c>
      <c r="K9" s="8">
        <v>675.73199999999997</v>
      </c>
      <c r="L9" s="1" t="s">
        <v>107</v>
      </c>
    </row>
    <row r="10" spans="2:12">
      <c r="B10" s="1" t="s">
        <v>106</v>
      </c>
      <c r="C10" s="6">
        <v>22000</v>
      </c>
      <c r="J10" s="1" t="s">
        <v>10</v>
      </c>
      <c r="K10" s="1">
        <f>+K9*K8</f>
        <v>44287.475279999999</v>
      </c>
    </row>
    <row r="11" spans="2:12">
      <c r="J11" s="1" t="s">
        <v>11</v>
      </c>
      <c r="K11" s="1">
        <f>2509+77+141</f>
        <v>2727</v>
      </c>
      <c r="L11" s="1" t="str">
        <f>+L9</f>
        <v>Q325</v>
      </c>
    </row>
    <row r="12" spans="2:12">
      <c r="J12" s="1" t="s">
        <v>12</v>
      </c>
      <c r="K12" s="1">
        <f>2685+1688</f>
        <v>4373</v>
      </c>
      <c r="L12" s="1" t="str">
        <f>+L11</f>
        <v>Q325</v>
      </c>
    </row>
    <row r="13" spans="2:12">
      <c r="J13" s="1" t="s">
        <v>13</v>
      </c>
      <c r="K13" s="1">
        <f>+K10-K11+K12</f>
        <v>45933.475279999999</v>
      </c>
    </row>
    <row r="16" spans="2:12">
      <c r="B16" s="1" t="s">
        <v>39</v>
      </c>
      <c r="C16" s="1" t="s">
        <v>40</v>
      </c>
    </row>
    <row r="17" spans="2:3">
      <c r="B17" s="1" t="s">
        <v>34</v>
      </c>
      <c r="C17" s="1" t="s">
        <v>41</v>
      </c>
    </row>
    <row r="18" spans="2:3">
      <c r="B18" s="1" t="s">
        <v>42</v>
      </c>
      <c r="C18" s="1" t="s">
        <v>43</v>
      </c>
    </row>
    <row r="21" spans="2:3">
      <c r="B21" s="4" t="s">
        <v>124</v>
      </c>
      <c r="C21" s="1" t="s">
        <v>126</v>
      </c>
    </row>
    <row r="22" spans="2:3">
      <c r="B22" s="37">
        <v>45966</v>
      </c>
      <c r="C22" s="38" t="s">
        <v>127</v>
      </c>
    </row>
    <row r="23" spans="2:3">
      <c r="B23" s="37">
        <v>45965</v>
      </c>
      <c r="C23" s="38"/>
    </row>
    <row r="24" spans="2:3">
      <c r="B24" s="37">
        <v>45961</v>
      </c>
      <c r="C24" s="38"/>
    </row>
    <row r="25" spans="2:3">
      <c r="B25" s="37">
        <v>45931</v>
      </c>
      <c r="C25" s="38" t="s">
        <v>130</v>
      </c>
    </row>
    <row r="26" spans="2:3">
      <c r="B26" s="36"/>
      <c r="C26" s="38"/>
    </row>
    <row r="27" spans="2:3">
      <c r="B27" s="36"/>
      <c r="C27" s="38"/>
    </row>
    <row r="28" spans="2:3">
      <c r="B28" s="36"/>
    </row>
    <row r="29" spans="2:3">
      <c r="B29" s="36"/>
    </row>
    <row r="30" spans="2:3">
      <c r="B30" s="36"/>
    </row>
    <row r="31" spans="2:3">
      <c r="B31" s="36"/>
    </row>
    <row r="32" spans="2:3">
      <c r="B32" s="36"/>
    </row>
    <row r="33" spans="2:3">
      <c r="B33" s="9"/>
    </row>
    <row r="34" spans="2:3">
      <c r="B34" s="4" t="s">
        <v>172</v>
      </c>
    </row>
    <row r="35" spans="2:3">
      <c r="B35" s="1" t="s">
        <v>18</v>
      </c>
    </row>
    <row r="36" spans="2:3">
      <c r="B36" s="9" t="s">
        <v>173</v>
      </c>
    </row>
    <row r="37" spans="2:3">
      <c r="B37" s="9"/>
    </row>
    <row r="38" spans="2:3">
      <c r="B38" s="9"/>
    </row>
    <row r="40" spans="2:3">
      <c r="B40" s="4" t="s">
        <v>103</v>
      </c>
    </row>
    <row r="41" spans="2:3">
      <c r="B41" s="9" t="s">
        <v>129</v>
      </c>
      <c r="C41" s="5" t="s">
        <v>128</v>
      </c>
    </row>
    <row r="42" spans="2:3">
      <c r="B42" s="1" t="s">
        <v>85</v>
      </c>
      <c r="C42" s="5" t="s">
        <v>86</v>
      </c>
    </row>
    <row r="43" spans="2:3">
      <c r="B43" s="3" t="s">
        <v>87</v>
      </c>
      <c r="C43" s="5" t="s">
        <v>88</v>
      </c>
    </row>
    <row r="44" spans="2:3">
      <c r="B44" s="1" t="s">
        <v>89</v>
      </c>
      <c r="C44" s="5" t="s">
        <v>90</v>
      </c>
    </row>
    <row r="45" spans="2:3">
      <c r="B45" s="1" t="s">
        <v>91</v>
      </c>
      <c r="C45" s="5" t="s">
        <v>92</v>
      </c>
    </row>
    <row r="46" spans="2:3">
      <c r="B46" s="1" t="s">
        <v>93</v>
      </c>
      <c r="C46" s="5" t="s">
        <v>94</v>
      </c>
    </row>
    <row r="47" spans="2:3">
      <c r="B47" s="1" t="s">
        <v>95</v>
      </c>
      <c r="C47" s="5" t="s">
        <v>96</v>
      </c>
    </row>
    <row r="48" spans="2:3">
      <c r="B48" s="1" t="s">
        <v>97</v>
      </c>
      <c r="C48" s="5" t="s">
        <v>98</v>
      </c>
    </row>
    <row r="49" spans="2:3">
      <c r="B49" s="1" t="s">
        <v>99</v>
      </c>
      <c r="C49" s="5" t="s">
        <v>100</v>
      </c>
    </row>
    <row r="50" spans="2:3">
      <c r="B50" s="1" t="s">
        <v>101</v>
      </c>
      <c r="C50" s="5" t="s">
        <v>102</v>
      </c>
    </row>
  </sheetData>
  <hyperlinks>
    <hyperlink ref="C42" r:id="rId1" xr:uid="{F8B6CD52-FA6E-EA4E-BB7A-DDFA802961BC}"/>
    <hyperlink ref="C43" r:id="rId2" xr:uid="{FC3C36B4-0907-1244-AF71-C3066661CC7F}"/>
    <hyperlink ref="C44" r:id="rId3" xr:uid="{E9D68469-89FC-334A-B6B0-6EE1984E53A0}"/>
    <hyperlink ref="C45" r:id="rId4" xr:uid="{7D47256C-21F2-3F4E-86B8-2836CAE8CE06}"/>
    <hyperlink ref="C46" r:id="rId5" xr:uid="{D3BAD860-314F-E948-88AF-D2FB83B3ADB9}"/>
    <hyperlink ref="C47" r:id="rId6" xr:uid="{02135D7F-15A6-6B48-9282-B4C7DB6AEAF1}"/>
    <hyperlink ref="C48" r:id="rId7" xr:uid="{5FEC6A39-F535-7D46-9A31-BD165410CF53}"/>
    <hyperlink ref="C49" r:id="rId8" xr:uid="{1A44E189-31F5-D144-86C2-4FCBEA66C309}"/>
    <hyperlink ref="C50" r:id="rId9" xr:uid="{283B1D98-4B1A-DC44-B26F-3BC8A52DB5A8}"/>
    <hyperlink ref="B2" r:id="rId10" xr:uid="{4CD2D46B-ECD8-0D4C-B125-1AB3155FEE8A}"/>
    <hyperlink ref="B22" r:id="rId11" display="https://www.corteva.com/resources/media-center/corteva-announces-solutions-to-control-insects-help-farmers-protect-yield.html" xr:uid="{62FCBAD6-5798-F645-BB70-E1CE0215BD46}"/>
    <hyperlink ref="C41" r:id="rId12" xr:uid="{86615B00-35DE-6E4C-8581-77F554D85CEE}"/>
    <hyperlink ref="B23" r:id="rId13" display="https://www.corteva.com/content/dam/dpagco/corteva/global/corporate/files/press-releases/11.04.2025_3q_2025_Earnings_Release_Graphic_Version_Final.pdf" xr:uid="{CBD1AE56-405E-4648-BD7D-0B359684283C}"/>
    <hyperlink ref="B24" r:id="rId14" display="https://www.corteva.com/resources/media-center/corteva-declares-quarterly-dividend-10-31-2025.html" xr:uid="{AFC66277-3281-B441-8A55-253C0C2F93BB}"/>
    <hyperlink ref="B25" r:id="rId15" display="https://www.corteva.com/resources/media-center/corteva-announces-plan-to-separate-into-two-industry-leading-public-companies.html" xr:uid="{07D2CC0A-0703-DD4E-B519-787FA1A0DE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F838-00A9-5F4B-96C9-E14EE18ECF2F}">
  <dimension ref="B1:IG97"/>
  <sheetViews>
    <sheetView showGridLines="0" zoomScale="130" zoomScaleNormal="130" workbookViewId="0">
      <pane xSplit="3" ySplit="2" topLeftCell="D4" activePane="bottomRight" state="frozen"/>
      <selection pane="topRight" activeCell="C1" sqref="C1"/>
      <selection pane="bottomLeft" activeCell="A3" sqref="A3"/>
      <selection pane="bottomRight" activeCell="G35" sqref="G35"/>
    </sheetView>
  </sheetViews>
  <sheetFormatPr baseColWidth="10" defaultRowHeight="14" outlineLevelRow="1" outlineLevelCol="1"/>
  <cols>
    <col min="1" max="1" width="0.83203125" style="11" customWidth="1"/>
    <col min="2" max="2" width="3" style="11" customWidth="1"/>
    <col min="3" max="3" width="24" style="11" bestFit="1" customWidth="1"/>
    <col min="4" max="5" width="5" style="11" bestFit="1" customWidth="1"/>
    <col min="6" max="6" width="5.5" style="11" bestFit="1" customWidth="1"/>
    <col min="7" max="7" width="5" style="11" bestFit="1" customWidth="1"/>
    <col min="8" max="18" width="5.83203125" style="12" bestFit="1" customWidth="1"/>
    <col min="19" max="19" width="4.83203125" style="12" bestFit="1" customWidth="1"/>
    <col min="20" max="20" width="5.5" style="11" customWidth="1"/>
    <col min="21" max="21" width="3.5" style="11" customWidth="1"/>
    <col min="22" max="24" width="5.1640625" style="11" customWidth="1" outlineLevel="1"/>
    <col min="25" max="25" width="6.6640625" style="11" customWidth="1" outlineLevel="1"/>
    <col min="26" max="41" width="6.83203125" style="11" bestFit="1" customWidth="1"/>
    <col min="42" max="42" width="5.83203125" style="11" bestFit="1" customWidth="1"/>
    <col min="43" max="43" width="10.6640625" style="11" bestFit="1" customWidth="1"/>
    <col min="44" max="44" width="9.83203125" style="11" bestFit="1" customWidth="1"/>
    <col min="45" max="99" width="5.83203125" style="11" bestFit="1" customWidth="1"/>
    <col min="100" max="126" width="5.6640625" style="11" bestFit="1" customWidth="1"/>
    <col min="127" max="241" width="6.6640625" style="11" bestFit="1" customWidth="1"/>
    <col min="242" max="16384" width="10.83203125" style="11"/>
  </cols>
  <sheetData>
    <row r="1" spans="2:241">
      <c r="B1" s="11" t="s">
        <v>179</v>
      </c>
    </row>
    <row r="2" spans="2:241" s="10" customFormat="1">
      <c r="D2" s="10" t="s">
        <v>175</v>
      </c>
      <c r="E2" s="10" t="s">
        <v>176</v>
      </c>
      <c r="F2" s="10" t="s">
        <v>177</v>
      </c>
      <c r="G2" s="10" t="s">
        <v>178</v>
      </c>
      <c r="H2" s="10" t="s">
        <v>0</v>
      </c>
      <c r="I2" s="10" t="s">
        <v>1</v>
      </c>
      <c r="J2" s="10" t="s">
        <v>2</v>
      </c>
      <c r="K2" s="10" t="s">
        <v>3</v>
      </c>
      <c r="L2" s="10" t="s">
        <v>4</v>
      </c>
      <c r="M2" s="10" t="s">
        <v>5</v>
      </c>
      <c r="N2" s="10" t="s">
        <v>6</v>
      </c>
      <c r="O2" s="10" t="s">
        <v>7</v>
      </c>
      <c r="P2" s="10" t="s">
        <v>108</v>
      </c>
      <c r="Q2" s="10" t="s">
        <v>109</v>
      </c>
      <c r="R2" s="10" t="s">
        <v>107</v>
      </c>
      <c r="S2" s="10" t="s">
        <v>110</v>
      </c>
      <c r="V2" s="10">
        <v>2015</v>
      </c>
      <c r="W2" s="10">
        <f>+V2+1</f>
        <v>2016</v>
      </c>
      <c r="X2" s="10">
        <f t="shared" ref="X2:AO2" si="0">+W2+1</f>
        <v>2017</v>
      </c>
      <c r="Y2" s="10">
        <f t="shared" si="0"/>
        <v>2018</v>
      </c>
      <c r="Z2" s="10">
        <f t="shared" si="0"/>
        <v>2019</v>
      </c>
      <c r="AA2" s="10">
        <f t="shared" si="0"/>
        <v>2020</v>
      </c>
      <c r="AB2" s="10">
        <f t="shared" si="0"/>
        <v>2021</v>
      </c>
      <c r="AC2" s="10">
        <f t="shared" si="0"/>
        <v>2022</v>
      </c>
      <c r="AD2" s="10">
        <f t="shared" si="0"/>
        <v>2023</v>
      </c>
      <c r="AE2" s="10">
        <f t="shared" si="0"/>
        <v>2024</v>
      </c>
      <c r="AF2" s="10">
        <f t="shared" si="0"/>
        <v>2025</v>
      </c>
      <c r="AG2" s="10">
        <f t="shared" si="0"/>
        <v>2026</v>
      </c>
      <c r="AH2" s="10">
        <f t="shared" si="0"/>
        <v>2027</v>
      </c>
      <c r="AI2" s="10">
        <f t="shared" si="0"/>
        <v>2028</v>
      </c>
      <c r="AJ2" s="10">
        <f t="shared" si="0"/>
        <v>2029</v>
      </c>
      <c r="AK2" s="10">
        <f t="shared" si="0"/>
        <v>2030</v>
      </c>
      <c r="AL2" s="10">
        <f t="shared" si="0"/>
        <v>2031</v>
      </c>
      <c r="AM2" s="10">
        <f t="shared" si="0"/>
        <v>2032</v>
      </c>
      <c r="AN2" s="10">
        <f t="shared" si="0"/>
        <v>2033</v>
      </c>
      <c r="AO2" s="10">
        <f t="shared" si="0"/>
        <v>2034</v>
      </c>
      <c r="AP2" s="10">
        <f>+AO2+1</f>
        <v>2035</v>
      </c>
      <c r="AQ2" s="10">
        <f t="shared" ref="AQ2:DB2" si="1">+AP2+1</f>
        <v>2036</v>
      </c>
      <c r="AR2" s="10">
        <f t="shared" si="1"/>
        <v>2037</v>
      </c>
      <c r="AS2" s="10">
        <f t="shared" si="1"/>
        <v>2038</v>
      </c>
      <c r="AT2" s="10">
        <f t="shared" si="1"/>
        <v>2039</v>
      </c>
      <c r="AU2" s="10">
        <f t="shared" si="1"/>
        <v>2040</v>
      </c>
      <c r="AV2" s="10">
        <f t="shared" si="1"/>
        <v>2041</v>
      </c>
      <c r="AW2" s="10">
        <f t="shared" si="1"/>
        <v>2042</v>
      </c>
      <c r="AX2" s="10">
        <f t="shared" si="1"/>
        <v>2043</v>
      </c>
      <c r="AY2" s="10">
        <f t="shared" si="1"/>
        <v>2044</v>
      </c>
      <c r="AZ2" s="10">
        <f t="shared" si="1"/>
        <v>2045</v>
      </c>
      <c r="BA2" s="10">
        <f t="shared" si="1"/>
        <v>2046</v>
      </c>
      <c r="BB2" s="10">
        <f t="shared" si="1"/>
        <v>2047</v>
      </c>
      <c r="BC2" s="10">
        <f t="shared" si="1"/>
        <v>2048</v>
      </c>
      <c r="BD2" s="10">
        <f t="shared" si="1"/>
        <v>2049</v>
      </c>
      <c r="BE2" s="10">
        <f t="shared" si="1"/>
        <v>2050</v>
      </c>
      <c r="BF2" s="10">
        <f t="shared" si="1"/>
        <v>2051</v>
      </c>
      <c r="BG2" s="10">
        <f t="shared" si="1"/>
        <v>2052</v>
      </c>
      <c r="BH2" s="10">
        <f t="shared" si="1"/>
        <v>2053</v>
      </c>
      <c r="BI2" s="10">
        <f t="shared" si="1"/>
        <v>2054</v>
      </c>
      <c r="BJ2" s="10">
        <f t="shared" si="1"/>
        <v>2055</v>
      </c>
      <c r="BK2" s="10">
        <f t="shared" si="1"/>
        <v>2056</v>
      </c>
      <c r="BL2" s="10">
        <f t="shared" si="1"/>
        <v>2057</v>
      </c>
      <c r="BM2" s="10">
        <f t="shared" si="1"/>
        <v>2058</v>
      </c>
      <c r="BN2" s="10">
        <f t="shared" si="1"/>
        <v>2059</v>
      </c>
      <c r="BO2" s="10">
        <f t="shared" si="1"/>
        <v>2060</v>
      </c>
      <c r="BP2" s="10">
        <f t="shared" si="1"/>
        <v>2061</v>
      </c>
      <c r="BQ2" s="10">
        <f t="shared" si="1"/>
        <v>2062</v>
      </c>
      <c r="BR2" s="10">
        <f t="shared" si="1"/>
        <v>2063</v>
      </c>
      <c r="BS2" s="10">
        <f t="shared" si="1"/>
        <v>2064</v>
      </c>
      <c r="BT2" s="10">
        <f t="shared" si="1"/>
        <v>2065</v>
      </c>
      <c r="BU2" s="10">
        <f t="shared" si="1"/>
        <v>2066</v>
      </c>
      <c r="BV2" s="10">
        <f t="shared" si="1"/>
        <v>2067</v>
      </c>
      <c r="BW2" s="10">
        <f t="shared" si="1"/>
        <v>2068</v>
      </c>
      <c r="BX2" s="10">
        <f t="shared" si="1"/>
        <v>2069</v>
      </c>
      <c r="BY2" s="10">
        <f t="shared" si="1"/>
        <v>2070</v>
      </c>
      <c r="BZ2" s="10">
        <f t="shared" si="1"/>
        <v>2071</v>
      </c>
      <c r="CA2" s="10">
        <f t="shared" si="1"/>
        <v>2072</v>
      </c>
      <c r="CB2" s="10">
        <f t="shared" si="1"/>
        <v>2073</v>
      </c>
      <c r="CC2" s="10">
        <f t="shared" si="1"/>
        <v>2074</v>
      </c>
      <c r="CD2" s="10">
        <f t="shared" si="1"/>
        <v>2075</v>
      </c>
      <c r="CE2" s="10">
        <f t="shared" si="1"/>
        <v>2076</v>
      </c>
      <c r="CF2" s="10">
        <f t="shared" si="1"/>
        <v>2077</v>
      </c>
      <c r="CG2" s="10">
        <f t="shared" si="1"/>
        <v>2078</v>
      </c>
      <c r="CH2" s="10">
        <f t="shared" si="1"/>
        <v>2079</v>
      </c>
      <c r="CI2" s="10">
        <f t="shared" si="1"/>
        <v>2080</v>
      </c>
      <c r="CJ2" s="10">
        <f t="shared" si="1"/>
        <v>2081</v>
      </c>
      <c r="CK2" s="10">
        <f t="shared" si="1"/>
        <v>2082</v>
      </c>
      <c r="CL2" s="10">
        <f t="shared" si="1"/>
        <v>2083</v>
      </c>
      <c r="CM2" s="10">
        <f t="shared" si="1"/>
        <v>2084</v>
      </c>
      <c r="CN2" s="10">
        <f t="shared" si="1"/>
        <v>2085</v>
      </c>
      <c r="CO2" s="10">
        <f t="shared" si="1"/>
        <v>2086</v>
      </c>
      <c r="CP2" s="10">
        <f t="shared" si="1"/>
        <v>2087</v>
      </c>
      <c r="CQ2" s="10">
        <f t="shared" si="1"/>
        <v>2088</v>
      </c>
      <c r="CR2" s="10">
        <f t="shared" si="1"/>
        <v>2089</v>
      </c>
      <c r="CS2" s="10">
        <f t="shared" si="1"/>
        <v>2090</v>
      </c>
      <c r="CT2" s="10">
        <f t="shared" si="1"/>
        <v>2091</v>
      </c>
      <c r="CU2" s="10">
        <f t="shared" si="1"/>
        <v>2092</v>
      </c>
      <c r="CV2" s="10">
        <f t="shared" si="1"/>
        <v>2093</v>
      </c>
      <c r="CW2" s="10">
        <f t="shared" si="1"/>
        <v>2094</v>
      </c>
      <c r="CX2" s="10">
        <f t="shared" si="1"/>
        <v>2095</v>
      </c>
      <c r="CY2" s="10">
        <f t="shared" si="1"/>
        <v>2096</v>
      </c>
      <c r="CZ2" s="10">
        <f t="shared" si="1"/>
        <v>2097</v>
      </c>
      <c r="DA2" s="10">
        <f t="shared" si="1"/>
        <v>2098</v>
      </c>
      <c r="DB2" s="10">
        <f t="shared" si="1"/>
        <v>2099</v>
      </c>
      <c r="DC2" s="10">
        <f t="shared" ref="DC2:FN2" si="2">+DB2+1</f>
        <v>2100</v>
      </c>
      <c r="DD2" s="10">
        <f t="shared" si="2"/>
        <v>2101</v>
      </c>
      <c r="DE2" s="10">
        <f t="shared" si="2"/>
        <v>2102</v>
      </c>
      <c r="DF2" s="10">
        <f t="shared" si="2"/>
        <v>2103</v>
      </c>
      <c r="DG2" s="10">
        <f t="shared" si="2"/>
        <v>2104</v>
      </c>
      <c r="DH2" s="10">
        <f t="shared" si="2"/>
        <v>2105</v>
      </c>
      <c r="DI2" s="10">
        <f t="shared" si="2"/>
        <v>2106</v>
      </c>
      <c r="DJ2" s="10">
        <f t="shared" si="2"/>
        <v>2107</v>
      </c>
      <c r="DK2" s="10">
        <f t="shared" si="2"/>
        <v>2108</v>
      </c>
      <c r="DL2" s="10">
        <f t="shared" si="2"/>
        <v>2109</v>
      </c>
      <c r="DM2" s="10">
        <f t="shared" si="2"/>
        <v>2110</v>
      </c>
      <c r="DN2" s="10">
        <f t="shared" si="2"/>
        <v>2111</v>
      </c>
      <c r="DO2" s="10">
        <f t="shared" si="2"/>
        <v>2112</v>
      </c>
      <c r="DP2" s="10">
        <f t="shared" si="2"/>
        <v>2113</v>
      </c>
      <c r="DQ2" s="10">
        <f t="shared" si="2"/>
        <v>2114</v>
      </c>
      <c r="DR2" s="10">
        <f t="shared" si="2"/>
        <v>2115</v>
      </c>
      <c r="DS2" s="10">
        <f t="shared" si="2"/>
        <v>2116</v>
      </c>
      <c r="DT2" s="10">
        <f t="shared" si="2"/>
        <v>2117</v>
      </c>
      <c r="DU2" s="10">
        <f t="shared" si="2"/>
        <v>2118</v>
      </c>
      <c r="DV2" s="10">
        <f t="shared" si="2"/>
        <v>2119</v>
      </c>
      <c r="DW2" s="10">
        <f t="shared" si="2"/>
        <v>2120</v>
      </c>
      <c r="DX2" s="10">
        <f t="shared" si="2"/>
        <v>2121</v>
      </c>
      <c r="DY2" s="10">
        <f t="shared" si="2"/>
        <v>2122</v>
      </c>
      <c r="DZ2" s="10">
        <f t="shared" si="2"/>
        <v>2123</v>
      </c>
      <c r="EA2" s="10">
        <f t="shared" si="2"/>
        <v>2124</v>
      </c>
      <c r="EB2" s="10">
        <f t="shared" si="2"/>
        <v>2125</v>
      </c>
      <c r="EC2" s="10">
        <f t="shared" si="2"/>
        <v>2126</v>
      </c>
      <c r="ED2" s="10">
        <f t="shared" si="2"/>
        <v>2127</v>
      </c>
      <c r="EE2" s="10">
        <f t="shared" si="2"/>
        <v>2128</v>
      </c>
      <c r="EF2" s="10">
        <f t="shared" si="2"/>
        <v>2129</v>
      </c>
      <c r="EG2" s="10">
        <f t="shared" si="2"/>
        <v>2130</v>
      </c>
      <c r="EH2" s="10">
        <f t="shared" si="2"/>
        <v>2131</v>
      </c>
      <c r="EI2" s="10">
        <f t="shared" si="2"/>
        <v>2132</v>
      </c>
      <c r="EJ2" s="10">
        <f t="shared" si="2"/>
        <v>2133</v>
      </c>
      <c r="EK2" s="10">
        <f t="shared" si="2"/>
        <v>2134</v>
      </c>
      <c r="EL2" s="10">
        <f t="shared" si="2"/>
        <v>2135</v>
      </c>
      <c r="EM2" s="10">
        <f t="shared" si="2"/>
        <v>2136</v>
      </c>
      <c r="EN2" s="10">
        <f t="shared" si="2"/>
        <v>2137</v>
      </c>
      <c r="EO2" s="10">
        <f t="shared" si="2"/>
        <v>2138</v>
      </c>
      <c r="EP2" s="10">
        <f t="shared" si="2"/>
        <v>2139</v>
      </c>
      <c r="EQ2" s="10">
        <f t="shared" si="2"/>
        <v>2140</v>
      </c>
      <c r="ER2" s="10">
        <f t="shared" si="2"/>
        <v>2141</v>
      </c>
      <c r="ES2" s="10">
        <f t="shared" si="2"/>
        <v>2142</v>
      </c>
      <c r="ET2" s="10">
        <f t="shared" si="2"/>
        <v>2143</v>
      </c>
      <c r="EU2" s="10">
        <f t="shared" si="2"/>
        <v>2144</v>
      </c>
      <c r="EV2" s="10">
        <f t="shared" si="2"/>
        <v>2145</v>
      </c>
      <c r="EW2" s="10">
        <f t="shared" si="2"/>
        <v>2146</v>
      </c>
      <c r="EX2" s="10">
        <f t="shared" si="2"/>
        <v>2147</v>
      </c>
      <c r="EY2" s="10">
        <f t="shared" si="2"/>
        <v>2148</v>
      </c>
      <c r="EZ2" s="10">
        <f t="shared" si="2"/>
        <v>2149</v>
      </c>
      <c r="FA2" s="10">
        <f t="shared" si="2"/>
        <v>2150</v>
      </c>
      <c r="FB2" s="10">
        <f t="shared" si="2"/>
        <v>2151</v>
      </c>
      <c r="FC2" s="10">
        <f t="shared" si="2"/>
        <v>2152</v>
      </c>
      <c r="FD2" s="10">
        <f t="shared" si="2"/>
        <v>2153</v>
      </c>
      <c r="FE2" s="10">
        <f t="shared" si="2"/>
        <v>2154</v>
      </c>
      <c r="FF2" s="10">
        <f t="shared" si="2"/>
        <v>2155</v>
      </c>
      <c r="FG2" s="10">
        <f t="shared" si="2"/>
        <v>2156</v>
      </c>
      <c r="FH2" s="10">
        <f t="shared" si="2"/>
        <v>2157</v>
      </c>
      <c r="FI2" s="10">
        <f t="shared" si="2"/>
        <v>2158</v>
      </c>
      <c r="FJ2" s="10">
        <f t="shared" si="2"/>
        <v>2159</v>
      </c>
      <c r="FK2" s="10">
        <f t="shared" si="2"/>
        <v>2160</v>
      </c>
      <c r="FL2" s="10">
        <f t="shared" si="2"/>
        <v>2161</v>
      </c>
      <c r="FM2" s="10">
        <f t="shared" si="2"/>
        <v>2162</v>
      </c>
      <c r="FN2" s="10">
        <f t="shared" si="2"/>
        <v>2163</v>
      </c>
      <c r="FO2" s="10">
        <f t="shared" ref="FO2:HZ2" si="3">+FN2+1</f>
        <v>2164</v>
      </c>
      <c r="FP2" s="10">
        <f t="shared" si="3"/>
        <v>2165</v>
      </c>
      <c r="FQ2" s="10">
        <f t="shared" si="3"/>
        <v>2166</v>
      </c>
      <c r="FR2" s="10">
        <f t="shared" si="3"/>
        <v>2167</v>
      </c>
      <c r="FS2" s="10">
        <f t="shared" si="3"/>
        <v>2168</v>
      </c>
      <c r="FT2" s="10">
        <f t="shared" si="3"/>
        <v>2169</v>
      </c>
      <c r="FU2" s="10">
        <f t="shared" si="3"/>
        <v>2170</v>
      </c>
      <c r="FV2" s="10">
        <f t="shared" si="3"/>
        <v>2171</v>
      </c>
      <c r="FW2" s="10">
        <f t="shared" si="3"/>
        <v>2172</v>
      </c>
      <c r="FX2" s="10">
        <f t="shared" si="3"/>
        <v>2173</v>
      </c>
      <c r="FY2" s="10">
        <f t="shared" si="3"/>
        <v>2174</v>
      </c>
      <c r="FZ2" s="10">
        <f t="shared" si="3"/>
        <v>2175</v>
      </c>
      <c r="GA2" s="10">
        <f t="shared" si="3"/>
        <v>2176</v>
      </c>
      <c r="GB2" s="10">
        <f t="shared" si="3"/>
        <v>2177</v>
      </c>
      <c r="GC2" s="10">
        <f t="shared" si="3"/>
        <v>2178</v>
      </c>
      <c r="GD2" s="10">
        <f t="shared" si="3"/>
        <v>2179</v>
      </c>
      <c r="GE2" s="10">
        <f t="shared" si="3"/>
        <v>2180</v>
      </c>
      <c r="GF2" s="10">
        <f t="shared" si="3"/>
        <v>2181</v>
      </c>
      <c r="GG2" s="10">
        <f t="shared" si="3"/>
        <v>2182</v>
      </c>
      <c r="GH2" s="10">
        <f t="shared" si="3"/>
        <v>2183</v>
      </c>
      <c r="GI2" s="10">
        <f t="shared" si="3"/>
        <v>2184</v>
      </c>
      <c r="GJ2" s="10">
        <f t="shared" si="3"/>
        <v>2185</v>
      </c>
      <c r="GK2" s="10">
        <f t="shared" si="3"/>
        <v>2186</v>
      </c>
      <c r="GL2" s="10">
        <f t="shared" si="3"/>
        <v>2187</v>
      </c>
      <c r="GM2" s="10">
        <f t="shared" si="3"/>
        <v>2188</v>
      </c>
      <c r="GN2" s="10">
        <f t="shared" si="3"/>
        <v>2189</v>
      </c>
      <c r="GO2" s="10">
        <f t="shared" si="3"/>
        <v>2190</v>
      </c>
      <c r="GP2" s="10">
        <f t="shared" si="3"/>
        <v>2191</v>
      </c>
      <c r="GQ2" s="10">
        <f t="shared" si="3"/>
        <v>2192</v>
      </c>
      <c r="GR2" s="10">
        <f t="shared" si="3"/>
        <v>2193</v>
      </c>
      <c r="GS2" s="10">
        <f t="shared" si="3"/>
        <v>2194</v>
      </c>
      <c r="GT2" s="10">
        <f t="shared" si="3"/>
        <v>2195</v>
      </c>
      <c r="GU2" s="10">
        <f t="shared" si="3"/>
        <v>2196</v>
      </c>
      <c r="GV2" s="10">
        <f t="shared" si="3"/>
        <v>2197</v>
      </c>
      <c r="GW2" s="10">
        <f t="shared" si="3"/>
        <v>2198</v>
      </c>
      <c r="GX2" s="10">
        <f t="shared" si="3"/>
        <v>2199</v>
      </c>
      <c r="GY2" s="10">
        <f t="shared" si="3"/>
        <v>2200</v>
      </c>
      <c r="GZ2" s="10">
        <f t="shared" si="3"/>
        <v>2201</v>
      </c>
      <c r="HA2" s="10">
        <f t="shared" si="3"/>
        <v>2202</v>
      </c>
      <c r="HB2" s="10">
        <f t="shared" si="3"/>
        <v>2203</v>
      </c>
      <c r="HC2" s="10">
        <f t="shared" si="3"/>
        <v>2204</v>
      </c>
      <c r="HD2" s="10">
        <f t="shared" si="3"/>
        <v>2205</v>
      </c>
      <c r="HE2" s="10">
        <f t="shared" si="3"/>
        <v>2206</v>
      </c>
      <c r="HF2" s="10">
        <f t="shared" si="3"/>
        <v>2207</v>
      </c>
      <c r="HG2" s="10">
        <f t="shared" si="3"/>
        <v>2208</v>
      </c>
      <c r="HH2" s="10">
        <f t="shared" si="3"/>
        <v>2209</v>
      </c>
      <c r="HI2" s="10">
        <f t="shared" si="3"/>
        <v>2210</v>
      </c>
      <c r="HJ2" s="10">
        <f t="shared" si="3"/>
        <v>2211</v>
      </c>
      <c r="HK2" s="10">
        <f t="shared" si="3"/>
        <v>2212</v>
      </c>
      <c r="HL2" s="10">
        <f t="shared" si="3"/>
        <v>2213</v>
      </c>
      <c r="HM2" s="10">
        <f t="shared" si="3"/>
        <v>2214</v>
      </c>
      <c r="HN2" s="10">
        <f t="shared" si="3"/>
        <v>2215</v>
      </c>
      <c r="HO2" s="10">
        <f t="shared" si="3"/>
        <v>2216</v>
      </c>
      <c r="HP2" s="10">
        <f t="shared" si="3"/>
        <v>2217</v>
      </c>
      <c r="HQ2" s="10">
        <f t="shared" si="3"/>
        <v>2218</v>
      </c>
      <c r="HR2" s="10">
        <f t="shared" si="3"/>
        <v>2219</v>
      </c>
      <c r="HS2" s="10">
        <f t="shared" si="3"/>
        <v>2220</v>
      </c>
      <c r="HT2" s="10">
        <f t="shared" si="3"/>
        <v>2221</v>
      </c>
      <c r="HU2" s="10">
        <f t="shared" si="3"/>
        <v>2222</v>
      </c>
      <c r="HV2" s="10">
        <f t="shared" si="3"/>
        <v>2223</v>
      </c>
      <c r="HW2" s="10">
        <f t="shared" si="3"/>
        <v>2224</v>
      </c>
      <c r="HX2" s="10">
        <f t="shared" si="3"/>
        <v>2225</v>
      </c>
      <c r="HY2" s="10">
        <f t="shared" si="3"/>
        <v>2226</v>
      </c>
      <c r="HZ2" s="10">
        <f t="shared" si="3"/>
        <v>2227</v>
      </c>
      <c r="IA2" s="10">
        <f t="shared" ref="IA2:IG2" si="4">+HZ2+1</f>
        <v>2228</v>
      </c>
      <c r="IB2" s="10">
        <f t="shared" si="4"/>
        <v>2229</v>
      </c>
      <c r="IC2" s="10">
        <f t="shared" si="4"/>
        <v>2230</v>
      </c>
      <c r="ID2" s="10">
        <f t="shared" si="4"/>
        <v>2231</v>
      </c>
      <c r="IE2" s="10">
        <f t="shared" si="4"/>
        <v>2232</v>
      </c>
      <c r="IF2" s="10">
        <f t="shared" si="4"/>
        <v>2233</v>
      </c>
      <c r="IG2" s="10">
        <f t="shared" si="4"/>
        <v>2234</v>
      </c>
    </row>
    <row r="3" spans="2:241">
      <c r="C3" s="11" t="s">
        <v>116</v>
      </c>
      <c r="AE3" s="11">
        <v>60000</v>
      </c>
    </row>
    <row r="5" spans="2:241" s="13" customFormat="1">
      <c r="C5" s="13" t="s">
        <v>121</v>
      </c>
      <c r="D5" s="42"/>
      <c r="E5" s="42"/>
      <c r="F5" s="42"/>
      <c r="G5" s="42"/>
      <c r="H5" s="42">
        <v>-0.04</v>
      </c>
      <c r="I5" s="42">
        <v>-0.13</v>
      </c>
      <c r="J5" s="42">
        <v>-0.15</v>
      </c>
      <c r="K5" s="42">
        <v>-0.1</v>
      </c>
      <c r="L5" s="42">
        <v>-0.09</v>
      </c>
      <c r="M5" s="42">
        <v>0</v>
      </c>
      <c r="N5" s="42">
        <v>0.03</v>
      </c>
      <c r="O5" s="42">
        <v>0.02</v>
      </c>
      <c r="P5" s="42">
        <v>0.02</v>
      </c>
      <c r="Q5" s="42">
        <v>0.06</v>
      </c>
      <c r="R5" s="42">
        <v>0.12</v>
      </c>
      <c r="S5" s="14"/>
      <c r="AA5" s="42">
        <v>0.05</v>
      </c>
      <c r="AB5" s="42">
        <v>0.05</v>
      </c>
      <c r="AC5" s="42">
        <v>0.05</v>
      </c>
      <c r="AD5" s="42">
        <f>+K5</f>
        <v>-0.1</v>
      </c>
      <c r="AE5" s="42">
        <f>+O5</f>
        <v>0.02</v>
      </c>
    </row>
    <row r="6" spans="2:241" s="13" customFormat="1">
      <c r="C6" s="13" t="s">
        <v>117</v>
      </c>
      <c r="D6" s="42">
        <v>-0.01</v>
      </c>
      <c r="E6" s="42">
        <v>-0.01</v>
      </c>
      <c r="F6" s="42">
        <v>0.11</v>
      </c>
      <c r="G6" s="42">
        <f>+AC6</f>
        <v>0</v>
      </c>
      <c r="H6" s="42">
        <v>-7.0000000000000007E-2</v>
      </c>
      <c r="I6" s="42">
        <v>-0.03</v>
      </c>
      <c r="J6" s="42">
        <v>-0.12</v>
      </c>
      <c r="K6" s="42">
        <v>-0.06</v>
      </c>
      <c r="L6" s="42">
        <v>-0.01</v>
      </c>
      <c r="M6" s="42">
        <v>-0.02</v>
      </c>
      <c r="N6" s="42">
        <v>-0.12</v>
      </c>
      <c r="O6" s="42">
        <v>0.01</v>
      </c>
      <c r="P6" s="42">
        <v>-0.01</v>
      </c>
      <c r="Q6" s="42">
        <v>0.03</v>
      </c>
      <c r="R6" s="42">
        <v>0.27</v>
      </c>
      <c r="S6" s="14"/>
      <c r="AA6" s="42">
        <v>0.05</v>
      </c>
      <c r="AB6" s="42">
        <v>0.04</v>
      </c>
      <c r="AC6" s="42">
        <v>0</v>
      </c>
      <c r="AD6" s="42">
        <f t="shared" ref="AD6:AD11" si="5">+K6</f>
        <v>-0.06</v>
      </c>
      <c r="AE6" s="42">
        <f t="shared" ref="AE6:AE11" si="6">+O6</f>
        <v>0.01</v>
      </c>
    </row>
    <row r="7" spans="2:241" s="13" customFormat="1">
      <c r="C7" s="13" t="s">
        <v>42</v>
      </c>
      <c r="D7" s="42">
        <v>0.18</v>
      </c>
      <c r="E7" s="42">
        <v>0.14000000000000001</v>
      </c>
      <c r="F7" s="42">
        <v>7.0000000000000007E-2</v>
      </c>
      <c r="G7" s="42">
        <f>+AC7</f>
        <v>-0.14000000000000001</v>
      </c>
      <c r="H7" s="42">
        <v>-0.01</v>
      </c>
      <c r="I7" s="42">
        <v>-0.28999999999999998</v>
      </c>
      <c r="J7" s="42">
        <v>-0.16</v>
      </c>
      <c r="K7" s="42">
        <v>-0.14000000000000001</v>
      </c>
      <c r="L7" s="42">
        <v>-0.18</v>
      </c>
      <c r="M7" s="42">
        <v>0.06</v>
      </c>
      <c r="N7" s="42">
        <v>0.11</v>
      </c>
      <c r="O7" s="42">
        <v>0.03</v>
      </c>
      <c r="P7" s="42">
        <v>0.05</v>
      </c>
      <c r="Q7" s="42">
        <v>0.11</v>
      </c>
      <c r="R7" s="42">
        <v>0.05</v>
      </c>
      <c r="S7" s="14"/>
      <c r="AA7" s="42">
        <v>7.0000000000000007E-2</v>
      </c>
      <c r="AB7" s="42">
        <v>0.06</v>
      </c>
      <c r="AC7" s="42">
        <v>-0.14000000000000001</v>
      </c>
      <c r="AD7" s="42">
        <f t="shared" si="5"/>
        <v>-0.14000000000000001</v>
      </c>
      <c r="AE7" s="42">
        <f t="shared" si="6"/>
        <v>0.03</v>
      </c>
    </row>
    <row r="8" spans="2:241" s="13" customFormat="1" ht="5" customHeight="1"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AA8" s="14"/>
      <c r="AB8" s="14"/>
      <c r="AC8" s="14"/>
      <c r="AD8" s="14"/>
      <c r="AE8" s="14"/>
    </row>
    <row r="9" spans="2:241" s="13" customFormat="1">
      <c r="C9" s="13" t="s">
        <v>122</v>
      </c>
      <c r="D9" s="42"/>
      <c r="E9" s="42"/>
      <c r="F9" s="42"/>
      <c r="G9" s="42"/>
      <c r="H9" s="42">
        <v>0.14000000000000001</v>
      </c>
      <c r="I9" s="42">
        <v>0.09</v>
      </c>
      <c r="J9" s="42">
        <v>0.02</v>
      </c>
      <c r="K9" s="42">
        <v>7.0000000000000007E-2</v>
      </c>
      <c r="L9" s="42">
        <v>0.03</v>
      </c>
      <c r="M9" s="42">
        <v>0.02</v>
      </c>
      <c r="N9" s="42">
        <v>-0.08</v>
      </c>
      <c r="O9" s="42">
        <v>-0.01</v>
      </c>
      <c r="P9" s="42">
        <v>0.01</v>
      </c>
      <c r="Q9" s="42">
        <v>0.01</v>
      </c>
      <c r="R9" s="42">
        <v>-0.01</v>
      </c>
      <c r="S9" s="14"/>
      <c r="AA9" s="42">
        <v>0.03</v>
      </c>
      <c r="AB9" s="42">
        <v>0.04</v>
      </c>
      <c r="AC9" s="42">
        <v>0.1</v>
      </c>
      <c r="AD9" s="42">
        <f>+K9</f>
        <v>7.0000000000000007E-2</v>
      </c>
      <c r="AE9" s="42">
        <f>+O9</f>
        <v>-0.01</v>
      </c>
    </row>
    <row r="10" spans="2:241" s="13" customFormat="1">
      <c r="C10" s="13" t="s">
        <v>117</v>
      </c>
      <c r="D10" s="42">
        <v>0.08</v>
      </c>
      <c r="E10" s="42">
        <v>7.0000000000000007E-2</v>
      </c>
      <c r="F10" s="42">
        <v>0.1</v>
      </c>
      <c r="G10" s="42">
        <f>+AC10</f>
        <v>0.09</v>
      </c>
      <c r="H10" s="42">
        <v>0.17</v>
      </c>
      <c r="I10" s="42">
        <v>0.12</v>
      </c>
      <c r="J10" s="42">
        <v>0.14000000000000001</v>
      </c>
      <c r="K10" s="42">
        <v>0.13</v>
      </c>
      <c r="L10" s="42">
        <v>0.06</v>
      </c>
      <c r="M10" s="42">
        <v>0.05</v>
      </c>
      <c r="N10" s="42">
        <v>-0.05</v>
      </c>
      <c r="O10" s="42">
        <v>0.03</v>
      </c>
      <c r="P10" s="42">
        <v>0.03</v>
      </c>
      <c r="Q10" s="42">
        <v>0.03</v>
      </c>
      <c r="R10" s="42">
        <v>0.04</v>
      </c>
      <c r="S10" s="14"/>
      <c r="AA10" s="42">
        <v>0.01</v>
      </c>
      <c r="AB10" s="42">
        <v>0.04</v>
      </c>
      <c r="AC10" s="42">
        <v>0.09</v>
      </c>
      <c r="AD10" s="42">
        <f t="shared" si="5"/>
        <v>0.13</v>
      </c>
      <c r="AE10" s="42">
        <f t="shared" si="6"/>
        <v>0.03</v>
      </c>
    </row>
    <row r="11" spans="2:241" s="13" customFormat="1">
      <c r="C11" s="13" t="s">
        <v>42</v>
      </c>
      <c r="D11" s="42">
        <v>0.11</v>
      </c>
      <c r="E11" s="42">
        <v>0.14000000000000001</v>
      </c>
      <c r="F11" s="42">
        <v>0.15</v>
      </c>
      <c r="G11" s="42">
        <f>+AC11</f>
        <v>0.02</v>
      </c>
      <c r="H11" s="42">
        <v>0.11</v>
      </c>
      <c r="I11" s="42">
        <v>0.03</v>
      </c>
      <c r="J11" s="42">
        <v>-0.04</v>
      </c>
      <c r="K11" s="42">
        <v>0.02</v>
      </c>
      <c r="L11" s="42">
        <v>-0.03</v>
      </c>
      <c r="M11" s="42">
        <v>-0.05</v>
      </c>
      <c r="N11" s="42">
        <v>-0.1</v>
      </c>
      <c r="O11" s="42">
        <v>-0.05</v>
      </c>
      <c r="P11" s="42">
        <v>-0.02</v>
      </c>
      <c r="Q11" s="42">
        <v>-0.02</v>
      </c>
      <c r="R11" s="42">
        <v>-0.02</v>
      </c>
      <c r="S11" s="14"/>
      <c r="AA11" s="42">
        <v>0.04</v>
      </c>
      <c r="AB11" s="42">
        <v>0.05</v>
      </c>
      <c r="AC11" s="42">
        <v>0.02</v>
      </c>
      <c r="AD11" s="42">
        <f t="shared" si="5"/>
        <v>0.02</v>
      </c>
      <c r="AE11" s="42">
        <f t="shared" si="6"/>
        <v>-0.05</v>
      </c>
    </row>
    <row r="12" spans="2:241" s="13" customFormat="1"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2:241" s="15" customFormat="1" outlineLevel="1"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2:241" outlineLevel="1">
      <c r="C14" s="11" t="s">
        <v>18</v>
      </c>
      <c r="D14" s="11">
        <v>1930</v>
      </c>
      <c r="E14" s="11">
        <v>2222</v>
      </c>
      <c r="F14" s="11">
        <v>469</v>
      </c>
      <c r="G14" s="11">
        <f>+AC14-SUM(D14:F14)</f>
        <v>1334</v>
      </c>
      <c r="H14" s="12">
        <v>1979</v>
      </c>
      <c r="I14" s="12">
        <v>2673</v>
      </c>
      <c r="J14" s="12">
        <v>487</v>
      </c>
      <c r="K14" s="12">
        <v>1308</v>
      </c>
      <c r="L14" s="12">
        <v>2087</v>
      </c>
      <c r="M14" s="12">
        <v>2087</v>
      </c>
      <c r="N14" s="12">
        <v>315</v>
      </c>
      <c r="O14" s="12">
        <f>+AE14-SUM(L14:N14)</f>
        <v>2007</v>
      </c>
      <c r="P14" s="12">
        <v>2069</v>
      </c>
      <c r="Q14" s="12">
        <v>2961</v>
      </c>
      <c r="R14" s="12">
        <v>586</v>
      </c>
      <c r="AB14" s="11">
        <v>5618</v>
      </c>
      <c r="AC14" s="11">
        <v>5955</v>
      </c>
      <c r="AD14" s="11">
        <f t="shared" ref="AD14:AD24" si="7">SUM(H14:K14)</f>
        <v>6447</v>
      </c>
      <c r="AE14" s="11">
        <v>6496</v>
      </c>
      <c r="AF14" s="11">
        <f>+AF$18*(AE14/AE$18)</f>
        <v>6783.8793085385005</v>
      </c>
    </row>
    <row r="15" spans="2:241" outlineLevel="1">
      <c r="C15" s="11" t="s">
        <v>19</v>
      </c>
      <c r="D15" s="11">
        <v>172</v>
      </c>
      <c r="E15" s="11">
        <v>1308</v>
      </c>
      <c r="F15" s="11">
        <v>205</v>
      </c>
      <c r="G15" s="11">
        <f>+AC15-SUM(D15:F15)</f>
        <v>125</v>
      </c>
      <c r="H15" s="12">
        <v>269</v>
      </c>
      <c r="I15" s="12">
        <v>1255</v>
      </c>
      <c r="J15" s="12">
        <v>189</v>
      </c>
      <c r="K15" s="12">
        <v>145</v>
      </c>
      <c r="L15" s="12">
        <v>292</v>
      </c>
      <c r="M15" s="12">
        <v>292</v>
      </c>
      <c r="N15" s="12">
        <v>164</v>
      </c>
      <c r="O15" s="12">
        <f t="shared" ref="O15:P36" si="8">+AE15-SUM(L15:N15)</f>
        <v>1179</v>
      </c>
      <c r="P15" s="12">
        <v>305</v>
      </c>
      <c r="Q15" s="12">
        <v>1257</v>
      </c>
      <c r="R15" s="12">
        <v>152</v>
      </c>
      <c r="AB15" s="11">
        <v>1568</v>
      </c>
      <c r="AC15" s="11">
        <v>1810</v>
      </c>
      <c r="AD15" s="11">
        <f t="shared" si="7"/>
        <v>1858</v>
      </c>
      <c r="AE15" s="11">
        <v>1927</v>
      </c>
      <c r="AF15" s="11">
        <f>+AF$18*(AE15/AE$18)</f>
        <v>2012.3976951283391</v>
      </c>
    </row>
    <row r="16" spans="2:241" outlineLevel="1">
      <c r="C16" s="11" t="s">
        <v>20</v>
      </c>
      <c r="D16" s="11">
        <v>277</v>
      </c>
      <c r="E16" s="11">
        <v>246</v>
      </c>
      <c r="F16" s="11">
        <v>124</v>
      </c>
      <c r="G16" s="11">
        <f>+AC16-SUM(D16:F16)</f>
        <v>67</v>
      </c>
      <c r="H16" s="12">
        <v>301</v>
      </c>
      <c r="I16" s="12">
        <v>194</v>
      </c>
      <c r="J16" s="12">
        <v>142</v>
      </c>
      <c r="K16" s="12">
        <v>71</v>
      </c>
      <c r="L16" s="12">
        <v>245</v>
      </c>
      <c r="M16" s="12">
        <v>245</v>
      </c>
      <c r="N16" s="12">
        <v>135</v>
      </c>
      <c r="O16" s="12">
        <f t="shared" si="8"/>
        <v>28</v>
      </c>
      <c r="P16" s="12">
        <v>223</v>
      </c>
      <c r="Q16" s="12">
        <v>186</v>
      </c>
      <c r="R16" s="12">
        <v>141</v>
      </c>
      <c r="AB16" s="11">
        <v>752</v>
      </c>
      <c r="AC16" s="11">
        <v>714</v>
      </c>
      <c r="AD16" s="11">
        <f t="shared" si="7"/>
        <v>708</v>
      </c>
      <c r="AE16" s="11">
        <v>653</v>
      </c>
      <c r="AF16" s="11">
        <f>+AF$18*(AE16/AE$18)</f>
        <v>681.93860660031419</v>
      </c>
    </row>
    <row r="17" spans="3:41" outlineLevel="1">
      <c r="C17" s="11" t="s">
        <v>21</v>
      </c>
      <c r="D17" s="11">
        <v>145</v>
      </c>
      <c r="E17" s="11">
        <v>171</v>
      </c>
      <c r="F17" s="11">
        <v>64</v>
      </c>
      <c r="G17" s="11">
        <f>+AC17-SUM(D17:F17)</f>
        <v>120</v>
      </c>
      <c r="H17" s="12">
        <v>146</v>
      </c>
      <c r="I17" s="12">
        <v>142</v>
      </c>
      <c r="J17" s="12">
        <v>60</v>
      </c>
      <c r="K17" s="12">
        <v>111</v>
      </c>
      <c r="L17" s="12">
        <v>127</v>
      </c>
      <c r="M17" s="12">
        <v>127</v>
      </c>
      <c r="N17" s="12">
        <v>77</v>
      </c>
      <c r="O17" s="12">
        <f t="shared" si="8"/>
        <v>138</v>
      </c>
      <c r="P17" s="12">
        <v>110</v>
      </c>
      <c r="Q17" s="12">
        <v>133</v>
      </c>
      <c r="R17" s="12">
        <v>38</v>
      </c>
      <c r="AB17" s="11">
        <v>464</v>
      </c>
      <c r="AC17" s="11">
        <v>500</v>
      </c>
      <c r="AD17" s="11">
        <f t="shared" si="7"/>
        <v>459</v>
      </c>
      <c r="AE17" s="11">
        <v>469</v>
      </c>
      <c r="AF17" s="11">
        <f>+AF$18*(AE17/AE$18)</f>
        <v>489.78438973284437</v>
      </c>
    </row>
    <row r="18" spans="3:41" s="17" customFormat="1">
      <c r="C18" s="17" t="s">
        <v>35</v>
      </c>
      <c r="D18" s="18">
        <f t="shared" ref="D18:G18" si="9">SUM(D14:D17)</f>
        <v>2524</v>
      </c>
      <c r="E18" s="18">
        <f t="shared" si="9"/>
        <v>3947</v>
      </c>
      <c r="F18" s="18">
        <f t="shared" si="9"/>
        <v>862</v>
      </c>
      <c r="G18" s="18">
        <f t="shared" si="9"/>
        <v>1646</v>
      </c>
      <c r="H18" s="18">
        <f>SUM(H14:H17)</f>
        <v>2695</v>
      </c>
      <c r="I18" s="18">
        <f t="shared" ref="I18:R18" si="10">SUM(I14:I17)</f>
        <v>4264</v>
      </c>
      <c r="J18" s="18">
        <f t="shared" si="10"/>
        <v>878</v>
      </c>
      <c r="K18" s="18">
        <f t="shared" si="10"/>
        <v>1635</v>
      </c>
      <c r="L18" s="18">
        <f t="shared" si="10"/>
        <v>2751</v>
      </c>
      <c r="M18" s="18">
        <f t="shared" si="10"/>
        <v>2751</v>
      </c>
      <c r="N18" s="18">
        <f t="shared" si="10"/>
        <v>691</v>
      </c>
      <c r="O18" s="18">
        <f t="shared" si="8"/>
        <v>3352</v>
      </c>
      <c r="P18" s="18">
        <f t="shared" si="10"/>
        <v>2707</v>
      </c>
      <c r="Q18" s="18">
        <f t="shared" si="10"/>
        <v>4537</v>
      </c>
      <c r="R18" s="18">
        <f t="shared" si="10"/>
        <v>917</v>
      </c>
      <c r="S18" s="18"/>
      <c r="AB18" s="17">
        <f>+SUM(AB14:AB17)</f>
        <v>8402</v>
      </c>
      <c r="AC18" s="17">
        <f>+SUM(AC14:AC17)</f>
        <v>8979</v>
      </c>
      <c r="AD18" s="17">
        <f t="shared" si="7"/>
        <v>9472</v>
      </c>
      <c r="AE18" s="17">
        <f>SUM(AE14:AE17)</f>
        <v>9545</v>
      </c>
      <c r="AF18" s="17">
        <f>+AF27*0.56</f>
        <v>9967.9999999999982</v>
      </c>
    </row>
    <row r="19" spans="3:41" s="17" customFormat="1" ht="4" customHeight="1"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3:41" outlineLevel="1">
      <c r="C20" s="11" t="s">
        <v>22</v>
      </c>
      <c r="D20" s="11">
        <v>1205</v>
      </c>
      <c r="E20" s="11">
        <v>1224</v>
      </c>
      <c r="F20" s="11">
        <v>1043</v>
      </c>
      <c r="G20" s="11">
        <f>+AC20-SUM(D20:F20)</f>
        <v>1119</v>
      </c>
      <c r="H20" s="12">
        <v>1242</v>
      </c>
      <c r="I20" s="12">
        <v>986</v>
      </c>
      <c r="J20" s="12">
        <v>815</v>
      </c>
      <c r="K20" s="12">
        <v>991</v>
      </c>
      <c r="L20" s="12">
        <v>886</v>
      </c>
      <c r="M20" s="12">
        <v>886</v>
      </c>
      <c r="N20" s="12">
        <v>736</v>
      </c>
      <c r="O20" s="12">
        <f t="shared" si="8"/>
        <v>1091</v>
      </c>
      <c r="P20" s="12">
        <v>860</v>
      </c>
      <c r="Q20" s="12">
        <v>995</v>
      </c>
      <c r="R20" s="12">
        <v>813</v>
      </c>
      <c r="AB20" s="11">
        <v>3815</v>
      </c>
      <c r="AC20" s="11">
        <v>4591</v>
      </c>
      <c r="AD20" s="11">
        <f t="shared" si="7"/>
        <v>4034</v>
      </c>
      <c r="AE20" s="11">
        <v>3599</v>
      </c>
      <c r="AF20" s="11">
        <f>+AE20*0.9</f>
        <v>3239.1</v>
      </c>
    </row>
    <row r="21" spans="3:41" outlineLevel="1">
      <c r="C21" s="11" t="s">
        <v>33</v>
      </c>
      <c r="D21" s="11">
        <v>418</v>
      </c>
      <c r="E21" s="11">
        <v>494</v>
      </c>
      <c r="F21" s="11">
        <v>363</v>
      </c>
      <c r="G21" s="11">
        <f>+AC21-SUM(D21:F21)</f>
        <v>556</v>
      </c>
      <c r="H21" s="12">
        <v>409</v>
      </c>
      <c r="I21" s="12">
        <v>331</v>
      </c>
      <c r="J21" s="12">
        <v>416</v>
      </c>
      <c r="K21" s="12">
        <v>442</v>
      </c>
      <c r="L21" s="12">
        <v>373</v>
      </c>
      <c r="M21" s="12">
        <v>373</v>
      </c>
      <c r="N21" s="12">
        <v>437</v>
      </c>
      <c r="O21" s="12">
        <f t="shared" si="8"/>
        <v>532</v>
      </c>
      <c r="P21" s="12">
        <v>336</v>
      </c>
      <c r="Q21" s="12">
        <v>436</v>
      </c>
      <c r="R21" s="12">
        <v>409</v>
      </c>
      <c r="AB21" s="11">
        <v>1730</v>
      </c>
      <c r="AC21" s="11">
        <v>1831</v>
      </c>
      <c r="AD21" s="11">
        <f t="shared" si="7"/>
        <v>1598</v>
      </c>
      <c r="AE21" s="11">
        <v>1715</v>
      </c>
      <c r="AF21" s="11">
        <f>+AE21*1.07</f>
        <v>1835.0500000000002</v>
      </c>
    </row>
    <row r="22" spans="3:41" outlineLevel="1">
      <c r="C22" s="11" t="s">
        <v>23</v>
      </c>
      <c r="D22" s="11">
        <v>304</v>
      </c>
      <c r="E22" s="11">
        <v>448</v>
      </c>
      <c r="F22" s="11">
        <v>421</v>
      </c>
      <c r="G22" s="11">
        <f>+AC22-SUM(D22:F22)</f>
        <v>277</v>
      </c>
      <c r="H22" s="12">
        <v>359</v>
      </c>
      <c r="I22" s="12">
        <v>252</v>
      </c>
      <c r="J22" s="12">
        <v>226</v>
      </c>
      <c r="K22" s="12">
        <v>275</v>
      </c>
      <c r="L22" s="12">
        <v>295</v>
      </c>
      <c r="M22" s="12">
        <v>295</v>
      </c>
      <c r="N22" s="12">
        <v>216</v>
      </c>
      <c r="O22" s="12">
        <f t="shared" si="8"/>
        <v>275</v>
      </c>
      <c r="P22" s="12">
        <v>304</v>
      </c>
      <c r="Q22" s="12">
        <v>342</v>
      </c>
      <c r="R22" s="12">
        <v>222</v>
      </c>
      <c r="AB22" s="11">
        <v>1310</v>
      </c>
      <c r="AC22" s="11">
        <v>1450</v>
      </c>
      <c r="AD22" s="11">
        <f t="shared" si="7"/>
        <v>1112</v>
      </c>
      <c r="AE22" s="11">
        <v>1081</v>
      </c>
      <c r="AF22" s="11">
        <f>+AE22*0.96</f>
        <v>1037.76</v>
      </c>
    </row>
    <row r="23" spans="3:41" outlineLevel="1">
      <c r="C23" s="11" t="s">
        <v>115</v>
      </c>
      <c r="D23" s="11">
        <v>0</v>
      </c>
      <c r="E23" s="11">
        <v>0</v>
      </c>
      <c r="F23" s="11">
        <v>0</v>
      </c>
      <c r="G23" s="11">
        <f>+AC23-SUM(D23:F23)</f>
        <v>0</v>
      </c>
      <c r="M23" s="12">
        <v>82</v>
      </c>
      <c r="N23" s="12">
        <v>135</v>
      </c>
      <c r="P23" s="12">
        <v>84</v>
      </c>
      <c r="Q23" s="12">
        <v>97</v>
      </c>
      <c r="R23" s="12">
        <v>147</v>
      </c>
    </row>
    <row r="24" spans="3:41" outlineLevel="1">
      <c r="C24" s="11" t="s">
        <v>32</v>
      </c>
      <c r="D24" s="44">
        <v>150</v>
      </c>
      <c r="E24" s="44">
        <v>139</v>
      </c>
      <c r="F24" s="44">
        <v>88</v>
      </c>
      <c r="G24" s="44">
        <f>+AC24-SUM(D24:F24)</f>
        <v>227</v>
      </c>
      <c r="H24" s="45">
        <v>179</v>
      </c>
      <c r="I24" s="45">
        <v>212</v>
      </c>
      <c r="J24" s="45">
        <v>255</v>
      </c>
      <c r="K24" s="45">
        <v>364</v>
      </c>
      <c r="L24" s="45">
        <v>187</v>
      </c>
      <c r="M24" s="45">
        <v>105</v>
      </c>
      <c r="N24" s="45">
        <v>111</v>
      </c>
      <c r="O24" s="45">
        <f t="shared" si="8"/>
        <v>565</v>
      </c>
      <c r="P24" s="45">
        <v>126</v>
      </c>
      <c r="Q24" s="45">
        <v>49</v>
      </c>
      <c r="R24" s="45">
        <v>110</v>
      </c>
      <c r="AB24" s="11">
        <v>398</v>
      </c>
      <c r="AC24" s="11">
        <v>604</v>
      </c>
      <c r="AD24" s="11">
        <f t="shared" si="7"/>
        <v>1010</v>
      </c>
      <c r="AE24" s="11">
        <f>476+492</f>
        <v>968</v>
      </c>
      <c r="AF24" s="11">
        <f>+AE24*0.97</f>
        <v>938.95999999999992</v>
      </c>
    </row>
    <row r="25" spans="3:41" outlineLevel="1">
      <c r="C25" s="11" t="s">
        <v>36</v>
      </c>
      <c r="D25" s="45">
        <f>SUM(D20:D24)</f>
        <v>2077</v>
      </c>
      <c r="E25" s="45">
        <f>SUM(E20:E24)</f>
        <v>2305</v>
      </c>
      <c r="F25" s="45">
        <f>SUM(F20:F24)</f>
        <v>1915</v>
      </c>
      <c r="G25" s="44">
        <f>+AC25-SUM(D25:F25)</f>
        <v>2179</v>
      </c>
      <c r="H25" s="45">
        <f>SUM(H20:H24)</f>
        <v>2189</v>
      </c>
      <c r="I25" s="45">
        <f t="shared" ref="I25:R25" si="11">SUM(I20:I24)</f>
        <v>1781</v>
      </c>
      <c r="J25" s="45">
        <f t="shared" si="11"/>
        <v>1712</v>
      </c>
      <c r="K25" s="45">
        <f t="shared" si="11"/>
        <v>2072</v>
      </c>
      <c r="L25" s="45">
        <f t="shared" si="11"/>
        <v>1741</v>
      </c>
      <c r="M25" s="45">
        <f t="shared" si="11"/>
        <v>1741</v>
      </c>
      <c r="N25" s="45">
        <f t="shared" si="11"/>
        <v>1635</v>
      </c>
      <c r="O25" s="45">
        <f t="shared" si="8"/>
        <v>2246</v>
      </c>
      <c r="P25" s="45">
        <f t="shared" si="11"/>
        <v>1710</v>
      </c>
      <c r="Q25" s="45">
        <f t="shared" si="11"/>
        <v>1919</v>
      </c>
      <c r="R25" s="45">
        <f t="shared" si="11"/>
        <v>1701</v>
      </c>
      <c r="AB25" s="11">
        <f t="shared" ref="AB25:AF25" si="12">SUM(AB20:AB24)</f>
        <v>7253</v>
      </c>
      <c r="AC25" s="11">
        <f t="shared" si="12"/>
        <v>8476</v>
      </c>
      <c r="AD25" s="11">
        <f t="shared" si="12"/>
        <v>7754</v>
      </c>
      <c r="AE25" s="11">
        <f t="shared" si="12"/>
        <v>7363</v>
      </c>
      <c r="AF25" s="11">
        <f t="shared" si="12"/>
        <v>7050.87</v>
      </c>
    </row>
    <row r="26" spans="3:41" ht="4" customHeight="1" outlineLevel="1">
      <c r="D26" s="44"/>
      <c r="E26" s="44"/>
      <c r="F26" s="44"/>
      <c r="G26" s="44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spans="3:41" s="17" customFormat="1" outlineLevel="1">
      <c r="C27" s="17" t="s">
        <v>17</v>
      </c>
      <c r="D27" s="43">
        <f t="shared" ref="D27:H27" si="13">+SUM(D18,D25)</f>
        <v>4601</v>
      </c>
      <c r="E27" s="43">
        <f t="shared" si="13"/>
        <v>6252</v>
      </c>
      <c r="F27" s="43">
        <f t="shared" si="13"/>
        <v>2777</v>
      </c>
      <c r="G27" s="43">
        <f t="shared" si="13"/>
        <v>3825</v>
      </c>
      <c r="H27" s="43">
        <f t="shared" ref="H27:N27" si="14">+SUM(H18,H25)</f>
        <v>4884</v>
      </c>
      <c r="I27" s="43">
        <f t="shared" si="14"/>
        <v>6045</v>
      </c>
      <c r="J27" s="43">
        <f t="shared" si="14"/>
        <v>2590</v>
      </c>
      <c r="K27" s="43">
        <f t="shared" si="14"/>
        <v>3707</v>
      </c>
      <c r="L27" s="43">
        <f t="shared" si="14"/>
        <v>4492</v>
      </c>
      <c r="M27" s="43">
        <f t="shared" si="14"/>
        <v>4492</v>
      </c>
      <c r="N27" s="43">
        <f t="shared" si="14"/>
        <v>2326</v>
      </c>
      <c r="O27" s="43">
        <f t="shared" si="8"/>
        <v>5598</v>
      </c>
      <c r="P27" s="43">
        <f>+SUM(P18,P25)</f>
        <v>4417</v>
      </c>
      <c r="Q27" s="43">
        <f>+SUM(Q18,Q25)</f>
        <v>6456</v>
      </c>
      <c r="R27" s="43">
        <f>+SUM(R18,R25)</f>
        <v>2618</v>
      </c>
      <c r="S27" s="18"/>
      <c r="Y27" s="17">
        <v>14287</v>
      </c>
      <c r="Z27" s="17">
        <v>13846</v>
      </c>
      <c r="AA27" s="17">
        <v>14217</v>
      </c>
      <c r="AB27" s="17">
        <f>+SUM(AB18,AB25)</f>
        <v>15655</v>
      </c>
      <c r="AC27" s="17">
        <f>+SUM(AC18,AC25)</f>
        <v>17455</v>
      </c>
      <c r="AD27" s="17">
        <f>+SUM(AD18,AD25)</f>
        <v>17226</v>
      </c>
      <c r="AE27" s="17">
        <f>+SUM(AE18,AE25)</f>
        <v>16908</v>
      </c>
      <c r="AF27" s="17">
        <f>AVERAGE(17.7,17.9) * 10^3</f>
        <v>17799.999999999996</v>
      </c>
      <c r="AG27" s="17">
        <f>+AF27*1.05</f>
        <v>18689.999999999996</v>
      </c>
      <c r="AH27" s="17">
        <f t="shared" ref="AH27:AO27" si="15">+AG27*1.05</f>
        <v>19624.499999999996</v>
      </c>
      <c r="AI27" s="17">
        <f t="shared" si="15"/>
        <v>20605.724999999999</v>
      </c>
      <c r="AJ27" s="17">
        <f t="shared" si="15"/>
        <v>21636.01125</v>
      </c>
      <c r="AK27" s="17">
        <f t="shared" si="15"/>
        <v>22717.8118125</v>
      </c>
      <c r="AL27" s="17">
        <f t="shared" si="15"/>
        <v>23853.702403125</v>
      </c>
      <c r="AM27" s="17">
        <f t="shared" si="15"/>
        <v>25046.38752328125</v>
      </c>
      <c r="AN27" s="17">
        <f t="shared" si="15"/>
        <v>26298.706899445315</v>
      </c>
      <c r="AO27" s="17">
        <f t="shared" si="15"/>
        <v>27613.642244417581</v>
      </c>
    </row>
    <row r="28" spans="3:41" outlineLevel="1">
      <c r="C28" s="11" t="s">
        <v>31</v>
      </c>
      <c r="D28" s="44">
        <v>2724</v>
      </c>
      <c r="E28" s="44">
        <v>3323</v>
      </c>
      <c r="F28" s="44">
        <v>1879</v>
      </c>
      <c r="G28" s="44">
        <f>+AC28-SUM(D28:F28)</f>
        <v>2510</v>
      </c>
      <c r="H28" s="45">
        <v>2771</v>
      </c>
      <c r="I28" s="45">
        <v>3137</v>
      </c>
      <c r="J28" s="45">
        <v>1646</v>
      </c>
      <c r="K28" s="45">
        <v>2366</v>
      </c>
      <c r="L28" s="45">
        <v>2550</v>
      </c>
      <c r="M28" s="45">
        <v>2918</v>
      </c>
      <c r="N28" s="45">
        <v>1565</v>
      </c>
      <c r="O28" s="45">
        <f t="shared" si="8"/>
        <v>2496</v>
      </c>
      <c r="P28" s="45">
        <v>2342</v>
      </c>
      <c r="Q28" s="45">
        <v>2932</v>
      </c>
      <c r="R28" s="45">
        <v>1644</v>
      </c>
      <c r="AC28" s="11">
        <v>10436</v>
      </c>
      <c r="AD28" s="11">
        <f t="shared" ref="AD28:AD36" si="16">SUM(H28:K28)</f>
        <v>9920</v>
      </c>
      <c r="AE28" s="11">
        <v>9529</v>
      </c>
      <c r="AF28" s="11">
        <f t="shared" ref="AF28:AO28" si="17">+AF27*(AE28/AE27)</f>
        <v>10031.712798675182</v>
      </c>
      <c r="AG28" s="11">
        <f t="shared" si="17"/>
        <v>10533.298438608941</v>
      </c>
      <c r="AH28" s="11">
        <f t="shared" si="17"/>
        <v>11059.963360539388</v>
      </c>
      <c r="AI28" s="11">
        <f t="shared" si="17"/>
        <v>11612.961528566359</v>
      </c>
      <c r="AJ28" s="11">
        <f t="shared" si="17"/>
        <v>12193.609604994677</v>
      </c>
      <c r="AK28" s="11">
        <f t="shared" si="17"/>
        <v>12803.290085244411</v>
      </c>
      <c r="AL28" s="11">
        <f t="shared" si="17"/>
        <v>13443.454589506631</v>
      </c>
      <c r="AM28" s="11">
        <f t="shared" si="17"/>
        <v>14115.627318981964</v>
      </c>
      <c r="AN28" s="11">
        <f t="shared" si="17"/>
        <v>14821.408684931062</v>
      </c>
      <c r="AO28" s="11">
        <f t="shared" si="17"/>
        <v>15562.479119177617</v>
      </c>
    </row>
    <row r="29" spans="3:41" outlineLevel="1">
      <c r="C29" s="11" t="s">
        <v>30</v>
      </c>
      <c r="D29" s="11">
        <v>268</v>
      </c>
      <c r="E29" s="11">
        <v>296</v>
      </c>
      <c r="F29" s="11">
        <v>312</v>
      </c>
      <c r="G29" s="44">
        <f>+AC29-SUM(D29:F29)</f>
        <v>340</v>
      </c>
      <c r="H29" s="12">
        <v>316</v>
      </c>
      <c r="I29" s="12">
        <v>329</v>
      </c>
      <c r="J29" s="12">
        <v>335</v>
      </c>
      <c r="K29" s="12">
        <v>357</v>
      </c>
      <c r="L29" s="12">
        <v>332</v>
      </c>
      <c r="M29" s="12">
        <v>357</v>
      </c>
      <c r="N29" s="12">
        <v>348</v>
      </c>
      <c r="O29" s="12">
        <f t="shared" si="8"/>
        <v>365</v>
      </c>
      <c r="P29" s="12">
        <v>335</v>
      </c>
      <c r="Q29" s="12">
        <v>375</v>
      </c>
      <c r="R29" s="12">
        <v>351</v>
      </c>
      <c r="AC29" s="11">
        <v>1216</v>
      </c>
      <c r="AD29" s="11">
        <f t="shared" si="16"/>
        <v>1337</v>
      </c>
      <c r="AE29" s="11">
        <v>1402</v>
      </c>
      <c r="AF29" s="11">
        <f t="shared" ref="AF29:AO29" si="18">+AF27*(AE29/AE27)</f>
        <v>1475.9640406907968</v>
      </c>
      <c r="AG29" s="11">
        <f t="shared" si="18"/>
        <v>1549.7622427253368</v>
      </c>
      <c r="AH29" s="11">
        <f t="shared" si="18"/>
        <v>1627.2503548616037</v>
      </c>
      <c r="AI29" s="11">
        <f t="shared" si="18"/>
        <v>1708.6128726046841</v>
      </c>
      <c r="AJ29" s="11">
        <f t="shared" si="18"/>
        <v>1794.0435162349183</v>
      </c>
      <c r="AK29" s="11">
        <f t="shared" si="18"/>
        <v>1883.7456920466643</v>
      </c>
      <c r="AL29" s="11">
        <f t="shared" si="18"/>
        <v>1977.9329766489975</v>
      </c>
      <c r="AM29" s="11">
        <f t="shared" si="18"/>
        <v>2076.8296254814472</v>
      </c>
      <c r="AN29" s="11">
        <f t="shared" si="18"/>
        <v>2180.6711067555198</v>
      </c>
      <c r="AO29" s="11">
        <f t="shared" si="18"/>
        <v>2289.7046620932956</v>
      </c>
    </row>
    <row r="30" spans="3:41" outlineLevel="1">
      <c r="C30" s="11" t="s">
        <v>29</v>
      </c>
      <c r="D30" s="11">
        <v>735</v>
      </c>
      <c r="E30" s="11">
        <v>1017</v>
      </c>
      <c r="F30" s="11">
        <v>657</v>
      </c>
      <c r="G30" s="44">
        <f>+AC30-SUM(D30:F30)</f>
        <v>764</v>
      </c>
      <c r="H30" s="12">
        <v>726</v>
      </c>
      <c r="I30" s="12">
        <v>1045</v>
      </c>
      <c r="J30" s="12">
        <v>670</v>
      </c>
      <c r="K30" s="12">
        <v>735</v>
      </c>
      <c r="L30" s="12">
        <v>736</v>
      </c>
      <c r="M30" s="12">
        <v>1054</v>
      </c>
      <c r="N30" s="12">
        <v>671</v>
      </c>
      <c r="O30" s="12">
        <f t="shared" si="8"/>
        <v>735</v>
      </c>
      <c r="P30" s="12">
        <v>751</v>
      </c>
      <c r="Q30" s="12">
        <v>1156</v>
      </c>
      <c r="R30" s="12">
        <v>725</v>
      </c>
      <c r="AC30" s="11">
        <v>3173</v>
      </c>
      <c r="AD30" s="11">
        <f t="shared" si="16"/>
        <v>3176</v>
      </c>
      <c r="AE30" s="11">
        <v>3196</v>
      </c>
      <c r="AF30" s="11">
        <f t="shared" ref="AF30:AO30" si="19">+AF27*(AE30/AE27)</f>
        <v>3364.6084693636144</v>
      </c>
      <c r="AG30" s="11">
        <f t="shared" si="19"/>
        <v>3532.838892831795</v>
      </c>
      <c r="AH30" s="11">
        <f t="shared" si="19"/>
        <v>3709.4808374733848</v>
      </c>
      <c r="AI30" s="11">
        <f t="shared" si="19"/>
        <v>3894.9548793470544</v>
      </c>
      <c r="AJ30" s="11">
        <f t="shared" si="19"/>
        <v>4089.7026233144074</v>
      </c>
      <c r="AK30" s="11">
        <f t="shared" si="19"/>
        <v>4294.1877544801282</v>
      </c>
      <c r="AL30" s="11">
        <f t="shared" si="19"/>
        <v>4508.8971422041341</v>
      </c>
      <c r="AM30" s="11">
        <f t="shared" si="19"/>
        <v>4734.3419993143407</v>
      </c>
      <c r="AN30" s="11">
        <f t="shared" si="19"/>
        <v>4971.0590992800589</v>
      </c>
      <c r="AO30" s="11">
        <f t="shared" si="19"/>
        <v>5219.6120542440622</v>
      </c>
    </row>
    <row r="31" spans="3:41" outlineLevel="1">
      <c r="C31" s="11" t="s">
        <v>28</v>
      </c>
      <c r="D31" s="11">
        <v>17</v>
      </c>
      <c r="E31" s="11">
        <v>49</v>
      </c>
      <c r="F31" s="11">
        <v>23</v>
      </c>
      <c r="G31" s="44">
        <f>+AC31-SUM(D31:F31)</f>
        <v>-149</v>
      </c>
      <c r="H31" s="12">
        <v>-71</v>
      </c>
      <c r="I31" s="12">
        <v>-134</v>
      </c>
      <c r="J31" s="12">
        <v>-149</v>
      </c>
      <c r="K31" s="12">
        <v>-94</v>
      </c>
      <c r="L31" s="12">
        <v>-99</v>
      </c>
      <c r="M31" s="12">
        <v>-113</v>
      </c>
      <c r="N31" s="12">
        <v>-107</v>
      </c>
      <c r="O31" s="12">
        <f t="shared" si="8"/>
        <v>19</v>
      </c>
      <c r="P31" s="12">
        <v>15</v>
      </c>
      <c r="Q31" s="12">
        <v>103</v>
      </c>
      <c r="R31" s="12">
        <v>-23</v>
      </c>
      <c r="AC31" s="11">
        <v>-60</v>
      </c>
      <c r="AD31" s="11">
        <f t="shared" si="16"/>
        <v>-448</v>
      </c>
      <c r="AE31" s="11">
        <v>-300</v>
      </c>
      <c r="AF31" s="11">
        <f t="shared" ref="AF31:AO31" si="20">+AF27*(AE31/AE27)</f>
        <v>-315.82682753726039</v>
      </c>
      <c r="AG31" s="11">
        <f t="shared" si="20"/>
        <v>-331.61816891412343</v>
      </c>
      <c r="AH31" s="11">
        <f t="shared" si="20"/>
        <v>-348.19907735982957</v>
      </c>
      <c r="AI31" s="11">
        <f t="shared" si="20"/>
        <v>-365.60903122782111</v>
      </c>
      <c r="AJ31" s="11">
        <f t="shared" si="20"/>
        <v>-383.8894827892122</v>
      </c>
      <c r="AK31" s="11">
        <f t="shared" si="20"/>
        <v>-403.08395692867282</v>
      </c>
      <c r="AL31" s="11">
        <f t="shared" si="20"/>
        <v>-423.23815477510647</v>
      </c>
      <c r="AM31" s="11">
        <f t="shared" si="20"/>
        <v>-444.40006251386177</v>
      </c>
      <c r="AN31" s="11">
        <f t="shared" si="20"/>
        <v>-466.62006563955492</v>
      </c>
      <c r="AO31" s="11">
        <f t="shared" si="20"/>
        <v>-489.95106892153268</v>
      </c>
    </row>
    <row r="32" spans="3:41" outlineLevel="1">
      <c r="C32" s="11" t="s">
        <v>27</v>
      </c>
      <c r="D32" s="11">
        <v>9</v>
      </c>
      <c r="E32" s="11">
        <v>16</v>
      </c>
      <c r="F32" s="11">
        <v>18</v>
      </c>
      <c r="G32" s="44">
        <f>+AC32-SUM(D32:F32)</f>
        <v>36</v>
      </c>
      <c r="H32" s="12">
        <v>31</v>
      </c>
      <c r="I32" s="12">
        <v>66</v>
      </c>
      <c r="J32" s="12">
        <v>58</v>
      </c>
      <c r="K32" s="12">
        <v>62</v>
      </c>
      <c r="L32" s="12">
        <v>41</v>
      </c>
      <c r="M32" s="12">
        <v>66</v>
      </c>
      <c r="N32" s="12">
        <v>66</v>
      </c>
      <c r="O32" s="12">
        <f t="shared" si="8"/>
        <v>60</v>
      </c>
      <c r="P32" s="12">
        <v>36</v>
      </c>
      <c r="Q32" s="12">
        <v>52</v>
      </c>
      <c r="R32" s="12">
        <v>46</v>
      </c>
      <c r="AC32" s="11">
        <v>79</v>
      </c>
      <c r="AD32" s="11">
        <f t="shared" si="16"/>
        <v>217</v>
      </c>
      <c r="AE32" s="11">
        <v>233</v>
      </c>
      <c r="AF32" s="11">
        <f t="shared" ref="AF32:AO32" si="21">+AE54 * $AR$41</f>
        <v>24</v>
      </c>
      <c r="AG32" s="11">
        <f t="shared" si="21"/>
        <v>24.240000000000002</v>
      </c>
      <c r="AH32" s="11">
        <f t="shared" si="21"/>
        <v>24.482400000000002</v>
      </c>
      <c r="AI32" s="11">
        <f t="shared" si="21"/>
        <v>24.727224000000003</v>
      </c>
      <c r="AJ32" s="11">
        <f t="shared" si="21"/>
        <v>24.974496240000004</v>
      </c>
      <c r="AK32" s="11">
        <f t="shared" si="21"/>
        <v>25.224241202400005</v>
      </c>
      <c r="AL32" s="11">
        <f t="shared" si="21"/>
        <v>25.476483614424005</v>
      </c>
      <c r="AM32" s="11">
        <f t="shared" si="21"/>
        <v>25.731248450568245</v>
      </c>
      <c r="AN32" s="11">
        <f t="shared" si="21"/>
        <v>25.988560935073931</v>
      </c>
      <c r="AO32" s="11">
        <f t="shared" si="21"/>
        <v>26.24844654442467</v>
      </c>
    </row>
    <row r="33" spans="3:241" ht="5" customHeight="1" outlineLevel="1"/>
    <row r="34" spans="3:241" outlineLevel="1">
      <c r="C34" s="11" t="s">
        <v>26</v>
      </c>
      <c r="D34" s="12">
        <f t="shared" ref="D34:E34" si="22">+D27-SUM(D28:D32)</f>
        <v>848</v>
      </c>
      <c r="E34" s="12">
        <f t="shared" si="22"/>
        <v>1551</v>
      </c>
      <c r="F34" s="12">
        <f t="shared" ref="F34" si="23">+F27-SUM(F28:F32)</f>
        <v>-112</v>
      </c>
      <c r="G34" s="44">
        <f>+AC34-SUM(D34:F34)</f>
        <v>324</v>
      </c>
      <c r="H34" s="12">
        <f t="shared" ref="H34:N34" si="24">+H27-SUM(H28:H32)</f>
        <v>1111</v>
      </c>
      <c r="I34" s="12">
        <f t="shared" si="24"/>
        <v>1602</v>
      </c>
      <c r="J34" s="12">
        <f t="shared" si="24"/>
        <v>30</v>
      </c>
      <c r="K34" s="12">
        <f t="shared" si="24"/>
        <v>281</v>
      </c>
      <c r="L34" s="12">
        <f t="shared" si="24"/>
        <v>932</v>
      </c>
      <c r="M34" s="12">
        <f t="shared" si="24"/>
        <v>210</v>
      </c>
      <c r="N34" s="12">
        <f t="shared" si="24"/>
        <v>-217</v>
      </c>
      <c r="O34" s="12">
        <f t="shared" si="8"/>
        <v>1923</v>
      </c>
      <c r="P34" s="12">
        <f t="shared" si="8"/>
        <v>1303.541518807664</v>
      </c>
      <c r="Q34" s="12">
        <f>+Q27-SUM(Q28:Q32)</f>
        <v>1838</v>
      </c>
      <c r="R34" s="12">
        <f>+R27-SUM(R28:R32)</f>
        <v>-125</v>
      </c>
      <c r="AC34" s="11">
        <f>+AC27-SUM(AC28:AC32)</f>
        <v>2611</v>
      </c>
      <c r="AD34" s="11">
        <f t="shared" si="16"/>
        <v>3024</v>
      </c>
      <c r="AE34" s="11">
        <f t="shared" ref="AE34:AO34" si="25">+AE27-SUM(AE28:AE32)</f>
        <v>2848</v>
      </c>
      <c r="AF34" s="11">
        <f t="shared" si="25"/>
        <v>3219.541518807664</v>
      </c>
      <c r="AG34" s="11">
        <f t="shared" si="25"/>
        <v>3381.4785947480468</v>
      </c>
      <c r="AH34" s="11">
        <f t="shared" si="25"/>
        <v>3551.5221244854474</v>
      </c>
      <c r="AI34" s="11">
        <f t="shared" si="25"/>
        <v>3730.0775267097233</v>
      </c>
      <c r="AJ34" s="11">
        <f t="shared" si="25"/>
        <v>3917.5704920052085</v>
      </c>
      <c r="AK34" s="11">
        <f t="shared" si="25"/>
        <v>4114.4479964550701</v>
      </c>
      <c r="AL34" s="11">
        <f t="shared" si="25"/>
        <v>4321.1793659259201</v>
      </c>
      <c r="AM34" s="11">
        <f t="shared" si="25"/>
        <v>4538.2573935667933</v>
      </c>
      <c r="AN34" s="11">
        <f t="shared" si="25"/>
        <v>4766.1995131831536</v>
      </c>
      <c r="AO34" s="11">
        <f t="shared" si="25"/>
        <v>5005.5490312797119</v>
      </c>
    </row>
    <row r="35" spans="3:241" outlineLevel="1">
      <c r="C35" s="11" t="s">
        <v>25</v>
      </c>
      <c r="D35" s="12">
        <v>121</v>
      </c>
      <c r="E35" s="12">
        <v>325</v>
      </c>
      <c r="F35" s="12">
        <v>-74</v>
      </c>
      <c r="G35" s="44">
        <f>+AC35-SUM(D35:F35)</f>
        <v>-162</v>
      </c>
      <c r="H35" s="12">
        <v>169</v>
      </c>
      <c r="I35" s="12">
        <v>204</v>
      </c>
      <c r="J35" s="12">
        <v>-129</v>
      </c>
      <c r="K35" s="12">
        <v>-92</v>
      </c>
      <c r="L35" s="12">
        <v>106</v>
      </c>
      <c r="M35" s="12">
        <v>282</v>
      </c>
      <c r="N35" s="12">
        <v>-114</v>
      </c>
      <c r="O35" s="12">
        <f t="shared" si="8"/>
        <v>138</v>
      </c>
      <c r="P35" s="12">
        <v>117</v>
      </c>
      <c r="Q35" s="12">
        <v>422</v>
      </c>
      <c r="R35" s="12">
        <v>-62</v>
      </c>
      <c r="AC35" s="11">
        <v>210</v>
      </c>
      <c r="AD35" s="11">
        <f t="shared" si="16"/>
        <v>152</v>
      </c>
      <c r="AE35" s="11">
        <v>412</v>
      </c>
      <c r="AF35" s="11">
        <f>+AF34*(AE35/AE34)</f>
        <v>465.74828151290643</v>
      </c>
      <c r="AG35" s="11">
        <f t="shared" ref="AG35:AO35" si="26">+AG34*(AF35/AF34)</f>
        <v>489.17457199304607</v>
      </c>
      <c r="AH35" s="11">
        <f t="shared" si="26"/>
        <v>513.77356576123748</v>
      </c>
      <c r="AI35" s="11">
        <f t="shared" si="26"/>
        <v>539.60391186952461</v>
      </c>
      <c r="AJ35" s="11">
        <f t="shared" si="26"/>
        <v>566.72719196142771</v>
      </c>
      <c r="AK35" s="11">
        <f t="shared" si="26"/>
        <v>595.20806690291056</v>
      </c>
      <c r="AL35" s="11">
        <f t="shared" si="26"/>
        <v>625.11443074490148</v>
      </c>
      <c r="AM35" s="11">
        <f t="shared" si="26"/>
        <v>656.51757238396033</v>
      </c>
      <c r="AN35" s="11">
        <f t="shared" si="26"/>
        <v>689.49234530599006</v>
      </c>
      <c r="AO35" s="11">
        <f t="shared" si="26"/>
        <v>724.11734581714938</v>
      </c>
    </row>
    <row r="36" spans="3:241" s="17" customFormat="1" outlineLevel="1">
      <c r="C36" s="17" t="s">
        <v>24</v>
      </c>
      <c r="D36" s="18">
        <f t="shared" ref="D36:E36" si="27">+D34-D35</f>
        <v>727</v>
      </c>
      <c r="E36" s="18">
        <f t="shared" si="27"/>
        <v>1226</v>
      </c>
      <c r="F36" s="18">
        <f t="shared" ref="F36" si="28">+F34-F35</f>
        <v>-38</v>
      </c>
      <c r="G36" s="46">
        <f>+AC36-SUM(D36:F36)</f>
        <v>486</v>
      </c>
      <c r="H36" s="18">
        <f t="shared" ref="H36:N36" si="29">+H34-H35</f>
        <v>942</v>
      </c>
      <c r="I36" s="18">
        <f t="shared" si="29"/>
        <v>1398</v>
      </c>
      <c r="J36" s="18">
        <f t="shared" si="29"/>
        <v>159</v>
      </c>
      <c r="K36" s="18">
        <f t="shared" si="29"/>
        <v>373</v>
      </c>
      <c r="L36" s="18">
        <f t="shared" si="29"/>
        <v>826</v>
      </c>
      <c r="M36" s="18">
        <f t="shared" si="29"/>
        <v>-72</v>
      </c>
      <c r="N36" s="18">
        <f t="shared" si="29"/>
        <v>-103</v>
      </c>
      <c r="O36" s="18">
        <f t="shared" si="8"/>
        <v>2105</v>
      </c>
      <c r="P36" s="18">
        <f t="shared" si="8"/>
        <v>823.79323729475755</v>
      </c>
      <c r="Q36" s="18">
        <f t="shared" ref="Q36:R36" si="30">+Q34-Q35</f>
        <v>1416</v>
      </c>
      <c r="R36" s="18">
        <f t="shared" si="30"/>
        <v>-63</v>
      </c>
      <c r="S36" s="18"/>
      <c r="AC36" s="17">
        <f>+AC34-AC35</f>
        <v>2401</v>
      </c>
      <c r="AD36" s="17">
        <f t="shared" si="16"/>
        <v>2872</v>
      </c>
      <c r="AE36" s="17">
        <f>SUM(I36:L36)</f>
        <v>2756</v>
      </c>
      <c r="AF36" s="17">
        <f>+AF34-AF35</f>
        <v>2753.7932372947575</v>
      </c>
      <c r="AG36" s="17">
        <f t="shared" ref="AG36:AO36" si="31">+AG34-AG35</f>
        <v>2892.3040227550009</v>
      </c>
      <c r="AH36" s="17">
        <f t="shared" si="31"/>
        <v>3037.7485587242099</v>
      </c>
      <c r="AI36" s="17">
        <f t="shared" si="31"/>
        <v>3190.4736148401989</v>
      </c>
      <c r="AJ36" s="17">
        <f t="shared" si="31"/>
        <v>3350.8433000437808</v>
      </c>
      <c r="AK36" s="17">
        <f t="shared" si="31"/>
        <v>3519.2399295521595</v>
      </c>
      <c r="AL36" s="17">
        <f t="shared" si="31"/>
        <v>3696.0649351810189</v>
      </c>
      <c r="AM36" s="17">
        <f t="shared" si="31"/>
        <v>3881.7398211828331</v>
      </c>
      <c r="AN36" s="17">
        <f t="shared" si="31"/>
        <v>4076.7071678771636</v>
      </c>
      <c r="AO36" s="17">
        <f t="shared" si="31"/>
        <v>4281.4316854625622</v>
      </c>
      <c r="AP36" s="17">
        <f t="shared" ref="AP36:BU36" si="32">+AO36*(1+$AR$42)</f>
        <v>4324.246002317188</v>
      </c>
      <c r="AQ36" s="17">
        <f t="shared" si="32"/>
        <v>4367.4884623403595</v>
      </c>
      <c r="AR36" s="17">
        <f t="shared" si="32"/>
        <v>4411.1633469637636</v>
      </c>
      <c r="AS36" s="17">
        <f t="shared" si="32"/>
        <v>4455.2749804334017</v>
      </c>
      <c r="AT36" s="17">
        <f t="shared" si="32"/>
        <v>4499.8277302377355</v>
      </c>
      <c r="AU36" s="17">
        <f t="shared" si="32"/>
        <v>4544.8260075401131</v>
      </c>
      <c r="AV36" s="17">
        <f t="shared" si="32"/>
        <v>4590.274267615514</v>
      </c>
      <c r="AW36" s="17">
        <f t="shared" si="32"/>
        <v>4636.1770102916689</v>
      </c>
      <c r="AX36" s="17">
        <f t="shared" si="32"/>
        <v>4682.538780394586</v>
      </c>
      <c r="AY36" s="17">
        <f t="shared" si="32"/>
        <v>4729.3641681985318</v>
      </c>
      <c r="AZ36" s="17">
        <f t="shared" si="32"/>
        <v>4776.6578098805176</v>
      </c>
      <c r="BA36" s="17">
        <f t="shared" si="32"/>
        <v>4824.424387979323</v>
      </c>
      <c r="BB36" s="17">
        <f t="shared" si="32"/>
        <v>4872.6686318591164</v>
      </c>
      <c r="BC36" s="17">
        <f t="shared" si="32"/>
        <v>4921.3953181777078</v>
      </c>
      <c r="BD36" s="17">
        <f t="shared" si="32"/>
        <v>4970.6092713594853</v>
      </c>
      <c r="BE36" s="17">
        <f t="shared" si="32"/>
        <v>5020.3153640730798</v>
      </c>
      <c r="BF36" s="17">
        <f t="shared" si="32"/>
        <v>5070.518517713811</v>
      </c>
      <c r="BG36" s="17">
        <f t="shared" si="32"/>
        <v>5121.2237028909494</v>
      </c>
      <c r="BH36" s="17">
        <f t="shared" si="32"/>
        <v>5172.4359399198593</v>
      </c>
      <c r="BI36" s="17">
        <f t="shared" si="32"/>
        <v>5224.1602993190581</v>
      </c>
      <c r="BJ36" s="17">
        <f t="shared" si="32"/>
        <v>5276.4019023122491</v>
      </c>
      <c r="BK36" s="17">
        <f t="shared" si="32"/>
        <v>5329.1659213353714</v>
      </c>
      <c r="BL36" s="17">
        <f t="shared" si="32"/>
        <v>5382.4575805487248</v>
      </c>
      <c r="BM36" s="17">
        <f t="shared" si="32"/>
        <v>5436.282156354212</v>
      </c>
      <c r="BN36" s="17">
        <f t="shared" si="32"/>
        <v>5490.6449779177537</v>
      </c>
      <c r="BO36" s="17">
        <f t="shared" si="32"/>
        <v>5545.5514276969316</v>
      </c>
      <c r="BP36" s="17">
        <f t="shared" si="32"/>
        <v>5601.0069419739011</v>
      </c>
      <c r="BQ36" s="17">
        <f t="shared" si="32"/>
        <v>5657.0170113936401</v>
      </c>
      <c r="BR36" s="17">
        <f t="shared" si="32"/>
        <v>5713.5871815075761</v>
      </c>
      <c r="BS36" s="17">
        <f t="shared" si="32"/>
        <v>5770.723053322652</v>
      </c>
      <c r="BT36" s="17">
        <f t="shared" si="32"/>
        <v>5828.4302838558788</v>
      </c>
      <c r="BU36" s="17">
        <f t="shared" si="32"/>
        <v>5886.7145866944375</v>
      </c>
      <c r="BV36" s="17">
        <f t="shared" ref="BV36:DA36" si="33">+BU36*(1+$AR$42)</f>
        <v>5945.5817325613816</v>
      </c>
      <c r="BW36" s="17">
        <f t="shared" si="33"/>
        <v>6005.0375498869953</v>
      </c>
      <c r="BX36" s="17">
        <f t="shared" si="33"/>
        <v>6065.0879253858657</v>
      </c>
      <c r="BY36" s="17">
        <f t="shared" si="33"/>
        <v>6125.7388046397245</v>
      </c>
      <c r="BZ36" s="17">
        <f t="shared" si="33"/>
        <v>6186.9961926861215</v>
      </c>
      <c r="CA36" s="17">
        <f t="shared" si="33"/>
        <v>6248.8661546129824</v>
      </c>
      <c r="CB36" s="17">
        <f t="shared" si="33"/>
        <v>6311.3548161591125</v>
      </c>
      <c r="CC36" s="17">
        <f t="shared" si="33"/>
        <v>6374.4683643207036</v>
      </c>
      <c r="CD36" s="17">
        <f t="shared" si="33"/>
        <v>6438.2130479639109</v>
      </c>
      <c r="CE36" s="17">
        <f t="shared" si="33"/>
        <v>6502.5951784435501</v>
      </c>
      <c r="CF36" s="17">
        <f t="shared" si="33"/>
        <v>6567.6211302279853</v>
      </c>
      <c r="CG36" s="17">
        <f t="shared" si="33"/>
        <v>6633.2973415302649</v>
      </c>
      <c r="CH36" s="17">
        <f t="shared" si="33"/>
        <v>6699.630314945568</v>
      </c>
      <c r="CI36" s="17">
        <f t="shared" si="33"/>
        <v>6766.6266180950233</v>
      </c>
      <c r="CJ36" s="17">
        <f t="shared" si="33"/>
        <v>6834.2928842759738</v>
      </c>
      <c r="CK36" s="17">
        <f t="shared" si="33"/>
        <v>6902.6358131187335</v>
      </c>
      <c r="CL36" s="17">
        <f t="shared" si="33"/>
        <v>6971.6621712499209</v>
      </c>
      <c r="CM36" s="17">
        <f t="shared" si="33"/>
        <v>7041.3787929624204</v>
      </c>
      <c r="CN36" s="17">
        <f t="shared" si="33"/>
        <v>7111.7925808920445</v>
      </c>
      <c r="CO36" s="17">
        <f t="shared" si="33"/>
        <v>7182.910506700965</v>
      </c>
      <c r="CP36" s="17">
        <f t="shared" si="33"/>
        <v>7254.7396117679746</v>
      </c>
      <c r="CQ36" s="17">
        <f t="shared" si="33"/>
        <v>7327.287007885654</v>
      </c>
      <c r="CR36" s="17">
        <f t="shared" si="33"/>
        <v>7400.5598779645106</v>
      </c>
      <c r="CS36" s="17">
        <f t="shared" si="33"/>
        <v>7474.5654767441556</v>
      </c>
      <c r="CT36" s="17">
        <f t="shared" si="33"/>
        <v>7549.3111315115975</v>
      </c>
      <c r="CU36" s="17">
        <f t="shared" si="33"/>
        <v>7624.8042428267136</v>
      </c>
      <c r="CV36" s="17">
        <f t="shared" si="33"/>
        <v>7701.0522852549811</v>
      </c>
      <c r="CW36" s="17">
        <f t="shared" si="33"/>
        <v>7778.0628081075311</v>
      </c>
      <c r="CX36" s="17">
        <f t="shared" si="33"/>
        <v>7855.8434361886066</v>
      </c>
      <c r="CY36" s="17">
        <f t="shared" si="33"/>
        <v>7934.4018705504923</v>
      </c>
      <c r="CZ36" s="17">
        <f t="shared" si="33"/>
        <v>8013.7458892559971</v>
      </c>
      <c r="DA36" s="17">
        <f t="shared" si="33"/>
        <v>8093.8833481485572</v>
      </c>
      <c r="DB36" s="17">
        <f t="shared" ref="DB36:EG36" si="34">+DA36*(1+$AR$42)</f>
        <v>8174.8221816300429</v>
      </c>
      <c r="DC36" s="17">
        <f t="shared" si="34"/>
        <v>8256.5704034463433</v>
      </c>
      <c r="DD36" s="17">
        <f t="shared" si="34"/>
        <v>8339.1361074808065</v>
      </c>
      <c r="DE36" s="17">
        <f t="shared" si="34"/>
        <v>8422.5274685556142</v>
      </c>
      <c r="DF36" s="17">
        <f t="shared" si="34"/>
        <v>8506.7527432411698</v>
      </c>
      <c r="DG36" s="17">
        <f t="shared" si="34"/>
        <v>8591.820270673581</v>
      </c>
      <c r="DH36" s="17">
        <f t="shared" si="34"/>
        <v>8677.7384733803174</v>
      </c>
      <c r="DI36" s="17">
        <f t="shared" si="34"/>
        <v>8764.5158581141204</v>
      </c>
      <c r="DJ36" s="17">
        <f t="shared" si="34"/>
        <v>8852.1610166952614</v>
      </c>
      <c r="DK36" s="17">
        <f t="shared" si="34"/>
        <v>8940.6826268622135</v>
      </c>
      <c r="DL36" s="17">
        <f t="shared" si="34"/>
        <v>9030.089453130835</v>
      </c>
      <c r="DM36" s="17">
        <f t="shared" si="34"/>
        <v>9120.3903476621435</v>
      </c>
      <c r="DN36" s="17">
        <f t="shared" si="34"/>
        <v>9211.5942511387657</v>
      </c>
      <c r="DO36" s="17">
        <f t="shared" si="34"/>
        <v>9303.7101936501531</v>
      </c>
      <c r="DP36" s="17">
        <f t="shared" si="34"/>
        <v>9396.7472955866542</v>
      </c>
      <c r="DQ36" s="17">
        <f t="shared" si="34"/>
        <v>9490.7147685425207</v>
      </c>
      <c r="DR36" s="17">
        <f t="shared" si="34"/>
        <v>9585.6219162279467</v>
      </c>
      <c r="DS36" s="17">
        <f t="shared" si="34"/>
        <v>9681.4781353902254</v>
      </c>
      <c r="DT36" s="17">
        <f t="shared" si="34"/>
        <v>9778.2929167441271</v>
      </c>
      <c r="DU36" s="17">
        <f t="shared" si="34"/>
        <v>9876.0758459115677</v>
      </c>
      <c r="DV36" s="17">
        <f t="shared" si="34"/>
        <v>9974.8366043706828</v>
      </c>
      <c r="DW36" s="17">
        <f t="shared" si="34"/>
        <v>10074.584970414389</v>
      </c>
      <c r="DX36" s="17">
        <f t="shared" si="34"/>
        <v>10175.330820118534</v>
      </c>
      <c r="DY36" s="17">
        <f t="shared" si="34"/>
        <v>10277.084128319719</v>
      </c>
      <c r="DZ36" s="17">
        <f t="shared" si="34"/>
        <v>10379.854969602917</v>
      </c>
      <c r="EA36" s="17">
        <f t="shared" si="34"/>
        <v>10483.653519298947</v>
      </c>
      <c r="EB36" s="17">
        <f t="shared" si="34"/>
        <v>10588.490054491936</v>
      </c>
      <c r="EC36" s="17">
        <f t="shared" si="34"/>
        <v>10694.374955036856</v>
      </c>
      <c r="ED36" s="17">
        <f t="shared" si="34"/>
        <v>10801.318704587224</v>
      </c>
      <c r="EE36" s="17">
        <f t="shared" si="34"/>
        <v>10909.331891633095</v>
      </c>
      <c r="EF36" s="17">
        <f t="shared" si="34"/>
        <v>11018.425210549427</v>
      </c>
      <c r="EG36" s="17">
        <f t="shared" si="34"/>
        <v>11128.609462654922</v>
      </c>
      <c r="EH36" s="17">
        <f t="shared" ref="EH36:FM36" si="35">+EG36*(1+$AR$42)</f>
        <v>11239.895557281472</v>
      </c>
      <c r="EI36" s="17">
        <f t="shared" si="35"/>
        <v>11352.294512854287</v>
      </c>
      <c r="EJ36" s="17">
        <f t="shared" si="35"/>
        <v>11465.81745798283</v>
      </c>
      <c r="EK36" s="17">
        <f t="shared" si="35"/>
        <v>11580.475632562659</v>
      </c>
      <c r="EL36" s="17">
        <f t="shared" si="35"/>
        <v>11696.280388888285</v>
      </c>
      <c r="EM36" s="17">
        <f t="shared" si="35"/>
        <v>11813.243192777167</v>
      </c>
      <c r="EN36" s="17">
        <f t="shared" si="35"/>
        <v>11931.375624704939</v>
      </c>
      <c r="EO36" s="17">
        <f t="shared" si="35"/>
        <v>12050.689380951988</v>
      </c>
      <c r="EP36" s="17">
        <f t="shared" si="35"/>
        <v>12171.196274761507</v>
      </c>
      <c r="EQ36" s="17">
        <f t="shared" si="35"/>
        <v>12292.908237509122</v>
      </c>
      <c r="ER36" s="17">
        <f t="shared" si="35"/>
        <v>12415.837319884213</v>
      </c>
      <c r="ES36" s="17">
        <f t="shared" si="35"/>
        <v>12539.995693083056</v>
      </c>
      <c r="ET36" s="17">
        <f t="shared" si="35"/>
        <v>12665.395650013887</v>
      </c>
      <c r="EU36" s="17">
        <f t="shared" si="35"/>
        <v>12792.049606514025</v>
      </c>
      <c r="EV36" s="17">
        <f t="shared" si="35"/>
        <v>12919.970102579166</v>
      </c>
      <c r="EW36" s="17">
        <f t="shared" si="35"/>
        <v>13049.169803604957</v>
      </c>
      <c r="EX36" s="17">
        <f t="shared" si="35"/>
        <v>13179.661501641007</v>
      </c>
      <c r="EY36" s="17">
        <f t="shared" si="35"/>
        <v>13311.458116657417</v>
      </c>
      <c r="EZ36" s="17">
        <f t="shared" si="35"/>
        <v>13444.572697823991</v>
      </c>
      <c r="FA36" s="17">
        <f t="shared" si="35"/>
        <v>13579.018424802231</v>
      </c>
      <c r="FB36" s="17">
        <f t="shared" si="35"/>
        <v>13714.808609050253</v>
      </c>
      <c r="FC36" s="17">
        <f t="shared" si="35"/>
        <v>13851.956695140756</v>
      </c>
      <c r="FD36" s="17">
        <f t="shared" si="35"/>
        <v>13990.476262092163</v>
      </c>
      <c r="FE36" s="17">
        <f t="shared" si="35"/>
        <v>14130.381024713084</v>
      </c>
      <c r="FF36" s="17">
        <f t="shared" si="35"/>
        <v>14271.684834960215</v>
      </c>
      <c r="FG36" s="17">
        <f t="shared" si="35"/>
        <v>14414.401683309818</v>
      </c>
      <c r="FH36" s="17">
        <f t="shared" si="35"/>
        <v>14558.545700142917</v>
      </c>
      <c r="FI36" s="17">
        <f t="shared" si="35"/>
        <v>14704.131157144346</v>
      </c>
      <c r="FJ36" s="17">
        <f t="shared" si="35"/>
        <v>14851.172468715789</v>
      </c>
      <c r="FK36" s="17">
        <f t="shared" si="35"/>
        <v>14999.684193402947</v>
      </c>
      <c r="FL36" s="17">
        <f t="shared" si="35"/>
        <v>15149.681035336976</v>
      </c>
      <c r="FM36" s="17">
        <f t="shared" si="35"/>
        <v>15301.177845690347</v>
      </c>
      <c r="FN36" s="17">
        <f t="shared" ref="FN36:GS36" si="36">+FM36*(1+$AR$42)</f>
        <v>15454.18962414725</v>
      </c>
      <c r="FO36" s="17">
        <f t="shared" si="36"/>
        <v>15608.731520388723</v>
      </c>
      <c r="FP36" s="17">
        <f t="shared" si="36"/>
        <v>15764.81883559261</v>
      </c>
      <c r="FQ36" s="17">
        <f t="shared" si="36"/>
        <v>15922.467023948537</v>
      </c>
      <c r="FR36" s="17">
        <f t="shared" si="36"/>
        <v>16081.691694188023</v>
      </c>
      <c r="FS36" s="17">
        <f t="shared" si="36"/>
        <v>16242.508611129902</v>
      </c>
      <c r="FT36" s="17">
        <f t="shared" si="36"/>
        <v>16404.933697241202</v>
      </c>
      <c r="FU36" s="17">
        <f t="shared" si="36"/>
        <v>16568.983034213616</v>
      </c>
      <c r="FV36" s="17">
        <f t="shared" si="36"/>
        <v>16734.672864555752</v>
      </c>
      <c r="FW36" s="17">
        <f t="shared" si="36"/>
        <v>16902.019593201308</v>
      </c>
      <c r="FX36" s="17">
        <f t="shared" si="36"/>
        <v>17071.039789133323</v>
      </c>
      <c r="FY36" s="17">
        <f t="shared" si="36"/>
        <v>17241.750187024656</v>
      </c>
      <c r="FZ36" s="17">
        <f t="shared" si="36"/>
        <v>17414.167688894904</v>
      </c>
      <c r="GA36" s="17">
        <f t="shared" si="36"/>
        <v>17588.309365783854</v>
      </c>
      <c r="GB36" s="17">
        <f t="shared" si="36"/>
        <v>17764.192459441692</v>
      </c>
      <c r="GC36" s="17">
        <f t="shared" si="36"/>
        <v>17941.834384036109</v>
      </c>
      <c r="GD36" s="17">
        <f t="shared" si="36"/>
        <v>18121.252727876468</v>
      </c>
      <c r="GE36" s="17">
        <f t="shared" si="36"/>
        <v>18302.465255155232</v>
      </c>
      <c r="GF36" s="17">
        <f t="shared" si="36"/>
        <v>18485.489907706786</v>
      </c>
      <c r="GG36" s="17">
        <f t="shared" si="36"/>
        <v>18670.344806783854</v>
      </c>
      <c r="GH36" s="17">
        <f t="shared" si="36"/>
        <v>18857.048254851692</v>
      </c>
      <c r="GI36" s="17">
        <f t="shared" si="36"/>
        <v>19045.618737400207</v>
      </c>
      <c r="GJ36" s="17">
        <f t="shared" si="36"/>
        <v>19236.07492477421</v>
      </c>
      <c r="GK36" s="17">
        <f t="shared" si="36"/>
        <v>19428.435674021952</v>
      </c>
      <c r="GL36" s="17">
        <f t="shared" si="36"/>
        <v>19622.720030762172</v>
      </c>
      <c r="GM36" s="17">
        <f t="shared" si="36"/>
        <v>19818.947231069793</v>
      </c>
      <c r="GN36" s="17">
        <f t="shared" si="36"/>
        <v>20017.136703380493</v>
      </c>
      <c r="GO36" s="17">
        <f t="shared" si="36"/>
        <v>20217.308070414299</v>
      </c>
      <c r="GP36" s="17">
        <f t="shared" si="36"/>
        <v>20419.481151118442</v>
      </c>
      <c r="GQ36" s="17">
        <f t="shared" si="36"/>
        <v>20623.675962629626</v>
      </c>
      <c r="GR36" s="17">
        <f t="shared" si="36"/>
        <v>20829.912722255922</v>
      </c>
      <c r="GS36" s="17">
        <f t="shared" si="36"/>
        <v>21038.211849478481</v>
      </c>
      <c r="GT36" s="17">
        <f t="shared" ref="GT36:HY36" si="37">+GS36*(1+$AR$42)</f>
        <v>21248.593967973266</v>
      </c>
      <c r="GU36" s="17">
        <f t="shared" si="37"/>
        <v>21461.079907652998</v>
      </c>
      <c r="GV36" s="17">
        <f t="shared" si="37"/>
        <v>21675.690706729529</v>
      </c>
      <c r="GW36" s="17">
        <f t="shared" si="37"/>
        <v>21892.447613796823</v>
      </c>
      <c r="GX36" s="17">
        <f t="shared" si="37"/>
        <v>22111.37208993479</v>
      </c>
      <c r="GY36" s="17">
        <f t="shared" si="37"/>
        <v>22332.48581083414</v>
      </c>
      <c r="GZ36" s="17">
        <f t="shared" si="37"/>
        <v>22555.810668942482</v>
      </c>
      <c r="HA36" s="17">
        <f t="shared" si="37"/>
        <v>22781.368775631909</v>
      </c>
      <c r="HB36" s="17">
        <f t="shared" si="37"/>
        <v>23009.182463388228</v>
      </c>
      <c r="HC36" s="17">
        <f t="shared" si="37"/>
        <v>23239.274288022112</v>
      </c>
      <c r="HD36" s="17">
        <f t="shared" si="37"/>
        <v>23471.667030902332</v>
      </c>
      <c r="HE36" s="17">
        <f t="shared" si="37"/>
        <v>23706.383701211354</v>
      </c>
      <c r="HF36" s="17">
        <f t="shared" si="37"/>
        <v>23943.447538223467</v>
      </c>
      <c r="HG36" s="17">
        <f t="shared" si="37"/>
        <v>24182.8820136057</v>
      </c>
      <c r="HH36" s="17">
        <f t="shared" si="37"/>
        <v>24424.710833741756</v>
      </c>
      <c r="HI36" s="17">
        <f t="shared" si="37"/>
        <v>24668.957942079174</v>
      </c>
      <c r="HJ36" s="17">
        <f t="shared" si="37"/>
        <v>24915.647521499966</v>
      </c>
      <c r="HK36" s="17">
        <f t="shared" si="37"/>
        <v>25164.803996714967</v>
      </c>
      <c r="HL36" s="17">
        <f t="shared" si="37"/>
        <v>25416.452036682116</v>
      </c>
      <c r="HM36" s="17">
        <f t="shared" si="37"/>
        <v>25670.616557048939</v>
      </c>
      <c r="HN36" s="17">
        <f t="shared" si="37"/>
        <v>25927.322722619429</v>
      </c>
      <c r="HO36" s="17">
        <f t="shared" si="37"/>
        <v>26186.595949845621</v>
      </c>
      <c r="HP36" s="17">
        <f t="shared" si="37"/>
        <v>26448.461909344078</v>
      </c>
      <c r="HQ36" s="17">
        <f t="shared" si="37"/>
        <v>26712.946528437518</v>
      </c>
      <c r="HR36" s="17">
        <f t="shared" si="37"/>
        <v>26980.075993721894</v>
      </c>
      <c r="HS36" s="17">
        <f t="shared" si="37"/>
        <v>27249.876753659111</v>
      </c>
      <c r="HT36" s="17">
        <f t="shared" si="37"/>
        <v>27522.375521195703</v>
      </c>
      <c r="HU36" s="17">
        <f t="shared" si="37"/>
        <v>27797.599276407662</v>
      </c>
      <c r="HV36" s="17">
        <f t="shared" si="37"/>
        <v>28075.575269171739</v>
      </c>
      <c r="HW36" s="17">
        <f t="shared" si="37"/>
        <v>28356.331021863458</v>
      </c>
      <c r="HX36" s="17">
        <f t="shared" si="37"/>
        <v>28639.894332082094</v>
      </c>
      <c r="HY36" s="17">
        <f t="shared" si="37"/>
        <v>28926.293275402917</v>
      </c>
      <c r="HZ36" s="17">
        <f t="shared" ref="HZ36:IG36" si="38">+HY36*(1+$AR$42)</f>
        <v>29215.556208156948</v>
      </c>
      <c r="IA36" s="17">
        <f t="shared" si="38"/>
        <v>29507.711770238519</v>
      </c>
      <c r="IB36" s="17">
        <f t="shared" si="38"/>
        <v>29802.788887940904</v>
      </c>
      <c r="IC36" s="17">
        <f t="shared" si="38"/>
        <v>30100.816776820313</v>
      </c>
      <c r="ID36" s="17">
        <f t="shared" si="38"/>
        <v>30401.824944588516</v>
      </c>
      <c r="IE36" s="17">
        <f t="shared" si="38"/>
        <v>30705.843194034402</v>
      </c>
      <c r="IF36" s="17">
        <f t="shared" si="38"/>
        <v>31012.901625974748</v>
      </c>
      <c r="IG36" s="17">
        <f t="shared" si="38"/>
        <v>31323.030642234495</v>
      </c>
    </row>
    <row r="37" spans="3:241" outlineLevel="1"/>
    <row r="38" spans="3:241" outlineLevel="1">
      <c r="C38" s="17" t="s">
        <v>123</v>
      </c>
      <c r="D38" s="17"/>
      <c r="E38" s="17"/>
      <c r="F38" s="17"/>
      <c r="G38" s="17"/>
    </row>
    <row r="39" spans="3:241" s="13" customFormat="1" outlineLevel="1">
      <c r="C39" s="11" t="s">
        <v>18</v>
      </c>
      <c r="D39" s="47"/>
      <c r="E39" s="47"/>
      <c r="F39" s="47"/>
      <c r="G39" s="47"/>
      <c r="H39" s="42">
        <f t="shared" ref="H39:H43" si="39">+H14/D14-1</f>
        <v>2.5388601036269387E-2</v>
      </c>
      <c r="I39" s="42">
        <f t="shared" ref="I39:I43" si="40">+I14/E14-1</f>
        <v>0.20297029702970293</v>
      </c>
      <c r="J39" s="42">
        <f t="shared" ref="J39:J43" si="41">+J14/F14-1</f>
        <v>3.8379530916844429E-2</v>
      </c>
      <c r="K39" s="42">
        <f t="shared" ref="K39:K43" si="42">+K14/G14-1</f>
        <v>-1.9490254872563728E-2</v>
      </c>
      <c r="L39" s="42">
        <f t="shared" ref="L39:P43" si="43">+L14/H14-1</f>
        <v>5.4573016675088404E-2</v>
      </c>
      <c r="M39" s="42">
        <f t="shared" si="43"/>
        <v>-0.21922933034044145</v>
      </c>
      <c r="N39" s="42">
        <f t="shared" si="43"/>
        <v>-0.35318275154004108</v>
      </c>
      <c r="O39" s="42">
        <f t="shared" si="43"/>
        <v>0.53440366972477071</v>
      </c>
      <c r="P39" s="42">
        <f t="shared" si="43"/>
        <v>-8.6248203162434534E-3</v>
      </c>
      <c r="Q39" s="42"/>
      <c r="R39" s="42">
        <f>+R14/N14-1</f>
        <v>0.86031746031746037</v>
      </c>
      <c r="S39" s="14"/>
      <c r="Z39" s="42"/>
      <c r="AA39" s="42"/>
      <c r="AB39" s="42"/>
      <c r="AC39" s="42">
        <f t="shared" ref="AC39:AF43" si="44">+AC14/AB14-1</f>
        <v>5.9985760056959769E-2</v>
      </c>
      <c r="AD39" s="42">
        <f t="shared" si="44"/>
        <v>8.2619647355163695E-2</v>
      </c>
      <c r="AE39" s="42">
        <f t="shared" si="44"/>
        <v>7.6004343105320338E-3</v>
      </c>
      <c r="AF39" s="42">
        <f t="shared" si="44"/>
        <v>4.4316396018857729E-2</v>
      </c>
    </row>
    <row r="40" spans="3:241" s="13" customFormat="1" outlineLevel="1">
      <c r="C40" s="11" t="s">
        <v>19</v>
      </c>
      <c r="D40" s="47"/>
      <c r="E40" s="47"/>
      <c r="F40" s="47"/>
      <c r="G40" s="47"/>
      <c r="H40" s="42">
        <f t="shared" si="39"/>
        <v>0.56395348837209291</v>
      </c>
      <c r="I40" s="42">
        <f t="shared" si="40"/>
        <v>-4.0519877675840976E-2</v>
      </c>
      <c r="J40" s="42">
        <f t="shared" si="41"/>
        <v>-7.8048780487804836E-2</v>
      </c>
      <c r="K40" s="42">
        <f t="shared" si="42"/>
        <v>0.15999999999999992</v>
      </c>
      <c r="L40" s="42">
        <f t="shared" si="43"/>
        <v>8.5501858736059422E-2</v>
      </c>
      <c r="M40" s="42">
        <f t="shared" si="43"/>
        <v>-0.76733067729083659</v>
      </c>
      <c r="N40" s="42">
        <f t="shared" si="43"/>
        <v>-0.13227513227513232</v>
      </c>
      <c r="O40" s="42">
        <f t="shared" si="43"/>
        <v>7.1310344827586203</v>
      </c>
      <c r="P40" s="42">
        <f t="shared" si="43"/>
        <v>4.4520547945205546E-2</v>
      </c>
      <c r="Q40" s="42">
        <f>+Q15/M15-1</f>
        <v>3.3047945205479454</v>
      </c>
      <c r="R40" s="42">
        <f>+R15/N15-1</f>
        <v>-7.3170731707317027E-2</v>
      </c>
      <c r="S40" s="14"/>
      <c r="Z40" s="42"/>
      <c r="AA40" s="42"/>
      <c r="AB40" s="42"/>
      <c r="AC40" s="42">
        <f t="shared" si="44"/>
        <v>0.15433673469387754</v>
      </c>
      <c r="AD40" s="42">
        <f t="shared" si="44"/>
        <v>2.6519337016574607E-2</v>
      </c>
      <c r="AE40" s="42">
        <f t="shared" si="44"/>
        <v>3.7136706135629804E-2</v>
      </c>
      <c r="AF40" s="42">
        <f t="shared" si="44"/>
        <v>4.4316396018857951E-2</v>
      </c>
    </row>
    <row r="41" spans="3:241" s="13" customFormat="1" outlineLevel="1">
      <c r="C41" s="11" t="s">
        <v>20</v>
      </c>
      <c r="D41" s="47"/>
      <c r="E41" s="47"/>
      <c r="F41" s="47"/>
      <c r="G41" s="47"/>
      <c r="H41" s="42">
        <f t="shared" si="39"/>
        <v>8.6642599277978238E-2</v>
      </c>
      <c r="I41" s="42">
        <f t="shared" si="40"/>
        <v>-0.21138211382113825</v>
      </c>
      <c r="J41" s="42">
        <f t="shared" si="41"/>
        <v>0.14516129032258074</v>
      </c>
      <c r="K41" s="42">
        <f t="shared" si="42"/>
        <v>5.9701492537313383E-2</v>
      </c>
      <c r="L41" s="42">
        <f t="shared" si="43"/>
        <v>-0.18604651162790697</v>
      </c>
      <c r="M41" s="42">
        <f t="shared" si="43"/>
        <v>0.26288659793814428</v>
      </c>
      <c r="N41" s="42">
        <f t="shared" si="43"/>
        <v>-4.9295774647887369E-2</v>
      </c>
      <c r="O41" s="42">
        <f t="shared" si="43"/>
        <v>-0.60563380281690149</v>
      </c>
      <c r="P41" s="42">
        <f t="shared" si="43"/>
        <v>-8.9795918367346905E-2</v>
      </c>
      <c r="Q41" s="42">
        <f>+Q16/M16-1</f>
        <v>-0.24081632653061225</v>
      </c>
      <c r="R41" s="42">
        <f>+R16/N16-1</f>
        <v>4.4444444444444509E-2</v>
      </c>
      <c r="S41" s="14"/>
      <c r="Z41" s="42"/>
      <c r="AA41" s="42"/>
      <c r="AB41" s="42"/>
      <c r="AC41" s="42">
        <f t="shared" si="44"/>
        <v>-5.0531914893616969E-2</v>
      </c>
      <c r="AD41" s="42">
        <f t="shared" si="44"/>
        <v>-8.4033613445377853E-3</v>
      </c>
      <c r="AE41" s="42">
        <f t="shared" si="44"/>
        <v>-7.7683615819209018E-2</v>
      </c>
      <c r="AF41" s="42">
        <f t="shared" si="44"/>
        <v>4.4316396018857951E-2</v>
      </c>
      <c r="AQ41" s="19" t="s">
        <v>79</v>
      </c>
      <c r="AR41" s="20">
        <v>0.04</v>
      </c>
    </row>
    <row r="42" spans="3:241" s="13" customFormat="1" outlineLevel="1">
      <c r="C42" s="11" t="s">
        <v>21</v>
      </c>
      <c r="D42" s="47"/>
      <c r="E42" s="47"/>
      <c r="F42" s="47"/>
      <c r="G42" s="47"/>
      <c r="H42" s="42">
        <f t="shared" si="39"/>
        <v>6.8965517241379448E-3</v>
      </c>
      <c r="I42" s="42">
        <f t="shared" si="40"/>
        <v>-0.16959064327485385</v>
      </c>
      <c r="J42" s="42">
        <f t="shared" si="41"/>
        <v>-6.25E-2</v>
      </c>
      <c r="K42" s="42">
        <f t="shared" si="42"/>
        <v>-7.4999999999999956E-2</v>
      </c>
      <c r="L42" s="42">
        <f t="shared" si="43"/>
        <v>-0.13013698630136983</v>
      </c>
      <c r="M42" s="42">
        <f t="shared" si="43"/>
        <v>-0.10563380281690138</v>
      </c>
      <c r="N42" s="42">
        <f t="shared" si="43"/>
        <v>0.28333333333333344</v>
      </c>
      <c r="O42" s="42">
        <f t="shared" si="43"/>
        <v>0.2432432432432432</v>
      </c>
      <c r="P42" s="42">
        <f t="shared" si="43"/>
        <v>-0.13385826771653542</v>
      </c>
      <c r="Q42" s="42">
        <f>+Q17/M17-1</f>
        <v>4.7244094488188892E-2</v>
      </c>
      <c r="R42" s="42">
        <f>+R17/N17-1</f>
        <v>-0.50649350649350655</v>
      </c>
      <c r="S42" s="14"/>
      <c r="Z42" s="42"/>
      <c r="AA42" s="42"/>
      <c r="AB42" s="42"/>
      <c r="AC42" s="42">
        <f t="shared" si="44"/>
        <v>7.7586206896551824E-2</v>
      </c>
      <c r="AD42" s="42">
        <f t="shared" si="44"/>
        <v>-8.1999999999999962E-2</v>
      </c>
      <c r="AE42" s="42">
        <f t="shared" si="44"/>
        <v>2.1786492374727739E-2</v>
      </c>
      <c r="AF42" s="42">
        <f t="shared" si="44"/>
        <v>4.4316396018857951E-2</v>
      </c>
      <c r="AQ42" s="21" t="s">
        <v>76</v>
      </c>
      <c r="AR42" s="22">
        <v>0.01</v>
      </c>
    </row>
    <row r="43" spans="3:241" s="13" customFormat="1" outlineLevel="1">
      <c r="C43" s="17" t="s">
        <v>34</v>
      </c>
      <c r="D43" s="48"/>
      <c r="E43" s="48"/>
      <c r="F43" s="48"/>
      <c r="G43" s="48"/>
      <c r="H43" s="42">
        <f t="shared" si="39"/>
        <v>6.7749603803486602E-2</v>
      </c>
      <c r="I43" s="42">
        <f t="shared" si="40"/>
        <v>8.0314162655181098E-2</v>
      </c>
      <c r="J43" s="42">
        <f t="shared" si="41"/>
        <v>1.8561484918793614E-2</v>
      </c>
      <c r="K43" s="42">
        <f t="shared" si="42"/>
        <v>-6.6828675577156327E-3</v>
      </c>
      <c r="L43" s="42">
        <f t="shared" si="43"/>
        <v>2.0779220779220786E-2</v>
      </c>
      <c r="M43" s="42">
        <f t="shared" si="43"/>
        <v>-0.35483114446529085</v>
      </c>
      <c r="N43" s="42">
        <f t="shared" si="43"/>
        <v>-0.21298405466970383</v>
      </c>
      <c r="O43" s="42">
        <f t="shared" si="43"/>
        <v>1.0501529051987766</v>
      </c>
      <c r="P43" s="42">
        <f t="shared" si="43"/>
        <v>-1.5994183933115247E-2</v>
      </c>
      <c r="Q43" s="42">
        <f>+Q18/M18-1</f>
        <v>0.64921846601235922</v>
      </c>
      <c r="R43" s="42">
        <f>+R18/N18-1</f>
        <v>0.32706222865412449</v>
      </c>
      <c r="S43" s="14"/>
      <c r="Z43" s="42"/>
      <c r="AA43" s="42"/>
      <c r="AB43" s="42"/>
      <c r="AC43" s="42">
        <f t="shared" si="44"/>
        <v>6.8674125208283643E-2</v>
      </c>
      <c r="AD43" s="42">
        <f t="shared" si="44"/>
        <v>5.4905891524668737E-2</v>
      </c>
      <c r="AE43" s="42">
        <f t="shared" si="44"/>
        <v>7.7069256756756577E-3</v>
      </c>
      <c r="AF43" s="42">
        <f t="shared" si="44"/>
        <v>4.4316396018857951E-2</v>
      </c>
      <c r="AQ43" s="23" t="s">
        <v>77</v>
      </c>
      <c r="AR43" s="22">
        <v>0.08</v>
      </c>
    </row>
    <row r="44" spans="3:241" s="13" customFormat="1" outlineLevel="1">
      <c r="C44" s="11" t="s">
        <v>22</v>
      </c>
      <c r="D44" s="47"/>
      <c r="E44" s="47"/>
      <c r="F44" s="47"/>
      <c r="G44" s="47"/>
      <c r="H44" s="42">
        <f t="shared" ref="H44:H46" si="45">+H20/D20-1</f>
        <v>3.070539419087126E-2</v>
      </c>
      <c r="I44" s="42">
        <f t="shared" ref="I44:I46" si="46">+I20/E20-1</f>
        <v>-0.19444444444444442</v>
      </c>
      <c r="J44" s="42">
        <f t="shared" ref="J44:J46" si="47">+J20/F20-1</f>
        <v>-0.21860019175455414</v>
      </c>
      <c r="K44" s="42">
        <f t="shared" ref="K44:K46" si="48">+K20/G20-1</f>
        <v>-0.11438784629133159</v>
      </c>
      <c r="L44" s="42">
        <f t="shared" ref="L44:R46" si="49">+L20/H20-1</f>
        <v>-0.28663446054750408</v>
      </c>
      <c r="M44" s="42">
        <f t="shared" si="49"/>
        <v>-0.10141987829614607</v>
      </c>
      <c r="N44" s="42">
        <f t="shared" si="49"/>
        <v>-9.6932515337423308E-2</v>
      </c>
      <c r="O44" s="42">
        <f t="shared" si="49"/>
        <v>0.1009081735620585</v>
      </c>
      <c r="P44" s="42">
        <f t="shared" si="49"/>
        <v>-2.9345372460496622E-2</v>
      </c>
      <c r="Q44" s="42">
        <f t="shared" si="49"/>
        <v>0.12302483069977432</v>
      </c>
      <c r="R44" s="42">
        <f t="shared" si="49"/>
        <v>0.10461956521739135</v>
      </c>
      <c r="S44" s="14"/>
      <c r="Z44" s="42"/>
      <c r="AA44" s="42"/>
      <c r="AB44" s="42"/>
      <c r="AC44" s="42">
        <f t="shared" ref="AC44:AF46" si="50">+AC20/AB20-1</f>
        <v>0.20340760157273929</v>
      </c>
      <c r="AD44" s="42">
        <f t="shared" si="50"/>
        <v>-0.12132433021128297</v>
      </c>
      <c r="AE44" s="42">
        <f t="shared" si="50"/>
        <v>-0.1078334159643034</v>
      </c>
      <c r="AF44" s="42">
        <f t="shared" si="50"/>
        <v>-9.9999999999999978E-2</v>
      </c>
      <c r="AQ44" s="24" t="s">
        <v>78</v>
      </c>
      <c r="AR44" s="25">
        <f>NPV(AR43,AF36:IG36)</f>
        <v>51174.304400438989</v>
      </c>
    </row>
    <row r="45" spans="3:241" s="13" customFormat="1" outlineLevel="1">
      <c r="C45" s="11" t="s">
        <v>33</v>
      </c>
      <c r="D45" s="47"/>
      <c r="E45" s="47"/>
      <c r="F45" s="47"/>
      <c r="G45" s="47"/>
      <c r="H45" s="42">
        <f t="shared" si="45"/>
        <v>-2.1531100478468845E-2</v>
      </c>
      <c r="I45" s="42">
        <f t="shared" si="46"/>
        <v>-0.32995951417004044</v>
      </c>
      <c r="J45" s="42">
        <f t="shared" si="47"/>
        <v>0.14600550964187331</v>
      </c>
      <c r="K45" s="42">
        <f t="shared" si="48"/>
        <v>-0.20503597122302153</v>
      </c>
      <c r="L45" s="42">
        <f t="shared" si="49"/>
        <v>-8.801955990220045E-2</v>
      </c>
      <c r="M45" s="42">
        <f t="shared" si="49"/>
        <v>0.12688821752265866</v>
      </c>
      <c r="N45" s="42">
        <f t="shared" si="49"/>
        <v>5.0480769230769162E-2</v>
      </c>
      <c r="O45" s="42">
        <f t="shared" si="49"/>
        <v>0.20361990950226239</v>
      </c>
      <c r="P45" s="42">
        <f t="shared" si="49"/>
        <v>-9.919571045576403E-2</v>
      </c>
      <c r="Q45" s="42">
        <f t="shared" si="49"/>
        <v>0.16890080428954413</v>
      </c>
      <c r="R45" s="42">
        <f t="shared" si="49"/>
        <v>-6.4073226544622441E-2</v>
      </c>
      <c r="S45" s="14"/>
      <c r="Z45" s="42"/>
      <c r="AA45" s="42"/>
      <c r="AB45" s="42"/>
      <c r="AC45" s="42">
        <f t="shared" si="50"/>
        <v>5.838150289017352E-2</v>
      </c>
      <c r="AD45" s="42">
        <f t="shared" si="50"/>
        <v>-0.12725286728563623</v>
      </c>
      <c r="AE45" s="42">
        <f t="shared" si="50"/>
        <v>7.3216520650813521E-2</v>
      </c>
      <c r="AF45" s="42">
        <f t="shared" si="50"/>
        <v>7.0000000000000062E-2</v>
      </c>
      <c r="AQ45" s="21" t="s">
        <v>80</v>
      </c>
      <c r="AR45" s="26">
        <f>+Main!K9</f>
        <v>675.73199999999997</v>
      </c>
    </row>
    <row r="46" spans="3:241" s="13" customFormat="1" outlineLevel="1">
      <c r="C46" s="11" t="s">
        <v>23</v>
      </c>
      <c r="D46" s="47"/>
      <c r="E46" s="47"/>
      <c r="F46" s="47"/>
      <c r="G46" s="47"/>
      <c r="H46" s="42">
        <f t="shared" si="45"/>
        <v>0.18092105263157898</v>
      </c>
      <c r="I46" s="42">
        <f t="shared" si="46"/>
        <v>-0.4375</v>
      </c>
      <c r="J46" s="42">
        <f t="shared" si="47"/>
        <v>-0.46318289786223277</v>
      </c>
      <c r="K46" s="42">
        <f t="shared" si="48"/>
        <v>-7.2202166064981865E-3</v>
      </c>
      <c r="L46" s="42">
        <f t="shared" si="49"/>
        <v>-0.17827298050139273</v>
      </c>
      <c r="M46" s="42">
        <f t="shared" si="49"/>
        <v>0.17063492063492069</v>
      </c>
      <c r="N46" s="42">
        <f t="shared" si="49"/>
        <v>-4.4247787610619427E-2</v>
      </c>
      <c r="O46" s="42">
        <f t="shared" si="49"/>
        <v>0</v>
      </c>
      <c r="P46" s="42">
        <f t="shared" si="49"/>
        <v>3.050847457627115E-2</v>
      </c>
      <c r="Q46" s="42">
        <f t="shared" si="49"/>
        <v>0.15932203389830502</v>
      </c>
      <c r="R46" s="42">
        <f t="shared" si="49"/>
        <v>2.7777777777777679E-2</v>
      </c>
      <c r="S46" s="14"/>
      <c r="Z46" s="42"/>
      <c r="AA46" s="42"/>
      <c r="AB46" s="42"/>
      <c r="AC46" s="42">
        <f t="shared" si="50"/>
        <v>0.10687022900763354</v>
      </c>
      <c r="AD46" s="42">
        <f t="shared" si="50"/>
        <v>-0.23310344827586205</v>
      </c>
      <c r="AE46" s="42">
        <f t="shared" si="50"/>
        <v>-2.7877697841726667E-2</v>
      </c>
      <c r="AF46" s="42">
        <f t="shared" si="50"/>
        <v>-4.0000000000000036E-2</v>
      </c>
      <c r="AQ46" s="27" t="s">
        <v>81</v>
      </c>
      <c r="AR46" s="28">
        <f>+AR44/AR45</f>
        <v>75.731657521678699</v>
      </c>
    </row>
    <row r="47" spans="3:241" s="29" customFormat="1" outlineLevel="1">
      <c r="C47" s="11" t="s">
        <v>32</v>
      </c>
      <c r="D47" s="47"/>
      <c r="E47" s="47"/>
      <c r="F47" s="47"/>
      <c r="G47" s="47"/>
      <c r="H47" s="42">
        <f t="shared" ref="H47:H48" si="51">+H24/D24-1</f>
        <v>0.19333333333333336</v>
      </c>
      <c r="I47" s="42">
        <f t="shared" ref="I47:I48" si="52">+I24/E24-1</f>
        <v>0.52517985611510798</v>
      </c>
      <c r="J47" s="42">
        <f t="shared" ref="J47:J48" si="53">+J24/F24-1</f>
        <v>1.8977272727272729</v>
      </c>
      <c r="K47" s="42">
        <f t="shared" ref="K47:K48" si="54">+K24/G24-1</f>
        <v>0.6035242290748899</v>
      </c>
      <c r="L47" s="42">
        <f t="shared" ref="L47:R48" si="55">+L24/H24-1</f>
        <v>4.4692737430167551E-2</v>
      </c>
      <c r="M47" s="42">
        <f t="shared" si="55"/>
        <v>-0.50471698113207553</v>
      </c>
      <c r="N47" s="42">
        <f t="shared" si="55"/>
        <v>-0.56470588235294117</v>
      </c>
      <c r="O47" s="42">
        <f t="shared" si="55"/>
        <v>0.55219780219780223</v>
      </c>
      <c r="P47" s="42">
        <f t="shared" si="55"/>
        <v>-0.3262032085561497</v>
      </c>
      <c r="Q47" s="42">
        <f t="shared" si="55"/>
        <v>-0.53333333333333333</v>
      </c>
      <c r="R47" s="42">
        <f t="shared" si="55"/>
        <v>-9.009009009009028E-3</v>
      </c>
      <c r="S47" s="14"/>
      <c r="Z47" s="42"/>
      <c r="AA47" s="42"/>
      <c r="AB47" s="42"/>
      <c r="AC47" s="42">
        <f t="shared" ref="AC47:AF48" si="56">+AC24/AB24-1</f>
        <v>0.51758793969849237</v>
      </c>
      <c r="AD47" s="42">
        <f t="shared" si="56"/>
        <v>0.67218543046357615</v>
      </c>
      <c r="AE47" s="42">
        <f t="shared" si="56"/>
        <v>-4.1584158415841621E-2</v>
      </c>
      <c r="AF47" s="42">
        <f t="shared" si="56"/>
        <v>-3.0000000000000027E-2</v>
      </c>
      <c r="AG47" s="13"/>
      <c r="AH47" s="13"/>
      <c r="AI47" s="13"/>
      <c r="AJ47" s="13"/>
      <c r="AK47" s="13"/>
      <c r="AL47" s="13"/>
      <c r="AM47" s="13"/>
      <c r="AN47" s="13"/>
      <c r="AO47" s="13"/>
      <c r="AQ47" s="23" t="s">
        <v>82</v>
      </c>
      <c r="AR47" s="30">
        <f>+Main!K8</f>
        <v>65.540000000000006</v>
      </c>
    </row>
    <row r="48" spans="3:241" outlineLevel="1">
      <c r="C48" s="11" t="s">
        <v>36</v>
      </c>
      <c r="D48" s="47"/>
      <c r="E48" s="47"/>
      <c r="F48" s="47"/>
      <c r="G48" s="47"/>
      <c r="H48" s="42">
        <f t="shared" si="51"/>
        <v>5.3923928743379923E-2</v>
      </c>
      <c r="I48" s="42">
        <f t="shared" si="52"/>
        <v>-0.22733188720173536</v>
      </c>
      <c r="J48" s="42">
        <f t="shared" si="53"/>
        <v>-0.10600522193211492</v>
      </c>
      <c r="K48" s="42">
        <f t="shared" si="54"/>
        <v>-4.9105094079853195E-2</v>
      </c>
      <c r="L48" s="42">
        <f t="shared" si="55"/>
        <v>-0.20465966194609408</v>
      </c>
      <c r="M48" s="42">
        <f t="shared" si="55"/>
        <v>-2.245929253228518E-2</v>
      </c>
      <c r="N48" s="42">
        <f t="shared" si="55"/>
        <v>-4.4976635514018648E-2</v>
      </c>
      <c r="O48" s="42">
        <f t="shared" si="55"/>
        <v>8.3976833976834087E-2</v>
      </c>
      <c r="P48" s="42">
        <f t="shared" si="55"/>
        <v>-1.7805858701895438E-2</v>
      </c>
      <c r="Q48" s="42">
        <f t="shared" si="55"/>
        <v>0.10224009190120631</v>
      </c>
      <c r="R48" s="42">
        <f t="shared" si="55"/>
        <v>4.0366972477064111E-2</v>
      </c>
      <c r="S48" s="14"/>
      <c r="Z48" s="42"/>
      <c r="AA48" s="42"/>
      <c r="AB48" s="42"/>
      <c r="AC48" s="42">
        <f t="shared" si="56"/>
        <v>0.16861988142837436</v>
      </c>
      <c r="AD48" s="42">
        <f t="shared" si="56"/>
        <v>-8.5181689476167999E-2</v>
      </c>
      <c r="AE48" s="42">
        <f t="shared" si="56"/>
        <v>-5.0425586793912847E-2</v>
      </c>
      <c r="AF48" s="42">
        <f t="shared" si="56"/>
        <v>-4.2391688170582698E-2</v>
      </c>
      <c r="AG48" s="13"/>
      <c r="AH48" s="13"/>
      <c r="AI48" s="13"/>
      <c r="AJ48" s="13"/>
      <c r="AK48" s="13"/>
      <c r="AL48" s="13"/>
      <c r="AM48" s="13"/>
      <c r="AN48" s="13"/>
      <c r="AO48" s="13"/>
      <c r="AQ48" s="31" t="s">
        <v>83</v>
      </c>
      <c r="AR48" s="32">
        <f>+AR46/AR47-1</f>
        <v>0.15550286117910739</v>
      </c>
    </row>
    <row r="49" spans="3:44" outlineLevel="1">
      <c r="C49" s="11" t="s">
        <v>75</v>
      </c>
      <c r="D49" s="47"/>
      <c r="E49" s="47"/>
      <c r="F49" s="47"/>
      <c r="G49" s="47"/>
      <c r="H49" s="42">
        <f t="shared" ref="H49" si="57">+H27/D27-1</f>
        <v>6.1508367746142101E-2</v>
      </c>
      <c r="I49" s="42">
        <f t="shared" ref="I49" si="58">+I27/E27-1</f>
        <v>-3.3109404990403046E-2</v>
      </c>
      <c r="J49" s="42">
        <f t="shared" ref="J49" si="59">+J27/F27-1</f>
        <v>-6.7338854879366195E-2</v>
      </c>
      <c r="K49" s="42">
        <f t="shared" ref="K49" si="60">+K27/G27-1</f>
        <v>-3.0849673202614336E-2</v>
      </c>
      <c r="L49" s="42">
        <f t="shared" ref="L49:R49" si="61">+L27/H27-1</f>
        <v>-8.026208026208026E-2</v>
      </c>
      <c r="M49" s="42">
        <f t="shared" si="61"/>
        <v>-0.25690653432588917</v>
      </c>
      <c r="N49" s="42">
        <f t="shared" si="61"/>
        <v>-0.1019305019305019</v>
      </c>
      <c r="O49" s="42">
        <f t="shared" si="61"/>
        <v>0.510115996762881</v>
      </c>
      <c r="P49" s="42">
        <f t="shared" si="61"/>
        <v>-1.6696349065004501E-2</v>
      </c>
      <c r="Q49" s="42">
        <f t="shared" si="61"/>
        <v>0.43722172751558319</v>
      </c>
      <c r="R49" s="42">
        <f t="shared" si="61"/>
        <v>0.12553740326741192</v>
      </c>
      <c r="S49" s="14"/>
      <c r="Z49" s="42">
        <f t="shared" ref="Z49:AO49" si="62">+Z27/Y27-1</f>
        <v>-3.0867221950024448E-2</v>
      </c>
      <c r="AA49" s="42">
        <f t="shared" si="62"/>
        <v>2.6794742163801732E-2</v>
      </c>
      <c r="AB49" s="42">
        <f t="shared" si="62"/>
        <v>0.10114651473587966</v>
      </c>
      <c r="AC49" s="42">
        <f t="shared" si="62"/>
        <v>0.11497923985946978</v>
      </c>
      <c r="AD49" s="42">
        <f t="shared" si="62"/>
        <v>-1.3119450014322576E-2</v>
      </c>
      <c r="AE49" s="42">
        <f t="shared" si="62"/>
        <v>-1.846046673632884E-2</v>
      </c>
      <c r="AF49" s="42">
        <f t="shared" si="62"/>
        <v>5.2756091790868043E-2</v>
      </c>
      <c r="AG49" s="13">
        <f t="shared" si="62"/>
        <v>5.0000000000000044E-2</v>
      </c>
      <c r="AH49" s="13">
        <f t="shared" si="62"/>
        <v>5.0000000000000044E-2</v>
      </c>
      <c r="AI49" s="13">
        <f t="shared" si="62"/>
        <v>5.0000000000000044E-2</v>
      </c>
      <c r="AJ49" s="13">
        <f t="shared" si="62"/>
        <v>5.0000000000000044E-2</v>
      </c>
      <c r="AK49" s="13">
        <f t="shared" si="62"/>
        <v>5.0000000000000044E-2</v>
      </c>
      <c r="AL49" s="13">
        <f t="shared" si="62"/>
        <v>5.0000000000000044E-2</v>
      </c>
      <c r="AM49" s="13">
        <f t="shared" si="62"/>
        <v>5.0000000000000044E-2</v>
      </c>
      <c r="AN49" s="13">
        <f t="shared" si="62"/>
        <v>5.0000000000000044E-2</v>
      </c>
      <c r="AO49" s="13">
        <f t="shared" si="62"/>
        <v>5.0000000000000044E-2</v>
      </c>
    </row>
    <row r="50" spans="3:44" outlineLevel="1"/>
    <row r="51" spans="3:44" s="13" customFormat="1" outlineLevel="1">
      <c r="C51" s="13" t="s">
        <v>37</v>
      </c>
      <c r="D51" s="14">
        <f t="shared" ref="D51:H51" si="63">+(D27-D28)/D27</f>
        <v>0.40795479243642685</v>
      </c>
      <c r="E51" s="14">
        <f t="shared" si="63"/>
        <v>0.46849008317338453</v>
      </c>
      <c r="F51" s="14">
        <f t="shared" si="63"/>
        <v>0.32337054375225061</v>
      </c>
      <c r="G51" s="14">
        <f t="shared" si="63"/>
        <v>0.34379084967320261</v>
      </c>
      <c r="H51" s="14">
        <f t="shared" ref="H51:R51" si="64">+(H27-H28)/H27</f>
        <v>0.43263718263718265</v>
      </c>
      <c r="I51" s="14">
        <f t="shared" si="64"/>
        <v>0.48105872622001655</v>
      </c>
      <c r="J51" s="14">
        <f t="shared" si="64"/>
        <v>0.36447876447876448</v>
      </c>
      <c r="K51" s="14">
        <f t="shared" si="64"/>
        <v>0.36174804424062584</v>
      </c>
      <c r="L51" s="14">
        <f t="shared" si="64"/>
        <v>0.43232413178984863</v>
      </c>
      <c r="M51" s="14">
        <f t="shared" si="64"/>
        <v>0.3504007123775601</v>
      </c>
      <c r="N51" s="14">
        <f t="shared" si="64"/>
        <v>0.32717110920034392</v>
      </c>
      <c r="O51" s="14">
        <f t="shared" si="64"/>
        <v>0.55412647374062163</v>
      </c>
      <c r="P51" s="14">
        <f t="shared" si="64"/>
        <v>0.46977586597237947</v>
      </c>
      <c r="Q51" s="14">
        <f t="shared" si="64"/>
        <v>0.54584882280049563</v>
      </c>
      <c r="R51" s="14">
        <f t="shared" si="64"/>
        <v>0.37203972498090143</v>
      </c>
      <c r="S51" s="14"/>
      <c r="AB51" s="13">
        <f t="shared" ref="AB51:AO51" si="65">+(AB27-AB28)/AB27</f>
        <v>1</v>
      </c>
      <c r="AC51" s="13">
        <f t="shared" si="65"/>
        <v>0.40211973646519622</v>
      </c>
      <c r="AD51" s="13">
        <f t="shared" si="65"/>
        <v>0.42412632067804484</v>
      </c>
      <c r="AE51" s="13">
        <f t="shared" si="65"/>
        <v>0.43642062928791103</v>
      </c>
      <c r="AF51" s="13">
        <f t="shared" si="65"/>
        <v>0.43642062928791103</v>
      </c>
      <c r="AG51" s="13">
        <f t="shared" si="65"/>
        <v>0.43642062928791103</v>
      </c>
      <c r="AH51" s="13">
        <f t="shared" si="65"/>
        <v>0.43642062928791103</v>
      </c>
      <c r="AI51" s="13">
        <f t="shared" si="65"/>
        <v>0.43642062928791103</v>
      </c>
      <c r="AJ51" s="13">
        <f t="shared" si="65"/>
        <v>0.43642062928791103</v>
      </c>
      <c r="AK51" s="13">
        <f t="shared" si="65"/>
        <v>0.43642062928791103</v>
      </c>
      <c r="AL51" s="13">
        <f t="shared" si="65"/>
        <v>0.43642062928791109</v>
      </c>
      <c r="AM51" s="13">
        <f t="shared" si="65"/>
        <v>0.43642062928791103</v>
      </c>
      <c r="AN51" s="13">
        <f t="shared" si="65"/>
        <v>0.43642062928791103</v>
      </c>
      <c r="AO51" s="13">
        <f t="shared" si="65"/>
        <v>0.43642062928791103</v>
      </c>
    </row>
    <row r="52" spans="3:44" s="13" customFormat="1" outlineLevel="1">
      <c r="C52" s="13" t="s">
        <v>38</v>
      </c>
      <c r="D52" s="14">
        <f t="shared" ref="D52:H52" si="66">+D18/D27</f>
        <v>0.54857639643555745</v>
      </c>
      <c r="E52" s="14">
        <f t="shared" si="66"/>
        <v>0.63131797824696101</v>
      </c>
      <c r="F52" s="14">
        <f t="shared" si="66"/>
        <v>0.31040691393590203</v>
      </c>
      <c r="G52" s="14">
        <f t="shared" si="66"/>
        <v>0.43032679738562091</v>
      </c>
      <c r="H52" s="14">
        <f t="shared" ref="H52:O52" si="67">+H18/H27</f>
        <v>0.55180180180180183</v>
      </c>
      <c r="I52" s="14">
        <f t="shared" si="67"/>
        <v>0.70537634408602146</v>
      </c>
      <c r="J52" s="14">
        <f t="shared" si="67"/>
        <v>0.33899613899613901</v>
      </c>
      <c r="K52" s="14">
        <f t="shared" si="67"/>
        <v>0.44105745886161318</v>
      </c>
      <c r="L52" s="14">
        <f t="shared" si="67"/>
        <v>0.61242208370436335</v>
      </c>
      <c r="M52" s="14">
        <f t="shared" si="67"/>
        <v>0.61242208370436335</v>
      </c>
      <c r="N52" s="14">
        <f t="shared" si="67"/>
        <v>0.29707652622527947</v>
      </c>
      <c r="O52" s="14">
        <f t="shared" si="67"/>
        <v>0.59878528045730617</v>
      </c>
      <c r="P52" s="14"/>
      <c r="Q52" s="14"/>
      <c r="R52" s="14"/>
      <c r="S52" s="14"/>
      <c r="AB52" s="13">
        <f t="shared" ref="AB52:AO52" si="68">+AB18/AB27</f>
        <v>0.53669754072181408</v>
      </c>
      <c r="AC52" s="13">
        <f t="shared" si="68"/>
        <v>0.51440847894586084</v>
      </c>
      <c r="AD52" s="13">
        <f t="shared" si="68"/>
        <v>0.54986648090096368</v>
      </c>
      <c r="AE52" s="13">
        <f t="shared" si="68"/>
        <v>0.56452566832268747</v>
      </c>
      <c r="AF52" s="13">
        <f t="shared" si="68"/>
        <v>0.56000000000000005</v>
      </c>
      <c r="AG52" s="13">
        <f t="shared" si="68"/>
        <v>0</v>
      </c>
      <c r="AH52" s="13">
        <f t="shared" si="68"/>
        <v>0</v>
      </c>
      <c r="AI52" s="13">
        <f t="shared" si="68"/>
        <v>0</v>
      </c>
      <c r="AJ52" s="13">
        <f t="shared" si="68"/>
        <v>0</v>
      </c>
      <c r="AK52" s="13">
        <f t="shared" si="68"/>
        <v>0</v>
      </c>
      <c r="AL52" s="13">
        <f t="shared" si="68"/>
        <v>0</v>
      </c>
      <c r="AM52" s="13">
        <f t="shared" si="68"/>
        <v>0</v>
      </c>
      <c r="AN52" s="13">
        <f t="shared" si="68"/>
        <v>0</v>
      </c>
      <c r="AO52" s="13">
        <f t="shared" si="68"/>
        <v>0</v>
      </c>
      <c r="AR52" s="11"/>
    </row>
    <row r="53" spans="3:44" outlineLevel="1"/>
    <row r="54" spans="3:44" s="17" customFormat="1">
      <c r="C54" s="17" t="s">
        <v>72</v>
      </c>
      <c r="H54" s="18">
        <f>+H84</f>
        <v>-3210</v>
      </c>
      <c r="I54" s="18">
        <f t="shared" ref="I54:N54" si="69">+I84</f>
        <v>-2614</v>
      </c>
      <c r="J54" s="18">
        <f t="shared" si="69"/>
        <v>-3431</v>
      </c>
      <c r="K54" s="18">
        <f t="shared" si="69"/>
        <v>368</v>
      </c>
      <c r="L54" s="18">
        <f t="shared" si="69"/>
        <v>-2859</v>
      </c>
      <c r="M54" s="18">
        <f t="shared" si="69"/>
        <v>-2652</v>
      </c>
      <c r="N54" s="18">
        <f t="shared" si="69"/>
        <v>-3095</v>
      </c>
      <c r="O54" s="18">
        <f>+O84</f>
        <v>600</v>
      </c>
      <c r="P54" s="18">
        <f t="shared" ref="P54:S54" si="70">+P84</f>
        <v>-1938</v>
      </c>
      <c r="Q54" s="18">
        <f t="shared" si="70"/>
        <v>-1354</v>
      </c>
      <c r="R54" s="18">
        <f t="shared" si="70"/>
        <v>-1646</v>
      </c>
      <c r="S54" s="18">
        <f t="shared" si="70"/>
        <v>0</v>
      </c>
      <c r="AE54" s="17">
        <f>+O54</f>
        <v>600</v>
      </c>
      <c r="AF54" s="17">
        <f>+AE54*1.01</f>
        <v>606</v>
      </c>
      <c r="AG54" s="17">
        <f t="shared" ref="AG54:AO54" si="71">+AF54*1.01</f>
        <v>612.06000000000006</v>
      </c>
      <c r="AH54" s="17">
        <f t="shared" si="71"/>
        <v>618.18060000000003</v>
      </c>
      <c r="AI54" s="17">
        <f t="shared" si="71"/>
        <v>624.36240600000008</v>
      </c>
      <c r="AJ54" s="17">
        <f t="shared" si="71"/>
        <v>630.60603006000008</v>
      </c>
      <c r="AK54" s="17">
        <f t="shared" si="71"/>
        <v>636.91209036060013</v>
      </c>
      <c r="AL54" s="17">
        <f t="shared" si="71"/>
        <v>643.28121126420615</v>
      </c>
      <c r="AM54" s="17">
        <f t="shared" si="71"/>
        <v>649.71402337684822</v>
      </c>
      <c r="AN54" s="17">
        <f t="shared" si="71"/>
        <v>656.21116361061672</v>
      </c>
      <c r="AO54" s="17">
        <f t="shared" si="71"/>
        <v>662.77327524672285</v>
      </c>
    </row>
    <row r="55" spans="3:44">
      <c r="C55" s="11" t="s">
        <v>44</v>
      </c>
      <c r="D55" s="11">
        <v>2031</v>
      </c>
      <c r="E55" s="11">
        <v>2401</v>
      </c>
      <c r="F55" s="11">
        <v>2199</v>
      </c>
      <c r="G55" s="11">
        <v>3191</v>
      </c>
      <c r="H55" s="12">
        <v>1646</v>
      </c>
      <c r="I55" s="12">
        <v>2563</v>
      </c>
      <c r="J55" s="12">
        <v>2254</v>
      </c>
      <c r="K55" s="12">
        <v>2644</v>
      </c>
      <c r="L55" s="12">
        <v>1505</v>
      </c>
      <c r="M55" s="12">
        <v>1839</v>
      </c>
      <c r="N55" s="12">
        <v>2421</v>
      </c>
      <c r="O55" s="12">
        <v>3106</v>
      </c>
      <c r="P55" s="12">
        <v>2008</v>
      </c>
      <c r="Q55" s="12">
        <v>2065</v>
      </c>
      <c r="R55" s="12">
        <v>2509</v>
      </c>
    </row>
    <row r="56" spans="3:44">
      <c r="C56" s="11" t="s">
        <v>45</v>
      </c>
      <c r="D56" s="11">
        <v>290</v>
      </c>
      <c r="E56" s="11">
        <v>254</v>
      </c>
      <c r="F56" s="11">
        <v>119</v>
      </c>
      <c r="G56" s="11">
        <v>124</v>
      </c>
      <c r="H56" s="12">
        <v>85</v>
      </c>
      <c r="I56" s="12">
        <v>53</v>
      </c>
      <c r="J56" s="12">
        <v>108</v>
      </c>
      <c r="K56" s="12">
        <v>98</v>
      </c>
      <c r="L56" s="12">
        <v>153</v>
      </c>
      <c r="M56" s="12">
        <v>120</v>
      </c>
      <c r="N56" s="12">
        <v>72</v>
      </c>
      <c r="O56" s="12">
        <v>63</v>
      </c>
      <c r="P56" s="12">
        <v>1</v>
      </c>
      <c r="Q56" s="12">
        <v>76</v>
      </c>
      <c r="R56" s="12">
        <v>77</v>
      </c>
    </row>
    <row r="57" spans="3:44">
      <c r="C57" s="11" t="s">
        <v>46</v>
      </c>
      <c r="D57" s="11">
        <v>7275</v>
      </c>
      <c r="E57" s="11">
        <v>6947</v>
      </c>
      <c r="F57" s="11">
        <v>6273</v>
      </c>
      <c r="G57" s="11">
        <v>5701</v>
      </c>
      <c r="H57" s="12">
        <v>8678</v>
      </c>
      <c r="I57" s="12">
        <v>7955</v>
      </c>
      <c r="J57" s="12">
        <v>6581</v>
      </c>
      <c r="K57" s="12">
        <v>5488</v>
      </c>
      <c r="L57" s="12">
        <v>7906</v>
      </c>
      <c r="M57" s="12">
        <v>7615</v>
      </c>
      <c r="N57" s="12">
        <v>6651</v>
      </c>
      <c r="O57" s="12">
        <v>5676</v>
      </c>
      <c r="P57" s="12">
        <v>8294</v>
      </c>
      <c r="Q57" s="12">
        <v>8674</v>
      </c>
      <c r="R57" s="12">
        <v>7784</v>
      </c>
    </row>
    <row r="58" spans="3:44">
      <c r="C58" s="11" t="s">
        <v>47</v>
      </c>
      <c r="D58" s="11">
        <v>4986</v>
      </c>
      <c r="E58" s="11">
        <v>4184</v>
      </c>
      <c r="F58" s="11">
        <v>5415</v>
      </c>
      <c r="G58" s="11">
        <v>6811</v>
      </c>
      <c r="H58" s="12">
        <v>6585</v>
      </c>
      <c r="I58" s="12">
        <v>5628</v>
      </c>
      <c r="J58" s="12">
        <v>6320</v>
      </c>
      <c r="K58" s="12">
        <v>6899</v>
      </c>
      <c r="L58" s="12">
        <v>6183</v>
      </c>
      <c r="M58" s="12">
        <v>4893</v>
      </c>
      <c r="N58" s="12">
        <v>5674</v>
      </c>
      <c r="O58" s="12">
        <v>5432</v>
      </c>
      <c r="P58" s="12">
        <v>5132</v>
      </c>
      <c r="Q58" s="12">
        <v>4316</v>
      </c>
      <c r="R58" s="12">
        <v>5310</v>
      </c>
    </row>
    <row r="59" spans="3:44">
      <c r="C59" s="11" t="s">
        <v>48</v>
      </c>
      <c r="D59" s="11">
        <v>1296</v>
      </c>
      <c r="E59" s="11">
        <v>978</v>
      </c>
      <c r="F59" s="11">
        <v>1039</v>
      </c>
      <c r="G59" s="11">
        <v>968</v>
      </c>
      <c r="H59" s="12">
        <v>1335</v>
      </c>
      <c r="I59" s="12">
        <v>1008</v>
      </c>
      <c r="J59" s="12">
        <v>1070</v>
      </c>
      <c r="K59" s="12">
        <v>1131</v>
      </c>
      <c r="L59" s="12">
        <v>1416</v>
      </c>
      <c r="M59" s="12">
        <v>892</v>
      </c>
      <c r="N59" s="12">
        <v>831</v>
      </c>
      <c r="O59" s="12">
        <v>820</v>
      </c>
      <c r="P59" s="12">
        <v>1152</v>
      </c>
      <c r="Q59" s="12">
        <v>873</v>
      </c>
      <c r="R59" s="12">
        <v>758</v>
      </c>
    </row>
    <row r="60" spans="3:44">
      <c r="C60" s="11" t="s">
        <v>64</v>
      </c>
      <c r="D60" s="11">
        <v>91</v>
      </c>
      <c r="E60" s="11">
        <v>93</v>
      </c>
      <c r="F60" s="11">
        <v>91</v>
      </c>
      <c r="G60" s="11">
        <v>102</v>
      </c>
      <c r="H60" s="12">
        <v>87</v>
      </c>
      <c r="I60" s="12">
        <v>83</v>
      </c>
      <c r="J60" s="12">
        <v>106</v>
      </c>
      <c r="K60" s="12">
        <v>115</v>
      </c>
      <c r="L60" s="12">
        <v>123</v>
      </c>
      <c r="M60" s="12">
        <v>113</v>
      </c>
      <c r="N60" s="12">
        <v>128</v>
      </c>
      <c r="O60" s="12">
        <v>134</v>
      </c>
      <c r="P60" s="12">
        <v>136</v>
      </c>
      <c r="Q60" s="12">
        <v>134</v>
      </c>
      <c r="R60" s="12">
        <v>141</v>
      </c>
    </row>
    <row r="61" spans="3:44">
      <c r="C61" s="11" t="s">
        <v>49</v>
      </c>
      <c r="D61" s="11">
        <v>4333</v>
      </c>
      <c r="E61" s="11">
        <v>4300</v>
      </c>
      <c r="F61" s="11">
        <v>4185</v>
      </c>
      <c r="G61" s="11">
        <v>4254</v>
      </c>
      <c r="H61" s="12">
        <v>4271</v>
      </c>
      <c r="I61" s="12">
        <v>4306</v>
      </c>
      <c r="J61" s="12">
        <v>4320</v>
      </c>
      <c r="K61" s="12">
        <v>4287</v>
      </c>
      <c r="L61" s="12">
        <v>4206</v>
      </c>
      <c r="M61" s="12">
        <v>4155</v>
      </c>
      <c r="N61" s="12">
        <v>4210</v>
      </c>
      <c r="O61" s="12">
        <v>4099</v>
      </c>
      <c r="P61" s="12">
        <v>4105</v>
      </c>
      <c r="Q61" s="12">
        <v>4153</v>
      </c>
      <c r="R61" s="12">
        <v>4202</v>
      </c>
    </row>
    <row r="62" spans="3:44">
      <c r="C62" s="11" t="s">
        <v>50</v>
      </c>
      <c r="H62" s="12">
        <v>10508</v>
      </c>
      <c r="I62" s="12">
        <v>10539</v>
      </c>
      <c r="J62" s="12">
        <v>10441</v>
      </c>
      <c r="K62" s="12">
        <v>10605</v>
      </c>
      <c r="L62" s="12">
        <v>10553</v>
      </c>
      <c r="M62" s="12">
        <v>10490</v>
      </c>
      <c r="N62" s="12">
        <v>10629</v>
      </c>
      <c r="O62" s="12">
        <v>10408</v>
      </c>
      <c r="P62" s="12">
        <v>10332</v>
      </c>
      <c r="Q62" s="12">
        <v>10518</v>
      </c>
      <c r="R62" s="12">
        <v>10512</v>
      </c>
    </row>
    <row r="63" spans="3:44">
      <c r="C63" s="11" t="s">
        <v>51</v>
      </c>
      <c r="H63" s="12">
        <v>10137</v>
      </c>
      <c r="I63" s="12">
        <v>9985</v>
      </c>
      <c r="J63" s="12">
        <v>9795</v>
      </c>
      <c r="K63" s="12">
        <v>9626</v>
      </c>
      <c r="L63" s="12">
        <v>9446</v>
      </c>
      <c r="M63" s="12">
        <v>9238</v>
      </c>
      <c r="N63" s="12">
        <v>9084</v>
      </c>
      <c r="O63" s="12">
        <v>8876</v>
      </c>
      <c r="P63" s="12">
        <v>8718</v>
      </c>
      <c r="Q63" s="12">
        <v>8583</v>
      </c>
      <c r="R63" s="12">
        <v>8428</v>
      </c>
    </row>
    <row r="64" spans="3:44">
      <c r="C64" s="11" t="s">
        <v>52</v>
      </c>
      <c r="H64" s="12">
        <v>508</v>
      </c>
      <c r="I64" s="12">
        <v>524</v>
      </c>
      <c r="J64" s="12">
        <v>554</v>
      </c>
      <c r="K64" s="12">
        <v>584</v>
      </c>
      <c r="L64" s="12">
        <v>551</v>
      </c>
      <c r="M64" s="12">
        <v>538</v>
      </c>
      <c r="N64" s="12">
        <v>564</v>
      </c>
      <c r="O64" s="12">
        <v>401</v>
      </c>
      <c r="P64" s="12">
        <v>413</v>
      </c>
      <c r="Q64" s="12">
        <v>449</v>
      </c>
      <c r="R64" s="12">
        <v>434</v>
      </c>
    </row>
    <row r="65" spans="3:19">
      <c r="C65" s="11" t="s">
        <v>53</v>
      </c>
      <c r="H65" s="12">
        <v>1660</v>
      </c>
      <c r="I65" s="12">
        <v>1545</v>
      </c>
      <c r="J65" s="12">
        <v>1561</v>
      </c>
      <c r="K65" s="12">
        <v>1519</v>
      </c>
      <c r="L65" s="12">
        <v>1583</v>
      </c>
      <c r="M65" s="12">
        <v>1571</v>
      </c>
      <c r="N65" s="12">
        <v>1644</v>
      </c>
      <c r="O65" s="12">
        <v>1810</v>
      </c>
      <c r="P65" s="12">
        <v>1832</v>
      </c>
      <c r="Q65" s="12">
        <v>1918</v>
      </c>
      <c r="R65" s="12">
        <v>2043</v>
      </c>
    </row>
    <row r="66" spans="3:19" s="17" customFormat="1">
      <c r="C66" s="17" t="s">
        <v>54</v>
      </c>
      <c r="H66" s="18">
        <f t="shared" ref="H66:P66" si="72">+SUM(H55:H65)</f>
        <v>45500</v>
      </c>
      <c r="I66" s="18">
        <f t="shared" si="72"/>
        <v>44189</v>
      </c>
      <c r="J66" s="18">
        <f t="shared" si="72"/>
        <v>43110</v>
      </c>
      <c r="K66" s="18">
        <f t="shared" si="72"/>
        <v>42996</v>
      </c>
      <c r="L66" s="18">
        <f t="shared" si="72"/>
        <v>43625</v>
      </c>
      <c r="M66" s="18">
        <f t="shared" si="72"/>
        <v>41464</v>
      </c>
      <c r="N66" s="18">
        <f t="shared" si="72"/>
        <v>41908</v>
      </c>
      <c r="O66" s="18">
        <f t="shared" si="72"/>
        <v>40825</v>
      </c>
      <c r="P66" s="18">
        <f t="shared" si="72"/>
        <v>42123</v>
      </c>
      <c r="Q66" s="18">
        <f t="shared" ref="Q66:R66" si="73">+SUM(Q55:Q65)</f>
        <v>41759</v>
      </c>
      <c r="R66" s="18">
        <f t="shared" si="73"/>
        <v>42198</v>
      </c>
      <c r="S66" s="18"/>
    </row>
    <row r="68" spans="3:19">
      <c r="C68" s="11" t="s">
        <v>55</v>
      </c>
      <c r="D68" s="11">
        <v>1018</v>
      </c>
      <c r="E68" s="11">
        <v>712</v>
      </c>
      <c r="F68" s="11">
        <v>5176</v>
      </c>
      <c r="G68" s="11">
        <v>24</v>
      </c>
      <c r="H68" s="12">
        <v>3787</v>
      </c>
      <c r="I68" s="12">
        <v>3023</v>
      </c>
      <c r="J68" s="12">
        <v>3609</v>
      </c>
      <c r="K68" s="12">
        <v>198</v>
      </c>
      <c r="L68" s="12">
        <v>2148</v>
      </c>
      <c r="M68" s="12">
        <v>2253</v>
      </c>
      <c r="N68" s="12">
        <v>3741</v>
      </c>
      <c r="O68" s="12">
        <v>750</v>
      </c>
      <c r="P68" s="12">
        <v>2291</v>
      </c>
      <c r="Q68" s="12">
        <v>1942</v>
      </c>
      <c r="R68" s="12">
        <v>2685</v>
      </c>
    </row>
    <row r="69" spans="3:19">
      <c r="C69" s="11" t="s">
        <v>63</v>
      </c>
      <c r="D69" s="11">
        <v>3685</v>
      </c>
      <c r="E69" s="11">
        <v>3567</v>
      </c>
      <c r="F69" s="11">
        <v>4140</v>
      </c>
      <c r="G69" s="11">
        <v>4895</v>
      </c>
      <c r="H69" s="12">
        <v>3957</v>
      </c>
      <c r="I69" s="12">
        <v>3379</v>
      </c>
      <c r="J69" s="12">
        <v>3678</v>
      </c>
      <c r="K69" s="12">
        <v>4280</v>
      </c>
      <c r="L69" s="12">
        <v>3606</v>
      </c>
      <c r="M69" s="12">
        <v>3300</v>
      </c>
      <c r="N69" s="12">
        <v>3753</v>
      </c>
      <c r="O69" s="12">
        <v>4039</v>
      </c>
      <c r="P69" s="12">
        <v>3905</v>
      </c>
      <c r="Q69" s="12">
        <v>3828</v>
      </c>
      <c r="R69" s="12">
        <v>4337</v>
      </c>
    </row>
    <row r="70" spans="3:19">
      <c r="C70" s="11" t="s">
        <v>56</v>
      </c>
      <c r="H70" s="12">
        <v>298</v>
      </c>
      <c r="I70" s="12">
        <v>396</v>
      </c>
      <c r="J70" s="12">
        <v>236</v>
      </c>
      <c r="K70" s="12">
        <v>174</v>
      </c>
      <c r="L70" s="12">
        <v>311</v>
      </c>
      <c r="M70" s="12">
        <v>488</v>
      </c>
      <c r="N70" s="12">
        <v>313</v>
      </c>
      <c r="O70" s="12">
        <v>207</v>
      </c>
      <c r="P70" s="12">
        <v>322</v>
      </c>
      <c r="Q70" s="12">
        <v>485</v>
      </c>
      <c r="R70" s="12">
        <v>254</v>
      </c>
    </row>
    <row r="71" spans="3:19">
      <c r="C71" s="11" t="s">
        <v>57</v>
      </c>
      <c r="H71" s="12">
        <v>2712</v>
      </c>
      <c r="I71" s="12">
        <v>656</v>
      </c>
      <c r="J71" s="12">
        <v>552</v>
      </c>
      <c r="K71" s="12">
        <v>3406</v>
      </c>
      <c r="L71" s="12">
        <v>2694</v>
      </c>
      <c r="M71" s="12">
        <v>413</v>
      </c>
      <c r="N71" s="12">
        <v>429</v>
      </c>
      <c r="O71" s="12">
        <v>3287</v>
      </c>
      <c r="P71" s="12">
        <v>2631</v>
      </c>
      <c r="Q71" s="12">
        <v>358</v>
      </c>
      <c r="R71" s="12">
        <v>483</v>
      </c>
    </row>
    <row r="72" spans="3:19">
      <c r="C72" s="11" t="s">
        <v>58</v>
      </c>
      <c r="H72" s="12">
        <v>2477</v>
      </c>
      <c r="I72" s="12">
        <v>2892</v>
      </c>
      <c r="J72" s="12">
        <v>2273</v>
      </c>
      <c r="K72" s="12">
        <v>2351</v>
      </c>
      <c r="L72" s="12">
        <v>2573</v>
      </c>
      <c r="M72" s="12">
        <v>2499</v>
      </c>
      <c r="N72" s="12">
        <v>2188</v>
      </c>
      <c r="O72" s="12">
        <v>2103</v>
      </c>
      <c r="P72" s="12">
        <v>2332</v>
      </c>
      <c r="Q72" s="12">
        <v>2903</v>
      </c>
      <c r="R72" s="12">
        <v>2661</v>
      </c>
    </row>
    <row r="73" spans="3:19">
      <c r="C73" s="11" t="s">
        <v>59</v>
      </c>
      <c r="H73" s="12">
        <v>1241</v>
      </c>
      <c r="I73" s="12">
        <v>2290</v>
      </c>
      <c r="J73" s="12">
        <v>2290</v>
      </c>
      <c r="K73" s="12">
        <v>2291</v>
      </c>
      <c r="L73" s="12">
        <v>2492</v>
      </c>
      <c r="M73" s="12">
        <v>2471</v>
      </c>
      <c r="N73" s="12">
        <v>1975</v>
      </c>
      <c r="O73" s="12">
        <v>1953</v>
      </c>
      <c r="P73" s="12">
        <v>1792</v>
      </c>
      <c r="Q73" s="12">
        <v>1687</v>
      </c>
      <c r="R73" s="12">
        <v>1688</v>
      </c>
    </row>
    <row r="74" spans="3:19">
      <c r="C74" s="11" t="s">
        <v>52</v>
      </c>
      <c r="H74" s="12">
        <v>1255</v>
      </c>
      <c r="I74" s="12">
        <v>1134</v>
      </c>
      <c r="J74" s="12">
        <v>1070</v>
      </c>
      <c r="K74" s="12">
        <v>899</v>
      </c>
      <c r="L74" s="12">
        <v>753</v>
      </c>
      <c r="M74" s="12">
        <v>607</v>
      </c>
      <c r="N74" s="12">
        <v>496</v>
      </c>
      <c r="O74" s="12">
        <v>478</v>
      </c>
      <c r="P74" s="12">
        <v>369</v>
      </c>
      <c r="Q74" s="12">
        <v>258</v>
      </c>
      <c r="R74" s="12">
        <v>373</v>
      </c>
    </row>
    <row r="75" spans="3:19">
      <c r="C75" s="11" t="s">
        <v>65</v>
      </c>
      <c r="H75" s="12">
        <v>2242</v>
      </c>
      <c r="I75" s="12">
        <v>2236</v>
      </c>
      <c r="J75" s="12">
        <v>2228</v>
      </c>
      <c r="K75" s="12">
        <v>2467</v>
      </c>
      <c r="L75" s="12">
        <v>2453</v>
      </c>
      <c r="M75" s="12">
        <v>2452</v>
      </c>
      <c r="N75" s="12">
        <v>2473</v>
      </c>
      <c r="O75" s="12">
        <v>2271</v>
      </c>
      <c r="P75" s="12">
        <v>2239</v>
      </c>
      <c r="Q75" s="12">
        <v>2229</v>
      </c>
      <c r="R75" s="12">
        <v>2215</v>
      </c>
    </row>
    <row r="76" spans="3:19">
      <c r="C76" s="11" t="s">
        <v>66</v>
      </c>
      <c r="H76" s="12">
        <v>1692</v>
      </c>
      <c r="I76" s="12">
        <v>1722</v>
      </c>
      <c r="J76" s="12">
        <v>1707</v>
      </c>
      <c r="K76" s="12">
        <v>1651</v>
      </c>
      <c r="L76" s="12">
        <v>1587</v>
      </c>
      <c r="M76" s="12">
        <v>1560</v>
      </c>
      <c r="N76" s="12">
        <v>1561</v>
      </c>
      <c r="O76" s="12">
        <v>1707</v>
      </c>
      <c r="P76" s="12">
        <v>1715</v>
      </c>
      <c r="Q76" s="12">
        <v>1918</v>
      </c>
      <c r="R76" s="12">
        <v>2041</v>
      </c>
    </row>
    <row r="77" spans="3:19">
      <c r="C77" s="11" t="s">
        <v>60</v>
      </c>
      <c r="H77" s="12">
        <v>25599</v>
      </c>
      <c r="I77" s="12">
        <v>26220</v>
      </c>
      <c r="J77" s="12">
        <v>25226</v>
      </c>
      <c r="K77" s="12">
        <v>25037</v>
      </c>
      <c r="L77" s="12">
        <v>24767</v>
      </c>
      <c r="M77" s="12">
        <v>25179</v>
      </c>
      <c r="N77" s="12">
        <v>24737</v>
      </c>
      <c r="O77" s="12">
        <v>23789</v>
      </c>
      <c r="P77" s="12">
        <v>24285</v>
      </c>
      <c r="Q77" s="12">
        <v>25909</v>
      </c>
      <c r="R77" s="12">
        <v>25219</v>
      </c>
    </row>
    <row r="78" spans="3:19" s="17" customFormat="1">
      <c r="C78" s="11" t="s">
        <v>61</v>
      </c>
      <c r="D78" s="11"/>
      <c r="E78" s="11"/>
      <c r="F78" s="11"/>
      <c r="G78" s="11"/>
      <c r="H78" s="12">
        <v>240</v>
      </c>
      <c r="I78" s="12">
        <v>241</v>
      </c>
      <c r="J78" s="12">
        <v>241</v>
      </c>
      <c r="K78" s="12">
        <v>242</v>
      </c>
      <c r="L78" s="12">
        <v>241</v>
      </c>
      <c r="M78" s="12">
        <v>242</v>
      </c>
      <c r="N78" s="12">
        <v>242</v>
      </c>
      <c r="O78" s="12">
        <v>241</v>
      </c>
      <c r="P78" s="12">
        <v>242</v>
      </c>
      <c r="Q78" s="12">
        <v>242</v>
      </c>
      <c r="R78" s="12">
        <v>242</v>
      </c>
      <c r="S78" s="12"/>
    </row>
    <row r="79" spans="3:19" s="17" customFormat="1">
      <c r="C79" s="17" t="s">
        <v>62</v>
      </c>
      <c r="H79" s="18">
        <f t="shared" ref="H79:P79" si="74">SUM(H68:H78)</f>
        <v>45500</v>
      </c>
      <c r="I79" s="18">
        <f t="shared" si="74"/>
        <v>44189</v>
      </c>
      <c r="J79" s="18">
        <f t="shared" si="74"/>
        <v>43110</v>
      </c>
      <c r="K79" s="18">
        <f t="shared" si="74"/>
        <v>42996</v>
      </c>
      <c r="L79" s="18">
        <f t="shared" si="74"/>
        <v>43625</v>
      </c>
      <c r="M79" s="18">
        <f t="shared" si="74"/>
        <v>41464</v>
      </c>
      <c r="N79" s="18">
        <f t="shared" si="74"/>
        <v>41908</v>
      </c>
      <c r="O79" s="18">
        <f t="shared" si="74"/>
        <v>40825</v>
      </c>
      <c r="P79" s="18">
        <f t="shared" si="74"/>
        <v>42123</v>
      </c>
      <c r="Q79" s="18">
        <f t="shared" ref="Q79:R79" si="75">SUM(Q68:Q78)</f>
        <v>41759</v>
      </c>
      <c r="R79" s="18">
        <f t="shared" si="75"/>
        <v>42198</v>
      </c>
      <c r="S79" s="18"/>
    </row>
    <row r="81" spans="3:31">
      <c r="C81" s="33" t="s">
        <v>73</v>
      </c>
      <c r="D81" s="33"/>
      <c r="E81" s="33"/>
      <c r="F81" s="33"/>
      <c r="G81" s="33"/>
    </row>
    <row r="82" spans="3:31">
      <c r="C82" s="11" t="s">
        <v>70</v>
      </c>
      <c r="D82" s="12">
        <f t="shared" ref="D82:H82" si="76">+D68+D73</f>
        <v>1018</v>
      </c>
      <c r="E82" s="12">
        <f t="shared" si="76"/>
        <v>712</v>
      </c>
      <c r="F82" s="12">
        <f t="shared" si="76"/>
        <v>5176</v>
      </c>
      <c r="G82" s="12">
        <f t="shared" si="76"/>
        <v>24</v>
      </c>
      <c r="H82" s="12">
        <f t="shared" ref="H82:K82" si="77">+H68+H73</f>
        <v>5028</v>
      </c>
      <c r="I82" s="12">
        <f t="shared" si="77"/>
        <v>5313</v>
      </c>
      <c r="J82" s="12">
        <f t="shared" si="77"/>
        <v>5899</v>
      </c>
      <c r="K82" s="12">
        <f t="shared" ref="I82:O82" si="78">+K68+K73</f>
        <v>2489</v>
      </c>
      <c r="L82" s="12">
        <f t="shared" si="78"/>
        <v>4640</v>
      </c>
      <c r="M82" s="12">
        <f t="shared" si="78"/>
        <v>4724</v>
      </c>
      <c r="N82" s="12">
        <f t="shared" si="78"/>
        <v>5716</v>
      </c>
      <c r="O82" s="12">
        <f t="shared" si="78"/>
        <v>2703</v>
      </c>
      <c r="P82" s="12">
        <f t="shared" ref="P82" si="79">+P68+P73</f>
        <v>4083</v>
      </c>
      <c r="Q82" s="12">
        <f t="shared" ref="Q82:R82" si="80">+Q68+Q73</f>
        <v>3629</v>
      </c>
      <c r="R82" s="12">
        <f t="shared" si="80"/>
        <v>4373</v>
      </c>
    </row>
    <row r="83" spans="3:31">
      <c r="C83" s="11" t="s">
        <v>71</v>
      </c>
      <c r="D83" s="12">
        <f t="shared" ref="D83:H83" si="81">SUM(D55:D56,D60)</f>
        <v>2412</v>
      </c>
      <c r="E83" s="12">
        <f t="shared" si="81"/>
        <v>2748</v>
      </c>
      <c r="F83" s="12">
        <f t="shared" si="81"/>
        <v>2409</v>
      </c>
      <c r="G83" s="12">
        <f t="shared" si="81"/>
        <v>3417</v>
      </c>
      <c r="H83" s="12">
        <f t="shared" ref="H83:K83" si="82">SUM(H55:H56,H60)</f>
        <v>1818</v>
      </c>
      <c r="I83" s="12">
        <f t="shared" si="82"/>
        <v>2699</v>
      </c>
      <c r="J83" s="12">
        <f t="shared" si="82"/>
        <v>2468</v>
      </c>
      <c r="K83" s="12">
        <f t="shared" ref="I83:O83" si="83">SUM(K55:K56,K60)</f>
        <v>2857</v>
      </c>
      <c r="L83" s="12">
        <f t="shared" si="83"/>
        <v>1781</v>
      </c>
      <c r="M83" s="12">
        <f t="shared" si="83"/>
        <v>2072</v>
      </c>
      <c r="N83" s="12">
        <f t="shared" si="83"/>
        <v>2621</v>
      </c>
      <c r="O83" s="12">
        <f t="shared" si="83"/>
        <v>3303</v>
      </c>
      <c r="P83" s="12">
        <f t="shared" ref="P83" si="84">SUM(P55:P56,P60)</f>
        <v>2145</v>
      </c>
      <c r="Q83" s="12">
        <f t="shared" ref="Q83:R83" si="85">SUM(Q55:Q56,Q60)</f>
        <v>2275</v>
      </c>
      <c r="R83" s="12">
        <f t="shared" si="85"/>
        <v>2727</v>
      </c>
    </row>
    <row r="84" spans="3:31">
      <c r="C84" s="11" t="s">
        <v>72</v>
      </c>
      <c r="D84" s="12">
        <f t="shared" ref="D84:H84" si="86">+D83-D82</f>
        <v>1394</v>
      </c>
      <c r="E84" s="12">
        <f t="shared" si="86"/>
        <v>2036</v>
      </c>
      <c r="F84" s="12">
        <f t="shared" si="86"/>
        <v>-2767</v>
      </c>
      <c r="G84" s="12">
        <f t="shared" si="86"/>
        <v>3393</v>
      </c>
      <c r="H84" s="12">
        <f t="shared" ref="H84:K84" si="87">+H83-H82</f>
        <v>-3210</v>
      </c>
      <c r="I84" s="12">
        <f t="shared" si="87"/>
        <v>-2614</v>
      </c>
      <c r="J84" s="12">
        <f t="shared" si="87"/>
        <v>-3431</v>
      </c>
      <c r="K84" s="12">
        <f t="shared" ref="I84:N84" si="88">+K83-K82</f>
        <v>368</v>
      </c>
      <c r="L84" s="12">
        <f t="shared" si="88"/>
        <v>-2859</v>
      </c>
      <c r="M84" s="12">
        <f t="shared" si="88"/>
        <v>-2652</v>
      </c>
      <c r="N84" s="12">
        <f t="shared" si="88"/>
        <v>-3095</v>
      </c>
      <c r="O84" s="12">
        <f>+O83-O82</f>
        <v>600</v>
      </c>
      <c r="P84" s="12">
        <f>+P83-P82</f>
        <v>-1938</v>
      </c>
      <c r="Q84" s="12">
        <f>+Q83-Q82</f>
        <v>-1354</v>
      </c>
      <c r="R84" s="12">
        <f>+R83-R82</f>
        <v>-1646</v>
      </c>
    </row>
    <row r="85" spans="3:31">
      <c r="C85" s="11" t="s">
        <v>111</v>
      </c>
      <c r="H85" s="16">
        <f t="shared" ref="H85:H86" si="89">+H57/((SUM(E27:H27)/365))</f>
        <v>178.56973728718006</v>
      </c>
      <c r="I85" s="16">
        <f t="shared" ref="I85:I86" si="90">+I57/((SUM(F27:I27)/365))</f>
        <v>165.62517825566138</v>
      </c>
      <c r="J85" s="16">
        <f t="shared" ref="J85:J86" si="91">+J57/((SUM(G27:J27)/365))</f>
        <v>138.49544511070113</v>
      </c>
      <c r="K85" s="16">
        <f t="shared" ref="K85:R86" si="92">+K57/((SUM(H27:K27)/365))</f>
        <v>116.28468593985836</v>
      </c>
      <c r="L85" s="16">
        <f t="shared" si="92"/>
        <v>171.42033978852322</v>
      </c>
      <c r="M85" s="16">
        <f t="shared" si="92"/>
        <v>181.8909102807408</v>
      </c>
      <c r="N85" s="16">
        <f t="shared" si="92"/>
        <v>161.6577878404475</v>
      </c>
      <c r="O85" s="16">
        <f t="shared" si="92"/>
        <v>122.53016323633783</v>
      </c>
      <c r="P85" s="16">
        <f t="shared" si="92"/>
        <v>179.84375928236204</v>
      </c>
      <c r="Q85" s="16">
        <f t="shared" si="92"/>
        <v>168.43166462733416</v>
      </c>
      <c r="R85" s="16">
        <f t="shared" si="92"/>
        <v>148.83755042170884</v>
      </c>
      <c r="S85" s="34"/>
    </row>
    <row r="86" spans="3:31">
      <c r="C86" s="11" t="s">
        <v>112</v>
      </c>
      <c r="H86" s="16">
        <f t="shared" si="89"/>
        <v>229.27835543260517</v>
      </c>
      <c r="I86" s="16">
        <f t="shared" si="90"/>
        <v>199.49694085656017</v>
      </c>
      <c r="J86" s="16">
        <f t="shared" si="91"/>
        <v>229.21303656597775</v>
      </c>
      <c r="K86" s="16">
        <f t="shared" si="92"/>
        <v>253.84425403225808</v>
      </c>
      <c r="L86" s="16">
        <f t="shared" si="92"/>
        <v>232.68326631611507</v>
      </c>
      <c r="M86" s="16">
        <f t="shared" si="92"/>
        <v>188.39082278481013</v>
      </c>
      <c r="N86" s="16">
        <f t="shared" si="92"/>
        <v>220.34365358016811</v>
      </c>
      <c r="O86" s="16">
        <f t="shared" si="92"/>
        <v>208.06800293839856</v>
      </c>
      <c r="P86" s="16">
        <f t="shared" si="92"/>
        <v>200.96341594249546</v>
      </c>
      <c r="Q86" s="16">
        <f t="shared" si="92"/>
        <v>168.75629351901446</v>
      </c>
      <c r="R86" s="16">
        <f t="shared" si="92"/>
        <v>205.87954110898661</v>
      </c>
      <c r="S86" s="35"/>
    </row>
    <row r="87" spans="3:31">
      <c r="C87" s="11" t="s">
        <v>113</v>
      </c>
      <c r="H87" s="16">
        <f t="shared" ref="H87" si="93">+H69/((SUM(E28:H28)/365))</f>
        <v>137.77592292282745</v>
      </c>
      <c r="I87" s="16">
        <f t="shared" ref="I87" si="94">+I69/((SUM(F28:I28)/365))</f>
        <v>119.77614839273575</v>
      </c>
      <c r="J87" s="16">
        <f t="shared" ref="J87" si="95">+J69/((SUM(G28:J28)/365))</f>
        <v>133.39328298887122</v>
      </c>
      <c r="K87" s="16">
        <f t="shared" ref="K87:R87" si="96">+K69/((SUM(H28:K28)/365))</f>
        <v>157.47983870967744</v>
      </c>
      <c r="L87" s="16">
        <f t="shared" si="96"/>
        <v>135.70368079183422</v>
      </c>
      <c r="M87" s="16">
        <f t="shared" si="96"/>
        <v>127.05696202531645</v>
      </c>
      <c r="N87" s="16">
        <f t="shared" si="96"/>
        <v>145.74369613788701</v>
      </c>
      <c r="O87" s="16">
        <f t="shared" si="96"/>
        <v>154.71035785496903</v>
      </c>
      <c r="P87" s="16">
        <f t="shared" si="96"/>
        <v>152.9154597146229</v>
      </c>
      <c r="Q87" s="16">
        <f t="shared" si="96"/>
        <v>149.67541510444562</v>
      </c>
      <c r="R87" s="16">
        <f t="shared" si="96"/>
        <v>168.15434459315912</v>
      </c>
    </row>
    <row r="88" spans="3:31">
      <c r="C88" s="11" t="s">
        <v>114</v>
      </c>
      <c r="H88" s="16">
        <f t="shared" ref="H88:K88" si="97">+SUM(H85:H86)-H87</f>
        <v>270.07216979695772</v>
      </c>
      <c r="I88" s="16">
        <f t="shared" si="97"/>
        <v>245.34597071948576</v>
      </c>
      <c r="J88" s="16">
        <f t="shared" si="97"/>
        <v>234.31519868780762</v>
      </c>
      <c r="K88" s="16">
        <f t="shared" ref="K88:Q88" si="98">+SUM(K85:K86)-K87</f>
        <v>212.64910126243899</v>
      </c>
      <c r="L88" s="16">
        <f t="shared" si="98"/>
        <v>268.39992531280404</v>
      </c>
      <c r="M88" s="16">
        <f t="shared" si="98"/>
        <v>243.22477104023449</v>
      </c>
      <c r="N88" s="16">
        <f t="shared" si="98"/>
        <v>236.25774528272859</v>
      </c>
      <c r="O88" s="16">
        <f t="shared" si="98"/>
        <v>175.88780831976734</v>
      </c>
      <c r="P88" s="16">
        <f t="shared" si="98"/>
        <v>227.89171551023458</v>
      </c>
      <c r="Q88" s="16">
        <f t="shared" si="98"/>
        <v>187.51254304190297</v>
      </c>
      <c r="R88" s="16">
        <f>+SUM(R85:R86)-R87</f>
        <v>186.56274693753636</v>
      </c>
      <c r="S88" s="14"/>
    </row>
    <row r="92" spans="3:31">
      <c r="C92" s="11" t="s">
        <v>67</v>
      </c>
      <c r="H92" s="12">
        <v>-2606</v>
      </c>
      <c r="I92" s="12">
        <f>+-2480-H92</f>
        <v>126</v>
      </c>
      <c r="J92" s="12">
        <f>+-2574-SUM(H92:I92)</f>
        <v>-94</v>
      </c>
      <c r="K92" s="12">
        <f>1809-SUM(H92:J92)</f>
        <v>4383</v>
      </c>
      <c r="L92" s="12">
        <v>-3302</v>
      </c>
      <c r="M92" s="12">
        <f>+-1999-L92</f>
        <v>1303</v>
      </c>
      <c r="N92" s="12">
        <f>+-1871-SUM(L92:M92)</f>
        <v>128</v>
      </c>
      <c r="O92" s="12">
        <f>2296-SUM(L92:N92)</f>
        <v>4167</v>
      </c>
      <c r="P92" s="12">
        <f>+-2101</f>
        <v>-2101</v>
      </c>
      <c r="Q92" s="12">
        <f>+-1139-P92</f>
        <v>962</v>
      </c>
      <c r="R92" s="12">
        <f>+-941-SUM(P92:Q92)</f>
        <v>198</v>
      </c>
      <c r="AC92" s="11">
        <v>912</v>
      </c>
      <c r="AD92" s="11">
        <v>1809</v>
      </c>
      <c r="AE92" s="11">
        <v>2296</v>
      </c>
    </row>
    <row r="93" spans="3:31">
      <c r="C93" s="11" t="s">
        <v>68</v>
      </c>
      <c r="H93" s="12">
        <v>-151</v>
      </c>
      <c r="I93" s="12">
        <v>-250</v>
      </c>
      <c r="J93" s="12">
        <f>+-412-SUM(H93:I93)</f>
        <v>-11</v>
      </c>
      <c r="K93" s="12">
        <f>+-595-SUM(H93:J93)</f>
        <v>-183</v>
      </c>
      <c r="L93" s="12">
        <v>-148</v>
      </c>
      <c r="M93" s="12">
        <f>+-262</f>
        <v>-262</v>
      </c>
      <c r="N93" s="12">
        <f>+-416-SUM(L93:M93)</f>
        <v>-6</v>
      </c>
      <c r="O93" s="12">
        <f>+-597-SUM(L93:N93)</f>
        <v>-181</v>
      </c>
      <c r="P93" s="12">
        <v>-94</v>
      </c>
      <c r="Q93" s="12">
        <f>+-212</f>
        <v>-212</v>
      </c>
      <c r="R93" s="12">
        <f>+-369-SUM(P93:Q93)</f>
        <v>-63</v>
      </c>
      <c r="AC93" s="11">
        <v>-605</v>
      </c>
      <c r="AD93" s="11">
        <v>-595</v>
      </c>
      <c r="AE93" s="11">
        <v>-597</v>
      </c>
    </row>
    <row r="94" spans="3:31">
      <c r="C94" s="11" t="s">
        <v>69</v>
      </c>
      <c r="H94" s="12">
        <f t="shared" ref="H94:N94" si="99">+SUM(H92:H93)</f>
        <v>-2757</v>
      </c>
      <c r="I94" s="12">
        <f t="shared" si="99"/>
        <v>-124</v>
      </c>
      <c r="J94" s="12">
        <f t="shared" si="99"/>
        <v>-105</v>
      </c>
      <c r="K94" s="12">
        <f t="shared" si="99"/>
        <v>4200</v>
      </c>
      <c r="L94" s="12">
        <f t="shared" si="99"/>
        <v>-3450</v>
      </c>
      <c r="M94" s="12">
        <f t="shared" si="99"/>
        <v>1041</v>
      </c>
      <c r="N94" s="12">
        <f t="shared" si="99"/>
        <v>122</v>
      </c>
      <c r="O94" s="12">
        <f>+SUM(O92:O93)</f>
        <v>3986</v>
      </c>
      <c r="P94" s="12">
        <f>+SUM(P92:P93)</f>
        <v>-2195</v>
      </c>
      <c r="Q94" s="12">
        <f>+SUM(Q92:Q93)</f>
        <v>750</v>
      </c>
      <c r="R94" s="12">
        <f>+SUM(R92:R93)</f>
        <v>135</v>
      </c>
      <c r="AC94" s="11">
        <f>+SUM(AC92:AC93)</f>
        <v>307</v>
      </c>
      <c r="AD94" s="11">
        <f>+SUM(AD92:AD93)</f>
        <v>1214</v>
      </c>
      <c r="AE94" s="11">
        <f>+SUM(AE92:AE93)</f>
        <v>1699</v>
      </c>
    </row>
    <row r="96" spans="3:31">
      <c r="C96" s="11" t="s">
        <v>74</v>
      </c>
      <c r="K96" s="12">
        <f t="shared" ref="K96:R96" si="100">SUM(H94:K94)</f>
        <v>1214</v>
      </c>
      <c r="L96" s="12">
        <f t="shared" si="100"/>
        <v>521</v>
      </c>
      <c r="M96" s="12">
        <f t="shared" si="100"/>
        <v>1686</v>
      </c>
      <c r="N96" s="12">
        <f t="shared" si="100"/>
        <v>1913</v>
      </c>
      <c r="O96" s="12">
        <f t="shared" si="100"/>
        <v>1699</v>
      </c>
      <c r="P96" s="12">
        <f t="shared" si="100"/>
        <v>2954</v>
      </c>
      <c r="Q96" s="12">
        <f t="shared" si="100"/>
        <v>2663</v>
      </c>
      <c r="R96" s="12">
        <f t="shared" si="100"/>
        <v>2676</v>
      </c>
    </row>
    <row r="97" spans="3:18">
      <c r="C97" s="11" t="s">
        <v>84</v>
      </c>
      <c r="K97" s="12">
        <f t="shared" ref="K97:R97" si="101">+SUM(H36:K36)</f>
        <v>2872</v>
      </c>
      <c r="L97" s="12">
        <f t="shared" si="101"/>
        <v>2756</v>
      </c>
      <c r="M97" s="12">
        <f t="shared" si="101"/>
        <v>1286</v>
      </c>
      <c r="N97" s="12">
        <f t="shared" si="101"/>
        <v>1024</v>
      </c>
      <c r="O97" s="12">
        <f t="shared" si="101"/>
        <v>2756</v>
      </c>
      <c r="P97" s="12">
        <f t="shared" si="101"/>
        <v>2753.7932372947575</v>
      </c>
      <c r="Q97" s="12">
        <f t="shared" si="101"/>
        <v>4241.793237294758</v>
      </c>
      <c r="R97" s="12">
        <f t="shared" si="101"/>
        <v>4281.793237294758</v>
      </c>
    </row>
  </sheetData>
  <conditionalFormatting sqref="H5:R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9:R11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39:R49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A5:AE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A9:AE1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G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:G1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C39:AF4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39:AB4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ignoredErrors>
    <ignoredError sqref="AD24 AD28:AD32 AD35:AD36 N39:O46 L86:N87 N14:O17 AD20:AD22 O24 N20:O22 N18 N27 AD14:AD18 N25 N28:O32 N34:O37 K86:K87" formulaRange="1"/>
    <ignoredError sqref="AD34 O18 O27 O25" formula="1" formulaRange="1"/>
    <ignoredError sqref="G25 F34:G3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07FE-E524-DD4A-8003-A9E805371747}">
  <dimension ref="B2:H31"/>
  <sheetViews>
    <sheetView showGridLines="0" zoomScale="229" workbookViewId="0">
      <selection activeCell="C16" sqref="C16"/>
    </sheetView>
  </sheetViews>
  <sheetFormatPr baseColWidth="10" defaultRowHeight="13"/>
  <cols>
    <col min="1" max="1" width="2.5" customWidth="1"/>
    <col min="3" max="3" width="16.83203125" bestFit="1" customWidth="1"/>
    <col min="4" max="4" width="19.1640625" bestFit="1" customWidth="1"/>
    <col min="5" max="5" width="8.1640625" bestFit="1" customWidth="1"/>
    <col min="6" max="6" width="8.6640625" bestFit="1" customWidth="1"/>
  </cols>
  <sheetData>
    <row r="2" spans="2:8">
      <c r="B2" s="50" t="s">
        <v>182</v>
      </c>
    </row>
    <row r="3" spans="2:8">
      <c r="B3" s="50" t="s">
        <v>183</v>
      </c>
    </row>
    <row r="4" spans="2:8">
      <c r="B4" s="51" t="s">
        <v>184</v>
      </c>
    </row>
    <row r="5" spans="2:8">
      <c r="B5" s="51" t="s">
        <v>185</v>
      </c>
    </row>
    <row r="6" spans="2:8">
      <c r="B6" s="51" t="s">
        <v>186</v>
      </c>
    </row>
    <row r="7" spans="2:8">
      <c r="B7" s="51" t="s">
        <v>187</v>
      </c>
    </row>
    <row r="8" spans="2:8">
      <c r="B8" s="51" t="s">
        <v>188</v>
      </c>
    </row>
    <row r="9" spans="2:8">
      <c r="B9" s="51" t="s">
        <v>189</v>
      </c>
    </row>
    <row r="10" spans="2:8">
      <c r="B10" s="51" t="s">
        <v>190</v>
      </c>
    </row>
    <row r="11" spans="2:8">
      <c r="B11" s="51"/>
    </row>
    <row r="12" spans="2:8">
      <c r="E12" t="s">
        <v>181</v>
      </c>
      <c r="F12" t="s">
        <v>180</v>
      </c>
    </row>
    <row r="13" spans="2:8">
      <c r="E13">
        <v>1</v>
      </c>
      <c r="F13" s="52">
        <f>LN(H13)</f>
        <v>9.5671053118651574</v>
      </c>
      <c r="H13">
        <v>14287</v>
      </c>
    </row>
    <row r="14" spans="2:8">
      <c r="E14">
        <f>+E13+1</f>
        <v>2</v>
      </c>
      <c r="F14" s="52">
        <f>LN(H14)</f>
        <v>9.5357516612379705</v>
      </c>
      <c r="H14">
        <v>13846</v>
      </c>
    </row>
    <row r="15" spans="2:8">
      <c r="E15">
        <f t="shared" ref="E15:E19" si="0">+E14+1</f>
        <v>3</v>
      </c>
      <c r="F15" s="52">
        <f>LN(H15)</f>
        <v>9.5621937106356985</v>
      </c>
      <c r="H15">
        <v>14217</v>
      </c>
    </row>
    <row r="16" spans="2:8">
      <c r="E16">
        <f t="shared" si="0"/>
        <v>4</v>
      </c>
      <c r="F16" s="52">
        <f>LN(H16)</f>
        <v>9.6585456337605056</v>
      </c>
      <c r="H16">
        <v>15655</v>
      </c>
    </row>
    <row r="17" spans="4:8">
      <c r="E17">
        <f t="shared" si="0"/>
        <v>5</v>
      </c>
      <c r="F17" s="52">
        <f>LN(H17)</f>
        <v>9.7673814195391362</v>
      </c>
      <c r="H17">
        <v>17455</v>
      </c>
    </row>
    <row r="18" spans="4:8">
      <c r="E18">
        <f t="shared" si="0"/>
        <v>6</v>
      </c>
      <c r="F18" s="52">
        <f>LN(H18)</f>
        <v>9.7541751493491198</v>
      </c>
      <c r="H18">
        <v>17226</v>
      </c>
    </row>
    <row r="19" spans="4:8">
      <c r="E19">
        <f t="shared" si="0"/>
        <v>7</v>
      </c>
      <c r="F19" s="52">
        <f>LN(H19)</f>
        <v>9.7355421616866806</v>
      </c>
      <c r="H19">
        <v>16908</v>
      </c>
    </row>
    <row r="21" spans="4:8">
      <c r="D21" s="53" t="s">
        <v>195</v>
      </c>
      <c r="E21" s="54" cm="1">
        <f t="array" ref="E21:F25">LINEST(F13:F19,E13:E19,TRUE,TRUE)</f>
        <v>4.0976615521082338E-2</v>
      </c>
      <c r="F21" s="54">
        <v>9.4904785447834232</v>
      </c>
    </row>
    <row r="22" spans="4:8">
      <c r="D22" s="53" t="s">
        <v>194</v>
      </c>
      <c r="E22" s="54">
        <v>9.4515995682333594E-3</v>
      </c>
      <c r="F22" s="54">
        <v>4.2268838261354899E-2</v>
      </c>
    </row>
    <row r="23" spans="4:8">
      <c r="D23" s="53" t="s">
        <v>191</v>
      </c>
      <c r="E23" s="54">
        <v>0.78987916398229496</v>
      </c>
      <c r="F23" s="54">
        <v>5.0013163898621864E-2</v>
      </c>
    </row>
    <row r="24" spans="4:8">
      <c r="D24" s="53" t="s">
        <v>192</v>
      </c>
      <c r="E24" s="54">
        <v>18.79583145946884</v>
      </c>
      <c r="F24" s="54">
        <v>5</v>
      </c>
    </row>
    <row r="25" spans="4:8">
      <c r="D25" s="53" t="s">
        <v>193</v>
      </c>
      <c r="E25" s="54">
        <v>4.7014324547753013E-2</v>
      </c>
      <c r="F25" s="54">
        <v>1.2506582815752065E-2</v>
      </c>
    </row>
    <row r="27" spans="4:8">
      <c r="D27" t="s">
        <v>196</v>
      </c>
      <c r="E27" s="49">
        <f>EXP(E21) - 1</f>
        <v>4.1827742661739942E-2</v>
      </c>
      <c r="F27" s="49"/>
    </row>
    <row r="28" spans="4:8">
      <c r="D28" t="s">
        <v>197</v>
      </c>
      <c r="E28">
        <f>LN(1+0.05)</f>
        <v>4.8790164169432049E-2</v>
      </c>
    </row>
    <row r="29" spans="4:8">
      <c r="D29" t="s">
        <v>198</v>
      </c>
      <c r="E29">
        <f>(E21-E28)/E22</f>
        <v>-0.82669061378889708</v>
      </c>
    </row>
    <row r="30" spans="4:8">
      <c r="E30">
        <f>_xlfn.T.INV.2T(0.05,5)</f>
        <v>2.570581835636315</v>
      </c>
    </row>
    <row r="31" spans="4:8">
      <c r="E31" t="str">
        <f>IF(ABS(E29) &lt;E30, "Realistic, do not reject null")</f>
        <v>Realistic, do not reject null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16A5-76B6-5D4C-9170-DE892B16A023}">
  <dimension ref="B3:C43"/>
  <sheetViews>
    <sheetView zoomScale="200" workbookViewId="0">
      <selection activeCell="B3" sqref="B3"/>
    </sheetView>
  </sheetViews>
  <sheetFormatPr baseColWidth="10" defaultRowHeight="14"/>
  <cols>
    <col min="1" max="1" width="10.83203125" style="40"/>
    <col min="2" max="2" width="20.1640625" style="40" customWidth="1"/>
    <col min="3" max="16384" width="10.83203125" style="40"/>
  </cols>
  <sheetData>
    <row r="3" spans="2:3">
      <c r="B3" s="39" t="s">
        <v>174</v>
      </c>
    </row>
    <row r="4" spans="2:3">
      <c r="B4" s="41" t="s">
        <v>131</v>
      </c>
      <c r="C4" s="40" t="s">
        <v>171</v>
      </c>
    </row>
    <row r="5" spans="2:3">
      <c r="B5" s="40" t="s">
        <v>132</v>
      </c>
    </row>
    <row r="6" spans="2:3">
      <c r="B6" s="40" t="s">
        <v>133</v>
      </c>
    </row>
    <row r="7" spans="2:3">
      <c r="B7" s="40" t="s">
        <v>134</v>
      </c>
    </row>
    <row r="8" spans="2:3">
      <c r="B8" s="40" t="s">
        <v>135</v>
      </c>
    </row>
    <row r="9" spans="2:3">
      <c r="B9" s="40" t="s">
        <v>136</v>
      </c>
    </row>
    <row r="10" spans="2:3">
      <c r="B10" s="40" t="s">
        <v>137</v>
      </c>
    </row>
    <row r="11" spans="2:3">
      <c r="B11" s="40" t="s">
        <v>138</v>
      </c>
    </row>
    <row r="12" spans="2:3">
      <c r="B12" s="40" t="s">
        <v>139</v>
      </c>
    </row>
    <row r="13" spans="2:3">
      <c r="B13" s="40" t="s">
        <v>140</v>
      </c>
    </row>
    <row r="14" spans="2:3">
      <c r="B14" s="40" t="s">
        <v>141</v>
      </c>
    </row>
    <row r="15" spans="2:3">
      <c r="B15" s="40" t="s">
        <v>142</v>
      </c>
    </row>
    <row r="16" spans="2:3">
      <c r="B16" s="40" t="s">
        <v>143</v>
      </c>
    </row>
    <row r="17" spans="2:2">
      <c r="B17" s="40" t="s">
        <v>144</v>
      </c>
    </row>
    <row r="18" spans="2:2">
      <c r="B18" s="40" t="s">
        <v>145</v>
      </c>
    </row>
    <row r="19" spans="2:2">
      <c r="B19" s="40" t="s">
        <v>146</v>
      </c>
    </row>
    <row r="20" spans="2:2">
      <c r="B20" s="40" t="s">
        <v>147</v>
      </c>
    </row>
    <row r="21" spans="2:2">
      <c r="B21" s="40" t="s">
        <v>148</v>
      </c>
    </row>
    <row r="22" spans="2:2">
      <c r="B22" s="40" t="s">
        <v>149</v>
      </c>
    </row>
    <row r="23" spans="2:2">
      <c r="B23" s="40" t="s">
        <v>150</v>
      </c>
    </row>
    <row r="24" spans="2:2">
      <c r="B24" s="40" t="s">
        <v>151</v>
      </c>
    </row>
    <row r="25" spans="2:2">
      <c r="B25" s="40" t="s">
        <v>152</v>
      </c>
    </row>
    <row r="26" spans="2:2">
      <c r="B26" s="40" t="s">
        <v>153</v>
      </c>
    </row>
    <row r="27" spans="2:2">
      <c r="B27" s="40" t="s">
        <v>154</v>
      </c>
    </row>
    <row r="28" spans="2:2">
      <c r="B28" s="40" t="s">
        <v>155</v>
      </c>
    </row>
    <row r="29" spans="2:2">
      <c r="B29" s="40" t="s">
        <v>156</v>
      </c>
    </row>
    <row r="30" spans="2:2">
      <c r="B30" s="40" t="s">
        <v>157</v>
      </c>
    </row>
    <row r="31" spans="2:2">
      <c r="B31" s="40" t="s">
        <v>158</v>
      </c>
    </row>
    <row r="32" spans="2:2">
      <c r="B32" s="40" t="s">
        <v>159</v>
      </c>
    </row>
    <row r="33" spans="2:2">
      <c r="B33" s="40" t="s">
        <v>160</v>
      </c>
    </row>
    <row r="34" spans="2:2">
      <c r="B34" s="40" t="s">
        <v>161</v>
      </c>
    </row>
    <row r="35" spans="2:2">
      <c r="B35" s="40" t="s">
        <v>162</v>
      </c>
    </row>
    <row r="36" spans="2:2">
      <c r="B36" s="40" t="s">
        <v>163</v>
      </c>
    </row>
    <row r="37" spans="2:2">
      <c r="B37" s="40" t="s">
        <v>164</v>
      </c>
    </row>
    <row r="38" spans="2:2">
      <c r="B38" s="40" t="s">
        <v>165</v>
      </c>
    </row>
    <row r="39" spans="2:2">
      <c r="B39" s="40" t="s">
        <v>166</v>
      </c>
    </row>
    <row r="40" spans="2:2">
      <c r="B40" s="40" t="s">
        <v>167</v>
      </c>
    </row>
    <row r="41" spans="2:2">
      <c r="B41" s="40" t="s">
        <v>168</v>
      </c>
    </row>
    <row r="42" spans="2:2">
      <c r="B42" s="40" t="s">
        <v>169</v>
      </c>
    </row>
    <row r="43" spans="2:2">
      <c r="B43" s="4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Sheet2</vt:lpstr>
      <vt:lpstr>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2024-12-11T06:10:27Z</dcterms:created>
  <dcterms:modified xsi:type="dcterms:W3CDTF">2025-11-27T02:17:04Z</dcterms:modified>
</cp:coreProperties>
</file>