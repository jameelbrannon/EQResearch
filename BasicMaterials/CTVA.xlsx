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meelbrannon/Library/CloudStorage/Dropbox/models/"/>
    </mc:Choice>
  </mc:AlternateContent>
  <xr:revisionPtr revIDLastSave="0" documentId="13_ncr:1_{E5B03149-0079-E740-84A9-5301060E632D}" xr6:coauthVersionLast="47" xr6:coauthVersionMax="47" xr10:uidLastSave="{00000000-0000-0000-0000-000000000000}"/>
  <bookViews>
    <workbookView xWindow="22000" yWindow="2200" windowWidth="29200" windowHeight="21880" xr2:uid="{F509E0CF-2959-224B-8C22-30F868E5ACC8}"/>
  </bookViews>
  <sheets>
    <sheet name="Main" sheetId="2" r:id="rId1"/>
    <sheet name="Mode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4" i="1" l="1"/>
  <c r="V44" i="1"/>
  <c r="Y10" i="1"/>
  <c r="Y9" i="1"/>
  <c r="Y8" i="1"/>
  <c r="Y7" i="1"/>
  <c r="Y6" i="1"/>
  <c r="Y5" i="1"/>
  <c r="Z10" i="1"/>
  <c r="Z9" i="1"/>
  <c r="Z8" i="1"/>
  <c r="Z7" i="1"/>
  <c r="Z6" i="1"/>
  <c r="Z5" i="1"/>
  <c r="M42" i="1"/>
  <c r="M41" i="1"/>
  <c r="M40" i="1"/>
  <c r="M39" i="1"/>
  <c r="M37" i="1"/>
  <c r="M36" i="1"/>
  <c r="M35" i="1"/>
  <c r="M34" i="1"/>
  <c r="M23" i="1"/>
  <c r="M17" i="1"/>
  <c r="L17" i="1"/>
  <c r="K42" i="1"/>
  <c r="K41" i="1"/>
  <c r="K40" i="1"/>
  <c r="K39" i="1"/>
  <c r="K37" i="1"/>
  <c r="K36" i="1"/>
  <c r="K35" i="1"/>
  <c r="K34" i="1"/>
  <c r="K17" i="1"/>
  <c r="K23" i="1"/>
  <c r="K87" i="1"/>
  <c r="L87" i="1" s="1"/>
  <c r="L88" i="1"/>
  <c r="K89" i="1"/>
  <c r="M88" i="1"/>
  <c r="AM40" i="1"/>
  <c r="AA24" i="1"/>
  <c r="AB24" i="1" s="1"/>
  <c r="AC24" i="1" s="1"/>
  <c r="AD24" i="1" s="1"/>
  <c r="AE24" i="1" s="1"/>
  <c r="AF24" i="1" s="1"/>
  <c r="AG24" i="1" s="1"/>
  <c r="AH24" i="1" s="1"/>
  <c r="AI24" i="1" s="1"/>
  <c r="AJ24" i="1" s="1"/>
  <c r="I82" i="1"/>
  <c r="H82" i="1"/>
  <c r="G82" i="1"/>
  <c r="F82" i="1"/>
  <c r="I81" i="1"/>
  <c r="H81" i="1"/>
  <c r="G81" i="1"/>
  <c r="F81" i="1"/>
  <c r="K78" i="1"/>
  <c r="K77" i="1"/>
  <c r="K74" i="1"/>
  <c r="K61" i="1"/>
  <c r="L30" i="1"/>
  <c r="L32" i="1" s="1"/>
  <c r="L78" i="1"/>
  <c r="L77" i="1"/>
  <c r="L74" i="1"/>
  <c r="L61" i="1"/>
  <c r="L46" i="1"/>
  <c r="M78" i="1"/>
  <c r="M77" i="1"/>
  <c r="M74" i="1"/>
  <c r="M61" i="1"/>
  <c r="N49" i="1"/>
  <c r="F11" i="2"/>
  <c r="F10" i="2"/>
  <c r="AM42" i="1"/>
  <c r="AA20" i="1"/>
  <c r="AA19" i="1"/>
  <c r="AA18" i="1"/>
  <c r="AA39" i="1" s="1"/>
  <c r="G89" i="1"/>
  <c r="C89" i="1"/>
  <c r="Z89" i="1"/>
  <c r="Y89" i="1"/>
  <c r="X89" i="1"/>
  <c r="D87" i="1"/>
  <c r="E87" i="1" s="1"/>
  <c r="H88" i="1"/>
  <c r="I88" i="1" s="1"/>
  <c r="H87" i="1"/>
  <c r="I87" i="1" s="1"/>
  <c r="E88" i="1"/>
  <c r="F88" i="1" s="1"/>
  <c r="J78" i="1"/>
  <c r="I78" i="1"/>
  <c r="H78" i="1"/>
  <c r="G78" i="1"/>
  <c r="F78" i="1"/>
  <c r="E78" i="1"/>
  <c r="D78" i="1"/>
  <c r="C78" i="1"/>
  <c r="J77" i="1"/>
  <c r="I77" i="1"/>
  <c r="H77" i="1"/>
  <c r="G77" i="1"/>
  <c r="F77" i="1"/>
  <c r="E77" i="1"/>
  <c r="D77" i="1"/>
  <c r="C77" i="1"/>
  <c r="M24" i="1" l="1"/>
  <c r="K24" i="1"/>
  <c r="K79" i="1"/>
  <c r="L79" i="1"/>
  <c r="M79" i="1"/>
  <c r="J79" i="1"/>
  <c r="J49" i="1" s="1"/>
  <c r="Z49" i="1" s="1"/>
  <c r="L89" i="1"/>
  <c r="M87" i="1"/>
  <c r="M89" i="1" s="1"/>
  <c r="K49" i="1"/>
  <c r="L49" i="1"/>
  <c r="M49" i="1"/>
  <c r="I89" i="1"/>
  <c r="AA41" i="1"/>
  <c r="AA40" i="1"/>
  <c r="E89" i="1"/>
  <c r="AA49" i="1"/>
  <c r="AA29" i="1"/>
  <c r="H89" i="1"/>
  <c r="J87" i="1"/>
  <c r="J88" i="1"/>
  <c r="D89" i="1"/>
  <c r="F87" i="1"/>
  <c r="F89" i="1" s="1"/>
  <c r="H79" i="1"/>
  <c r="I79" i="1"/>
  <c r="C79" i="1"/>
  <c r="D79" i="1"/>
  <c r="E79" i="1"/>
  <c r="F79" i="1"/>
  <c r="G79" i="1"/>
  <c r="C74" i="1"/>
  <c r="C61" i="1"/>
  <c r="G74" i="1"/>
  <c r="G61" i="1"/>
  <c r="D74" i="1"/>
  <c r="D61" i="1"/>
  <c r="H74" i="1"/>
  <c r="H61" i="1"/>
  <c r="E61" i="1"/>
  <c r="E74" i="1"/>
  <c r="I74" i="1"/>
  <c r="I61" i="1"/>
  <c r="J31" i="1"/>
  <c r="J29" i="1"/>
  <c r="J28" i="1"/>
  <c r="J27" i="1"/>
  <c r="J26" i="1"/>
  <c r="J25" i="1"/>
  <c r="J20" i="1"/>
  <c r="J41" i="1" s="1"/>
  <c r="J19" i="1"/>
  <c r="J40" i="1" s="1"/>
  <c r="J18" i="1"/>
  <c r="J39" i="1" s="1"/>
  <c r="J16" i="1"/>
  <c r="J37" i="1" s="1"/>
  <c r="J15" i="1"/>
  <c r="J36" i="1" s="1"/>
  <c r="J14" i="1"/>
  <c r="J35" i="1" s="1"/>
  <c r="J13" i="1"/>
  <c r="J34" i="1" s="1"/>
  <c r="F61" i="1"/>
  <c r="F74" i="1"/>
  <c r="J74" i="1"/>
  <c r="J61" i="1"/>
  <c r="Z22" i="1"/>
  <c r="AA22" i="1" s="1"/>
  <c r="Z17" i="1"/>
  <c r="X42" i="1"/>
  <c r="X41" i="1"/>
  <c r="X40" i="1"/>
  <c r="X39" i="1"/>
  <c r="X37" i="1"/>
  <c r="X36" i="1"/>
  <c r="X35" i="1"/>
  <c r="X23" i="1"/>
  <c r="W23" i="1"/>
  <c r="I23" i="1"/>
  <c r="M43" i="1" s="1"/>
  <c r="H23" i="1"/>
  <c r="G23" i="1"/>
  <c r="K43" i="1" s="1"/>
  <c r="F23" i="1"/>
  <c r="E23" i="1"/>
  <c r="D23" i="1"/>
  <c r="C23" i="1"/>
  <c r="I42" i="1"/>
  <c r="H42" i="1"/>
  <c r="G42" i="1"/>
  <c r="I41" i="1"/>
  <c r="H41" i="1"/>
  <c r="G41" i="1"/>
  <c r="I40" i="1"/>
  <c r="H40" i="1"/>
  <c r="G40" i="1"/>
  <c r="I39" i="1"/>
  <c r="H39" i="1"/>
  <c r="G39" i="1"/>
  <c r="I37" i="1"/>
  <c r="H37" i="1"/>
  <c r="G37" i="1"/>
  <c r="I36" i="1"/>
  <c r="H36" i="1"/>
  <c r="G36" i="1"/>
  <c r="I35" i="1"/>
  <c r="H35" i="1"/>
  <c r="G35" i="1"/>
  <c r="X34" i="1"/>
  <c r="S24" i="1"/>
  <c r="R24" i="1"/>
  <c r="Q24" i="1"/>
  <c r="X17" i="1"/>
  <c r="W17" i="1"/>
  <c r="Y31" i="1"/>
  <c r="Y29" i="1"/>
  <c r="Y28" i="1"/>
  <c r="Y27" i="1"/>
  <c r="Y26" i="1"/>
  <c r="Y25" i="1"/>
  <c r="Y22" i="1"/>
  <c r="Y42" i="1" s="1"/>
  <c r="Y20" i="1"/>
  <c r="Y19" i="1"/>
  <c r="Y18" i="1"/>
  <c r="Z39" i="1" s="1"/>
  <c r="Y16" i="1"/>
  <c r="Y37" i="1" s="1"/>
  <c r="Y15" i="1"/>
  <c r="Y36" i="1" s="1"/>
  <c r="Y14" i="1"/>
  <c r="Y35" i="1" s="1"/>
  <c r="Y13" i="1"/>
  <c r="Y34" i="1" s="1"/>
  <c r="I17" i="1"/>
  <c r="M38" i="1" s="1"/>
  <c r="H17" i="1"/>
  <c r="G17" i="1"/>
  <c r="K38" i="1" s="1"/>
  <c r="F17" i="1"/>
  <c r="E17" i="1"/>
  <c r="D17" i="1"/>
  <c r="C17" i="1"/>
  <c r="R2" i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J2" i="1" s="1"/>
  <c r="AK2" i="1" s="1"/>
  <c r="AL2" i="1" s="1"/>
  <c r="AM2" i="1" s="1"/>
  <c r="AN2" i="1" s="1"/>
  <c r="AO2" i="1" s="1"/>
  <c r="AP2" i="1" s="1"/>
  <c r="AQ2" i="1" s="1"/>
  <c r="AR2" i="1" s="1"/>
  <c r="AS2" i="1" s="1"/>
  <c r="AT2" i="1" s="1"/>
  <c r="AU2" i="1" s="1"/>
  <c r="AV2" i="1" s="1"/>
  <c r="AW2" i="1" s="1"/>
  <c r="AX2" i="1" s="1"/>
  <c r="AY2" i="1" s="1"/>
  <c r="AZ2" i="1" s="1"/>
  <c r="BA2" i="1" s="1"/>
  <c r="BB2" i="1" s="1"/>
  <c r="BC2" i="1" s="1"/>
  <c r="BD2" i="1" s="1"/>
  <c r="BE2" i="1" s="1"/>
  <c r="BF2" i="1" s="1"/>
  <c r="BG2" i="1" s="1"/>
  <c r="BH2" i="1" s="1"/>
  <c r="BI2" i="1" s="1"/>
  <c r="BJ2" i="1" s="1"/>
  <c r="BK2" i="1" s="1"/>
  <c r="BL2" i="1" s="1"/>
  <c r="BM2" i="1" s="1"/>
  <c r="BN2" i="1" s="1"/>
  <c r="BO2" i="1" s="1"/>
  <c r="BP2" i="1" s="1"/>
  <c r="BQ2" i="1" s="1"/>
  <c r="BR2" i="1" s="1"/>
  <c r="BS2" i="1" s="1"/>
  <c r="BT2" i="1" s="1"/>
  <c r="BU2" i="1" s="1"/>
  <c r="BV2" i="1" s="1"/>
  <c r="BW2" i="1" s="1"/>
  <c r="BX2" i="1" s="1"/>
  <c r="BY2" i="1" s="1"/>
  <c r="BZ2" i="1" s="1"/>
  <c r="CA2" i="1" s="1"/>
  <c r="CB2" i="1" s="1"/>
  <c r="CC2" i="1" s="1"/>
  <c r="CD2" i="1" s="1"/>
  <c r="CE2" i="1" s="1"/>
  <c r="CF2" i="1" s="1"/>
  <c r="CG2" i="1" s="1"/>
  <c r="CH2" i="1" s="1"/>
  <c r="CI2" i="1" s="1"/>
  <c r="CJ2" i="1" s="1"/>
  <c r="CK2" i="1" s="1"/>
  <c r="CL2" i="1" s="1"/>
  <c r="CM2" i="1" s="1"/>
  <c r="CN2" i="1" s="1"/>
  <c r="CO2" i="1" s="1"/>
  <c r="CP2" i="1" s="1"/>
  <c r="CQ2" i="1" s="1"/>
  <c r="CR2" i="1" s="1"/>
  <c r="CS2" i="1" s="1"/>
  <c r="CT2" i="1" s="1"/>
  <c r="CU2" i="1" s="1"/>
  <c r="CV2" i="1" s="1"/>
  <c r="CW2" i="1" s="1"/>
  <c r="CX2" i="1" s="1"/>
  <c r="CY2" i="1" s="1"/>
  <c r="CZ2" i="1" s="1"/>
  <c r="DA2" i="1" s="1"/>
  <c r="DB2" i="1" s="1"/>
  <c r="DC2" i="1" s="1"/>
  <c r="DD2" i="1" s="1"/>
  <c r="DE2" i="1" s="1"/>
  <c r="DF2" i="1" s="1"/>
  <c r="DG2" i="1" s="1"/>
  <c r="DH2" i="1" s="1"/>
  <c r="DI2" i="1" s="1"/>
  <c r="DJ2" i="1" s="1"/>
  <c r="DK2" i="1" s="1"/>
  <c r="DL2" i="1" s="1"/>
  <c r="DM2" i="1" s="1"/>
  <c r="DN2" i="1" s="1"/>
  <c r="DO2" i="1" s="1"/>
  <c r="DP2" i="1" s="1"/>
  <c r="DQ2" i="1" s="1"/>
  <c r="DR2" i="1" s="1"/>
  <c r="DS2" i="1" s="1"/>
  <c r="DT2" i="1" s="1"/>
  <c r="DU2" i="1" s="1"/>
  <c r="DV2" i="1" s="1"/>
  <c r="DW2" i="1" s="1"/>
  <c r="DX2" i="1" s="1"/>
  <c r="DY2" i="1" s="1"/>
  <c r="DZ2" i="1" s="1"/>
  <c r="EA2" i="1" s="1"/>
  <c r="EB2" i="1" s="1"/>
  <c r="EC2" i="1" s="1"/>
  <c r="ED2" i="1" s="1"/>
  <c r="EE2" i="1" s="1"/>
  <c r="EF2" i="1" s="1"/>
  <c r="EG2" i="1" s="1"/>
  <c r="EH2" i="1" s="1"/>
  <c r="EI2" i="1" s="1"/>
  <c r="EJ2" i="1" s="1"/>
  <c r="EK2" i="1" s="1"/>
  <c r="EL2" i="1" s="1"/>
  <c r="EM2" i="1" s="1"/>
  <c r="EN2" i="1" s="1"/>
  <c r="EO2" i="1" s="1"/>
  <c r="EP2" i="1" s="1"/>
  <c r="EQ2" i="1" s="1"/>
  <c r="ER2" i="1" s="1"/>
  <c r="ES2" i="1" s="1"/>
  <c r="ET2" i="1" s="1"/>
  <c r="EU2" i="1" s="1"/>
  <c r="EV2" i="1" s="1"/>
  <c r="EW2" i="1" s="1"/>
  <c r="EX2" i="1" s="1"/>
  <c r="EY2" i="1" s="1"/>
  <c r="EZ2" i="1" s="1"/>
  <c r="FA2" i="1" s="1"/>
  <c r="FB2" i="1" s="1"/>
  <c r="FC2" i="1" s="1"/>
  <c r="FD2" i="1" s="1"/>
  <c r="FE2" i="1" s="1"/>
  <c r="FF2" i="1" s="1"/>
  <c r="FG2" i="1" s="1"/>
  <c r="FH2" i="1" s="1"/>
  <c r="FI2" i="1" s="1"/>
  <c r="FJ2" i="1" s="1"/>
  <c r="FK2" i="1" s="1"/>
  <c r="FL2" i="1" s="1"/>
  <c r="FM2" i="1" s="1"/>
  <c r="FN2" i="1" s="1"/>
  <c r="FO2" i="1" s="1"/>
  <c r="FP2" i="1" s="1"/>
  <c r="FQ2" i="1" s="1"/>
  <c r="FR2" i="1" s="1"/>
  <c r="FS2" i="1" s="1"/>
  <c r="FT2" i="1" s="1"/>
  <c r="FU2" i="1" s="1"/>
  <c r="FV2" i="1" s="1"/>
  <c r="FW2" i="1" s="1"/>
  <c r="FX2" i="1" s="1"/>
  <c r="FY2" i="1" s="1"/>
  <c r="FZ2" i="1" s="1"/>
  <c r="GA2" i="1" s="1"/>
  <c r="GB2" i="1" s="1"/>
  <c r="GC2" i="1" s="1"/>
  <c r="GD2" i="1" s="1"/>
  <c r="GE2" i="1" s="1"/>
  <c r="GF2" i="1" s="1"/>
  <c r="GG2" i="1" s="1"/>
  <c r="GH2" i="1" s="1"/>
  <c r="GI2" i="1" s="1"/>
  <c r="GJ2" i="1" s="1"/>
  <c r="GK2" i="1" s="1"/>
  <c r="GL2" i="1" s="1"/>
  <c r="GM2" i="1" s="1"/>
  <c r="GN2" i="1" s="1"/>
  <c r="GO2" i="1" s="1"/>
  <c r="GP2" i="1" s="1"/>
  <c r="GQ2" i="1" s="1"/>
  <c r="GR2" i="1" s="1"/>
  <c r="GS2" i="1" s="1"/>
  <c r="GT2" i="1" s="1"/>
  <c r="GU2" i="1" s="1"/>
  <c r="GV2" i="1" s="1"/>
  <c r="GW2" i="1" s="1"/>
  <c r="GX2" i="1" s="1"/>
  <c r="GY2" i="1" s="1"/>
  <c r="GZ2" i="1" s="1"/>
  <c r="HA2" i="1" s="1"/>
  <c r="HB2" i="1" s="1"/>
  <c r="HC2" i="1" s="1"/>
  <c r="HD2" i="1" s="1"/>
  <c r="HE2" i="1" s="1"/>
  <c r="HF2" i="1" s="1"/>
  <c r="HG2" i="1" s="1"/>
  <c r="HH2" i="1" s="1"/>
  <c r="HI2" i="1" s="1"/>
  <c r="HJ2" i="1" s="1"/>
  <c r="HK2" i="1" s="1"/>
  <c r="HL2" i="1" s="1"/>
  <c r="HM2" i="1" s="1"/>
  <c r="HN2" i="1" s="1"/>
  <c r="HO2" i="1" s="1"/>
  <c r="HP2" i="1" s="1"/>
  <c r="HQ2" i="1" s="1"/>
  <c r="HR2" i="1" s="1"/>
  <c r="HS2" i="1" s="1"/>
  <c r="HT2" i="1" s="1"/>
  <c r="HU2" i="1" s="1"/>
  <c r="HV2" i="1" s="1"/>
  <c r="HW2" i="1" s="1"/>
  <c r="HX2" i="1" s="1"/>
  <c r="HY2" i="1" s="1"/>
  <c r="HZ2" i="1" s="1"/>
  <c r="IA2" i="1" s="1"/>
  <c r="IB2" i="1" s="1"/>
  <c r="G34" i="1"/>
  <c r="H34" i="1"/>
  <c r="I34" i="1"/>
  <c r="G10" i="2"/>
  <c r="G11" i="2" s="1"/>
  <c r="F9" i="2"/>
  <c r="I91" i="1" l="1"/>
  <c r="M46" i="1"/>
  <c r="M30" i="1"/>
  <c r="M32" i="1" s="1"/>
  <c r="K46" i="1"/>
  <c r="M81" i="1"/>
  <c r="L82" i="1"/>
  <c r="K82" i="1"/>
  <c r="J82" i="1"/>
  <c r="M82" i="1"/>
  <c r="L81" i="1"/>
  <c r="K81" i="1"/>
  <c r="J81" i="1"/>
  <c r="G43" i="1"/>
  <c r="H43" i="1"/>
  <c r="I43" i="1"/>
  <c r="AB49" i="1"/>
  <c r="AB29" i="1"/>
  <c r="AA23" i="1"/>
  <c r="AA42" i="1"/>
  <c r="J89" i="1"/>
  <c r="Z23" i="1"/>
  <c r="J23" i="1" s="1"/>
  <c r="J43" i="1" s="1"/>
  <c r="Z42" i="1"/>
  <c r="G91" i="1"/>
  <c r="F91" i="1"/>
  <c r="Y40" i="1"/>
  <c r="Z40" i="1"/>
  <c r="Y41" i="1"/>
  <c r="Z41" i="1"/>
  <c r="I24" i="1"/>
  <c r="M44" i="1" s="1"/>
  <c r="H91" i="1"/>
  <c r="E49" i="1"/>
  <c r="D49" i="1"/>
  <c r="C49" i="1"/>
  <c r="F49" i="1"/>
  <c r="I49" i="1"/>
  <c r="G49" i="1"/>
  <c r="H49" i="1"/>
  <c r="J17" i="1"/>
  <c r="J38" i="1" s="1"/>
  <c r="J22" i="1"/>
  <c r="J42" i="1" s="1"/>
  <c r="Y23" i="1"/>
  <c r="X43" i="1"/>
  <c r="Z37" i="1"/>
  <c r="Z34" i="1"/>
  <c r="Z35" i="1"/>
  <c r="Z36" i="1"/>
  <c r="F12" i="2"/>
  <c r="X24" i="1"/>
  <c r="F24" i="1"/>
  <c r="Y17" i="1"/>
  <c r="H24" i="1"/>
  <c r="D24" i="1"/>
  <c r="E24" i="1"/>
  <c r="G24" i="1"/>
  <c r="K44" i="1" s="1"/>
  <c r="Y39" i="1"/>
  <c r="X38" i="1"/>
  <c r="W24" i="1"/>
  <c r="C24" i="1"/>
  <c r="G38" i="1"/>
  <c r="I38" i="1"/>
  <c r="H38" i="1"/>
  <c r="W46" i="1" l="1"/>
  <c r="W44" i="1"/>
  <c r="I30" i="1"/>
  <c r="I32" i="1" s="1"/>
  <c r="I47" i="1"/>
  <c r="J91" i="1"/>
  <c r="M91" i="1"/>
  <c r="L91" i="1"/>
  <c r="K91" i="1"/>
  <c r="F30" i="1"/>
  <c r="F32" i="1" s="1"/>
  <c r="I80" i="1"/>
  <c r="I83" i="1" s="1"/>
  <c r="L44" i="1"/>
  <c r="D46" i="1"/>
  <c r="G80" i="1"/>
  <c r="G83" i="1" s="1"/>
  <c r="E30" i="1"/>
  <c r="E32" i="1" s="1"/>
  <c r="H80" i="1"/>
  <c r="H83" i="1" s="1"/>
  <c r="C47" i="1"/>
  <c r="F80" i="1"/>
  <c r="F83" i="1" s="1"/>
  <c r="AC49" i="1"/>
  <c r="AC29" i="1"/>
  <c r="AA43" i="1"/>
  <c r="I46" i="1"/>
  <c r="I44" i="1"/>
  <c r="X47" i="1"/>
  <c r="X44" i="1"/>
  <c r="H46" i="1"/>
  <c r="H44" i="1"/>
  <c r="G46" i="1"/>
  <c r="G44" i="1"/>
  <c r="Z24" i="1"/>
  <c r="J24" i="1" s="1"/>
  <c r="Z43" i="1"/>
  <c r="D47" i="1"/>
  <c r="Y43" i="1"/>
  <c r="F46" i="1"/>
  <c r="G47" i="1"/>
  <c r="Y24" i="1"/>
  <c r="X46" i="1"/>
  <c r="X30" i="1"/>
  <c r="X32" i="1" s="1"/>
  <c r="G30" i="1"/>
  <c r="G32" i="1" s="1"/>
  <c r="F47" i="1"/>
  <c r="Z38" i="1"/>
  <c r="H47" i="1"/>
  <c r="E47" i="1"/>
  <c r="W47" i="1"/>
  <c r="Y38" i="1"/>
  <c r="H30" i="1"/>
  <c r="H32" i="1" s="1"/>
  <c r="E46" i="1"/>
  <c r="D30" i="1"/>
  <c r="C30" i="1"/>
  <c r="C46" i="1"/>
  <c r="J80" i="1" l="1"/>
  <c r="J83" i="1" s="1"/>
  <c r="K80" i="1"/>
  <c r="K83" i="1" s="1"/>
  <c r="L80" i="1"/>
  <c r="L83" i="1" s="1"/>
  <c r="M80" i="1"/>
  <c r="M83" i="1" s="1"/>
  <c r="J44" i="1"/>
  <c r="I92" i="1"/>
  <c r="AD49" i="1"/>
  <c r="AD29" i="1"/>
  <c r="Z44" i="1"/>
  <c r="Y46" i="1"/>
  <c r="Y44" i="1"/>
  <c r="Z46" i="1"/>
  <c r="Z30" i="1"/>
  <c r="J30" i="1" s="1"/>
  <c r="Z47" i="1"/>
  <c r="H92" i="1"/>
  <c r="Y30" i="1"/>
  <c r="Y47" i="1"/>
  <c r="J46" i="1"/>
  <c r="J47" i="1"/>
  <c r="D32" i="1"/>
  <c r="C32" i="1"/>
  <c r="F92" i="1" s="1"/>
  <c r="AE29" i="1" l="1"/>
  <c r="AE49" i="1"/>
  <c r="AA28" i="1"/>
  <c r="AA44" i="1"/>
  <c r="AA17" i="1"/>
  <c r="AA26" i="1"/>
  <c r="AA25" i="1"/>
  <c r="AA27" i="1"/>
  <c r="Z32" i="1"/>
  <c r="J32" i="1" s="1"/>
  <c r="G92" i="1"/>
  <c r="Y32" i="1"/>
  <c r="J92" i="1" l="1"/>
  <c r="AF29" i="1"/>
  <c r="AF49" i="1"/>
  <c r="AA38" i="1"/>
  <c r="AA16" i="1"/>
  <c r="AA37" i="1" s="1"/>
  <c r="AA47" i="1"/>
  <c r="AA14" i="1"/>
  <c r="AA35" i="1" s="1"/>
  <c r="AA15" i="1"/>
  <c r="AA36" i="1" s="1"/>
  <c r="AA13" i="1"/>
  <c r="AA34" i="1" s="1"/>
  <c r="AA30" i="1"/>
  <c r="AA46" i="1"/>
  <c r="AA31" i="1" l="1"/>
  <c r="AA32" i="1" s="1"/>
  <c r="K30" i="1"/>
  <c r="AG29" i="1"/>
  <c r="AG49" i="1"/>
  <c r="AD44" i="1"/>
  <c r="AF44" i="1"/>
  <c r="AF47" i="1"/>
  <c r="AG44" i="1"/>
  <c r="AG47" i="1"/>
  <c r="AI44" i="1"/>
  <c r="AC44" i="1"/>
  <c r="AE44" i="1"/>
  <c r="AH44" i="1"/>
  <c r="AB28" i="1"/>
  <c r="AC28" i="1" s="1"/>
  <c r="AD28" i="1" s="1"/>
  <c r="AE28" i="1" s="1"/>
  <c r="AF28" i="1" s="1"/>
  <c r="AG28" i="1" s="1"/>
  <c r="AH28" i="1" s="1"/>
  <c r="AI28" i="1" s="1"/>
  <c r="AJ28" i="1" s="1"/>
  <c r="AB27" i="1"/>
  <c r="AC27" i="1" s="1"/>
  <c r="AD27" i="1" s="1"/>
  <c r="AE27" i="1" s="1"/>
  <c r="AF27" i="1" s="1"/>
  <c r="AG27" i="1" s="1"/>
  <c r="AH27" i="1" s="1"/>
  <c r="AI27" i="1" s="1"/>
  <c r="AJ27" i="1" s="1"/>
  <c r="AB26" i="1"/>
  <c r="AC26" i="1" s="1"/>
  <c r="AD26" i="1" s="1"/>
  <c r="AE26" i="1" s="1"/>
  <c r="AF26" i="1" s="1"/>
  <c r="AG26" i="1" s="1"/>
  <c r="AH26" i="1" s="1"/>
  <c r="AI26" i="1" s="1"/>
  <c r="AJ26" i="1" s="1"/>
  <c r="AB44" i="1"/>
  <c r="AB25" i="1"/>
  <c r="AJ44" i="1"/>
  <c r="K32" i="1" l="1"/>
  <c r="AC47" i="1"/>
  <c r="AH29" i="1"/>
  <c r="AH49" i="1"/>
  <c r="AD47" i="1"/>
  <c r="AC25" i="1"/>
  <c r="AC30" i="1" s="1"/>
  <c r="AB46" i="1"/>
  <c r="AB30" i="1"/>
  <c r="AB31" i="1" s="1"/>
  <c r="AB32" i="1" s="1"/>
  <c r="AB47" i="1"/>
  <c r="AH47" i="1"/>
  <c r="AJ47" i="1"/>
  <c r="AI47" i="1"/>
  <c r="AE47" i="1"/>
  <c r="K92" i="1" l="1"/>
  <c r="L92" i="1"/>
  <c r="M92" i="1"/>
  <c r="AI29" i="1"/>
  <c r="AI49" i="1"/>
  <c r="AC46" i="1"/>
  <c r="AD25" i="1"/>
  <c r="AD46" i="1" s="1"/>
  <c r="AC31" i="1"/>
  <c r="AC32" i="1" s="1"/>
  <c r="AJ29" i="1" l="1"/>
  <c r="AJ49" i="1"/>
  <c r="AD30" i="1"/>
  <c r="AD31" i="1" s="1"/>
  <c r="AE25" i="1"/>
  <c r="AE46" i="1" l="1"/>
  <c r="AE30" i="1"/>
  <c r="AE31" i="1" s="1"/>
  <c r="AF25" i="1"/>
  <c r="AD32" i="1"/>
  <c r="AF30" i="1" l="1"/>
  <c r="AF31" i="1" s="1"/>
  <c r="AG25" i="1"/>
  <c r="AF46" i="1"/>
  <c r="AE32" i="1"/>
  <c r="AH25" i="1" l="1"/>
  <c r="AG30" i="1"/>
  <c r="AG31" i="1" s="1"/>
  <c r="AG46" i="1"/>
  <c r="AF32" i="1"/>
  <c r="AI25" i="1" l="1"/>
  <c r="AH46" i="1"/>
  <c r="AH30" i="1"/>
  <c r="AH31" i="1" s="1"/>
  <c r="AG32" i="1"/>
  <c r="AJ25" i="1" l="1"/>
  <c r="AI46" i="1"/>
  <c r="AI30" i="1"/>
  <c r="AI31" i="1" s="1"/>
  <c r="AH32" i="1"/>
  <c r="AJ46" i="1" l="1"/>
  <c r="AJ30" i="1"/>
  <c r="AJ31" i="1" s="1"/>
  <c r="AJ32" i="1" s="1"/>
  <c r="AK32" i="1" s="1"/>
  <c r="AL32" i="1" s="1"/>
  <c r="AM32" i="1" s="1"/>
  <c r="AN32" i="1" s="1"/>
  <c r="AO32" i="1" s="1"/>
  <c r="AP32" i="1" s="1"/>
  <c r="AQ32" i="1" s="1"/>
  <c r="AR32" i="1" s="1"/>
  <c r="AS32" i="1" s="1"/>
  <c r="AT32" i="1" s="1"/>
  <c r="AU32" i="1" s="1"/>
  <c r="AV32" i="1" s="1"/>
  <c r="AW32" i="1" s="1"/>
  <c r="AX32" i="1" s="1"/>
  <c r="AY32" i="1" s="1"/>
  <c r="AZ32" i="1" s="1"/>
  <c r="BA32" i="1" s="1"/>
  <c r="BB32" i="1" s="1"/>
  <c r="BC32" i="1" s="1"/>
  <c r="BD32" i="1" s="1"/>
  <c r="BE32" i="1" s="1"/>
  <c r="BF32" i="1" s="1"/>
  <c r="BG32" i="1" s="1"/>
  <c r="BH32" i="1" s="1"/>
  <c r="BI32" i="1" s="1"/>
  <c r="BJ32" i="1" s="1"/>
  <c r="BK32" i="1" s="1"/>
  <c r="BL32" i="1" s="1"/>
  <c r="BM32" i="1" s="1"/>
  <c r="BN32" i="1" s="1"/>
  <c r="BO32" i="1" s="1"/>
  <c r="BP32" i="1" s="1"/>
  <c r="BQ32" i="1" s="1"/>
  <c r="BR32" i="1" s="1"/>
  <c r="BS32" i="1" s="1"/>
  <c r="BT32" i="1" s="1"/>
  <c r="BU32" i="1" s="1"/>
  <c r="BV32" i="1" s="1"/>
  <c r="BW32" i="1" s="1"/>
  <c r="BX32" i="1" s="1"/>
  <c r="BY32" i="1" s="1"/>
  <c r="BZ32" i="1" s="1"/>
  <c r="CA32" i="1" s="1"/>
  <c r="CB32" i="1" s="1"/>
  <c r="CC32" i="1" s="1"/>
  <c r="CD32" i="1" s="1"/>
  <c r="CE32" i="1" s="1"/>
  <c r="CF32" i="1" s="1"/>
  <c r="CG32" i="1" s="1"/>
  <c r="CH32" i="1" s="1"/>
  <c r="CI32" i="1" s="1"/>
  <c r="CJ32" i="1" s="1"/>
  <c r="CK32" i="1" s="1"/>
  <c r="CL32" i="1" s="1"/>
  <c r="CM32" i="1" s="1"/>
  <c r="CN32" i="1" s="1"/>
  <c r="CO32" i="1" s="1"/>
  <c r="CP32" i="1" s="1"/>
  <c r="CQ32" i="1" s="1"/>
  <c r="CR32" i="1" s="1"/>
  <c r="CS32" i="1" s="1"/>
  <c r="CT32" i="1" s="1"/>
  <c r="CU32" i="1" s="1"/>
  <c r="CV32" i="1" s="1"/>
  <c r="CW32" i="1" s="1"/>
  <c r="CX32" i="1" s="1"/>
  <c r="CY32" i="1" s="1"/>
  <c r="CZ32" i="1" s="1"/>
  <c r="DA32" i="1" s="1"/>
  <c r="DB32" i="1" s="1"/>
  <c r="DC32" i="1" s="1"/>
  <c r="DD32" i="1" s="1"/>
  <c r="DE32" i="1" s="1"/>
  <c r="DF32" i="1" s="1"/>
  <c r="DG32" i="1" s="1"/>
  <c r="DH32" i="1" s="1"/>
  <c r="DI32" i="1" s="1"/>
  <c r="DJ32" i="1" s="1"/>
  <c r="DK32" i="1" s="1"/>
  <c r="DL32" i="1" s="1"/>
  <c r="DM32" i="1" s="1"/>
  <c r="DN32" i="1" s="1"/>
  <c r="DO32" i="1" s="1"/>
  <c r="DP32" i="1" s="1"/>
  <c r="DQ32" i="1" s="1"/>
  <c r="DR32" i="1" s="1"/>
  <c r="DS32" i="1" s="1"/>
  <c r="DT32" i="1" s="1"/>
  <c r="DU32" i="1" s="1"/>
  <c r="DV32" i="1" s="1"/>
  <c r="DW32" i="1" s="1"/>
  <c r="DX32" i="1" s="1"/>
  <c r="DY32" i="1" s="1"/>
  <c r="DZ32" i="1" s="1"/>
  <c r="EA32" i="1" s="1"/>
  <c r="EB32" i="1" s="1"/>
  <c r="EC32" i="1" s="1"/>
  <c r="ED32" i="1" s="1"/>
  <c r="EE32" i="1" s="1"/>
  <c r="EF32" i="1" s="1"/>
  <c r="EG32" i="1" s="1"/>
  <c r="EH32" i="1" s="1"/>
  <c r="EI32" i="1" s="1"/>
  <c r="EJ32" i="1" s="1"/>
  <c r="EK32" i="1" s="1"/>
  <c r="EL32" i="1" s="1"/>
  <c r="EM32" i="1" s="1"/>
  <c r="EN32" i="1" s="1"/>
  <c r="EO32" i="1" s="1"/>
  <c r="EP32" i="1" s="1"/>
  <c r="EQ32" i="1" s="1"/>
  <c r="ER32" i="1" s="1"/>
  <c r="ES32" i="1" s="1"/>
  <c r="ET32" i="1" s="1"/>
  <c r="EU32" i="1" s="1"/>
  <c r="EV32" i="1" s="1"/>
  <c r="EW32" i="1" s="1"/>
  <c r="EX32" i="1" s="1"/>
  <c r="EY32" i="1" s="1"/>
  <c r="EZ32" i="1" s="1"/>
  <c r="FA32" i="1" s="1"/>
  <c r="FB32" i="1" s="1"/>
  <c r="FC32" i="1" s="1"/>
  <c r="FD32" i="1" s="1"/>
  <c r="FE32" i="1" s="1"/>
  <c r="FF32" i="1" s="1"/>
  <c r="FG32" i="1" s="1"/>
  <c r="FH32" i="1" s="1"/>
  <c r="FI32" i="1" s="1"/>
  <c r="FJ32" i="1" s="1"/>
  <c r="FK32" i="1" s="1"/>
  <c r="FL32" i="1" s="1"/>
  <c r="FM32" i="1" s="1"/>
  <c r="FN32" i="1" s="1"/>
  <c r="FO32" i="1" s="1"/>
  <c r="FP32" i="1" s="1"/>
  <c r="FQ32" i="1" s="1"/>
  <c r="FR32" i="1" s="1"/>
  <c r="FS32" i="1" s="1"/>
  <c r="FT32" i="1" s="1"/>
  <c r="FU32" i="1" s="1"/>
  <c r="FV32" i="1" s="1"/>
  <c r="FW32" i="1" s="1"/>
  <c r="FX32" i="1" s="1"/>
  <c r="FY32" i="1" s="1"/>
  <c r="FZ32" i="1" s="1"/>
  <c r="GA32" i="1" s="1"/>
  <c r="GB32" i="1" s="1"/>
  <c r="GC32" i="1" s="1"/>
  <c r="GD32" i="1" s="1"/>
  <c r="GE32" i="1" s="1"/>
  <c r="GF32" i="1" s="1"/>
  <c r="GG32" i="1" s="1"/>
  <c r="GH32" i="1" s="1"/>
  <c r="GI32" i="1" s="1"/>
  <c r="GJ32" i="1" s="1"/>
  <c r="GK32" i="1" s="1"/>
  <c r="GL32" i="1" s="1"/>
  <c r="GM32" i="1" s="1"/>
  <c r="GN32" i="1" s="1"/>
  <c r="GO32" i="1" s="1"/>
  <c r="GP32" i="1" s="1"/>
  <c r="GQ32" i="1" s="1"/>
  <c r="GR32" i="1" s="1"/>
  <c r="GS32" i="1" s="1"/>
  <c r="GT32" i="1" s="1"/>
  <c r="GU32" i="1" s="1"/>
  <c r="GV32" i="1" s="1"/>
  <c r="GW32" i="1" s="1"/>
  <c r="GX32" i="1" s="1"/>
  <c r="GY32" i="1" s="1"/>
  <c r="GZ32" i="1" s="1"/>
  <c r="HA32" i="1" s="1"/>
  <c r="HB32" i="1" s="1"/>
  <c r="HC32" i="1" s="1"/>
  <c r="HD32" i="1" s="1"/>
  <c r="HE32" i="1" s="1"/>
  <c r="HF32" i="1" s="1"/>
  <c r="HG32" i="1" s="1"/>
  <c r="HH32" i="1" s="1"/>
  <c r="HI32" i="1" s="1"/>
  <c r="HJ32" i="1" s="1"/>
  <c r="HK32" i="1" s="1"/>
  <c r="HL32" i="1" s="1"/>
  <c r="HM32" i="1" s="1"/>
  <c r="HN32" i="1" s="1"/>
  <c r="HO32" i="1" s="1"/>
  <c r="HP32" i="1" s="1"/>
  <c r="HQ32" i="1" s="1"/>
  <c r="HR32" i="1" s="1"/>
  <c r="HS32" i="1" s="1"/>
  <c r="HT32" i="1" s="1"/>
  <c r="HU32" i="1" s="1"/>
  <c r="HV32" i="1" s="1"/>
  <c r="HW32" i="1" s="1"/>
  <c r="HX32" i="1" s="1"/>
  <c r="HY32" i="1" s="1"/>
  <c r="HZ32" i="1" s="1"/>
  <c r="IA32" i="1" s="1"/>
  <c r="IB32" i="1" s="1"/>
  <c r="AI32" i="1"/>
  <c r="AM39" i="1" l="1"/>
  <c r="AM41" i="1" s="1"/>
  <c r="AM43" i="1" s="1"/>
</calcChain>
</file>

<file path=xl/sharedStrings.xml><?xml version="1.0" encoding="utf-8"?>
<sst xmlns="http://schemas.openxmlformats.org/spreadsheetml/2006/main" count="140" uniqueCount="124">
  <si>
    <t>Q123</t>
  </si>
  <si>
    <t>Q223</t>
  </si>
  <si>
    <t>Q323</t>
  </si>
  <si>
    <t>Q423</t>
  </si>
  <si>
    <t>Q124</t>
  </si>
  <si>
    <t>Q224</t>
  </si>
  <si>
    <t>Q324</t>
  </si>
  <si>
    <t>Q424</t>
  </si>
  <si>
    <t>P</t>
  </si>
  <si>
    <t>S</t>
  </si>
  <si>
    <t>MC</t>
  </si>
  <si>
    <t>C</t>
  </si>
  <si>
    <t>D</t>
  </si>
  <si>
    <t>EV</t>
  </si>
  <si>
    <t xml:space="preserve">CEO </t>
  </si>
  <si>
    <t xml:space="preserve">CFO </t>
  </si>
  <si>
    <t>Chuck Magro</t>
  </si>
  <si>
    <t xml:space="preserve">Total Revenue </t>
  </si>
  <si>
    <t>Corn</t>
  </si>
  <si>
    <t>Soybean</t>
  </si>
  <si>
    <t>Other oilseeds</t>
  </si>
  <si>
    <t>Other seeds</t>
  </si>
  <si>
    <t>Herbacides</t>
  </si>
  <si>
    <t>Fungicides</t>
  </si>
  <si>
    <t xml:space="preserve">Net Income </t>
  </si>
  <si>
    <t>Taxes</t>
  </si>
  <si>
    <t>EBT</t>
  </si>
  <si>
    <t>Interest Expense</t>
  </si>
  <si>
    <t>Other income</t>
  </si>
  <si>
    <t>SG&amp;A</t>
  </si>
  <si>
    <t>R&amp;D</t>
  </si>
  <si>
    <t>Cogs</t>
  </si>
  <si>
    <t>Other Crops</t>
  </si>
  <si>
    <t>Insecticides</t>
  </si>
  <si>
    <t>Seed</t>
  </si>
  <si>
    <t>Seed Segment</t>
  </si>
  <si>
    <t xml:space="preserve">Herbacides Segment </t>
  </si>
  <si>
    <t xml:space="preserve">GM % </t>
  </si>
  <si>
    <t>Seeds % Rev</t>
  </si>
  <si>
    <t xml:space="preserve">Segment </t>
  </si>
  <si>
    <t>raw materials</t>
  </si>
  <si>
    <t>corn, soybean seeds</t>
  </si>
  <si>
    <t>Crop Protection</t>
  </si>
  <si>
    <t>chlorinated pyridines derivatives, chlorine, seed treatment</t>
  </si>
  <si>
    <t>cash</t>
  </si>
  <si>
    <t>securities</t>
  </si>
  <si>
    <t>a/r</t>
  </si>
  <si>
    <t>inventories</t>
  </si>
  <si>
    <t>oca</t>
  </si>
  <si>
    <t>ppe</t>
  </si>
  <si>
    <t>goodwill</t>
  </si>
  <si>
    <t>other intangibles</t>
  </si>
  <si>
    <t>deferred i/t</t>
  </si>
  <si>
    <t>oa</t>
  </si>
  <si>
    <t xml:space="preserve">total assets </t>
  </si>
  <si>
    <t>short term debt</t>
  </si>
  <si>
    <t>income taxes</t>
  </si>
  <si>
    <t>deferred revenue</t>
  </si>
  <si>
    <t>accrued/ocl</t>
  </si>
  <si>
    <t xml:space="preserve">long term debt </t>
  </si>
  <si>
    <t>equity</t>
  </si>
  <si>
    <t>noncontrolling</t>
  </si>
  <si>
    <t xml:space="preserve">total liab + equity </t>
  </si>
  <si>
    <t>a/p</t>
  </si>
  <si>
    <t xml:space="preserve">Investment </t>
  </si>
  <si>
    <t>pension / post employment</t>
  </si>
  <si>
    <t>other noncur obligations</t>
  </si>
  <si>
    <t xml:space="preserve">CFFO </t>
  </si>
  <si>
    <t>Capex</t>
  </si>
  <si>
    <t xml:space="preserve">FCF </t>
  </si>
  <si>
    <t xml:space="preserve">Total Debt </t>
  </si>
  <si>
    <t xml:space="preserve">Total Cash </t>
  </si>
  <si>
    <t xml:space="preserve">Net Cash </t>
  </si>
  <si>
    <t xml:space="preserve">Balance Sheet Key Metrics </t>
  </si>
  <si>
    <t>4Q FCF</t>
  </si>
  <si>
    <t>TR</t>
  </si>
  <si>
    <t xml:space="preserve">terminal </t>
  </si>
  <si>
    <t>discount</t>
  </si>
  <si>
    <t>NPV</t>
  </si>
  <si>
    <t>ROIC</t>
  </si>
  <si>
    <t>Shares</t>
  </si>
  <si>
    <t>Estimate</t>
  </si>
  <si>
    <t>Current Price</t>
  </si>
  <si>
    <t>Upside</t>
  </si>
  <si>
    <t xml:space="preserve">4Q NI </t>
  </si>
  <si>
    <t xml:space="preserve">Occurrence and nature of off target mods by CRISPR-Cas in Plants </t>
  </si>
  <si>
    <t>https://pubs.acs.org/doi/10.1021/acsagscitech.1c00270?utm_source=chatgpt.com</t>
  </si>
  <si>
    <t xml:space="preserve">CRISPR-Cas9 Editing in Maize: Systemic Eval of off target activity </t>
  </si>
  <si>
    <t>https://pubmed.ncbi.nlm.nih.gov/31040331/</t>
  </si>
  <si>
    <t>Which factors effect the ocurr of off target effects caused by CRISPR/Cas</t>
  </si>
  <si>
    <t>https://www.frontiersin.org/journals/plant-science/articles/10.3389/fpls.2020.574959/full?utm_source=chatgpt.com</t>
  </si>
  <si>
    <t xml:space="preserve">Impact of Bt corn on Rhyizopheric and soil eubacterial communities </t>
  </si>
  <si>
    <t>https://www.researchgate.net/publication/233236682_The_Effect_of_Bt-corn_on_Soil_Invertebrates_Soil_Microbial_Community_and_Decomposition_Rates_of_Corn_Post-Harvest_Residues_Under_Field_and_Laboratory_Conditions?utm_source=chatgpt.com</t>
  </si>
  <si>
    <t>Soil Microbial Endpoints chnaged by Bt Crops  v conventional?</t>
  </si>
  <si>
    <t>https://environmentalevidencejournal.biomedcentral.com/articles/10.1186/2047-2382-3-11?utm_source=chatgpt.com</t>
  </si>
  <si>
    <t xml:space="preserve">Gene editing risks </t>
  </si>
  <si>
    <t>https://www.greens-efa.eu/files/assets/docs/chapter_4_gene_editing_is_risky_and_its_products_can_be_unsafe.pdf?utm_source=chatgpt.com</t>
  </si>
  <si>
    <t>assessment of genetically mod Maize DP23211 for food/feed</t>
  </si>
  <si>
    <t>https://efsa.onlinelibrary.wiley.com/doi/10.2903/j.efsa.2024.8483?utm_source=chatgpt.com</t>
  </si>
  <si>
    <t xml:space="preserve">CTVA plant breeding innovation </t>
  </si>
  <si>
    <t>https://www.corteva.com/resources/media-center/corteva-announces-plant-breeding-innovation-to-combat-corn-disease.html?utm_source=chatgpt.com</t>
  </si>
  <si>
    <t>CTVA</t>
  </si>
  <si>
    <t>https://www.corteva.com/our-impact/innovation/crispr.html?utm_source=chatgpt.com</t>
  </si>
  <si>
    <t xml:space="preserve">Research </t>
  </si>
  <si>
    <t xml:space="preserve">Dave Anderson </t>
  </si>
  <si>
    <t xml:space="preserve">Public </t>
  </si>
  <si>
    <t>Employees</t>
  </si>
  <si>
    <t>Q325</t>
  </si>
  <si>
    <t>Q125</t>
  </si>
  <si>
    <t>Q225</t>
  </si>
  <si>
    <t>Q425</t>
  </si>
  <si>
    <t xml:space="preserve">DSO </t>
  </si>
  <si>
    <t>DIO</t>
  </si>
  <si>
    <t xml:space="preserve">DPO </t>
  </si>
  <si>
    <t>CCC</t>
  </si>
  <si>
    <t>Biologicals</t>
  </si>
  <si>
    <t>Stockholders</t>
  </si>
  <si>
    <t>Earnings Transcript</t>
  </si>
  <si>
    <t xml:space="preserve">Seed </t>
  </si>
  <si>
    <t>Overall Volume Y/Y</t>
  </si>
  <si>
    <t>Overall Price Y/Y</t>
  </si>
  <si>
    <t xml:space="preserve">Down Cycle: Vol down, Price up --&gt; Bad demand, bottom forming </t>
  </si>
  <si>
    <t xml:space="preserve">Early Cycle: Volume up, Price down --&gt; Best time to buy </t>
  </si>
  <si>
    <t xml:space="preserve">Mid-Cycle: Volume up, price up --&gt; Max Returns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</si>
</sst>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"/>
    <numFmt numFmtId="165" formatCode="0.0\x"/>
    <numFmt numFmtId="166" formatCode="0.0%"/>
  </numFmts>
  <fonts count="6">
    <font>
      <sz val="10"/>
      <color theme="1"/>
      <name val="ArialMT"/>
      <family val="2"/>
    </font>
    <font>
      <b/>
      <sz val="10"/>
      <color theme="1"/>
      <name val="ArialMT"/>
    </font>
    <font>
      <sz val="10"/>
      <color theme="1"/>
      <name val="ArialMT"/>
    </font>
    <font>
      <u/>
      <sz val="10"/>
      <color theme="1"/>
      <name val="ArialMT"/>
      <family val="2"/>
    </font>
    <font>
      <b/>
      <u/>
      <sz val="10"/>
      <color theme="1"/>
      <name val="ArialMT"/>
    </font>
    <font>
      <u/>
      <sz val="10"/>
      <color theme="10"/>
      <name val="ArialMT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4">
    <xf numFmtId="0" fontId="0" fillId="0" borderId="0" xfId="0"/>
    <xf numFmtId="3" fontId="0" fillId="0" borderId="0" xfId="0" applyNumberFormat="1"/>
    <xf numFmtId="4" fontId="0" fillId="0" borderId="0" xfId="0" applyNumberFormat="1"/>
    <xf numFmtId="3" fontId="1" fillId="0" borderId="0" xfId="0" applyNumberFormat="1" applyFont="1"/>
    <xf numFmtId="9" fontId="1" fillId="0" borderId="0" xfId="0" applyNumberFormat="1" applyFont="1"/>
    <xf numFmtId="9" fontId="0" fillId="0" borderId="0" xfId="0" applyNumberFormat="1"/>
    <xf numFmtId="1" fontId="0" fillId="0" borderId="0" xfId="0" applyNumberFormat="1"/>
    <xf numFmtId="3" fontId="2" fillId="0" borderId="0" xfId="0" applyNumberFormat="1" applyFont="1"/>
    <xf numFmtId="3" fontId="3" fillId="0" borderId="0" xfId="0" applyNumberFormat="1" applyFont="1"/>
    <xf numFmtId="3" fontId="0" fillId="0" borderId="0" xfId="0" applyNumberFormat="1" applyAlignment="1">
      <alignment horizontal="left" indent="1"/>
    </xf>
    <xf numFmtId="164" fontId="0" fillId="0" borderId="0" xfId="0" applyNumberFormat="1"/>
    <xf numFmtId="165" fontId="0" fillId="0" borderId="0" xfId="0" applyNumberFormat="1"/>
    <xf numFmtId="3" fontId="4" fillId="0" borderId="0" xfId="0" applyNumberFormat="1" applyFont="1"/>
    <xf numFmtId="166" fontId="0" fillId="0" borderId="0" xfId="0" applyNumberFormat="1"/>
    <xf numFmtId="3" fontId="2" fillId="0" borderId="0" xfId="0" applyNumberFormat="1" applyFont="1" applyAlignment="1">
      <alignment horizontal="left" indent="1"/>
    </xf>
    <xf numFmtId="3" fontId="5" fillId="0" borderId="0" xfId="1" applyNumberFormat="1"/>
    <xf numFmtId="3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9" fontId="2" fillId="0" borderId="0" xfId="0" applyNumberFormat="1" applyFont="1"/>
    <xf numFmtId="1" fontId="2" fillId="0" borderId="0" xfId="0" applyNumberFormat="1" applyFont="1"/>
    <xf numFmtId="9" fontId="1" fillId="0" borderId="1" xfId="0" applyNumberFormat="1" applyFont="1" applyBorder="1"/>
    <xf numFmtId="3" fontId="1" fillId="0" borderId="1" xfId="0" applyNumberFormat="1" applyFont="1" applyBorder="1"/>
    <xf numFmtId="3" fontId="1" fillId="0" borderId="0" xfId="0" applyNumberFormat="1" applyFont="1" applyBorder="1"/>
    <xf numFmtId="3" fontId="2" fillId="0" borderId="0" xfId="0" applyNumberFormat="1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480321</xdr:colOff>
      <xdr:row>0</xdr:row>
      <xdr:rowOff>65128</xdr:rowOff>
    </xdr:from>
    <xdr:to>
      <xdr:col>26</xdr:col>
      <xdr:colOff>48846</xdr:colOff>
      <xdr:row>84</xdr:row>
      <xdr:rowOff>56988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D0F1C96-F872-02A4-1396-AAEA28AC6D22}"/>
            </a:ext>
          </a:extLst>
        </xdr:cNvPr>
        <xdr:cNvCxnSpPr/>
      </xdr:nvCxnSpPr>
      <xdr:spPr>
        <a:xfrm>
          <a:off x="11918462" y="65128"/>
          <a:ext cx="73269" cy="11877757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565159</xdr:colOff>
      <xdr:row>0</xdr:row>
      <xdr:rowOff>0</xdr:rowOff>
    </xdr:from>
    <xdr:to>
      <xdr:col>13</xdr:col>
      <xdr:colOff>18425</xdr:colOff>
      <xdr:row>97</xdr:row>
      <xdr:rowOff>89551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1D304D6E-F7A3-9244-BF55-83C3EB11E8D0}"/>
            </a:ext>
          </a:extLst>
        </xdr:cNvPr>
        <xdr:cNvCxnSpPr/>
      </xdr:nvCxnSpPr>
      <xdr:spPr>
        <a:xfrm>
          <a:off x="7583580" y="0"/>
          <a:ext cx="32564" cy="1446060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orteva.com/resources/media-center/corteva-announces-plant-breeding-innovation-to-combat-corn-disease.html?utm_source=chatgpt.com" TargetMode="External"/><Relationship Id="rId3" Type="http://schemas.openxmlformats.org/officeDocument/2006/relationships/hyperlink" Target="https://www.frontiersin.org/journals/plant-science/articles/10.3389/fpls.2020.574959/full?utm_source=chatgpt.com" TargetMode="External"/><Relationship Id="rId7" Type="http://schemas.openxmlformats.org/officeDocument/2006/relationships/hyperlink" Target="https://efsa.onlinelibrary.wiley.com/doi/10.2903/j.efsa.2024.8483?utm_source=chatgpt.com" TargetMode="External"/><Relationship Id="rId2" Type="http://schemas.openxmlformats.org/officeDocument/2006/relationships/hyperlink" Target="https://pubmed.ncbi.nlm.nih.gov/31040331/" TargetMode="External"/><Relationship Id="rId1" Type="http://schemas.openxmlformats.org/officeDocument/2006/relationships/hyperlink" Target="https://pubs.acs.org/doi/10.1021/acsagscitech.1c00270?utm_source=chatgpt.com" TargetMode="External"/><Relationship Id="rId6" Type="http://schemas.openxmlformats.org/officeDocument/2006/relationships/hyperlink" Target="https://www.greens-efa.eu/files/assets/docs/chapter_4_gene_editing_is_risky_and_its_products_can_be_unsafe.pdf?utm_source=chatgpt.com" TargetMode="External"/><Relationship Id="rId5" Type="http://schemas.openxmlformats.org/officeDocument/2006/relationships/hyperlink" Target="https://environmentalevidencejournal.biomedcentral.com/articles/10.1186/2047-2382-3-11?utm_source=chatgpt.com" TargetMode="External"/><Relationship Id="rId4" Type="http://schemas.openxmlformats.org/officeDocument/2006/relationships/hyperlink" Target="https://www.researchgate.net/publication/233236682_The_Effect_of_Bt-corn_on_Soil_Invertebrates_Soil_Microbial_Community_and_Decomposition_Rates_of_Corn_Post-Harvest_Residues_Under_Field_and_Laboratory_Conditions?utm_source=chatgpt.com" TargetMode="External"/><Relationship Id="rId9" Type="http://schemas.openxmlformats.org/officeDocument/2006/relationships/hyperlink" Target="https://www.corteva.com/our-impact/innovation/crispr.html?utm_source=chatgpt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B1FF7-3FEF-354F-968B-8697BCE60DF5}">
  <dimension ref="B2:G50"/>
  <sheetViews>
    <sheetView tabSelected="1" zoomScale="180" zoomScaleNormal="180" workbookViewId="0">
      <selection activeCell="C5" sqref="C5"/>
    </sheetView>
  </sheetViews>
  <sheetFormatPr baseColWidth="10" defaultRowHeight="13"/>
  <cols>
    <col min="1" max="1" width="1.33203125" style="1" customWidth="1"/>
    <col min="2" max="2" width="16.6640625" style="1" customWidth="1"/>
    <col min="3" max="3" width="12.5" style="1" customWidth="1"/>
    <col min="4" max="4" width="10.83203125" style="1"/>
    <col min="5" max="5" width="3.6640625" style="1" bestFit="1" customWidth="1"/>
    <col min="6" max="6" width="6.6640625" style="1" bestFit="1" customWidth="1"/>
    <col min="7" max="7" width="5.5" style="1" bestFit="1" customWidth="1"/>
    <col min="8" max="16384" width="10.83203125" style="1"/>
  </cols>
  <sheetData>
    <row r="2" spans="2:7">
      <c r="B2" s="23" t="s">
        <v>121</v>
      </c>
    </row>
    <row r="3" spans="2:7">
      <c r="B3" s="16" t="s">
        <v>122</v>
      </c>
    </row>
    <row r="4" spans="2:7">
      <c r="B4" s="16" t="s">
        <v>123</v>
      </c>
    </row>
    <row r="6" spans="2:7">
      <c r="B6" s="1" t="s">
        <v>14</v>
      </c>
      <c r="C6" s="16" t="s">
        <v>16</v>
      </c>
    </row>
    <row r="7" spans="2:7">
      <c r="B7" s="1" t="s">
        <v>15</v>
      </c>
      <c r="C7" s="16" t="s">
        <v>104</v>
      </c>
      <c r="E7" s="1" t="s">
        <v>8</v>
      </c>
      <c r="F7" s="2">
        <v>65.540000000000006</v>
      </c>
    </row>
    <row r="8" spans="2:7">
      <c r="B8" s="1" t="s">
        <v>105</v>
      </c>
      <c r="C8" s="17">
        <v>2019</v>
      </c>
      <c r="E8" s="1" t="s">
        <v>9</v>
      </c>
      <c r="F8" s="19">
        <v>675.73199999999997</v>
      </c>
      <c r="G8" s="1" t="s">
        <v>107</v>
      </c>
    </row>
    <row r="9" spans="2:7">
      <c r="B9" s="1" t="s">
        <v>106</v>
      </c>
      <c r="C9" s="16">
        <v>22000</v>
      </c>
      <c r="E9" s="1" t="s">
        <v>10</v>
      </c>
      <c r="F9" s="1">
        <f>+F8*F7</f>
        <v>44287.475279999999</v>
      </c>
    </row>
    <row r="10" spans="2:7">
      <c r="E10" s="1" t="s">
        <v>11</v>
      </c>
      <c r="F10" s="1">
        <f>2509+77+141</f>
        <v>2727</v>
      </c>
      <c r="G10" s="1" t="str">
        <f>+G8</f>
        <v>Q325</v>
      </c>
    </row>
    <row r="11" spans="2:7">
      <c r="E11" s="1" t="s">
        <v>12</v>
      </c>
      <c r="F11" s="1">
        <f>2685+1688</f>
        <v>4373</v>
      </c>
      <c r="G11" s="1" t="str">
        <f>+G10</f>
        <v>Q325</v>
      </c>
    </row>
    <row r="12" spans="2:7">
      <c r="E12" s="1" t="s">
        <v>13</v>
      </c>
      <c r="F12" s="1">
        <f>+F9-F10+F11</f>
        <v>45933.475279999999</v>
      </c>
    </row>
    <row r="16" spans="2:7">
      <c r="B16" s="1" t="s">
        <v>39</v>
      </c>
      <c r="C16" s="1" t="s">
        <v>40</v>
      </c>
    </row>
    <row r="17" spans="2:3">
      <c r="B17" s="1" t="s">
        <v>34</v>
      </c>
      <c r="C17" s="1" t="s">
        <v>41</v>
      </c>
    </row>
    <row r="18" spans="2:3">
      <c r="B18" s="1" t="s">
        <v>42</v>
      </c>
      <c r="C18" s="1" t="s">
        <v>43</v>
      </c>
    </row>
    <row r="21" spans="2:3">
      <c r="B21" s="12" t="s">
        <v>117</v>
      </c>
    </row>
    <row r="22" spans="2:3">
      <c r="B22" s="8"/>
    </row>
    <row r="23" spans="2:3">
      <c r="B23" s="9"/>
    </row>
    <row r="24" spans="2:3">
      <c r="B24" s="9"/>
    </row>
    <row r="25" spans="2:3">
      <c r="B25" s="14"/>
    </row>
    <row r="26" spans="2:3">
      <c r="B26" s="8"/>
    </row>
    <row r="27" spans="2:3">
      <c r="B27" s="9"/>
    </row>
    <row r="28" spans="2:3">
      <c r="B28" s="14"/>
    </row>
    <row r="29" spans="2:3">
      <c r="B29" s="7"/>
    </row>
    <row r="30" spans="2:3">
      <c r="B30" s="9"/>
    </row>
    <row r="31" spans="2:3">
      <c r="B31" s="9"/>
    </row>
    <row r="32" spans="2:3">
      <c r="B32" s="8"/>
    </row>
    <row r="35" spans="2:3">
      <c r="B35" s="3"/>
    </row>
    <row r="41" spans="2:3">
      <c r="B41" s="12" t="s">
        <v>103</v>
      </c>
    </row>
    <row r="42" spans="2:3">
      <c r="B42" s="1" t="s">
        <v>85</v>
      </c>
      <c r="C42" s="15" t="s">
        <v>86</v>
      </c>
    </row>
    <row r="43" spans="2:3">
      <c r="B43" s="8" t="s">
        <v>87</v>
      </c>
      <c r="C43" s="15" t="s">
        <v>88</v>
      </c>
    </row>
    <row r="44" spans="2:3">
      <c r="B44" s="1" t="s">
        <v>89</v>
      </c>
      <c r="C44" s="15" t="s">
        <v>90</v>
      </c>
    </row>
    <row r="45" spans="2:3">
      <c r="B45" s="1" t="s">
        <v>91</v>
      </c>
      <c r="C45" s="15" t="s">
        <v>92</v>
      </c>
    </row>
    <row r="46" spans="2:3">
      <c r="B46" s="1" t="s">
        <v>93</v>
      </c>
      <c r="C46" s="15" t="s">
        <v>94</v>
      </c>
    </row>
    <row r="47" spans="2:3">
      <c r="B47" s="1" t="s">
        <v>95</v>
      </c>
      <c r="C47" s="15" t="s">
        <v>96</v>
      </c>
    </row>
    <row r="48" spans="2:3">
      <c r="B48" s="1" t="s">
        <v>97</v>
      </c>
      <c r="C48" s="15" t="s">
        <v>98</v>
      </c>
    </row>
    <row r="49" spans="2:3">
      <c r="B49" s="1" t="s">
        <v>99</v>
      </c>
      <c r="C49" s="15" t="s">
        <v>100</v>
      </c>
    </row>
    <row r="50" spans="2:3">
      <c r="B50" s="1" t="s">
        <v>101</v>
      </c>
      <c r="C50" s="15" t="s">
        <v>102</v>
      </c>
    </row>
  </sheetData>
  <hyperlinks>
    <hyperlink ref="C42" r:id="rId1" xr:uid="{F8B6CD52-FA6E-EA4E-BB7A-DDFA802961BC}"/>
    <hyperlink ref="C43" r:id="rId2" xr:uid="{FC3C36B4-0907-1244-AF71-C3066661CC7F}"/>
    <hyperlink ref="C44" r:id="rId3" xr:uid="{E9D68469-89FC-334A-B6B0-6EE1984E53A0}"/>
    <hyperlink ref="C45" r:id="rId4" xr:uid="{7D47256C-21F2-3F4E-86B8-2836CAE8CE06}"/>
    <hyperlink ref="C46" r:id="rId5" xr:uid="{D3BAD860-314F-E948-88AF-D2FB83B3ADB9}"/>
    <hyperlink ref="C47" r:id="rId6" xr:uid="{02135D7F-15A6-6B48-9282-B4C7DB6AEAF1}"/>
    <hyperlink ref="C48" r:id="rId7" xr:uid="{5FEC6A39-F535-7D46-9A31-BD165410CF53}"/>
    <hyperlink ref="C49" r:id="rId8" xr:uid="{1A44E189-31F5-D144-86C2-4FCBEA66C309}"/>
    <hyperlink ref="C50" r:id="rId9" xr:uid="{283B1D98-4B1A-DC44-B26F-3BC8A52DB5A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DF838-00A9-5F4B-96C9-E14EE18ECF2F}">
  <dimension ref="A2:IB92"/>
  <sheetViews>
    <sheetView zoomScale="130" zoomScaleNormal="13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5" sqref="H5:M5"/>
    </sheetView>
  </sheetViews>
  <sheetFormatPr baseColWidth="10" defaultRowHeight="13" outlineLevelRow="1" outlineLevelCol="1"/>
  <cols>
    <col min="1" max="1" width="0.83203125" style="1" customWidth="1"/>
    <col min="2" max="2" width="24" style="1" bestFit="1" customWidth="1"/>
    <col min="3" max="10" width="6.6640625" style="1" bestFit="1" customWidth="1"/>
    <col min="11" max="12" width="6.6640625" style="1" customWidth="1"/>
    <col min="13" max="13" width="6.6640625" style="1" bestFit="1" customWidth="1"/>
    <col min="14" max="14" width="5.5" style="1" bestFit="1" customWidth="1"/>
    <col min="15" max="15" width="5.5" style="1" hidden="1" customWidth="1" outlineLevel="1"/>
    <col min="16" max="16" width="3.5" style="1" hidden="1" customWidth="1" outlineLevel="1"/>
    <col min="17" max="19" width="5.1640625" style="1" hidden="1" customWidth="1" outlineLevel="1"/>
    <col min="20" max="20" width="6.6640625" style="1" hidden="1" customWidth="1" outlineLevel="1"/>
    <col min="21" max="21" width="6.6640625" style="1" bestFit="1" customWidth="1" collapsed="1"/>
    <col min="22" max="36" width="6.6640625" style="1" bestFit="1" customWidth="1"/>
    <col min="37" max="37" width="5.6640625" style="1" bestFit="1" customWidth="1"/>
    <col min="38" max="38" width="10.5" style="1" bestFit="1" customWidth="1"/>
    <col min="39" max="39" width="9.6640625" style="1" bestFit="1" customWidth="1"/>
    <col min="40" max="94" width="5.6640625" style="1" bestFit="1" customWidth="1"/>
    <col min="95" max="236" width="5.1640625" style="1" bestFit="1" customWidth="1"/>
    <col min="237" max="16384" width="10.83203125" style="1"/>
  </cols>
  <sheetData>
    <row r="2" spans="2:236" s="6" customFormat="1"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5</v>
      </c>
      <c r="I2" s="6" t="s">
        <v>6</v>
      </c>
      <c r="J2" s="6" t="s">
        <v>7</v>
      </c>
      <c r="K2" s="6" t="s">
        <v>108</v>
      </c>
      <c r="L2" s="6" t="s">
        <v>109</v>
      </c>
      <c r="M2" s="6" t="s">
        <v>107</v>
      </c>
      <c r="N2" s="6" t="s">
        <v>110</v>
      </c>
      <c r="Q2" s="6">
        <v>2015</v>
      </c>
      <c r="R2" s="6">
        <f>+Q2+1</f>
        <v>2016</v>
      </c>
      <c r="S2" s="6">
        <f t="shared" ref="S2:AJ2" si="0">+R2+1</f>
        <v>2017</v>
      </c>
      <c r="T2" s="6">
        <f t="shared" si="0"/>
        <v>2018</v>
      </c>
      <c r="U2" s="6">
        <f t="shared" si="0"/>
        <v>2019</v>
      </c>
      <c r="V2" s="6">
        <f t="shared" si="0"/>
        <v>2020</v>
      </c>
      <c r="W2" s="6">
        <f t="shared" si="0"/>
        <v>2021</v>
      </c>
      <c r="X2" s="6">
        <f t="shared" si="0"/>
        <v>2022</v>
      </c>
      <c r="Y2" s="6">
        <f t="shared" si="0"/>
        <v>2023</v>
      </c>
      <c r="Z2" s="6">
        <f t="shared" si="0"/>
        <v>2024</v>
      </c>
      <c r="AA2" s="6">
        <f t="shared" si="0"/>
        <v>2025</v>
      </c>
      <c r="AB2" s="6">
        <f t="shared" si="0"/>
        <v>2026</v>
      </c>
      <c r="AC2" s="6">
        <f t="shared" si="0"/>
        <v>2027</v>
      </c>
      <c r="AD2" s="6">
        <f t="shared" si="0"/>
        <v>2028</v>
      </c>
      <c r="AE2" s="6">
        <f t="shared" si="0"/>
        <v>2029</v>
      </c>
      <c r="AF2" s="6">
        <f t="shared" si="0"/>
        <v>2030</v>
      </c>
      <c r="AG2" s="6">
        <f t="shared" si="0"/>
        <v>2031</v>
      </c>
      <c r="AH2" s="6">
        <f t="shared" si="0"/>
        <v>2032</v>
      </c>
      <c r="AI2" s="6">
        <f t="shared" si="0"/>
        <v>2033</v>
      </c>
      <c r="AJ2" s="6">
        <f t="shared" si="0"/>
        <v>2034</v>
      </c>
      <c r="AK2" s="6">
        <f>+AJ2+1</f>
        <v>2035</v>
      </c>
      <c r="AL2" s="6">
        <f t="shared" ref="AL2:CW2" si="1">+AK2+1</f>
        <v>2036</v>
      </c>
      <c r="AM2" s="6">
        <f t="shared" si="1"/>
        <v>2037</v>
      </c>
      <c r="AN2" s="6">
        <f t="shared" si="1"/>
        <v>2038</v>
      </c>
      <c r="AO2" s="6">
        <f t="shared" si="1"/>
        <v>2039</v>
      </c>
      <c r="AP2" s="6">
        <f t="shared" si="1"/>
        <v>2040</v>
      </c>
      <c r="AQ2" s="6">
        <f t="shared" si="1"/>
        <v>2041</v>
      </c>
      <c r="AR2" s="6">
        <f t="shared" si="1"/>
        <v>2042</v>
      </c>
      <c r="AS2" s="6">
        <f t="shared" si="1"/>
        <v>2043</v>
      </c>
      <c r="AT2" s="6">
        <f t="shared" si="1"/>
        <v>2044</v>
      </c>
      <c r="AU2" s="6">
        <f t="shared" si="1"/>
        <v>2045</v>
      </c>
      <c r="AV2" s="6">
        <f t="shared" si="1"/>
        <v>2046</v>
      </c>
      <c r="AW2" s="6">
        <f t="shared" si="1"/>
        <v>2047</v>
      </c>
      <c r="AX2" s="6">
        <f t="shared" si="1"/>
        <v>2048</v>
      </c>
      <c r="AY2" s="6">
        <f t="shared" si="1"/>
        <v>2049</v>
      </c>
      <c r="AZ2" s="6">
        <f t="shared" si="1"/>
        <v>2050</v>
      </c>
      <c r="BA2" s="6">
        <f t="shared" si="1"/>
        <v>2051</v>
      </c>
      <c r="BB2" s="6">
        <f t="shared" si="1"/>
        <v>2052</v>
      </c>
      <c r="BC2" s="6">
        <f t="shared" si="1"/>
        <v>2053</v>
      </c>
      <c r="BD2" s="6">
        <f t="shared" si="1"/>
        <v>2054</v>
      </c>
      <c r="BE2" s="6">
        <f t="shared" si="1"/>
        <v>2055</v>
      </c>
      <c r="BF2" s="6">
        <f t="shared" si="1"/>
        <v>2056</v>
      </c>
      <c r="BG2" s="6">
        <f t="shared" si="1"/>
        <v>2057</v>
      </c>
      <c r="BH2" s="6">
        <f t="shared" si="1"/>
        <v>2058</v>
      </c>
      <c r="BI2" s="6">
        <f t="shared" si="1"/>
        <v>2059</v>
      </c>
      <c r="BJ2" s="6">
        <f t="shared" si="1"/>
        <v>2060</v>
      </c>
      <c r="BK2" s="6">
        <f t="shared" si="1"/>
        <v>2061</v>
      </c>
      <c r="BL2" s="6">
        <f t="shared" si="1"/>
        <v>2062</v>
      </c>
      <c r="BM2" s="6">
        <f t="shared" si="1"/>
        <v>2063</v>
      </c>
      <c r="BN2" s="6">
        <f t="shared" si="1"/>
        <v>2064</v>
      </c>
      <c r="BO2" s="6">
        <f t="shared" si="1"/>
        <v>2065</v>
      </c>
      <c r="BP2" s="6">
        <f t="shared" si="1"/>
        <v>2066</v>
      </c>
      <c r="BQ2" s="6">
        <f t="shared" si="1"/>
        <v>2067</v>
      </c>
      <c r="BR2" s="6">
        <f t="shared" si="1"/>
        <v>2068</v>
      </c>
      <c r="BS2" s="6">
        <f t="shared" si="1"/>
        <v>2069</v>
      </c>
      <c r="BT2" s="6">
        <f t="shared" si="1"/>
        <v>2070</v>
      </c>
      <c r="BU2" s="6">
        <f t="shared" si="1"/>
        <v>2071</v>
      </c>
      <c r="BV2" s="6">
        <f t="shared" si="1"/>
        <v>2072</v>
      </c>
      <c r="BW2" s="6">
        <f t="shared" si="1"/>
        <v>2073</v>
      </c>
      <c r="BX2" s="6">
        <f t="shared" si="1"/>
        <v>2074</v>
      </c>
      <c r="BY2" s="6">
        <f t="shared" si="1"/>
        <v>2075</v>
      </c>
      <c r="BZ2" s="6">
        <f t="shared" si="1"/>
        <v>2076</v>
      </c>
      <c r="CA2" s="6">
        <f t="shared" si="1"/>
        <v>2077</v>
      </c>
      <c r="CB2" s="6">
        <f t="shared" si="1"/>
        <v>2078</v>
      </c>
      <c r="CC2" s="6">
        <f t="shared" si="1"/>
        <v>2079</v>
      </c>
      <c r="CD2" s="6">
        <f t="shared" si="1"/>
        <v>2080</v>
      </c>
      <c r="CE2" s="6">
        <f t="shared" si="1"/>
        <v>2081</v>
      </c>
      <c r="CF2" s="6">
        <f t="shared" si="1"/>
        <v>2082</v>
      </c>
      <c r="CG2" s="6">
        <f t="shared" si="1"/>
        <v>2083</v>
      </c>
      <c r="CH2" s="6">
        <f t="shared" si="1"/>
        <v>2084</v>
      </c>
      <c r="CI2" s="6">
        <f t="shared" si="1"/>
        <v>2085</v>
      </c>
      <c r="CJ2" s="6">
        <f t="shared" si="1"/>
        <v>2086</v>
      </c>
      <c r="CK2" s="6">
        <f t="shared" si="1"/>
        <v>2087</v>
      </c>
      <c r="CL2" s="6">
        <f t="shared" si="1"/>
        <v>2088</v>
      </c>
      <c r="CM2" s="6">
        <f t="shared" si="1"/>
        <v>2089</v>
      </c>
      <c r="CN2" s="6">
        <f t="shared" si="1"/>
        <v>2090</v>
      </c>
      <c r="CO2" s="6">
        <f t="shared" si="1"/>
        <v>2091</v>
      </c>
      <c r="CP2" s="6">
        <f t="shared" si="1"/>
        <v>2092</v>
      </c>
      <c r="CQ2" s="6">
        <f t="shared" si="1"/>
        <v>2093</v>
      </c>
      <c r="CR2" s="6">
        <f t="shared" si="1"/>
        <v>2094</v>
      </c>
      <c r="CS2" s="6">
        <f t="shared" si="1"/>
        <v>2095</v>
      </c>
      <c r="CT2" s="6">
        <f t="shared" si="1"/>
        <v>2096</v>
      </c>
      <c r="CU2" s="6">
        <f t="shared" si="1"/>
        <v>2097</v>
      </c>
      <c r="CV2" s="6">
        <f t="shared" si="1"/>
        <v>2098</v>
      </c>
      <c r="CW2" s="6">
        <f t="shared" si="1"/>
        <v>2099</v>
      </c>
      <c r="CX2" s="6">
        <f t="shared" ref="CX2:FI2" si="2">+CW2+1</f>
        <v>2100</v>
      </c>
      <c r="CY2" s="6">
        <f t="shared" si="2"/>
        <v>2101</v>
      </c>
      <c r="CZ2" s="6">
        <f t="shared" si="2"/>
        <v>2102</v>
      </c>
      <c r="DA2" s="6">
        <f t="shared" si="2"/>
        <v>2103</v>
      </c>
      <c r="DB2" s="6">
        <f t="shared" si="2"/>
        <v>2104</v>
      </c>
      <c r="DC2" s="6">
        <f t="shared" si="2"/>
        <v>2105</v>
      </c>
      <c r="DD2" s="6">
        <f t="shared" si="2"/>
        <v>2106</v>
      </c>
      <c r="DE2" s="6">
        <f t="shared" si="2"/>
        <v>2107</v>
      </c>
      <c r="DF2" s="6">
        <f t="shared" si="2"/>
        <v>2108</v>
      </c>
      <c r="DG2" s="6">
        <f t="shared" si="2"/>
        <v>2109</v>
      </c>
      <c r="DH2" s="6">
        <f t="shared" si="2"/>
        <v>2110</v>
      </c>
      <c r="DI2" s="6">
        <f t="shared" si="2"/>
        <v>2111</v>
      </c>
      <c r="DJ2" s="6">
        <f t="shared" si="2"/>
        <v>2112</v>
      </c>
      <c r="DK2" s="6">
        <f t="shared" si="2"/>
        <v>2113</v>
      </c>
      <c r="DL2" s="6">
        <f t="shared" si="2"/>
        <v>2114</v>
      </c>
      <c r="DM2" s="6">
        <f t="shared" si="2"/>
        <v>2115</v>
      </c>
      <c r="DN2" s="6">
        <f t="shared" si="2"/>
        <v>2116</v>
      </c>
      <c r="DO2" s="6">
        <f t="shared" si="2"/>
        <v>2117</v>
      </c>
      <c r="DP2" s="6">
        <f t="shared" si="2"/>
        <v>2118</v>
      </c>
      <c r="DQ2" s="6">
        <f t="shared" si="2"/>
        <v>2119</v>
      </c>
      <c r="DR2" s="6">
        <f t="shared" si="2"/>
        <v>2120</v>
      </c>
      <c r="DS2" s="6">
        <f t="shared" si="2"/>
        <v>2121</v>
      </c>
      <c r="DT2" s="6">
        <f t="shared" si="2"/>
        <v>2122</v>
      </c>
      <c r="DU2" s="6">
        <f t="shared" si="2"/>
        <v>2123</v>
      </c>
      <c r="DV2" s="6">
        <f t="shared" si="2"/>
        <v>2124</v>
      </c>
      <c r="DW2" s="6">
        <f t="shared" si="2"/>
        <v>2125</v>
      </c>
      <c r="DX2" s="6">
        <f t="shared" si="2"/>
        <v>2126</v>
      </c>
      <c r="DY2" s="6">
        <f t="shared" si="2"/>
        <v>2127</v>
      </c>
      <c r="DZ2" s="6">
        <f t="shared" si="2"/>
        <v>2128</v>
      </c>
      <c r="EA2" s="6">
        <f t="shared" si="2"/>
        <v>2129</v>
      </c>
      <c r="EB2" s="6">
        <f t="shared" si="2"/>
        <v>2130</v>
      </c>
      <c r="EC2" s="6">
        <f t="shared" si="2"/>
        <v>2131</v>
      </c>
      <c r="ED2" s="6">
        <f t="shared" si="2"/>
        <v>2132</v>
      </c>
      <c r="EE2" s="6">
        <f t="shared" si="2"/>
        <v>2133</v>
      </c>
      <c r="EF2" s="6">
        <f t="shared" si="2"/>
        <v>2134</v>
      </c>
      <c r="EG2" s="6">
        <f t="shared" si="2"/>
        <v>2135</v>
      </c>
      <c r="EH2" s="6">
        <f t="shared" si="2"/>
        <v>2136</v>
      </c>
      <c r="EI2" s="6">
        <f t="shared" si="2"/>
        <v>2137</v>
      </c>
      <c r="EJ2" s="6">
        <f t="shared" si="2"/>
        <v>2138</v>
      </c>
      <c r="EK2" s="6">
        <f t="shared" si="2"/>
        <v>2139</v>
      </c>
      <c r="EL2" s="6">
        <f t="shared" si="2"/>
        <v>2140</v>
      </c>
      <c r="EM2" s="6">
        <f t="shared" si="2"/>
        <v>2141</v>
      </c>
      <c r="EN2" s="6">
        <f t="shared" si="2"/>
        <v>2142</v>
      </c>
      <c r="EO2" s="6">
        <f t="shared" si="2"/>
        <v>2143</v>
      </c>
      <c r="EP2" s="6">
        <f t="shared" si="2"/>
        <v>2144</v>
      </c>
      <c r="EQ2" s="6">
        <f t="shared" si="2"/>
        <v>2145</v>
      </c>
      <c r="ER2" s="6">
        <f t="shared" si="2"/>
        <v>2146</v>
      </c>
      <c r="ES2" s="6">
        <f t="shared" si="2"/>
        <v>2147</v>
      </c>
      <c r="ET2" s="6">
        <f t="shared" si="2"/>
        <v>2148</v>
      </c>
      <c r="EU2" s="6">
        <f t="shared" si="2"/>
        <v>2149</v>
      </c>
      <c r="EV2" s="6">
        <f t="shared" si="2"/>
        <v>2150</v>
      </c>
      <c r="EW2" s="6">
        <f t="shared" si="2"/>
        <v>2151</v>
      </c>
      <c r="EX2" s="6">
        <f t="shared" si="2"/>
        <v>2152</v>
      </c>
      <c r="EY2" s="6">
        <f t="shared" si="2"/>
        <v>2153</v>
      </c>
      <c r="EZ2" s="6">
        <f t="shared" si="2"/>
        <v>2154</v>
      </c>
      <c r="FA2" s="6">
        <f t="shared" si="2"/>
        <v>2155</v>
      </c>
      <c r="FB2" s="6">
        <f t="shared" si="2"/>
        <v>2156</v>
      </c>
      <c r="FC2" s="6">
        <f t="shared" si="2"/>
        <v>2157</v>
      </c>
      <c r="FD2" s="6">
        <f t="shared" si="2"/>
        <v>2158</v>
      </c>
      <c r="FE2" s="6">
        <f t="shared" si="2"/>
        <v>2159</v>
      </c>
      <c r="FF2" s="6">
        <f t="shared" si="2"/>
        <v>2160</v>
      </c>
      <c r="FG2" s="6">
        <f t="shared" si="2"/>
        <v>2161</v>
      </c>
      <c r="FH2" s="6">
        <f t="shared" si="2"/>
        <v>2162</v>
      </c>
      <c r="FI2" s="6">
        <f t="shared" si="2"/>
        <v>2163</v>
      </c>
      <c r="FJ2" s="6">
        <f t="shared" ref="FJ2:HU2" si="3">+FI2+1</f>
        <v>2164</v>
      </c>
      <c r="FK2" s="6">
        <f t="shared" si="3"/>
        <v>2165</v>
      </c>
      <c r="FL2" s="6">
        <f t="shared" si="3"/>
        <v>2166</v>
      </c>
      <c r="FM2" s="6">
        <f t="shared" si="3"/>
        <v>2167</v>
      </c>
      <c r="FN2" s="6">
        <f t="shared" si="3"/>
        <v>2168</v>
      </c>
      <c r="FO2" s="6">
        <f t="shared" si="3"/>
        <v>2169</v>
      </c>
      <c r="FP2" s="6">
        <f t="shared" si="3"/>
        <v>2170</v>
      </c>
      <c r="FQ2" s="6">
        <f t="shared" si="3"/>
        <v>2171</v>
      </c>
      <c r="FR2" s="6">
        <f t="shared" si="3"/>
        <v>2172</v>
      </c>
      <c r="FS2" s="6">
        <f t="shared" si="3"/>
        <v>2173</v>
      </c>
      <c r="FT2" s="6">
        <f t="shared" si="3"/>
        <v>2174</v>
      </c>
      <c r="FU2" s="6">
        <f t="shared" si="3"/>
        <v>2175</v>
      </c>
      <c r="FV2" s="6">
        <f t="shared" si="3"/>
        <v>2176</v>
      </c>
      <c r="FW2" s="6">
        <f t="shared" si="3"/>
        <v>2177</v>
      </c>
      <c r="FX2" s="6">
        <f t="shared" si="3"/>
        <v>2178</v>
      </c>
      <c r="FY2" s="6">
        <f t="shared" si="3"/>
        <v>2179</v>
      </c>
      <c r="FZ2" s="6">
        <f t="shared" si="3"/>
        <v>2180</v>
      </c>
      <c r="GA2" s="6">
        <f t="shared" si="3"/>
        <v>2181</v>
      </c>
      <c r="GB2" s="6">
        <f t="shared" si="3"/>
        <v>2182</v>
      </c>
      <c r="GC2" s="6">
        <f t="shared" si="3"/>
        <v>2183</v>
      </c>
      <c r="GD2" s="6">
        <f t="shared" si="3"/>
        <v>2184</v>
      </c>
      <c r="GE2" s="6">
        <f t="shared" si="3"/>
        <v>2185</v>
      </c>
      <c r="GF2" s="6">
        <f t="shared" si="3"/>
        <v>2186</v>
      </c>
      <c r="GG2" s="6">
        <f t="shared" si="3"/>
        <v>2187</v>
      </c>
      <c r="GH2" s="6">
        <f t="shared" si="3"/>
        <v>2188</v>
      </c>
      <c r="GI2" s="6">
        <f t="shared" si="3"/>
        <v>2189</v>
      </c>
      <c r="GJ2" s="6">
        <f t="shared" si="3"/>
        <v>2190</v>
      </c>
      <c r="GK2" s="6">
        <f t="shared" si="3"/>
        <v>2191</v>
      </c>
      <c r="GL2" s="6">
        <f t="shared" si="3"/>
        <v>2192</v>
      </c>
      <c r="GM2" s="6">
        <f t="shared" si="3"/>
        <v>2193</v>
      </c>
      <c r="GN2" s="6">
        <f t="shared" si="3"/>
        <v>2194</v>
      </c>
      <c r="GO2" s="6">
        <f t="shared" si="3"/>
        <v>2195</v>
      </c>
      <c r="GP2" s="6">
        <f t="shared" si="3"/>
        <v>2196</v>
      </c>
      <c r="GQ2" s="6">
        <f t="shared" si="3"/>
        <v>2197</v>
      </c>
      <c r="GR2" s="6">
        <f t="shared" si="3"/>
        <v>2198</v>
      </c>
      <c r="GS2" s="6">
        <f t="shared" si="3"/>
        <v>2199</v>
      </c>
      <c r="GT2" s="6">
        <f t="shared" si="3"/>
        <v>2200</v>
      </c>
      <c r="GU2" s="6">
        <f t="shared" si="3"/>
        <v>2201</v>
      </c>
      <c r="GV2" s="6">
        <f t="shared" si="3"/>
        <v>2202</v>
      </c>
      <c r="GW2" s="6">
        <f t="shared" si="3"/>
        <v>2203</v>
      </c>
      <c r="GX2" s="6">
        <f t="shared" si="3"/>
        <v>2204</v>
      </c>
      <c r="GY2" s="6">
        <f t="shared" si="3"/>
        <v>2205</v>
      </c>
      <c r="GZ2" s="6">
        <f t="shared" si="3"/>
        <v>2206</v>
      </c>
      <c r="HA2" s="6">
        <f t="shared" si="3"/>
        <v>2207</v>
      </c>
      <c r="HB2" s="6">
        <f t="shared" si="3"/>
        <v>2208</v>
      </c>
      <c r="HC2" s="6">
        <f t="shared" si="3"/>
        <v>2209</v>
      </c>
      <c r="HD2" s="6">
        <f t="shared" si="3"/>
        <v>2210</v>
      </c>
      <c r="HE2" s="6">
        <f t="shared" si="3"/>
        <v>2211</v>
      </c>
      <c r="HF2" s="6">
        <f t="shared" si="3"/>
        <v>2212</v>
      </c>
      <c r="HG2" s="6">
        <f t="shared" si="3"/>
        <v>2213</v>
      </c>
      <c r="HH2" s="6">
        <f t="shared" si="3"/>
        <v>2214</v>
      </c>
      <c r="HI2" s="6">
        <f t="shared" si="3"/>
        <v>2215</v>
      </c>
      <c r="HJ2" s="6">
        <f t="shared" si="3"/>
        <v>2216</v>
      </c>
      <c r="HK2" s="6">
        <f t="shared" si="3"/>
        <v>2217</v>
      </c>
      <c r="HL2" s="6">
        <f t="shared" si="3"/>
        <v>2218</v>
      </c>
      <c r="HM2" s="6">
        <f t="shared" si="3"/>
        <v>2219</v>
      </c>
      <c r="HN2" s="6">
        <f t="shared" si="3"/>
        <v>2220</v>
      </c>
      <c r="HO2" s="6">
        <f t="shared" si="3"/>
        <v>2221</v>
      </c>
      <c r="HP2" s="6">
        <f t="shared" si="3"/>
        <v>2222</v>
      </c>
      <c r="HQ2" s="6">
        <f t="shared" si="3"/>
        <v>2223</v>
      </c>
      <c r="HR2" s="6">
        <f t="shared" si="3"/>
        <v>2224</v>
      </c>
      <c r="HS2" s="6">
        <f t="shared" si="3"/>
        <v>2225</v>
      </c>
      <c r="HT2" s="6">
        <f t="shared" si="3"/>
        <v>2226</v>
      </c>
      <c r="HU2" s="6">
        <f t="shared" si="3"/>
        <v>2227</v>
      </c>
      <c r="HV2" s="6">
        <f t="shared" ref="HV2:IB2" si="4">+HU2+1</f>
        <v>2228</v>
      </c>
      <c r="HW2" s="6">
        <f t="shared" si="4"/>
        <v>2229</v>
      </c>
      <c r="HX2" s="6">
        <f t="shared" si="4"/>
        <v>2230</v>
      </c>
      <c r="HY2" s="6">
        <f t="shared" si="4"/>
        <v>2231</v>
      </c>
      <c r="HZ2" s="6">
        <f t="shared" si="4"/>
        <v>2232</v>
      </c>
      <c r="IA2" s="6">
        <f t="shared" si="4"/>
        <v>2233</v>
      </c>
      <c r="IB2" s="6">
        <f t="shared" si="4"/>
        <v>2234</v>
      </c>
    </row>
    <row r="3" spans="2:236">
      <c r="B3" s="1" t="s">
        <v>116</v>
      </c>
      <c r="Z3" s="1">
        <v>60000</v>
      </c>
    </row>
    <row r="5" spans="2:236" s="4" customFormat="1">
      <c r="B5" s="20" t="s">
        <v>119</v>
      </c>
      <c r="C5" s="20">
        <v>-0.04</v>
      </c>
      <c r="D5" s="20">
        <v>-0.13</v>
      </c>
      <c r="E5" s="20">
        <v>-0.15</v>
      </c>
      <c r="F5" s="20">
        <v>-0.1</v>
      </c>
      <c r="G5" s="20">
        <v>-0.09</v>
      </c>
      <c r="H5" s="20">
        <v>0</v>
      </c>
      <c r="I5" s="20">
        <v>0.03</v>
      </c>
      <c r="J5" s="20">
        <v>0.02</v>
      </c>
      <c r="K5" s="20">
        <v>0.02</v>
      </c>
      <c r="L5" s="20">
        <v>0.06</v>
      </c>
      <c r="M5" s="20">
        <v>0.12</v>
      </c>
      <c r="V5" s="20">
        <v>0.05</v>
      </c>
      <c r="W5" s="20">
        <v>0.05</v>
      </c>
      <c r="X5" s="20">
        <v>0.05</v>
      </c>
      <c r="Y5" s="20">
        <f>+F5</f>
        <v>-0.1</v>
      </c>
      <c r="Z5" s="20">
        <f>+J5</f>
        <v>0.02</v>
      </c>
      <c r="AA5" s="20"/>
      <c r="AB5" s="20"/>
      <c r="AC5" s="20"/>
      <c r="AD5" s="20"/>
      <c r="AE5" s="20"/>
      <c r="AF5" s="20"/>
      <c r="AG5" s="20"/>
      <c r="AH5" s="20"/>
      <c r="AI5" s="20"/>
      <c r="AJ5" s="20"/>
    </row>
    <row r="6" spans="2:236" s="18" customFormat="1">
      <c r="B6" s="18" t="s">
        <v>118</v>
      </c>
      <c r="C6" s="18">
        <v>-7.0000000000000007E-2</v>
      </c>
      <c r="D6" s="18">
        <v>-0.03</v>
      </c>
      <c r="E6" s="18">
        <v>-0.12</v>
      </c>
      <c r="F6" s="18">
        <v>-0.06</v>
      </c>
      <c r="G6" s="18">
        <v>-0.01</v>
      </c>
      <c r="H6" s="18">
        <v>-0.02</v>
      </c>
      <c r="I6" s="18">
        <v>-0.12</v>
      </c>
      <c r="J6" s="18">
        <v>0.01</v>
      </c>
      <c r="K6" s="18">
        <v>-0.01</v>
      </c>
      <c r="L6" s="18">
        <v>0.03</v>
      </c>
      <c r="M6" s="18">
        <v>0.27</v>
      </c>
      <c r="V6" s="18">
        <v>0.05</v>
      </c>
      <c r="W6" s="18">
        <v>0.04</v>
      </c>
      <c r="X6" s="18">
        <v>0</v>
      </c>
      <c r="Y6" s="18">
        <f>+F6</f>
        <v>-0.06</v>
      </c>
      <c r="Z6" s="18">
        <f>+J6</f>
        <v>0.01</v>
      </c>
    </row>
    <row r="7" spans="2:236" s="18" customFormat="1">
      <c r="B7" s="18" t="s">
        <v>42</v>
      </c>
      <c r="C7" s="18">
        <v>-0.01</v>
      </c>
      <c r="D7" s="18">
        <v>-0.28999999999999998</v>
      </c>
      <c r="E7" s="18">
        <v>-0.16</v>
      </c>
      <c r="F7" s="18">
        <v>-0.14000000000000001</v>
      </c>
      <c r="G7" s="18">
        <v>-0.18</v>
      </c>
      <c r="H7" s="18">
        <v>0.06</v>
      </c>
      <c r="I7" s="18">
        <v>0.11</v>
      </c>
      <c r="J7" s="18">
        <v>0.03</v>
      </c>
      <c r="K7" s="18">
        <v>0.05</v>
      </c>
      <c r="L7" s="18">
        <v>0.11</v>
      </c>
      <c r="M7" s="18">
        <v>0.05</v>
      </c>
      <c r="V7" s="18">
        <v>7.0000000000000007E-2</v>
      </c>
      <c r="W7" s="18">
        <v>0.06</v>
      </c>
      <c r="X7" s="18">
        <v>-0.14000000000000001</v>
      </c>
      <c r="Y7" s="18">
        <f>+F7</f>
        <v>-0.14000000000000001</v>
      </c>
      <c r="Z7" s="18">
        <f>+J7</f>
        <v>0.03</v>
      </c>
    </row>
    <row r="8" spans="2:236" s="4" customFormat="1">
      <c r="B8" s="20" t="s">
        <v>120</v>
      </c>
      <c r="C8" s="20">
        <v>0.14000000000000001</v>
      </c>
      <c r="D8" s="20">
        <v>0.09</v>
      </c>
      <c r="E8" s="20">
        <v>0.02</v>
      </c>
      <c r="F8" s="20">
        <v>7.0000000000000007E-2</v>
      </c>
      <c r="G8" s="20">
        <v>0.03</v>
      </c>
      <c r="H8" s="20">
        <v>0.02</v>
      </c>
      <c r="I8" s="20">
        <v>-0.08</v>
      </c>
      <c r="J8" s="20">
        <v>-0.01</v>
      </c>
      <c r="K8" s="20">
        <v>0.01</v>
      </c>
      <c r="L8" s="20">
        <v>0.01</v>
      </c>
      <c r="M8" s="20">
        <v>-0.01</v>
      </c>
      <c r="V8" s="20">
        <v>0.03</v>
      </c>
      <c r="W8" s="20">
        <v>0.04</v>
      </c>
      <c r="X8" s="20">
        <v>0.1</v>
      </c>
      <c r="Y8" s="20">
        <f>+F8</f>
        <v>7.0000000000000007E-2</v>
      </c>
      <c r="Z8" s="20">
        <f>+J8</f>
        <v>-0.01</v>
      </c>
      <c r="AA8" s="20"/>
      <c r="AB8" s="20"/>
      <c r="AC8" s="20"/>
      <c r="AD8" s="20"/>
      <c r="AE8" s="20"/>
      <c r="AF8" s="20"/>
      <c r="AG8" s="20"/>
      <c r="AH8" s="20"/>
      <c r="AI8" s="20"/>
      <c r="AJ8" s="20"/>
    </row>
    <row r="9" spans="2:236" s="18" customFormat="1">
      <c r="B9" s="18" t="s">
        <v>118</v>
      </c>
      <c r="C9" s="18">
        <v>0.17</v>
      </c>
      <c r="D9" s="18">
        <v>0.12</v>
      </c>
      <c r="E9" s="18">
        <v>0.14000000000000001</v>
      </c>
      <c r="F9" s="18">
        <v>0.13</v>
      </c>
      <c r="G9" s="18">
        <v>0.06</v>
      </c>
      <c r="H9" s="18">
        <v>0.05</v>
      </c>
      <c r="I9" s="18">
        <v>-0.05</v>
      </c>
      <c r="J9" s="18">
        <v>0.03</v>
      </c>
      <c r="K9" s="18">
        <v>0.03</v>
      </c>
      <c r="L9" s="18">
        <v>0.03</v>
      </c>
      <c r="M9" s="18">
        <v>0.04</v>
      </c>
      <c r="V9" s="18">
        <v>0.01</v>
      </c>
      <c r="W9" s="18">
        <v>0.04</v>
      </c>
      <c r="X9" s="18">
        <v>0.09</v>
      </c>
      <c r="Y9" s="18">
        <f>+F9</f>
        <v>0.13</v>
      </c>
      <c r="Z9" s="18">
        <f>+J9</f>
        <v>0.03</v>
      </c>
    </row>
    <row r="10" spans="2:236" s="18" customFormat="1">
      <c r="B10" s="18" t="s">
        <v>42</v>
      </c>
      <c r="C10" s="18">
        <v>0.11</v>
      </c>
      <c r="D10" s="18">
        <v>0.03</v>
      </c>
      <c r="E10" s="18">
        <v>-0.04</v>
      </c>
      <c r="F10" s="18">
        <v>0.02</v>
      </c>
      <c r="G10" s="18">
        <v>-0.03</v>
      </c>
      <c r="H10" s="18">
        <v>-0.05</v>
      </c>
      <c r="I10" s="18">
        <v>-0.1</v>
      </c>
      <c r="J10" s="18">
        <v>-0.05</v>
      </c>
      <c r="K10" s="18">
        <v>-0.02</v>
      </c>
      <c r="L10" s="18">
        <v>-0.02</v>
      </c>
      <c r="M10" s="18">
        <v>-0.02</v>
      </c>
      <c r="V10" s="18">
        <v>0.04</v>
      </c>
      <c r="W10" s="18">
        <v>0.05</v>
      </c>
      <c r="X10" s="18">
        <v>0.02</v>
      </c>
      <c r="Y10" s="18">
        <f>+F10</f>
        <v>0.02</v>
      </c>
      <c r="Z10" s="18">
        <f>+J10</f>
        <v>-0.05</v>
      </c>
    </row>
    <row r="11" spans="2:236" s="5" customFormat="1"/>
    <row r="12" spans="2:236" s="6" customFormat="1" outlineLevel="1"/>
    <row r="13" spans="2:236" s="7" customFormat="1" outlineLevel="1">
      <c r="B13" s="7" t="s">
        <v>18</v>
      </c>
      <c r="C13" s="7">
        <v>1979</v>
      </c>
      <c r="D13" s="7">
        <v>2673</v>
      </c>
      <c r="E13" s="7">
        <v>487</v>
      </c>
      <c r="F13" s="7">
        <v>1308</v>
      </c>
      <c r="G13" s="7">
        <v>2087</v>
      </c>
      <c r="H13" s="7">
        <v>2087</v>
      </c>
      <c r="I13" s="7">
        <v>315</v>
      </c>
      <c r="J13" s="7">
        <f>+Z13-SUM(G13:I13)</f>
        <v>2007</v>
      </c>
      <c r="K13" s="7">
        <v>2069</v>
      </c>
      <c r="M13" s="7">
        <v>586</v>
      </c>
      <c r="W13" s="7">
        <v>5618</v>
      </c>
      <c r="X13" s="7">
        <v>5955</v>
      </c>
      <c r="Y13" s="7">
        <f t="shared" ref="Y13:Y22" si="5">SUM(C13:F13)</f>
        <v>6447</v>
      </c>
      <c r="Z13" s="7">
        <v>6496</v>
      </c>
      <c r="AA13" s="7">
        <f>+AA$17*(Z13/Z$17)</f>
        <v>6783.8793085385005</v>
      </c>
    </row>
    <row r="14" spans="2:236" s="7" customFormat="1" outlineLevel="1">
      <c r="B14" s="7" t="s">
        <v>19</v>
      </c>
      <c r="C14" s="7">
        <v>269</v>
      </c>
      <c r="D14" s="7">
        <v>1255</v>
      </c>
      <c r="E14" s="7">
        <v>189</v>
      </c>
      <c r="F14" s="7">
        <v>145</v>
      </c>
      <c r="G14" s="7">
        <v>292</v>
      </c>
      <c r="H14" s="7">
        <v>292</v>
      </c>
      <c r="I14" s="7">
        <v>164</v>
      </c>
      <c r="J14" s="7">
        <f t="shared" ref="J14:K32" si="6">+Z14-SUM(G14:I14)</f>
        <v>1179</v>
      </c>
      <c r="K14" s="7">
        <v>305</v>
      </c>
      <c r="M14" s="7">
        <v>152</v>
      </c>
      <c r="W14" s="7">
        <v>1568</v>
      </c>
      <c r="X14" s="7">
        <v>1810</v>
      </c>
      <c r="Y14" s="7">
        <f t="shared" si="5"/>
        <v>1858</v>
      </c>
      <c r="Z14" s="7">
        <v>1927</v>
      </c>
      <c r="AA14" s="7">
        <f>+AA$17*(Z14/Z$17)</f>
        <v>2012.3976951283391</v>
      </c>
    </row>
    <row r="15" spans="2:236" s="7" customFormat="1" outlineLevel="1">
      <c r="B15" s="7" t="s">
        <v>20</v>
      </c>
      <c r="C15" s="7">
        <v>301</v>
      </c>
      <c r="D15" s="7">
        <v>194</v>
      </c>
      <c r="E15" s="7">
        <v>142</v>
      </c>
      <c r="F15" s="7">
        <v>71</v>
      </c>
      <c r="G15" s="7">
        <v>245</v>
      </c>
      <c r="H15" s="7">
        <v>245</v>
      </c>
      <c r="I15" s="7">
        <v>135</v>
      </c>
      <c r="J15" s="7">
        <f t="shared" si="6"/>
        <v>28</v>
      </c>
      <c r="K15" s="7">
        <v>223</v>
      </c>
      <c r="M15" s="7">
        <v>141</v>
      </c>
      <c r="W15" s="7">
        <v>752</v>
      </c>
      <c r="X15" s="7">
        <v>714</v>
      </c>
      <c r="Y15" s="7">
        <f t="shared" si="5"/>
        <v>708</v>
      </c>
      <c r="Z15" s="7">
        <v>653</v>
      </c>
      <c r="AA15" s="7">
        <f>+AA$17*(Z15/Z$17)</f>
        <v>681.93860660031419</v>
      </c>
    </row>
    <row r="16" spans="2:236" s="7" customFormat="1" outlineLevel="1">
      <c r="B16" s="7" t="s">
        <v>21</v>
      </c>
      <c r="C16" s="7">
        <v>146</v>
      </c>
      <c r="D16" s="7">
        <v>142</v>
      </c>
      <c r="E16" s="7">
        <v>60</v>
      </c>
      <c r="F16" s="7">
        <v>111</v>
      </c>
      <c r="G16" s="7">
        <v>127</v>
      </c>
      <c r="H16" s="7">
        <v>127</v>
      </c>
      <c r="I16" s="7">
        <v>77</v>
      </c>
      <c r="J16" s="7">
        <f t="shared" si="6"/>
        <v>138</v>
      </c>
      <c r="K16" s="7">
        <v>110</v>
      </c>
      <c r="M16" s="7">
        <v>38</v>
      </c>
      <c r="W16" s="7">
        <v>464</v>
      </c>
      <c r="X16" s="7">
        <v>500</v>
      </c>
      <c r="Y16" s="7">
        <f t="shared" si="5"/>
        <v>459</v>
      </c>
      <c r="Z16" s="7">
        <v>469</v>
      </c>
      <c r="AA16" s="7">
        <f>+AA$17*(Z16/Z$17)</f>
        <v>489.78438973284437</v>
      </c>
    </row>
    <row r="17" spans="1:236" s="7" customFormat="1" outlineLevel="1">
      <c r="B17" s="7" t="s">
        <v>35</v>
      </c>
      <c r="C17" s="7">
        <f>SUM(C13:C16)</f>
        <v>2695</v>
      </c>
      <c r="D17" s="7">
        <f t="shared" ref="D17:M17" si="7">SUM(D13:D16)</f>
        <v>4264</v>
      </c>
      <c r="E17" s="7">
        <f t="shared" si="7"/>
        <v>878</v>
      </c>
      <c r="F17" s="7">
        <f t="shared" si="7"/>
        <v>1635</v>
      </c>
      <c r="G17" s="7">
        <f t="shared" si="7"/>
        <v>2751</v>
      </c>
      <c r="H17" s="7">
        <f t="shared" si="7"/>
        <v>2751</v>
      </c>
      <c r="I17" s="7">
        <f t="shared" si="7"/>
        <v>691</v>
      </c>
      <c r="J17" s="7">
        <f t="shared" si="6"/>
        <v>3352</v>
      </c>
      <c r="K17" s="7">
        <f t="shared" si="7"/>
        <v>2707</v>
      </c>
      <c r="L17" s="7">
        <f t="shared" si="7"/>
        <v>0</v>
      </c>
      <c r="M17" s="7">
        <f t="shared" si="7"/>
        <v>917</v>
      </c>
      <c r="W17" s="7">
        <f>+SUM(W13:W16)</f>
        <v>8402</v>
      </c>
      <c r="X17" s="7">
        <f>+SUM(X13:X16)</f>
        <v>8979</v>
      </c>
      <c r="Y17" s="7">
        <f t="shared" si="5"/>
        <v>9472</v>
      </c>
      <c r="Z17" s="7">
        <f>SUM(Z13:Z16)</f>
        <v>9545</v>
      </c>
      <c r="AA17" s="7">
        <f>+AA24*0.56</f>
        <v>9967.9999999999982</v>
      </c>
    </row>
    <row r="18" spans="1:236" s="7" customFormat="1" outlineLevel="1">
      <c r="B18" s="7" t="s">
        <v>22</v>
      </c>
      <c r="C18" s="7">
        <v>1242</v>
      </c>
      <c r="D18" s="7">
        <v>986</v>
      </c>
      <c r="E18" s="7">
        <v>815</v>
      </c>
      <c r="F18" s="7">
        <v>991</v>
      </c>
      <c r="G18" s="7">
        <v>886</v>
      </c>
      <c r="H18" s="7">
        <v>886</v>
      </c>
      <c r="I18" s="7">
        <v>736</v>
      </c>
      <c r="J18" s="7">
        <f t="shared" si="6"/>
        <v>1091</v>
      </c>
      <c r="K18" s="7">
        <v>860</v>
      </c>
      <c r="M18" s="7">
        <v>813</v>
      </c>
      <c r="W18" s="7">
        <v>3815</v>
      </c>
      <c r="X18" s="7">
        <v>4591</v>
      </c>
      <c r="Y18" s="7">
        <f t="shared" si="5"/>
        <v>4034</v>
      </c>
      <c r="Z18" s="7">
        <v>3599</v>
      </c>
      <c r="AA18" s="7">
        <f>+Z18*0.9</f>
        <v>3239.1</v>
      </c>
    </row>
    <row r="19" spans="1:236" s="7" customFormat="1" outlineLevel="1">
      <c r="B19" s="7" t="s">
        <v>33</v>
      </c>
      <c r="C19" s="7">
        <v>409</v>
      </c>
      <c r="D19" s="7">
        <v>331</v>
      </c>
      <c r="E19" s="7">
        <v>416</v>
      </c>
      <c r="F19" s="7">
        <v>442</v>
      </c>
      <c r="G19" s="7">
        <v>373</v>
      </c>
      <c r="H19" s="7">
        <v>373</v>
      </c>
      <c r="I19" s="7">
        <v>437</v>
      </c>
      <c r="J19" s="7">
        <f t="shared" si="6"/>
        <v>532</v>
      </c>
      <c r="K19" s="7">
        <v>336</v>
      </c>
      <c r="M19" s="7">
        <v>409</v>
      </c>
      <c r="W19" s="7">
        <v>1730</v>
      </c>
      <c r="X19" s="7">
        <v>1831</v>
      </c>
      <c r="Y19" s="7">
        <f t="shared" si="5"/>
        <v>1598</v>
      </c>
      <c r="Z19" s="7">
        <v>1715</v>
      </c>
      <c r="AA19" s="7">
        <f>+Z19*1.07</f>
        <v>1835.0500000000002</v>
      </c>
    </row>
    <row r="20" spans="1:236" s="7" customFormat="1" outlineLevel="1">
      <c r="B20" s="7" t="s">
        <v>23</v>
      </c>
      <c r="C20" s="7">
        <v>359</v>
      </c>
      <c r="D20" s="7">
        <v>252</v>
      </c>
      <c r="E20" s="7">
        <v>226</v>
      </c>
      <c r="F20" s="7">
        <v>275</v>
      </c>
      <c r="G20" s="7">
        <v>295</v>
      </c>
      <c r="H20" s="7">
        <v>295</v>
      </c>
      <c r="I20" s="7">
        <v>216</v>
      </c>
      <c r="J20" s="7">
        <f t="shared" si="6"/>
        <v>275</v>
      </c>
      <c r="K20" s="7">
        <v>304</v>
      </c>
      <c r="M20" s="7">
        <v>222</v>
      </c>
      <c r="W20" s="7">
        <v>1310</v>
      </c>
      <c r="X20" s="7">
        <v>1450</v>
      </c>
      <c r="Y20" s="7">
        <f t="shared" si="5"/>
        <v>1112</v>
      </c>
      <c r="Z20" s="7">
        <v>1081</v>
      </c>
      <c r="AA20" s="7">
        <f>+Z20*0.96</f>
        <v>1037.76</v>
      </c>
    </row>
    <row r="21" spans="1:236" s="7" customFormat="1" outlineLevel="1">
      <c r="B21" s="7" t="s">
        <v>115</v>
      </c>
      <c r="H21" s="7">
        <v>82</v>
      </c>
      <c r="I21" s="7">
        <v>135</v>
      </c>
      <c r="K21" s="7">
        <v>84</v>
      </c>
      <c r="M21" s="7">
        <v>147</v>
      </c>
    </row>
    <row r="22" spans="1:236" s="7" customFormat="1" outlineLevel="1">
      <c r="B22" s="7" t="s">
        <v>32</v>
      </c>
      <c r="C22" s="7">
        <v>179</v>
      </c>
      <c r="D22" s="7">
        <v>212</v>
      </c>
      <c r="E22" s="7">
        <v>255</v>
      </c>
      <c r="F22" s="7">
        <v>364</v>
      </c>
      <c r="G22" s="7">
        <v>187</v>
      </c>
      <c r="H22" s="7">
        <v>105</v>
      </c>
      <c r="I22" s="7">
        <v>111</v>
      </c>
      <c r="J22" s="7">
        <f t="shared" si="6"/>
        <v>565</v>
      </c>
      <c r="K22" s="7">
        <v>126</v>
      </c>
      <c r="M22" s="7">
        <v>110</v>
      </c>
      <c r="W22" s="7">
        <v>398</v>
      </c>
      <c r="X22" s="7">
        <v>604</v>
      </c>
      <c r="Y22" s="7">
        <f t="shared" si="5"/>
        <v>1010</v>
      </c>
      <c r="Z22" s="7">
        <f>476+492</f>
        <v>968</v>
      </c>
      <c r="AA22" s="7">
        <f>+Z22*0.97</f>
        <v>938.95999999999992</v>
      </c>
    </row>
    <row r="23" spans="1:236" s="7" customFormat="1" outlineLevel="1">
      <c r="B23" s="7" t="s">
        <v>36</v>
      </c>
      <c r="C23" s="7">
        <f>SUM(C18:C22)</f>
        <v>2189</v>
      </c>
      <c r="D23" s="7">
        <f t="shared" ref="D23:M23" si="8">SUM(D18:D22)</f>
        <v>1781</v>
      </c>
      <c r="E23" s="7">
        <f t="shared" si="8"/>
        <v>1712</v>
      </c>
      <c r="F23" s="7">
        <f t="shared" si="8"/>
        <v>2072</v>
      </c>
      <c r="G23" s="7">
        <f t="shared" si="8"/>
        <v>1741</v>
      </c>
      <c r="H23" s="7">
        <f t="shared" si="8"/>
        <v>1741</v>
      </c>
      <c r="I23" s="7">
        <f t="shared" si="8"/>
        <v>1635</v>
      </c>
      <c r="J23" s="7">
        <f t="shared" si="6"/>
        <v>2246</v>
      </c>
      <c r="K23" s="7">
        <f t="shared" si="8"/>
        <v>1710</v>
      </c>
      <c r="M23" s="7">
        <f t="shared" si="8"/>
        <v>1701</v>
      </c>
      <c r="W23" s="7">
        <f t="shared" ref="W23:AA23" si="9">SUM(W18:W22)</f>
        <v>7253</v>
      </c>
      <c r="X23" s="7">
        <f t="shared" si="9"/>
        <v>8476</v>
      </c>
      <c r="Y23" s="7">
        <f t="shared" si="9"/>
        <v>7754</v>
      </c>
      <c r="Z23" s="7">
        <f t="shared" si="9"/>
        <v>7363</v>
      </c>
      <c r="AA23" s="7">
        <f t="shared" si="9"/>
        <v>7050.87</v>
      </c>
    </row>
    <row r="24" spans="1:236" s="22" customFormat="1" outlineLevel="1">
      <c r="A24" s="21"/>
      <c r="B24" s="21" t="s">
        <v>17</v>
      </c>
      <c r="C24" s="21">
        <f>+SUM(C17,C23)</f>
        <v>4884</v>
      </c>
      <c r="D24" s="21">
        <f t="shared" ref="D24:M24" si="10">+SUM(D17,D23)</f>
        <v>6045</v>
      </c>
      <c r="E24" s="21">
        <f t="shared" si="10"/>
        <v>2590</v>
      </c>
      <c r="F24" s="21">
        <f t="shared" si="10"/>
        <v>3707</v>
      </c>
      <c r="G24" s="21">
        <f t="shared" si="10"/>
        <v>4492</v>
      </c>
      <c r="H24" s="21">
        <f t="shared" si="10"/>
        <v>4492</v>
      </c>
      <c r="I24" s="21">
        <f t="shared" si="10"/>
        <v>2326</v>
      </c>
      <c r="J24" s="21">
        <f t="shared" si="6"/>
        <v>5598</v>
      </c>
      <c r="K24" s="21">
        <f t="shared" si="10"/>
        <v>4417</v>
      </c>
      <c r="L24" s="21">
        <v>6456</v>
      </c>
      <c r="M24" s="21">
        <f t="shared" si="10"/>
        <v>2618</v>
      </c>
      <c r="N24" s="21"/>
      <c r="O24" s="21"/>
      <c r="P24" s="21"/>
      <c r="Q24" s="21">
        <f t="shared" ref="Q24:V24" si="11">SUM(Q17:Q22)</f>
        <v>0</v>
      </c>
      <c r="R24" s="21">
        <f t="shared" si="11"/>
        <v>0</v>
      </c>
      <c r="S24" s="21">
        <f t="shared" si="11"/>
        <v>0</v>
      </c>
      <c r="T24" s="21">
        <v>14287</v>
      </c>
      <c r="U24" s="21">
        <v>13846</v>
      </c>
      <c r="V24" s="21">
        <v>14217</v>
      </c>
      <c r="W24" s="21">
        <f t="shared" ref="W24:Z24" si="12">+SUM(W17,W23)</f>
        <v>15655</v>
      </c>
      <c r="X24" s="21">
        <f t="shared" si="12"/>
        <v>17455</v>
      </c>
      <c r="Y24" s="21">
        <f t="shared" si="12"/>
        <v>17226</v>
      </c>
      <c r="Z24" s="21">
        <f t="shared" si="12"/>
        <v>16908</v>
      </c>
      <c r="AA24" s="21">
        <f>AVERAGE(17.7,17.9) * 10^3</f>
        <v>17799.999999999996</v>
      </c>
      <c r="AB24" s="21">
        <f>+AA24*1.05</f>
        <v>18689.999999999996</v>
      </c>
      <c r="AC24" s="21">
        <f t="shared" ref="AC24:AJ24" si="13">+AB24*1.05</f>
        <v>19624.499999999996</v>
      </c>
      <c r="AD24" s="21">
        <f t="shared" si="13"/>
        <v>20605.724999999999</v>
      </c>
      <c r="AE24" s="21">
        <f t="shared" si="13"/>
        <v>21636.01125</v>
      </c>
      <c r="AF24" s="21">
        <f t="shared" si="13"/>
        <v>22717.8118125</v>
      </c>
      <c r="AG24" s="21">
        <f t="shared" si="13"/>
        <v>23853.702403125</v>
      </c>
      <c r="AH24" s="21">
        <f t="shared" si="13"/>
        <v>25046.38752328125</v>
      </c>
      <c r="AI24" s="21">
        <f t="shared" si="13"/>
        <v>26298.706899445315</v>
      </c>
      <c r="AJ24" s="21">
        <f t="shared" si="13"/>
        <v>27613.642244417581</v>
      </c>
    </row>
    <row r="25" spans="1:236" outlineLevel="1">
      <c r="B25" s="1" t="s">
        <v>31</v>
      </c>
      <c r="C25" s="1">
        <v>2771</v>
      </c>
      <c r="D25" s="1">
        <v>3137</v>
      </c>
      <c r="E25" s="1">
        <v>1646</v>
      </c>
      <c r="F25" s="1">
        <v>2366</v>
      </c>
      <c r="G25" s="1">
        <v>2550</v>
      </c>
      <c r="H25" s="1">
        <v>2918</v>
      </c>
      <c r="I25" s="1">
        <v>1565</v>
      </c>
      <c r="J25" s="7">
        <f t="shared" si="6"/>
        <v>2496</v>
      </c>
      <c r="K25" s="7">
        <v>2342</v>
      </c>
      <c r="L25" s="7">
        <v>2932</v>
      </c>
      <c r="M25" s="1">
        <v>1644</v>
      </c>
      <c r="N25" s="7"/>
      <c r="X25" s="1">
        <v>10436</v>
      </c>
      <c r="Y25" s="1">
        <f t="shared" ref="Y25:Y32" si="14">SUM(C25:F25)</f>
        <v>9920</v>
      </c>
      <c r="Z25" s="1">
        <v>9529</v>
      </c>
      <c r="AA25" s="1">
        <f>+AA24*(Z25/Z24)</f>
        <v>10031.712798675182</v>
      </c>
      <c r="AB25" s="1">
        <f t="shared" ref="AB25:AJ25" si="15">+AB24*(AA25/AA24)</f>
        <v>10533.298438608941</v>
      </c>
      <c r="AC25" s="1">
        <f t="shared" si="15"/>
        <v>11059.963360539388</v>
      </c>
      <c r="AD25" s="1">
        <f t="shared" si="15"/>
        <v>11612.961528566359</v>
      </c>
      <c r="AE25" s="1">
        <f t="shared" si="15"/>
        <v>12193.609604994677</v>
      </c>
      <c r="AF25" s="1">
        <f t="shared" si="15"/>
        <v>12803.290085244411</v>
      </c>
      <c r="AG25" s="1">
        <f t="shared" si="15"/>
        <v>13443.454589506631</v>
      </c>
      <c r="AH25" s="1">
        <f t="shared" si="15"/>
        <v>14115.627318981964</v>
      </c>
      <c r="AI25" s="1">
        <f t="shared" si="15"/>
        <v>14821.408684931062</v>
      </c>
      <c r="AJ25" s="1">
        <f t="shared" si="15"/>
        <v>15562.479119177617</v>
      </c>
    </row>
    <row r="26" spans="1:236" outlineLevel="1">
      <c r="B26" s="1" t="s">
        <v>30</v>
      </c>
      <c r="C26" s="1">
        <v>316</v>
      </c>
      <c r="D26" s="1">
        <v>329</v>
      </c>
      <c r="E26" s="1">
        <v>335</v>
      </c>
      <c r="F26" s="1">
        <v>357</v>
      </c>
      <c r="G26" s="1">
        <v>332</v>
      </c>
      <c r="H26" s="1">
        <v>357</v>
      </c>
      <c r="I26" s="1">
        <v>348</v>
      </c>
      <c r="J26" s="7">
        <f t="shared" si="6"/>
        <v>365</v>
      </c>
      <c r="K26" s="7">
        <v>335</v>
      </c>
      <c r="L26" s="7">
        <v>375</v>
      </c>
      <c r="M26" s="1">
        <v>351</v>
      </c>
      <c r="N26" s="7"/>
      <c r="X26" s="1">
        <v>1216</v>
      </c>
      <c r="Y26" s="1">
        <f t="shared" si="14"/>
        <v>1337</v>
      </c>
      <c r="Z26" s="1">
        <v>1402</v>
      </c>
      <c r="AA26" s="1">
        <f>+AA24*(Z26/Z24)</f>
        <v>1475.9640406907968</v>
      </c>
      <c r="AB26" s="1">
        <f t="shared" ref="AB26:AJ26" si="16">+AB24*(AA26/AA24)</f>
        <v>1549.7622427253368</v>
      </c>
      <c r="AC26" s="1">
        <f t="shared" si="16"/>
        <v>1627.2503548616037</v>
      </c>
      <c r="AD26" s="1">
        <f t="shared" si="16"/>
        <v>1708.6128726046841</v>
      </c>
      <c r="AE26" s="1">
        <f t="shared" si="16"/>
        <v>1794.0435162349183</v>
      </c>
      <c r="AF26" s="1">
        <f t="shared" si="16"/>
        <v>1883.7456920466643</v>
      </c>
      <c r="AG26" s="1">
        <f t="shared" si="16"/>
        <v>1977.9329766489975</v>
      </c>
      <c r="AH26" s="1">
        <f t="shared" si="16"/>
        <v>2076.8296254814472</v>
      </c>
      <c r="AI26" s="1">
        <f t="shared" si="16"/>
        <v>2180.6711067555198</v>
      </c>
      <c r="AJ26" s="1">
        <f t="shared" si="16"/>
        <v>2289.7046620932956</v>
      </c>
    </row>
    <row r="27" spans="1:236" outlineLevel="1">
      <c r="B27" s="1" t="s">
        <v>29</v>
      </c>
      <c r="C27" s="1">
        <v>726</v>
      </c>
      <c r="D27" s="1">
        <v>1045</v>
      </c>
      <c r="E27" s="1">
        <v>670</v>
      </c>
      <c r="F27" s="1">
        <v>735</v>
      </c>
      <c r="G27" s="1">
        <v>736</v>
      </c>
      <c r="H27" s="1">
        <v>1054</v>
      </c>
      <c r="I27" s="1">
        <v>671</v>
      </c>
      <c r="J27" s="7">
        <f t="shared" si="6"/>
        <v>735</v>
      </c>
      <c r="K27" s="7">
        <v>751</v>
      </c>
      <c r="L27" s="7">
        <v>1156</v>
      </c>
      <c r="M27" s="1">
        <v>725</v>
      </c>
      <c r="N27" s="7"/>
      <c r="X27" s="1">
        <v>3173</v>
      </c>
      <c r="Y27" s="1">
        <f t="shared" si="14"/>
        <v>3176</v>
      </c>
      <c r="Z27" s="1">
        <v>3196</v>
      </c>
      <c r="AA27" s="1">
        <f>+AA24*(Z27/Z24)</f>
        <v>3364.6084693636144</v>
      </c>
      <c r="AB27" s="1">
        <f t="shared" ref="AB27:AJ27" si="17">+AB24*(AA27/AA24)</f>
        <v>3532.838892831795</v>
      </c>
      <c r="AC27" s="1">
        <f t="shared" si="17"/>
        <v>3709.4808374733848</v>
      </c>
      <c r="AD27" s="1">
        <f t="shared" si="17"/>
        <v>3894.9548793470544</v>
      </c>
      <c r="AE27" s="1">
        <f t="shared" si="17"/>
        <v>4089.7026233144074</v>
      </c>
      <c r="AF27" s="1">
        <f t="shared" si="17"/>
        <v>4294.1877544801282</v>
      </c>
      <c r="AG27" s="1">
        <f t="shared" si="17"/>
        <v>4508.8971422041341</v>
      </c>
      <c r="AH27" s="1">
        <f t="shared" si="17"/>
        <v>4734.3419993143407</v>
      </c>
      <c r="AI27" s="1">
        <f t="shared" si="17"/>
        <v>4971.0590992800589</v>
      </c>
      <c r="AJ27" s="1">
        <f t="shared" si="17"/>
        <v>5219.6120542440622</v>
      </c>
    </row>
    <row r="28" spans="1:236" outlineLevel="1">
      <c r="B28" s="1" t="s">
        <v>28</v>
      </c>
      <c r="C28" s="1">
        <v>-71</v>
      </c>
      <c r="D28" s="1">
        <v>-134</v>
      </c>
      <c r="E28" s="1">
        <v>-149</v>
      </c>
      <c r="F28" s="1">
        <v>-94</v>
      </c>
      <c r="G28" s="1">
        <v>-99</v>
      </c>
      <c r="H28" s="1">
        <v>-113</v>
      </c>
      <c r="I28" s="1">
        <v>-107</v>
      </c>
      <c r="J28" s="7">
        <f t="shared" si="6"/>
        <v>19</v>
      </c>
      <c r="K28" s="7">
        <v>15</v>
      </c>
      <c r="L28" s="7">
        <v>103</v>
      </c>
      <c r="M28" s="1">
        <v>-23</v>
      </c>
      <c r="N28" s="7"/>
      <c r="X28" s="1">
        <v>-60</v>
      </c>
      <c r="Y28" s="1">
        <f t="shared" si="14"/>
        <v>-448</v>
      </c>
      <c r="Z28" s="1">
        <v>-300</v>
      </c>
      <c r="AA28" s="1">
        <f>+AA24*(Z28/Z24)</f>
        <v>-315.82682753726039</v>
      </c>
      <c r="AB28" s="1">
        <f t="shared" ref="AB28:AJ28" si="18">+AB24*(AA28/AA24)</f>
        <v>-331.61816891412343</v>
      </c>
      <c r="AC28" s="1">
        <f t="shared" si="18"/>
        <v>-348.19907735982957</v>
      </c>
      <c r="AD28" s="1">
        <f t="shared" si="18"/>
        <v>-365.60903122782111</v>
      </c>
      <c r="AE28" s="1">
        <f t="shared" si="18"/>
        <v>-383.8894827892122</v>
      </c>
      <c r="AF28" s="1">
        <f t="shared" si="18"/>
        <v>-403.08395692867282</v>
      </c>
      <c r="AG28" s="1">
        <f t="shared" si="18"/>
        <v>-423.23815477510647</v>
      </c>
      <c r="AH28" s="1">
        <f t="shared" si="18"/>
        <v>-444.40006251386177</v>
      </c>
      <c r="AI28" s="1">
        <f t="shared" si="18"/>
        <v>-466.62006563955492</v>
      </c>
      <c r="AJ28" s="1">
        <f t="shared" si="18"/>
        <v>-489.95106892153268</v>
      </c>
    </row>
    <row r="29" spans="1:236" outlineLevel="1">
      <c r="B29" s="1" t="s">
        <v>27</v>
      </c>
      <c r="C29" s="1">
        <v>31</v>
      </c>
      <c r="D29" s="1">
        <v>66</v>
      </c>
      <c r="E29" s="1">
        <v>58</v>
      </c>
      <c r="F29" s="1">
        <v>62</v>
      </c>
      <c r="G29" s="1">
        <v>41</v>
      </c>
      <c r="H29" s="1">
        <v>66</v>
      </c>
      <c r="I29" s="1">
        <v>66</v>
      </c>
      <c r="J29" s="7">
        <f t="shared" si="6"/>
        <v>60</v>
      </c>
      <c r="K29" s="7">
        <v>36</v>
      </c>
      <c r="L29" s="7">
        <v>52</v>
      </c>
      <c r="M29" s="1">
        <v>46</v>
      </c>
      <c r="N29" s="7"/>
      <c r="X29" s="1">
        <v>79</v>
      </c>
      <c r="Y29" s="1">
        <f t="shared" si="14"/>
        <v>217</v>
      </c>
      <c r="Z29" s="1">
        <v>233</v>
      </c>
      <c r="AA29" s="1">
        <f t="shared" ref="AA29:AJ29" si="19">+Z49 * $AM$36</f>
        <v>24</v>
      </c>
      <c r="AB29" s="1">
        <f t="shared" si="19"/>
        <v>24.240000000000002</v>
      </c>
      <c r="AC29" s="1">
        <f t="shared" si="19"/>
        <v>24.482400000000002</v>
      </c>
      <c r="AD29" s="1">
        <f t="shared" si="19"/>
        <v>24.727224000000003</v>
      </c>
      <c r="AE29" s="1">
        <f t="shared" si="19"/>
        <v>24.974496240000004</v>
      </c>
      <c r="AF29" s="1">
        <f t="shared" si="19"/>
        <v>25.224241202400005</v>
      </c>
      <c r="AG29" s="1">
        <f t="shared" si="19"/>
        <v>25.476483614424005</v>
      </c>
      <c r="AH29" s="1">
        <f t="shared" si="19"/>
        <v>25.731248450568245</v>
      </c>
      <c r="AI29" s="1">
        <f t="shared" si="19"/>
        <v>25.988560935073931</v>
      </c>
      <c r="AJ29" s="1">
        <f t="shared" si="19"/>
        <v>26.24844654442467</v>
      </c>
    </row>
    <row r="30" spans="1:236" outlineLevel="1">
      <c r="B30" s="1" t="s">
        <v>26</v>
      </c>
      <c r="C30" s="1">
        <f t="shared" ref="C30:I30" si="20">+C24-SUM(C25:C29)</f>
        <v>1111</v>
      </c>
      <c r="D30" s="1">
        <f t="shared" si="20"/>
        <v>1602</v>
      </c>
      <c r="E30" s="1">
        <f t="shared" si="20"/>
        <v>30</v>
      </c>
      <c r="F30" s="1">
        <f t="shared" si="20"/>
        <v>281</v>
      </c>
      <c r="G30" s="1">
        <f t="shared" si="20"/>
        <v>932</v>
      </c>
      <c r="H30" s="1">
        <f t="shared" si="20"/>
        <v>210</v>
      </c>
      <c r="I30" s="1">
        <f t="shared" si="20"/>
        <v>-217</v>
      </c>
      <c r="J30" s="7">
        <f t="shared" si="6"/>
        <v>1923</v>
      </c>
      <c r="K30" s="7">
        <f t="shared" si="6"/>
        <v>1303.541518807664</v>
      </c>
      <c r="L30" s="1">
        <f t="shared" ref="L30:M30" si="21">+L24-SUM(L25:L29)</f>
        <v>1838</v>
      </c>
      <c r="M30" s="1">
        <f t="shared" si="21"/>
        <v>-125</v>
      </c>
      <c r="N30" s="7"/>
      <c r="X30" s="1">
        <f>+X24-SUM(X25:X29)</f>
        <v>2611</v>
      </c>
      <c r="Y30" s="1">
        <f t="shared" si="14"/>
        <v>3024</v>
      </c>
      <c r="Z30" s="1">
        <f>+Z24-SUM(Z25:Z29)</f>
        <v>2848</v>
      </c>
      <c r="AA30" s="1">
        <f>+AA24-SUM(AA25:AA29)</f>
        <v>3219.541518807664</v>
      </c>
      <c r="AB30" s="1">
        <f t="shared" ref="AB30:AJ30" si="22">+AB24-SUM(AB25:AB29)</f>
        <v>3381.4785947480468</v>
      </c>
      <c r="AC30" s="1">
        <f t="shared" si="22"/>
        <v>3551.5221244854474</v>
      </c>
      <c r="AD30" s="1">
        <f t="shared" si="22"/>
        <v>3730.0775267097233</v>
      </c>
      <c r="AE30" s="1">
        <f t="shared" si="22"/>
        <v>3917.5704920052085</v>
      </c>
      <c r="AF30" s="1">
        <f t="shared" si="22"/>
        <v>4114.4479964550701</v>
      </c>
      <c r="AG30" s="1">
        <f t="shared" si="22"/>
        <v>4321.1793659259201</v>
      </c>
      <c r="AH30" s="1">
        <f t="shared" si="22"/>
        <v>4538.2573935667933</v>
      </c>
      <c r="AI30" s="1">
        <f t="shared" si="22"/>
        <v>4766.1995131831536</v>
      </c>
      <c r="AJ30" s="1">
        <f t="shared" si="22"/>
        <v>5005.5490312797119</v>
      </c>
    </row>
    <row r="31" spans="1:236" outlineLevel="1">
      <c r="B31" s="1" t="s">
        <v>25</v>
      </c>
      <c r="C31" s="1">
        <v>169</v>
      </c>
      <c r="D31" s="1">
        <v>204</v>
      </c>
      <c r="E31" s="1">
        <v>-129</v>
      </c>
      <c r="F31" s="1">
        <v>-92</v>
      </c>
      <c r="G31" s="1">
        <v>106</v>
      </c>
      <c r="H31" s="1">
        <v>282</v>
      </c>
      <c r="I31" s="1">
        <v>-114</v>
      </c>
      <c r="J31" s="7">
        <f t="shared" si="6"/>
        <v>138</v>
      </c>
      <c r="K31" s="7">
        <v>117</v>
      </c>
      <c r="L31" s="1">
        <v>422</v>
      </c>
      <c r="M31" s="1">
        <v>-62</v>
      </c>
      <c r="N31" s="7"/>
      <c r="X31" s="1">
        <v>210</v>
      </c>
      <c r="Y31" s="1">
        <f t="shared" si="14"/>
        <v>152</v>
      </c>
      <c r="Z31" s="1">
        <v>412</v>
      </c>
      <c r="AA31" s="1">
        <f>+AA30*(Z31/Z30)</f>
        <v>465.74828151290643</v>
      </c>
      <c r="AB31" s="1">
        <f t="shared" ref="AB31:AJ31" si="23">+AB30*(AA31/AA30)</f>
        <v>489.17457199304607</v>
      </c>
      <c r="AC31" s="1">
        <f t="shared" si="23"/>
        <v>513.77356576123748</v>
      </c>
      <c r="AD31" s="1">
        <f t="shared" si="23"/>
        <v>539.60391186952461</v>
      </c>
      <c r="AE31" s="1">
        <f t="shared" si="23"/>
        <v>566.72719196142771</v>
      </c>
      <c r="AF31" s="1">
        <f t="shared" si="23"/>
        <v>595.20806690291056</v>
      </c>
      <c r="AG31" s="1">
        <f t="shared" si="23"/>
        <v>625.11443074490148</v>
      </c>
      <c r="AH31" s="1">
        <f t="shared" si="23"/>
        <v>656.51757238396033</v>
      </c>
      <c r="AI31" s="1">
        <f t="shared" si="23"/>
        <v>689.49234530599006</v>
      </c>
      <c r="AJ31" s="1">
        <f t="shared" si="23"/>
        <v>724.11734581714938</v>
      </c>
    </row>
    <row r="32" spans="1:236" outlineLevel="1">
      <c r="B32" s="1" t="s">
        <v>24</v>
      </c>
      <c r="C32" s="1">
        <f t="shared" ref="C32:I32" si="24">+C30-C31</f>
        <v>942</v>
      </c>
      <c r="D32" s="1">
        <f t="shared" si="24"/>
        <v>1398</v>
      </c>
      <c r="E32" s="1">
        <f t="shared" si="24"/>
        <v>159</v>
      </c>
      <c r="F32" s="1">
        <f t="shared" si="24"/>
        <v>373</v>
      </c>
      <c r="G32" s="1">
        <f t="shared" si="24"/>
        <v>826</v>
      </c>
      <c r="H32" s="1">
        <f t="shared" si="24"/>
        <v>-72</v>
      </c>
      <c r="I32" s="1">
        <f t="shared" si="24"/>
        <v>-103</v>
      </c>
      <c r="J32" s="7">
        <f t="shared" si="6"/>
        <v>2105</v>
      </c>
      <c r="K32" s="7">
        <f t="shared" si="6"/>
        <v>823.79323729475755</v>
      </c>
      <c r="L32" s="1">
        <f t="shared" ref="L32:M32" si="25">+L30-L31</f>
        <v>1416</v>
      </c>
      <c r="M32" s="1">
        <f t="shared" si="25"/>
        <v>-63</v>
      </c>
      <c r="N32" s="7"/>
      <c r="X32" s="1">
        <f>+X30-X31</f>
        <v>2401</v>
      </c>
      <c r="Y32" s="1">
        <f t="shared" si="14"/>
        <v>2872</v>
      </c>
      <c r="Z32" s="1">
        <f>SUM(D32:G32)</f>
        <v>2756</v>
      </c>
      <c r="AA32" s="1">
        <f>+AA30-AA31</f>
        <v>2753.7932372947575</v>
      </c>
      <c r="AB32" s="1">
        <f t="shared" ref="AB32:AJ32" si="26">+AB30-AB31</f>
        <v>2892.3040227550009</v>
      </c>
      <c r="AC32" s="1">
        <f t="shared" si="26"/>
        <v>3037.7485587242099</v>
      </c>
      <c r="AD32" s="1">
        <f t="shared" si="26"/>
        <v>3190.4736148401989</v>
      </c>
      <c r="AE32" s="1">
        <f t="shared" si="26"/>
        <v>3350.8433000437808</v>
      </c>
      <c r="AF32" s="1">
        <f t="shared" si="26"/>
        <v>3519.2399295521595</v>
      </c>
      <c r="AG32" s="1">
        <f t="shared" si="26"/>
        <v>3696.0649351810189</v>
      </c>
      <c r="AH32" s="1">
        <f t="shared" si="26"/>
        <v>3881.7398211828331</v>
      </c>
      <c r="AI32" s="1">
        <f t="shared" si="26"/>
        <v>4076.7071678771636</v>
      </c>
      <c r="AJ32" s="1">
        <f t="shared" si="26"/>
        <v>4281.4316854625622</v>
      </c>
      <c r="AK32" s="1">
        <f t="shared" ref="AK32:BP32" si="27">+AJ32*(1+$AM$37)</f>
        <v>4324.246002317188</v>
      </c>
      <c r="AL32" s="1">
        <f t="shared" si="27"/>
        <v>4367.4884623403595</v>
      </c>
      <c r="AM32" s="1">
        <f t="shared" si="27"/>
        <v>4411.1633469637636</v>
      </c>
      <c r="AN32" s="1">
        <f t="shared" si="27"/>
        <v>4455.2749804334017</v>
      </c>
      <c r="AO32" s="1">
        <f t="shared" si="27"/>
        <v>4499.8277302377355</v>
      </c>
      <c r="AP32" s="1">
        <f t="shared" si="27"/>
        <v>4544.8260075401131</v>
      </c>
      <c r="AQ32" s="1">
        <f t="shared" si="27"/>
        <v>4590.274267615514</v>
      </c>
      <c r="AR32" s="1">
        <f t="shared" si="27"/>
        <v>4636.1770102916689</v>
      </c>
      <c r="AS32" s="1">
        <f t="shared" si="27"/>
        <v>4682.538780394586</v>
      </c>
      <c r="AT32" s="1">
        <f t="shared" si="27"/>
        <v>4729.3641681985318</v>
      </c>
      <c r="AU32" s="1">
        <f t="shared" si="27"/>
        <v>4776.6578098805176</v>
      </c>
      <c r="AV32" s="1">
        <f t="shared" si="27"/>
        <v>4824.424387979323</v>
      </c>
      <c r="AW32" s="1">
        <f t="shared" si="27"/>
        <v>4872.6686318591164</v>
      </c>
      <c r="AX32" s="1">
        <f t="shared" si="27"/>
        <v>4921.3953181777078</v>
      </c>
      <c r="AY32" s="1">
        <f t="shared" si="27"/>
        <v>4970.6092713594853</v>
      </c>
      <c r="AZ32" s="1">
        <f t="shared" si="27"/>
        <v>5020.3153640730798</v>
      </c>
      <c r="BA32" s="1">
        <f t="shared" si="27"/>
        <v>5070.518517713811</v>
      </c>
      <c r="BB32" s="1">
        <f t="shared" si="27"/>
        <v>5121.2237028909494</v>
      </c>
      <c r="BC32" s="1">
        <f t="shared" si="27"/>
        <v>5172.4359399198593</v>
      </c>
      <c r="BD32" s="1">
        <f t="shared" si="27"/>
        <v>5224.1602993190581</v>
      </c>
      <c r="BE32" s="1">
        <f t="shared" si="27"/>
        <v>5276.4019023122491</v>
      </c>
      <c r="BF32" s="1">
        <f t="shared" si="27"/>
        <v>5329.1659213353714</v>
      </c>
      <c r="BG32" s="1">
        <f t="shared" si="27"/>
        <v>5382.4575805487248</v>
      </c>
      <c r="BH32" s="1">
        <f t="shared" si="27"/>
        <v>5436.282156354212</v>
      </c>
      <c r="BI32" s="1">
        <f t="shared" si="27"/>
        <v>5490.6449779177537</v>
      </c>
      <c r="BJ32" s="1">
        <f t="shared" si="27"/>
        <v>5545.5514276969316</v>
      </c>
      <c r="BK32" s="1">
        <f t="shared" si="27"/>
        <v>5601.0069419739011</v>
      </c>
      <c r="BL32" s="1">
        <f t="shared" si="27"/>
        <v>5657.0170113936401</v>
      </c>
      <c r="BM32" s="1">
        <f t="shared" si="27"/>
        <v>5713.5871815075761</v>
      </c>
      <c r="BN32" s="1">
        <f t="shared" si="27"/>
        <v>5770.723053322652</v>
      </c>
      <c r="BO32" s="1">
        <f t="shared" si="27"/>
        <v>5828.4302838558788</v>
      </c>
      <c r="BP32" s="1">
        <f t="shared" si="27"/>
        <v>5886.7145866944375</v>
      </c>
      <c r="BQ32" s="1">
        <f t="shared" ref="BQ32:CV32" si="28">+BP32*(1+$AM$37)</f>
        <v>5945.5817325613816</v>
      </c>
      <c r="BR32" s="1">
        <f t="shared" si="28"/>
        <v>6005.0375498869953</v>
      </c>
      <c r="BS32" s="1">
        <f t="shared" si="28"/>
        <v>6065.0879253858657</v>
      </c>
      <c r="BT32" s="1">
        <f t="shared" si="28"/>
        <v>6125.7388046397245</v>
      </c>
      <c r="BU32" s="1">
        <f t="shared" si="28"/>
        <v>6186.9961926861215</v>
      </c>
      <c r="BV32" s="1">
        <f t="shared" si="28"/>
        <v>6248.8661546129824</v>
      </c>
      <c r="BW32" s="1">
        <f t="shared" si="28"/>
        <v>6311.3548161591125</v>
      </c>
      <c r="BX32" s="1">
        <f t="shared" si="28"/>
        <v>6374.4683643207036</v>
      </c>
      <c r="BY32" s="1">
        <f t="shared" si="28"/>
        <v>6438.2130479639109</v>
      </c>
      <c r="BZ32" s="1">
        <f t="shared" si="28"/>
        <v>6502.5951784435501</v>
      </c>
      <c r="CA32" s="1">
        <f t="shared" si="28"/>
        <v>6567.6211302279853</v>
      </c>
      <c r="CB32" s="1">
        <f t="shared" si="28"/>
        <v>6633.2973415302649</v>
      </c>
      <c r="CC32" s="1">
        <f t="shared" si="28"/>
        <v>6699.630314945568</v>
      </c>
      <c r="CD32" s="1">
        <f t="shared" si="28"/>
        <v>6766.6266180950233</v>
      </c>
      <c r="CE32" s="1">
        <f t="shared" si="28"/>
        <v>6834.2928842759738</v>
      </c>
      <c r="CF32" s="1">
        <f t="shared" si="28"/>
        <v>6902.6358131187335</v>
      </c>
      <c r="CG32" s="1">
        <f t="shared" si="28"/>
        <v>6971.6621712499209</v>
      </c>
      <c r="CH32" s="1">
        <f t="shared" si="28"/>
        <v>7041.3787929624204</v>
      </c>
      <c r="CI32" s="1">
        <f t="shared" si="28"/>
        <v>7111.7925808920445</v>
      </c>
      <c r="CJ32" s="1">
        <f t="shared" si="28"/>
        <v>7182.910506700965</v>
      </c>
      <c r="CK32" s="1">
        <f t="shared" si="28"/>
        <v>7254.7396117679746</v>
      </c>
      <c r="CL32" s="1">
        <f t="shared" si="28"/>
        <v>7327.287007885654</v>
      </c>
      <c r="CM32" s="1">
        <f t="shared" si="28"/>
        <v>7400.5598779645106</v>
      </c>
      <c r="CN32" s="1">
        <f t="shared" si="28"/>
        <v>7474.5654767441556</v>
      </c>
      <c r="CO32" s="1">
        <f t="shared" si="28"/>
        <v>7549.3111315115975</v>
      </c>
      <c r="CP32" s="1">
        <f t="shared" si="28"/>
        <v>7624.8042428267136</v>
      </c>
      <c r="CQ32" s="1">
        <f t="shared" si="28"/>
        <v>7701.0522852549811</v>
      </c>
      <c r="CR32" s="1">
        <f t="shared" si="28"/>
        <v>7778.0628081075311</v>
      </c>
      <c r="CS32" s="1">
        <f t="shared" si="28"/>
        <v>7855.8434361886066</v>
      </c>
      <c r="CT32" s="1">
        <f t="shared" si="28"/>
        <v>7934.4018705504923</v>
      </c>
      <c r="CU32" s="1">
        <f t="shared" si="28"/>
        <v>8013.7458892559971</v>
      </c>
      <c r="CV32" s="1">
        <f t="shared" si="28"/>
        <v>8093.8833481485572</v>
      </c>
      <c r="CW32" s="1">
        <f t="shared" ref="CW32:EB32" si="29">+CV32*(1+$AM$37)</f>
        <v>8174.8221816300429</v>
      </c>
      <c r="CX32" s="1">
        <f t="shared" si="29"/>
        <v>8256.5704034463433</v>
      </c>
      <c r="CY32" s="1">
        <f t="shared" si="29"/>
        <v>8339.1361074808065</v>
      </c>
      <c r="CZ32" s="1">
        <f t="shared" si="29"/>
        <v>8422.5274685556142</v>
      </c>
      <c r="DA32" s="1">
        <f t="shared" si="29"/>
        <v>8506.7527432411698</v>
      </c>
      <c r="DB32" s="1">
        <f t="shared" si="29"/>
        <v>8591.820270673581</v>
      </c>
      <c r="DC32" s="1">
        <f t="shared" si="29"/>
        <v>8677.7384733803174</v>
      </c>
      <c r="DD32" s="1">
        <f t="shared" si="29"/>
        <v>8764.5158581141204</v>
      </c>
      <c r="DE32" s="1">
        <f t="shared" si="29"/>
        <v>8852.1610166952614</v>
      </c>
      <c r="DF32" s="1">
        <f t="shared" si="29"/>
        <v>8940.6826268622135</v>
      </c>
      <c r="DG32" s="1">
        <f t="shared" si="29"/>
        <v>9030.089453130835</v>
      </c>
      <c r="DH32" s="1">
        <f t="shared" si="29"/>
        <v>9120.3903476621435</v>
      </c>
      <c r="DI32" s="1">
        <f t="shared" si="29"/>
        <v>9211.5942511387657</v>
      </c>
      <c r="DJ32" s="1">
        <f t="shared" si="29"/>
        <v>9303.7101936501531</v>
      </c>
      <c r="DK32" s="1">
        <f t="shared" si="29"/>
        <v>9396.7472955866542</v>
      </c>
      <c r="DL32" s="1">
        <f t="shared" si="29"/>
        <v>9490.7147685425207</v>
      </c>
      <c r="DM32" s="1">
        <f t="shared" si="29"/>
        <v>9585.6219162279467</v>
      </c>
      <c r="DN32" s="1">
        <f t="shared" si="29"/>
        <v>9681.4781353902254</v>
      </c>
      <c r="DO32" s="1">
        <f t="shared" si="29"/>
        <v>9778.2929167441271</v>
      </c>
      <c r="DP32" s="1">
        <f t="shared" si="29"/>
        <v>9876.0758459115677</v>
      </c>
      <c r="DQ32" s="1">
        <f t="shared" si="29"/>
        <v>9974.8366043706828</v>
      </c>
      <c r="DR32" s="1">
        <f t="shared" si="29"/>
        <v>10074.584970414389</v>
      </c>
      <c r="DS32" s="1">
        <f t="shared" si="29"/>
        <v>10175.330820118534</v>
      </c>
      <c r="DT32" s="1">
        <f t="shared" si="29"/>
        <v>10277.084128319719</v>
      </c>
      <c r="DU32" s="1">
        <f t="shared" si="29"/>
        <v>10379.854969602917</v>
      </c>
      <c r="DV32" s="1">
        <f t="shared" si="29"/>
        <v>10483.653519298947</v>
      </c>
      <c r="DW32" s="1">
        <f t="shared" si="29"/>
        <v>10588.490054491936</v>
      </c>
      <c r="DX32" s="1">
        <f t="shared" si="29"/>
        <v>10694.374955036856</v>
      </c>
      <c r="DY32" s="1">
        <f t="shared" si="29"/>
        <v>10801.318704587224</v>
      </c>
      <c r="DZ32" s="1">
        <f t="shared" si="29"/>
        <v>10909.331891633095</v>
      </c>
      <c r="EA32" s="1">
        <f t="shared" si="29"/>
        <v>11018.425210549427</v>
      </c>
      <c r="EB32" s="1">
        <f t="shared" si="29"/>
        <v>11128.609462654922</v>
      </c>
      <c r="EC32" s="1">
        <f t="shared" ref="EC32:FH32" si="30">+EB32*(1+$AM$37)</f>
        <v>11239.895557281472</v>
      </c>
      <c r="ED32" s="1">
        <f t="shared" si="30"/>
        <v>11352.294512854287</v>
      </c>
      <c r="EE32" s="1">
        <f t="shared" si="30"/>
        <v>11465.81745798283</v>
      </c>
      <c r="EF32" s="1">
        <f t="shared" si="30"/>
        <v>11580.475632562659</v>
      </c>
      <c r="EG32" s="1">
        <f t="shared" si="30"/>
        <v>11696.280388888285</v>
      </c>
      <c r="EH32" s="1">
        <f t="shared" si="30"/>
        <v>11813.243192777167</v>
      </c>
      <c r="EI32" s="1">
        <f t="shared" si="30"/>
        <v>11931.375624704939</v>
      </c>
      <c r="EJ32" s="1">
        <f t="shared" si="30"/>
        <v>12050.689380951988</v>
      </c>
      <c r="EK32" s="1">
        <f t="shared" si="30"/>
        <v>12171.196274761507</v>
      </c>
      <c r="EL32" s="1">
        <f t="shared" si="30"/>
        <v>12292.908237509122</v>
      </c>
      <c r="EM32" s="1">
        <f t="shared" si="30"/>
        <v>12415.837319884213</v>
      </c>
      <c r="EN32" s="1">
        <f t="shared" si="30"/>
        <v>12539.995693083056</v>
      </c>
      <c r="EO32" s="1">
        <f t="shared" si="30"/>
        <v>12665.395650013887</v>
      </c>
      <c r="EP32" s="1">
        <f t="shared" si="30"/>
        <v>12792.049606514025</v>
      </c>
      <c r="EQ32" s="1">
        <f t="shared" si="30"/>
        <v>12919.970102579166</v>
      </c>
      <c r="ER32" s="1">
        <f t="shared" si="30"/>
        <v>13049.169803604957</v>
      </c>
      <c r="ES32" s="1">
        <f t="shared" si="30"/>
        <v>13179.661501641007</v>
      </c>
      <c r="ET32" s="1">
        <f t="shared" si="30"/>
        <v>13311.458116657417</v>
      </c>
      <c r="EU32" s="1">
        <f t="shared" si="30"/>
        <v>13444.572697823991</v>
      </c>
      <c r="EV32" s="1">
        <f t="shared" si="30"/>
        <v>13579.018424802231</v>
      </c>
      <c r="EW32" s="1">
        <f t="shared" si="30"/>
        <v>13714.808609050253</v>
      </c>
      <c r="EX32" s="1">
        <f t="shared" si="30"/>
        <v>13851.956695140756</v>
      </c>
      <c r="EY32" s="1">
        <f t="shared" si="30"/>
        <v>13990.476262092163</v>
      </c>
      <c r="EZ32" s="1">
        <f t="shared" si="30"/>
        <v>14130.381024713084</v>
      </c>
      <c r="FA32" s="1">
        <f t="shared" si="30"/>
        <v>14271.684834960215</v>
      </c>
      <c r="FB32" s="1">
        <f t="shared" si="30"/>
        <v>14414.401683309818</v>
      </c>
      <c r="FC32" s="1">
        <f t="shared" si="30"/>
        <v>14558.545700142917</v>
      </c>
      <c r="FD32" s="1">
        <f t="shared" si="30"/>
        <v>14704.131157144346</v>
      </c>
      <c r="FE32" s="1">
        <f t="shared" si="30"/>
        <v>14851.172468715789</v>
      </c>
      <c r="FF32" s="1">
        <f t="shared" si="30"/>
        <v>14999.684193402947</v>
      </c>
      <c r="FG32" s="1">
        <f t="shared" si="30"/>
        <v>15149.681035336976</v>
      </c>
      <c r="FH32" s="1">
        <f t="shared" si="30"/>
        <v>15301.177845690347</v>
      </c>
      <c r="FI32" s="1">
        <f t="shared" ref="FI32:GN32" si="31">+FH32*(1+$AM$37)</f>
        <v>15454.18962414725</v>
      </c>
      <c r="FJ32" s="1">
        <f t="shared" si="31"/>
        <v>15608.731520388723</v>
      </c>
      <c r="FK32" s="1">
        <f t="shared" si="31"/>
        <v>15764.81883559261</v>
      </c>
      <c r="FL32" s="1">
        <f t="shared" si="31"/>
        <v>15922.467023948537</v>
      </c>
      <c r="FM32" s="1">
        <f t="shared" si="31"/>
        <v>16081.691694188023</v>
      </c>
      <c r="FN32" s="1">
        <f t="shared" si="31"/>
        <v>16242.508611129902</v>
      </c>
      <c r="FO32" s="1">
        <f t="shared" si="31"/>
        <v>16404.933697241202</v>
      </c>
      <c r="FP32" s="1">
        <f t="shared" si="31"/>
        <v>16568.983034213616</v>
      </c>
      <c r="FQ32" s="1">
        <f t="shared" si="31"/>
        <v>16734.672864555752</v>
      </c>
      <c r="FR32" s="1">
        <f t="shared" si="31"/>
        <v>16902.019593201308</v>
      </c>
      <c r="FS32" s="1">
        <f t="shared" si="31"/>
        <v>17071.039789133323</v>
      </c>
      <c r="FT32" s="1">
        <f t="shared" si="31"/>
        <v>17241.750187024656</v>
      </c>
      <c r="FU32" s="1">
        <f t="shared" si="31"/>
        <v>17414.167688894904</v>
      </c>
      <c r="FV32" s="1">
        <f t="shared" si="31"/>
        <v>17588.309365783854</v>
      </c>
      <c r="FW32" s="1">
        <f t="shared" si="31"/>
        <v>17764.192459441692</v>
      </c>
      <c r="FX32" s="1">
        <f t="shared" si="31"/>
        <v>17941.834384036109</v>
      </c>
      <c r="FY32" s="1">
        <f t="shared" si="31"/>
        <v>18121.252727876468</v>
      </c>
      <c r="FZ32" s="1">
        <f t="shared" si="31"/>
        <v>18302.465255155232</v>
      </c>
      <c r="GA32" s="1">
        <f t="shared" si="31"/>
        <v>18485.489907706786</v>
      </c>
      <c r="GB32" s="1">
        <f t="shared" si="31"/>
        <v>18670.344806783854</v>
      </c>
      <c r="GC32" s="1">
        <f t="shared" si="31"/>
        <v>18857.048254851692</v>
      </c>
      <c r="GD32" s="1">
        <f t="shared" si="31"/>
        <v>19045.618737400207</v>
      </c>
      <c r="GE32" s="1">
        <f t="shared" si="31"/>
        <v>19236.07492477421</v>
      </c>
      <c r="GF32" s="1">
        <f t="shared" si="31"/>
        <v>19428.435674021952</v>
      </c>
      <c r="GG32" s="1">
        <f t="shared" si="31"/>
        <v>19622.720030762172</v>
      </c>
      <c r="GH32" s="1">
        <f t="shared" si="31"/>
        <v>19818.947231069793</v>
      </c>
      <c r="GI32" s="1">
        <f t="shared" si="31"/>
        <v>20017.136703380493</v>
      </c>
      <c r="GJ32" s="1">
        <f t="shared" si="31"/>
        <v>20217.308070414299</v>
      </c>
      <c r="GK32" s="1">
        <f t="shared" si="31"/>
        <v>20419.481151118442</v>
      </c>
      <c r="GL32" s="1">
        <f t="shared" si="31"/>
        <v>20623.675962629626</v>
      </c>
      <c r="GM32" s="1">
        <f t="shared" si="31"/>
        <v>20829.912722255922</v>
      </c>
      <c r="GN32" s="1">
        <f t="shared" si="31"/>
        <v>21038.211849478481</v>
      </c>
      <c r="GO32" s="1">
        <f t="shared" ref="GO32:HT32" si="32">+GN32*(1+$AM$37)</f>
        <v>21248.593967973266</v>
      </c>
      <c r="GP32" s="1">
        <f t="shared" si="32"/>
        <v>21461.079907652998</v>
      </c>
      <c r="GQ32" s="1">
        <f t="shared" si="32"/>
        <v>21675.690706729529</v>
      </c>
      <c r="GR32" s="1">
        <f t="shared" si="32"/>
        <v>21892.447613796823</v>
      </c>
      <c r="GS32" s="1">
        <f t="shared" si="32"/>
        <v>22111.37208993479</v>
      </c>
      <c r="GT32" s="1">
        <f t="shared" si="32"/>
        <v>22332.48581083414</v>
      </c>
      <c r="GU32" s="1">
        <f t="shared" si="32"/>
        <v>22555.810668942482</v>
      </c>
      <c r="GV32" s="1">
        <f t="shared" si="32"/>
        <v>22781.368775631909</v>
      </c>
      <c r="GW32" s="1">
        <f t="shared" si="32"/>
        <v>23009.182463388228</v>
      </c>
      <c r="GX32" s="1">
        <f t="shared" si="32"/>
        <v>23239.274288022112</v>
      </c>
      <c r="GY32" s="1">
        <f t="shared" si="32"/>
        <v>23471.667030902332</v>
      </c>
      <c r="GZ32" s="1">
        <f t="shared" si="32"/>
        <v>23706.383701211354</v>
      </c>
      <c r="HA32" s="1">
        <f t="shared" si="32"/>
        <v>23943.447538223467</v>
      </c>
      <c r="HB32" s="1">
        <f t="shared" si="32"/>
        <v>24182.8820136057</v>
      </c>
      <c r="HC32" s="1">
        <f t="shared" si="32"/>
        <v>24424.710833741756</v>
      </c>
      <c r="HD32" s="1">
        <f t="shared" si="32"/>
        <v>24668.957942079174</v>
      </c>
      <c r="HE32" s="1">
        <f t="shared" si="32"/>
        <v>24915.647521499966</v>
      </c>
      <c r="HF32" s="1">
        <f t="shared" si="32"/>
        <v>25164.803996714967</v>
      </c>
      <c r="HG32" s="1">
        <f t="shared" si="32"/>
        <v>25416.452036682116</v>
      </c>
      <c r="HH32" s="1">
        <f t="shared" si="32"/>
        <v>25670.616557048939</v>
      </c>
      <c r="HI32" s="1">
        <f t="shared" si="32"/>
        <v>25927.322722619429</v>
      </c>
      <c r="HJ32" s="1">
        <f t="shared" si="32"/>
        <v>26186.595949845621</v>
      </c>
      <c r="HK32" s="1">
        <f t="shared" si="32"/>
        <v>26448.461909344078</v>
      </c>
      <c r="HL32" s="1">
        <f t="shared" si="32"/>
        <v>26712.946528437518</v>
      </c>
      <c r="HM32" s="1">
        <f t="shared" si="32"/>
        <v>26980.075993721894</v>
      </c>
      <c r="HN32" s="1">
        <f t="shared" si="32"/>
        <v>27249.876753659111</v>
      </c>
      <c r="HO32" s="1">
        <f t="shared" si="32"/>
        <v>27522.375521195703</v>
      </c>
      <c r="HP32" s="1">
        <f t="shared" si="32"/>
        <v>27797.599276407662</v>
      </c>
      <c r="HQ32" s="1">
        <f t="shared" si="32"/>
        <v>28075.575269171739</v>
      </c>
      <c r="HR32" s="1">
        <f t="shared" si="32"/>
        <v>28356.331021863458</v>
      </c>
      <c r="HS32" s="1">
        <f t="shared" si="32"/>
        <v>28639.894332082094</v>
      </c>
      <c r="HT32" s="1">
        <f t="shared" si="32"/>
        <v>28926.293275402917</v>
      </c>
      <c r="HU32" s="1">
        <f t="shared" ref="HU32:IB32" si="33">+HT32*(1+$AM$37)</f>
        <v>29215.556208156948</v>
      </c>
      <c r="HV32" s="1">
        <f t="shared" si="33"/>
        <v>29507.711770238519</v>
      </c>
      <c r="HW32" s="1">
        <f t="shared" si="33"/>
        <v>29802.788887940904</v>
      </c>
      <c r="HX32" s="1">
        <f t="shared" si="33"/>
        <v>30100.816776820313</v>
      </c>
      <c r="HY32" s="1">
        <f t="shared" si="33"/>
        <v>30401.824944588516</v>
      </c>
      <c r="HZ32" s="1">
        <f t="shared" si="33"/>
        <v>30705.843194034402</v>
      </c>
      <c r="IA32" s="1">
        <f t="shared" si="33"/>
        <v>31012.901625974748</v>
      </c>
      <c r="IB32" s="1">
        <f t="shared" si="33"/>
        <v>31323.030642234495</v>
      </c>
    </row>
    <row r="33" spans="2:39" outlineLevel="1"/>
    <row r="34" spans="2:39" s="5" customFormat="1" outlineLevel="1">
      <c r="B34" s="1" t="s">
        <v>18</v>
      </c>
      <c r="G34" s="5">
        <f>+G13/C13-1</f>
        <v>5.4573016675088404E-2</v>
      </c>
      <c r="H34" s="5">
        <f>+H13/D13-1</f>
        <v>-0.21922933034044145</v>
      </c>
      <c r="I34" s="5">
        <f>+I13/E13-1</f>
        <v>-0.35318275154004108</v>
      </c>
      <c r="J34" s="5">
        <f>+J13/F13-1</f>
        <v>0.53440366972477071</v>
      </c>
      <c r="K34" s="5">
        <f>+K13/G13-1</f>
        <v>-8.6248203162434534E-3</v>
      </c>
      <c r="M34" s="5">
        <f>+M13/I13-1</f>
        <v>0.86031746031746037</v>
      </c>
      <c r="X34" s="5">
        <f>+X13/W13-1</f>
        <v>5.9985760056959769E-2</v>
      </c>
      <c r="Y34" s="5">
        <f>+Y13/X13-1</f>
        <v>8.2619647355163695E-2</v>
      </c>
      <c r="Z34" s="5">
        <f>+Z13/Y13-1</f>
        <v>7.6004343105320338E-3</v>
      </c>
      <c r="AA34" s="5">
        <f t="shared" ref="AA34" si="34">+AA13/Z13-1</f>
        <v>4.4316396018857729E-2</v>
      </c>
    </row>
    <row r="35" spans="2:39" s="5" customFormat="1" outlineLevel="1">
      <c r="B35" s="1" t="s">
        <v>19</v>
      </c>
      <c r="G35" s="5">
        <f>+G14/C14-1</f>
        <v>8.5501858736059422E-2</v>
      </c>
      <c r="H35" s="5">
        <f>+H14/D14-1</f>
        <v>-0.76733067729083659</v>
      </c>
      <c r="I35" s="5">
        <f>+I14/E14-1</f>
        <v>-0.13227513227513232</v>
      </c>
      <c r="J35" s="5">
        <f>+J14/F14-1</f>
        <v>7.1310344827586203</v>
      </c>
      <c r="K35" s="5">
        <f>+K14/G14-1</f>
        <v>4.4520547945205546E-2</v>
      </c>
      <c r="M35" s="5">
        <f>+M14/I14-1</f>
        <v>-7.3170731707317027E-2</v>
      </c>
      <c r="X35" s="5">
        <f>+X14/W14-1</f>
        <v>0.15433673469387754</v>
      </c>
      <c r="Y35" s="5">
        <f>+Y14/X14-1</f>
        <v>2.6519337016574607E-2</v>
      </c>
      <c r="Z35" s="5">
        <f>+Z14/Y14-1</f>
        <v>3.7136706135629804E-2</v>
      </c>
      <c r="AA35" s="5">
        <f t="shared" ref="AA35" si="35">+AA14/Z14-1</f>
        <v>4.4316396018857951E-2</v>
      </c>
    </row>
    <row r="36" spans="2:39" s="5" customFormat="1" outlineLevel="1">
      <c r="B36" s="1" t="s">
        <v>20</v>
      </c>
      <c r="G36" s="5">
        <f>+G15/C15-1</f>
        <v>-0.18604651162790697</v>
      </c>
      <c r="H36" s="5">
        <f>+H15/D15-1</f>
        <v>0.26288659793814428</v>
      </c>
      <c r="I36" s="5">
        <f>+I15/E15-1</f>
        <v>-4.9295774647887369E-2</v>
      </c>
      <c r="J36" s="5">
        <f>+J15/F15-1</f>
        <v>-0.60563380281690149</v>
      </c>
      <c r="K36" s="5">
        <f>+K15/G15-1</f>
        <v>-8.9795918367346905E-2</v>
      </c>
      <c r="M36" s="5">
        <f>+M15/I15-1</f>
        <v>4.4444444444444509E-2</v>
      </c>
      <c r="X36" s="5">
        <f>+X15/W15-1</f>
        <v>-5.0531914893616969E-2</v>
      </c>
      <c r="Y36" s="5">
        <f>+Y15/X15-1</f>
        <v>-8.4033613445377853E-3</v>
      </c>
      <c r="Z36" s="5">
        <f>+Z15/Y15-1</f>
        <v>-7.7683615819209018E-2</v>
      </c>
      <c r="AA36" s="5">
        <f t="shared" ref="AA36" si="36">+AA15/Z15-1</f>
        <v>4.4316396018857951E-2</v>
      </c>
      <c r="AL36" s="5" t="s">
        <v>79</v>
      </c>
      <c r="AM36" s="5">
        <v>0.04</v>
      </c>
    </row>
    <row r="37" spans="2:39" s="5" customFormat="1" outlineLevel="1">
      <c r="B37" s="1" t="s">
        <v>21</v>
      </c>
      <c r="G37" s="5">
        <f>+G16/C16-1</f>
        <v>-0.13013698630136983</v>
      </c>
      <c r="H37" s="5">
        <f>+H16/D16-1</f>
        <v>-0.10563380281690138</v>
      </c>
      <c r="I37" s="5">
        <f>+I16/E16-1</f>
        <v>0.28333333333333344</v>
      </c>
      <c r="J37" s="5">
        <f>+J16/F16-1</f>
        <v>0.2432432432432432</v>
      </c>
      <c r="K37" s="5">
        <f>+K16/G16-1</f>
        <v>-0.13385826771653542</v>
      </c>
      <c r="M37" s="5">
        <f>+M16/I16-1</f>
        <v>-0.50649350649350655</v>
      </c>
      <c r="X37" s="5">
        <f>+X16/W16-1</f>
        <v>7.7586206896551824E-2</v>
      </c>
      <c r="Y37" s="5">
        <f>+Y16/X16-1</f>
        <v>-8.1999999999999962E-2</v>
      </c>
      <c r="Z37" s="5">
        <f>+Z16/Y16-1</f>
        <v>2.1786492374727739E-2</v>
      </c>
      <c r="AA37" s="5">
        <f t="shared" ref="AA37" si="37">+AA16/Z16-1</f>
        <v>4.4316396018857951E-2</v>
      </c>
      <c r="AL37" s="5" t="s">
        <v>76</v>
      </c>
      <c r="AM37" s="13">
        <v>0.01</v>
      </c>
    </row>
    <row r="38" spans="2:39" s="5" customFormat="1" outlineLevel="1">
      <c r="B38" s="3" t="s">
        <v>34</v>
      </c>
      <c r="G38" s="5">
        <f>+G17/C17-1</f>
        <v>2.0779220779220786E-2</v>
      </c>
      <c r="H38" s="5">
        <f>+H17/D17-1</f>
        <v>-0.35483114446529085</v>
      </c>
      <c r="I38" s="5">
        <f>+I17/E17-1</f>
        <v>-0.21298405466970383</v>
      </c>
      <c r="J38" s="5">
        <f>+J17/F17-1</f>
        <v>1.0501529051987766</v>
      </c>
      <c r="K38" s="5">
        <f>+K17/G17-1</f>
        <v>-1.5994183933115247E-2</v>
      </c>
      <c r="M38" s="5">
        <f>+M17/I17-1</f>
        <v>0.32706222865412449</v>
      </c>
      <c r="X38" s="5">
        <f>+X17/W17-1</f>
        <v>6.8674125208283643E-2</v>
      </c>
      <c r="Y38" s="5">
        <f>+Y17/X17-1</f>
        <v>5.4905891524668737E-2</v>
      </c>
      <c r="Z38" s="5">
        <f>+Z17/Y17-1</f>
        <v>7.7069256756756577E-3</v>
      </c>
      <c r="AA38" s="5">
        <f t="shared" ref="AA38" si="38">+AA17/Z17-1</f>
        <v>4.4316396018857951E-2</v>
      </c>
      <c r="AL38" s="1" t="s">
        <v>77</v>
      </c>
      <c r="AM38" s="13">
        <v>0.08</v>
      </c>
    </row>
    <row r="39" spans="2:39" s="5" customFormat="1" outlineLevel="1">
      <c r="B39" s="1" t="s">
        <v>22</v>
      </c>
      <c r="G39" s="5">
        <f>+G18/C18-1</f>
        <v>-0.28663446054750408</v>
      </c>
      <c r="H39" s="5">
        <f>+H18/D18-1</f>
        <v>-0.10141987829614607</v>
      </c>
      <c r="I39" s="5">
        <f>+I18/E18-1</f>
        <v>-9.6932515337423308E-2</v>
      </c>
      <c r="J39" s="5">
        <f>+J18/F18-1</f>
        <v>0.1009081735620585</v>
      </c>
      <c r="K39" s="5">
        <f>+K18/G18-1</f>
        <v>-2.9345372460496622E-2</v>
      </c>
      <c r="M39" s="5">
        <f>+M18/I18-1</f>
        <v>0.10461956521739135</v>
      </c>
      <c r="X39" s="5">
        <f>+X18/W18-1</f>
        <v>0.20340760157273929</v>
      </c>
      <c r="Y39" s="5">
        <f>+Y18/X18-1</f>
        <v>-0.12132433021128297</v>
      </c>
      <c r="Z39" s="5">
        <f t="shared" ref="Z39:AA39" si="39">+Z18/Y18-1</f>
        <v>-0.1078334159643034</v>
      </c>
      <c r="AA39" s="5">
        <f t="shared" si="39"/>
        <v>-9.9999999999999978E-2</v>
      </c>
      <c r="AL39" s="3" t="s">
        <v>78</v>
      </c>
      <c r="AM39" s="3">
        <f>NPV(AM38,AA32:IB32)</f>
        <v>51174.304400438989</v>
      </c>
    </row>
    <row r="40" spans="2:39" s="5" customFormat="1" outlineLevel="1">
      <c r="B40" s="1" t="s">
        <v>33</v>
      </c>
      <c r="G40" s="5">
        <f>+G19/C19-1</f>
        <v>-8.801955990220045E-2</v>
      </c>
      <c r="H40" s="5">
        <f>+H19/D19-1</f>
        <v>0.12688821752265866</v>
      </c>
      <c r="I40" s="5">
        <f>+I19/E19-1</f>
        <v>5.0480769230769162E-2</v>
      </c>
      <c r="J40" s="5">
        <f>+J19/F19-1</f>
        <v>0.20361990950226239</v>
      </c>
      <c r="K40" s="5">
        <f>+K19/G19-1</f>
        <v>-9.919571045576403E-2</v>
      </c>
      <c r="M40" s="5">
        <f>+M19/I19-1</f>
        <v>-6.4073226544622441E-2</v>
      </c>
      <c r="X40" s="5">
        <f>+X19/W19-1</f>
        <v>5.838150289017352E-2</v>
      </c>
      <c r="Y40" s="5">
        <f>+Y19/X19-1</f>
        <v>-0.12725286728563623</v>
      </c>
      <c r="Z40" s="5">
        <f t="shared" ref="Z40:AA40" si="40">+Z19/Y19-1</f>
        <v>7.3216520650813521E-2</v>
      </c>
      <c r="AA40" s="5">
        <f t="shared" si="40"/>
        <v>7.0000000000000062E-2</v>
      </c>
      <c r="AL40" s="18" t="s">
        <v>80</v>
      </c>
      <c r="AM40" s="19">
        <f>+Main!F8</f>
        <v>675.73199999999997</v>
      </c>
    </row>
    <row r="41" spans="2:39" s="5" customFormat="1" outlineLevel="1">
      <c r="B41" s="1" t="s">
        <v>23</v>
      </c>
      <c r="G41" s="5">
        <f>+G20/C20-1</f>
        <v>-0.17827298050139273</v>
      </c>
      <c r="H41" s="5">
        <f>+H20/D20-1</f>
        <v>0.17063492063492069</v>
      </c>
      <c r="I41" s="5">
        <f>+I20/E20-1</f>
        <v>-4.4247787610619427E-2</v>
      </c>
      <c r="J41" s="5">
        <f>+J20/F20-1</f>
        <v>0</v>
      </c>
      <c r="K41" s="5">
        <f>+K20/G20-1</f>
        <v>3.050847457627115E-2</v>
      </c>
      <c r="M41" s="5">
        <f>+M20/I20-1</f>
        <v>2.7777777777777679E-2</v>
      </c>
      <c r="X41" s="5">
        <f>+X20/W20-1</f>
        <v>0.10687022900763354</v>
      </c>
      <c r="Y41" s="5">
        <f>+Y20/X20-1</f>
        <v>-0.23310344827586205</v>
      </c>
      <c r="Z41" s="5">
        <f t="shared" ref="Z41:AA41" si="41">+Z20/Y20-1</f>
        <v>-2.7877697841726667E-2</v>
      </c>
      <c r="AA41" s="5">
        <f t="shared" si="41"/>
        <v>-4.0000000000000036E-2</v>
      </c>
      <c r="AL41" s="1" t="s">
        <v>81</v>
      </c>
      <c r="AM41" s="1">
        <f>+AM39/AM40</f>
        <v>75.731657521678699</v>
      </c>
    </row>
    <row r="42" spans="2:39" s="4" customFormat="1" outlineLevel="1">
      <c r="B42" s="1" t="s">
        <v>32</v>
      </c>
      <c r="G42" s="5">
        <f t="shared" ref="G42" si="42">+G22/C22-1</f>
        <v>4.4692737430167551E-2</v>
      </c>
      <c r="H42" s="5">
        <f t="shared" ref="H42" si="43">+H22/D22-1</f>
        <v>-0.50471698113207553</v>
      </c>
      <c r="I42" s="5">
        <f t="shared" ref="I42" si="44">+I22/E22-1</f>
        <v>-0.56470588235294117</v>
      </c>
      <c r="J42" s="5">
        <f t="shared" ref="J42:M42" si="45">+J22/F22-1</f>
        <v>0.55219780219780223</v>
      </c>
      <c r="K42" s="5">
        <f t="shared" si="45"/>
        <v>-0.3262032085561497</v>
      </c>
      <c r="L42" s="5"/>
      <c r="M42" s="5">
        <f t="shared" si="45"/>
        <v>-9.009009009009028E-3</v>
      </c>
      <c r="N42" s="5"/>
      <c r="X42" s="5">
        <f t="shared" ref="U42:Y44" si="46">+X22/W22-1</f>
        <v>0.51758793969849237</v>
      </c>
      <c r="Y42" s="5">
        <f t="shared" si="46"/>
        <v>0.67218543046357615</v>
      </c>
      <c r="Z42" s="5">
        <f t="shared" ref="Z42:AA42" si="47">+Z22/Y22-1</f>
        <v>-4.1584158415841621E-2</v>
      </c>
      <c r="AA42" s="5">
        <f t="shared" si="47"/>
        <v>-3.0000000000000027E-2</v>
      </c>
      <c r="AB42" s="5"/>
      <c r="AC42" s="5"/>
      <c r="AD42" s="5"/>
      <c r="AE42" s="5"/>
      <c r="AF42" s="5"/>
      <c r="AG42" s="5"/>
      <c r="AH42" s="5"/>
      <c r="AI42" s="5"/>
      <c r="AJ42" s="5"/>
      <c r="AL42" s="1" t="s">
        <v>82</v>
      </c>
      <c r="AM42" s="1">
        <f>+Main!F7</f>
        <v>65.540000000000006</v>
      </c>
    </row>
    <row r="43" spans="2:39" outlineLevel="1">
      <c r="B43" s="7" t="s">
        <v>36</v>
      </c>
      <c r="G43" s="5">
        <f t="shared" ref="G43:G44" si="48">+G23/C23-1</f>
        <v>-0.20465966194609408</v>
      </c>
      <c r="H43" s="5">
        <f t="shared" ref="H43:H44" si="49">+H23/D23-1</f>
        <v>-2.245929253228518E-2</v>
      </c>
      <c r="I43" s="5">
        <f t="shared" ref="I43:I44" si="50">+I23/E23-1</f>
        <v>-4.4976635514018648E-2</v>
      </c>
      <c r="J43" s="5">
        <f t="shared" ref="J43:M44" si="51">+J23/F23-1</f>
        <v>8.3976833976834087E-2</v>
      </c>
      <c r="K43" s="5">
        <f t="shared" si="51"/>
        <v>-1.7805858701895438E-2</v>
      </c>
      <c r="L43" s="5"/>
      <c r="M43" s="5">
        <f t="shared" si="51"/>
        <v>4.0366972477064111E-2</v>
      </c>
      <c r="N43" s="5"/>
      <c r="X43" s="5">
        <f t="shared" si="46"/>
        <v>0.16861988142837436</v>
      </c>
      <c r="Y43" s="5">
        <f t="shared" si="46"/>
        <v>-8.5181689476167999E-2</v>
      </c>
      <c r="Z43" s="5">
        <f t="shared" ref="Z43:AJ44" si="52">+Z23/Y23-1</f>
        <v>-5.0425586793912847E-2</v>
      </c>
      <c r="AA43" s="5">
        <f t="shared" ref="AA43" si="53">+AA23/Z23-1</f>
        <v>-4.2391688170582698E-2</v>
      </c>
      <c r="AB43" s="5"/>
      <c r="AC43" s="5"/>
      <c r="AD43" s="5"/>
      <c r="AE43" s="5"/>
      <c r="AF43" s="5"/>
      <c r="AG43" s="5"/>
      <c r="AH43" s="5"/>
      <c r="AI43" s="5"/>
      <c r="AJ43" s="5"/>
      <c r="AL43" s="1" t="s">
        <v>83</v>
      </c>
      <c r="AM43" s="5">
        <f>+AM41/AM42-1</f>
        <v>0.15550286117910739</v>
      </c>
    </row>
    <row r="44" spans="2:39" outlineLevel="1">
      <c r="B44" s="7" t="s">
        <v>75</v>
      </c>
      <c r="G44" s="5">
        <f t="shared" si="48"/>
        <v>-8.026208026208026E-2</v>
      </c>
      <c r="H44" s="5">
        <f t="shared" si="49"/>
        <v>-0.25690653432588917</v>
      </c>
      <c r="I44" s="5">
        <f t="shared" si="50"/>
        <v>-0.1019305019305019</v>
      </c>
      <c r="J44" s="5">
        <f t="shared" si="51"/>
        <v>0.510115996762881</v>
      </c>
      <c r="K44" s="5">
        <f t="shared" si="51"/>
        <v>-1.6696349065004501E-2</v>
      </c>
      <c r="L44" s="5">
        <f t="shared" si="51"/>
        <v>0.43722172751558319</v>
      </c>
      <c r="M44" s="5">
        <f t="shared" si="51"/>
        <v>0.12553740326741192</v>
      </c>
      <c r="N44" s="5"/>
      <c r="U44" s="5">
        <f t="shared" si="46"/>
        <v>-3.0867221950024448E-2</v>
      </c>
      <c r="V44" s="5">
        <f t="shared" si="46"/>
        <v>2.6794742163801732E-2</v>
      </c>
      <c r="W44" s="5">
        <f t="shared" si="46"/>
        <v>0.10114651473587966</v>
      </c>
      <c r="X44" s="5">
        <f t="shared" si="46"/>
        <v>0.11497923985946978</v>
      </c>
      <c r="Y44" s="5">
        <f t="shared" si="46"/>
        <v>-1.3119450014322576E-2</v>
      </c>
      <c r="Z44" s="5">
        <f t="shared" si="52"/>
        <v>-1.846046673632884E-2</v>
      </c>
      <c r="AA44" s="5">
        <f t="shared" si="52"/>
        <v>5.2756091790868043E-2</v>
      </c>
      <c r="AB44" s="5">
        <f t="shared" si="52"/>
        <v>5.0000000000000044E-2</v>
      </c>
      <c r="AC44" s="5">
        <f t="shared" si="52"/>
        <v>5.0000000000000044E-2</v>
      </c>
      <c r="AD44" s="5">
        <f t="shared" si="52"/>
        <v>5.0000000000000044E-2</v>
      </c>
      <c r="AE44" s="5">
        <f t="shared" si="52"/>
        <v>5.0000000000000044E-2</v>
      </c>
      <c r="AF44" s="5">
        <f t="shared" si="52"/>
        <v>5.0000000000000044E-2</v>
      </c>
      <c r="AG44" s="5">
        <f t="shared" si="52"/>
        <v>5.0000000000000044E-2</v>
      </c>
      <c r="AH44" s="5">
        <f t="shared" si="52"/>
        <v>5.0000000000000044E-2</v>
      </c>
      <c r="AI44" s="5">
        <f t="shared" si="52"/>
        <v>5.0000000000000044E-2</v>
      </c>
      <c r="AJ44" s="5">
        <f t="shared" si="52"/>
        <v>5.0000000000000044E-2</v>
      </c>
    </row>
    <row r="45" spans="2:39" outlineLevel="1"/>
    <row r="46" spans="2:39" s="5" customFormat="1" outlineLevel="1">
      <c r="B46" s="5" t="s">
        <v>37</v>
      </c>
      <c r="C46" s="5">
        <f t="shared" ref="C46:J46" si="54">+(C24-C25)/C24</f>
        <v>0.43263718263718265</v>
      </c>
      <c r="D46" s="5">
        <f t="shared" si="54"/>
        <v>0.48105872622001655</v>
      </c>
      <c r="E46" s="5">
        <f t="shared" si="54"/>
        <v>0.36447876447876448</v>
      </c>
      <c r="F46" s="5">
        <f t="shared" si="54"/>
        <v>0.36174804424062584</v>
      </c>
      <c r="G46" s="5">
        <f t="shared" si="54"/>
        <v>0.43232413178984863</v>
      </c>
      <c r="H46" s="5">
        <f t="shared" si="54"/>
        <v>0.3504007123775601</v>
      </c>
      <c r="I46" s="5">
        <f t="shared" si="54"/>
        <v>0.32717110920034392</v>
      </c>
      <c r="J46" s="5">
        <f t="shared" si="54"/>
        <v>0.55412647374062163</v>
      </c>
      <c r="K46" s="5">
        <f t="shared" ref="K46:L46" si="55">+(K24-K25)/K24</f>
        <v>0.46977586597237947</v>
      </c>
      <c r="L46" s="5">
        <f t="shared" si="55"/>
        <v>0.54584882280049563</v>
      </c>
      <c r="M46" s="5">
        <f t="shared" ref="M46" si="56">+(M24-M25)/M24</f>
        <v>0.37203972498090143</v>
      </c>
      <c r="W46" s="5">
        <f>+(W24-W25)/W24</f>
        <v>1</v>
      </c>
      <c r="X46" s="5">
        <f>+(X24-X25)/X24</f>
        <v>0.40211973646519622</v>
      </c>
      <c r="Y46" s="5">
        <f>+(Y24-Y25)/Y24</f>
        <v>0.42412632067804484</v>
      </c>
      <c r="Z46" s="5">
        <f>+(Z24-Z25)/Z24</f>
        <v>0.43642062928791103</v>
      </c>
      <c r="AA46" s="5">
        <f t="shared" ref="AA46:AJ46" si="57">+(AA24-AA25)/AA24</f>
        <v>0.43642062928791103</v>
      </c>
      <c r="AB46" s="5">
        <f t="shared" si="57"/>
        <v>0.43642062928791103</v>
      </c>
      <c r="AC46" s="5">
        <f t="shared" si="57"/>
        <v>0.43642062928791103</v>
      </c>
      <c r="AD46" s="5">
        <f t="shared" si="57"/>
        <v>0.43642062928791103</v>
      </c>
      <c r="AE46" s="5">
        <f t="shared" si="57"/>
        <v>0.43642062928791103</v>
      </c>
      <c r="AF46" s="5">
        <f t="shared" si="57"/>
        <v>0.43642062928791103</v>
      </c>
      <c r="AG46" s="5">
        <f t="shared" si="57"/>
        <v>0.43642062928791109</v>
      </c>
      <c r="AH46" s="5">
        <f t="shared" si="57"/>
        <v>0.43642062928791103</v>
      </c>
      <c r="AI46" s="5">
        <f t="shared" si="57"/>
        <v>0.43642062928791103</v>
      </c>
      <c r="AJ46" s="5">
        <f t="shared" si="57"/>
        <v>0.43642062928791103</v>
      </c>
    </row>
    <row r="47" spans="2:39" s="5" customFormat="1" outlineLevel="1">
      <c r="B47" s="5" t="s">
        <v>38</v>
      </c>
      <c r="C47" s="5">
        <f t="shared" ref="C47:J47" si="58">+C17/C24</f>
        <v>0.55180180180180183</v>
      </c>
      <c r="D47" s="5">
        <f t="shared" si="58"/>
        <v>0.70537634408602146</v>
      </c>
      <c r="E47" s="5">
        <f t="shared" si="58"/>
        <v>0.33899613899613901</v>
      </c>
      <c r="F47" s="5">
        <f t="shared" si="58"/>
        <v>0.44105745886161318</v>
      </c>
      <c r="G47" s="5">
        <f t="shared" si="58"/>
        <v>0.61242208370436335</v>
      </c>
      <c r="H47" s="5">
        <f t="shared" si="58"/>
        <v>0.61242208370436335</v>
      </c>
      <c r="I47" s="5">
        <f t="shared" si="58"/>
        <v>0.29707652622527947</v>
      </c>
      <c r="J47" s="5">
        <f t="shared" si="58"/>
        <v>0.59878528045730617</v>
      </c>
      <c r="W47" s="5">
        <f>+W17/W24</f>
        <v>0.53669754072181408</v>
      </c>
      <c r="X47" s="5">
        <f>+X17/X24</f>
        <v>0.51440847894586084</v>
      </c>
      <c r="Y47" s="5">
        <f>+Y17/Y24</f>
        <v>0.54986648090096368</v>
      </c>
      <c r="Z47" s="5">
        <f>+Z17/Z24</f>
        <v>0.56452566832268747</v>
      </c>
      <c r="AA47" s="5">
        <f>+AA17/AA24</f>
        <v>0.56000000000000005</v>
      </c>
      <c r="AB47" s="5">
        <f t="shared" ref="AB47:AJ47" si="59">+AB17/AB24</f>
        <v>0</v>
      </c>
      <c r="AC47" s="5">
        <f t="shared" si="59"/>
        <v>0</v>
      </c>
      <c r="AD47" s="5">
        <f t="shared" si="59"/>
        <v>0</v>
      </c>
      <c r="AE47" s="5">
        <f t="shared" si="59"/>
        <v>0</v>
      </c>
      <c r="AF47" s="5">
        <f t="shared" si="59"/>
        <v>0</v>
      </c>
      <c r="AG47" s="5">
        <f t="shared" si="59"/>
        <v>0</v>
      </c>
      <c r="AH47" s="5">
        <f t="shared" si="59"/>
        <v>0</v>
      </c>
      <c r="AI47" s="5">
        <f t="shared" si="59"/>
        <v>0</v>
      </c>
      <c r="AJ47" s="5">
        <f t="shared" si="59"/>
        <v>0</v>
      </c>
      <c r="AM47" s="1"/>
    </row>
    <row r="48" spans="2:39" outlineLevel="1"/>
    <row r="49" spans="2:36" s="3" customFormat="1">
      <c r="B49" s="3" t="s">
        <v>72</v>
      </c>
      <c r="C49" s="3">
        <f>+C79</f>
        <v>-3210</v>
      </c>
      <c r="D49" s="3">
        <f t="shared" ref="D49:I49" si="60">+D79</f>
        <v>-2614</v>
      </c>
      <c r="E49" s="3">
        <f t="shared" si="60"/>
        <v>-3431</v>
      </c>
      <c r="F49" s="3">
        <f t="shared" si="60"/>
        <v>368</v>
      </c>
      <c r="G49" s="3">
        <f t="shared" si="60"/>
        <v>-2859</v>
      </c>
      <c r="H49" s="3">
        <f t="shared" si="60"/>
        <v>-2652</v>
      </c>
      <c r="I49" s="3">
        <f t="shared" si="60"/>
        <v>-3095</v>
      </c>
      <c r="J49" s="3">
        <f>+J79</f>
        <v>600</v>
      </c>
      <c r="K49" s="3">
        <f t="shared" ref="K49:N49" si="61">+K79</f>
        <v>-1938</v>
      </c>
      <c r="L49" s="3">
        <f t="shared" si="61"/>
        <v>-1354</v>
      </c>
      <c r="M49" s="3">
        <f t="shared" si="61"/>
        <v>-1646</v>
      </c>
      <c r="N49" s="3">
        <f t="shared" si="61"/>
        <v>0</v>
      </c>
      <c r="Z49" s="3">
        <f>+J49</f>
        <v>600</v>
      </c>
      <c r="AA49" s="3">
        <f>+Z49*1.01</f>
        <v>606</v>
      </c>
      <c r="AB49" s="3">
        <f t="shared" ref="AB49:AJ49" si="62">+AA49*1.01</f>
        <v>612.06000000000006</v>
      </c>
      <c r="AC49" s="3">
        <f t="shared" si="62"/>
        <v>618.18060000000003</v>
      </c>
      <c r="AD49" s="3">
        <f t="shared" si="62"/>
        <v>624.36240600000008</v>
      </c>
      <c r="AE49" s="3">
        <f t="shared" si="62"/>
        <v>630.60603006000008</v>
      </c>
      <c r="AF49" s="3">
        <f t="shared" si="62"/>
        <v>636.91209036060013</v>
      </c>
      <c r="AG49" s="3">
        <f t="shared" si="62"/>
        <v>643.28121126420615</v>
      </c>
      <c r="AH49" s="3">
        <f t="shared" si="62"/>
        <v>649.71402337684822</v>
      </c>
      <c r="AI49" s="3">
        <f t="shared" si="62"/>
        <v>656.21116361061672</v>
      </c>
      <c r="AJ49" s="3">
        <f t="shared" si="62"/>
        <v>662.77327524672285</v>
      </c>
    </row>
    <row r="50" spans="2:36">
      <c r="B50" s="1" t="s">
        <v>44</v>
      </c>
      <c r="C50" s="1">
        <v>1646</v>
      </c>
      <c r="D50" s="1">
        <v>2563</v>
      </c>
      <c r="E50" s="1">
        <v>2254</v>
      </c>
      <c r="F50" s="1">
        <v>2644</v>
      </c>
      <c r="G50" s="1">
        <v>1505</v>
      </c>
      <c r="H50" s="1">
        <v>1839</v>
      </c>
      <c r="I50" s="1">
        <v>2421</v>
      </c>
      <c r="J50" s="1">
        <v>3106</v>
      </c>
      <c r="K50" s="1">
        <v>2008</v>
      </c>
      <c r="L50" s="1">
        <v>2065</v>
      </c>
      <c r="M50" s="1">
        <v>2509</v>
      </c>
    </row>
    <row r="51" spans="2:36">
      <c r="B51" s="1" t="s">
        <v>45</v>
      </c>
      <c r="C51" s="1">
        <v>85</v>
      </c>
      <c r="D51" s="1">
        <v>53</v>
      </c>
      <c r="E51" s="1">
        <v>108</v>
      </c>
      <c r="F51" s="1">
        <v>98</v>
      </c>
      <c r="G51" s="1">
        <v>153</v>
      </c>
      <c r="H51" s="1">
        <v>120</v>
      </c>
      <c r="I51" s="1">
        <v>72</v>
      </c>
      <c r="J51" s="1">
        <v>63</v>
      </c>
      <c r="K51" s="1">
        <v>1</v>
      </c>
      <c r="L51" s="1">
        <v>76</v>
      </c>
      <c r="M51" s="1">
        <v>77</v>
      </c>
    </row>
    <row r="52" spans="2:36">
      <c r="B52" s="1" t="s">
        <v>46</v>
      </c>
      <c r="C52" s="1">
        <v>8678</v>
      </c>
      <c r="D52" s="1">
        <v>7955</v>
      </c>
      <c r="E52" s="1">
        <v>6581</v>
      </c>
      <c r="F52" s="1">
        <v>5488</v>
      </c>
      <c r="G52" s="1">
        <v>7906</v>
      </c>
      <c r="H52" s="1">
        <v>7615</v>
      </c>
      <c r="I52" s="1">
        <v>6651</v>
      </c>
      <c r="J52" s="1">
        <v>5676</v>
      </c>
      <c r="K52" s="1">
        <v>8294</v>
      </c>
      <c r="L52" s="1">
        <v>8674</v>
      </c>
      <c r="M52" s="1">
        <v>7784</v>
      </c>
    </row>
    <row r="53" spans="2:36">
      <c r="B53" s="1" t="s">
        <v>47</v>
      </c>
      <c r="C53" s="1">
        <v>6585</v>
      </c>
      <c r="D53" s="1">
        <v>5628</v>
      </c>
      <c r="E53" s="1">
        <v>6320</v>
      </c>
      <c r="F53" s="1">
        <v>6899</v>
      </c>
      <c r="G53" s="1">
        <v>6183</v>
      </c>
      <c r="H53" s="1">
        <v>4893</v>
      </c>
      <c r="I53" s="1">
        <v>5674</v>
      </c>
      <c r="J53" s="1">
        <v>5432</v>
      </c>
      <c r="K53" s="1">
        <v>5132</v>
      </c>
      <c r="L53" s="1">
        <v>4316</v>
      </c>
      <c r="M53" s="1">
        <v>5310</v>
      </c>
    </row>
    <row r="54" spans="2:36">
      <c r="B54" s="1" t="s">
        <v>48</v>
      </c>
      <c r="C54" s="1">
        <v>1335</v>
      </c>
      <c r="D54" s="1">
        <v>1008</v>
      </c>
      <c r="E54" s="1">
        <v>1070</v>
      </c>
      <c r="F54" s="1">
        <v>1131</v>
      </c>
      <c r="G54" s="1">
        <v>1416</v>
      </c>
      <c r="H54" s="1">
        <v>892</v>
      </c>
      <c r="I54" s="1">
        <v>831</v>
      </c>
      <c r="J54" s="1">
        <v>820</v>
      </c>
      <c r="K54" s="1">
        <v>1152</v>
      </c>
      <c r="L54" s="1">
        <v>873</v>
      </c>
      <c r="M54" s="1">
        <v>758</v>
      </c>
    </row>
    <row r="55" spans="2:36">
      <c r="B55" s="1" t="s">
        <v>64</v>
      </c>
      <c r="C55" s="1">
        <v>87</v>
      </c>
      <c r="D55" s="1">
        <v>83</v>
      </c>
      <c r="E55" s="1">
        <v>106</v>
      </c>
      <c r="F55" s="1">
        <v>115</v>
      </c>
      <c r="G55" s="1">
        <v>123</v>
      </c>
      <c r="H55" s="1">
        <v>113</v>
      </c>
      <c r="I55" s="1">
        <v>128</v>
      </c>
      <c r="J55" s="1">
        <v>134</v>
      </c>
      <c r="K55" s="1">
        <v>136</v>
      </c>
      <c r="L55" s="1">
        <v>134</v>
      </c>
      <c r="M55" s="1">
        <v>141</v>
      </c>
    </row>
    <row r="56" spans="2:36">
      <c r="B56" s="1" t="s">
        <v>49</v>
      </c>
      <c r="C56" s="1">
        <v>4271</v>
      </c>
      <c r="D56" s="1">
        <v>4306</v>
      </c>
      <c r="E56" s="1">
        <v>4320</v>
      </c>
      <c r="F56" s="1">
        <v>4287</v>
      </c>
      <c r="G56" s="1">
        <v>4206</v>
      </c>
      <c r="H56" s="1">
        <v>4155</v>
      </c>
      <c r="I56" s="1">
        <v>4210</v>
      </c>
      <c r="J56" s="1">
        <v>4099</v>
      </c>
      <c r="K56" s="1">
        <v>4105</v>
      </c>
      <c r="L56" s="1">
        <v>4153</v>
      </c>
      <c r="M56" s="1">
        <v>4202</v>
      </c>
    </row>
    <row r="57" spans="2:36">
      <c r="B57" s="1" t="s">
        <v>50</v>
      </c>
      <c r="C57" s="1">
        <v>10508</v>
      </c>
      <c r="D57" s="1">
        <v>10539</v>
      </c>
      <c r="E57" s="1">
        <v>10441</v>
      </c>
      <c r="F57" s="1">
        <v>10605</v>
      </c>
      <c r="G57" s="1">
        <v>10553</v>
      </c>
      <c r="H57" s="1">
        <v>10490</v>
      </c>
      <c r="I57" s="1">
        <v>10629</v>
      </c>
      <c r="J57" s="1">
        <v>10408</v>
      </c>
      <c r="K57" s="1">
        <v>10332</v>
      </c>
      <c r="L57" s="1">
        <v>10518</v>
      </c>
      <c r="M57" s="1">
        <v>10512</v>
      </c>
    </row>
    <row r="58" spans="2:36">
      <c r="B58" s="1" t="s">
        <v>51</v>
      </c>
      <c r="C58" s="1">
        <v>10137</v>
      </c>
      <c r="D58" s="1">
        <v>9985</v>
      </c>
      <c r="E58" s="1">
        <v>9795</v>
      </c>
      <c r="F58" s="1">
        <v>9626</v>
      </c>
      <c r="G58" s="1">
        <v>9446</v>
      </c>
      <c r="H58" s="1">
        <v>9238</v>
      </c>
      <c r="I58" s="1">
        <v>9084</v>
      </c>
      <c r="J58" s="1">
        <v>8876</v>
      </c>
      <c r="K58" s="1">
        <v>8718</v>
      </c>
      <c r="L58" s="1">
        <v>8583</v>
      </c>
      <c r="M58" s="1">
        <v>8428</v>
      </c>
    </row>
    <row r="59" spans="2:36">
      <c r="B59" s="1" t="s">
        <v>52</v>
      </c>
      <c r="C59" s="1">
        <v>508</v>
      </c>
      <c r="D59" s="1">
        <v>524</v>
      </c>
      <c r="E59" s="1">
        <v>554</v>
      </c>
      <c r="F59" s="1">
        <v>584</v>
      </c>
      <c r="G59" s="1">
        <v>551</v>
      </c>
      <c r="H59" s="1">
        <v>538</v>
      </c>
      <c r="I59" s="1">
        <v>564</v>
      </c>
      <c r="J59" s="1">
        <v>401</v>
      </c>
      <c r="K59" s="1">
        <v>413</v>
      </c>
      <c r="L59" s="1">
        <v>449</v>
      </c>
      <c r="M59" s="1">
        <v>434</v>
      </c>
    </row>
    <row r="60" spans="2:36">
      <c r="B60" s="1" t="s">
        <v>53</v>
      </c>
      <c r="C60" s="1">
        <v>1660</v>
      </c>
      <c r="D60" s="1">
        <v>1545</v>
      </c>
      <c r="E60" s="1">
        <v>1561</v>
      </c>
      <c r="F60" s="1">
        <v>1519</v>
      </c>
      <c r="G60" s="1">
        <v>1583</v>
      </c>
      <c r="H60" s="1">
        <v>1571</v>
      </c>
      <c r="I60" s="1">
        <v>1644</v>
      </c>
      <c r="J60" s="1">
        <v>1810</v>
      </c>
      <c r="K60" s="1">
        <v>1832</v>
      </c>
      <c r="L60" s="1">
        <v>1918</v>
      </c>
      <c r="M60" s="1">
        <v>2043</v>
      </c>
    </row>
    <row r="61" spans="2:36" s="3" customFormat="1">
      <c r="B61" s="3" t="s">
        <v>54</v>
      </c>
      <c r="C61" s="3">
        <f t="shared" ref="C61:K61" si="63">+SUM(C50:C60)</f>
        <v>45500</v>
      </c>
      <c r="D61" s="3">
        <f t="shared" si="63"/>
        <v>44189</v>
      </c>
      <c r="E61" s="3">
        <f t="shared" si="63"/>
        <v>43110</v>
      </c>
      <c r="F61" s="3">
        <f t="shared" si="63"/>
        <v>42996</v>
      </c>
      <c r="G61" s="3">
        <f t="shared" si="63"/>
        <v>43625</v>
      </c>
      <c r="H61" s="3">
        <f t="shared" si="63"/>
        <v>41464</v>
      </c>
      <c r="I61" s="3">
        <f t="shared" si="63"/>
        <v>41908</v>
      </c>
      <c r="J61" s="3">
        <f t="shared" si="63"/>
        <v>40825</v>
      </c>
      <c r="K61" s="3">
        <f t="shared" si="63"/>
        <v>42123</v>
      </c>
      <c r="L61" s="3">
        <f t="shared" ref="L61:M61" si="64">+SUM(L50:L60)</f>
        <v>41759</v>
      </c>
      <c r="M61" s="3">
        <f t="shared" si="64"/>
        <v>42198</v>
      </c>
    </row>
    <row r="63" spans="2:36">
      <c r="B63" s="1" t="s">
        <v>55</v>
      </c>
      <c r="C63" s="1">
        <v>3787</v>
      </c>
      <c r="D63" s="1">
        <v>3023</v>
      </c>
      <c r="E63" s="1">
        <v>3609</v>
      </c>
      <c r="F63" s="1">
        <v>198</v>
      </c>
      <c r="G63" s="1">
        <v>2148</v>
      </c>
      <c r="H63" s="1">
        <v>2253</v>
      </c>
      <c r="I63" s="1">
        <v>3741</v>
      </c>
      <c r="J63" s="1">
        <v>750</v>
      </c>
      <c r="K63" s="1">
        <v>2291</v>
      </c>
      <c r="L63" s="1">
        <v>1942</v>
      </c>
      <c r="M63" s="1">
        <v>2685</v>
      </c>
    </row>
    <row r="64" spans="2:36">
      <c r="B64" s="1" t="s">
        <v>63</v>
      </c>
      <c r="C64" s="1">
        <v>3957</v>
      </c>
      <c r="D64" s="1">
        <v>3379</v>
      </c>
      <c r="E64" s="1">
        <v>3678</v>
      </c>
      <c r="F64" s="1">
        <v>4280</v>
      </c>
      <c r="G64" s="1">
        <v>3606</v>
      </c>
      <c r="H64" s="1">
        <v>3300</v>
      </c>
      <c r="I64" s="1">
        <v>3753</v>
      </c>
      <c r="J64" s="1">
        <v>4039</v>
      </c>
      <c r="K64" s="1">
        <v>3905</v>
      </c>
      <c r="L64" s="1">
        <v>3828</v>
      </c>
      <c r="M64" s="1">
        <v>4337</v>
      </c>
    </row>
    <row r="65" spans="2:14">
      <c r="B65" s="1" t="s">
        <v>56</v>
      </c>
      <c r="C65" s="1">
        <v>298</v>
      </c>
      <c r="D65" s="1">
        <v>396</v>
      </c>
      <c r="E65" s="1">
        <v>236</v>
      </c>
      <c r="F65" s="1">
        <v>174</v>
      </c>
      <c r="G65" s="1">
        <v>311</v>
      </c>
      <c r="H65" s="1">
        <v>488</v>
      </c>
      <c r="I65" s="1">
        <v>313</v>
      </c>
      <c r="J65" s="1">
        <v>207</v>
      </c>
      <c r="K65" s="1">
        <v>322</v>
      </c>
      <c r="L65" s="1">
        <v>485</v>
      </c>
      <c r="M65" s="1">
        <v>254</v>
      </c>
    </row>
    <row r="66" spans="2:14">
      <c r="B66" s="1" t="s">
        <v>57</v>
      </c>
      <c r="C66" s="1">
        <v>2712</v>
      </c>
      <c r="D66" s="1">
        <v>656</v>
      </c>
      <c r="E66" s="1">
        <v>552</v>
      </c>
      <c r="F66" s="1">
        <v>3406</v>
      </c>
      <c r="G66" s="1">
        <v>2694</v>
      </c>
      <c r="H66" s="1">
        <v>413</v>
      </c>
      <c r="I66" s="1">
        <v>429</v>
      </c>
      <c r="J66" s="1">
        <v>3287</v>
      </c>
      <c r="K66" s="1">
        <v>2631</v>
      </c>
      <c r="L66" s="1">
        <v>358</v>
      </c>
      <c r="M66" s="1">
        <v>483</v>
      </c>
    </row>
    <row r="67" spans="2:14">
      <c r="B67" s="1" t="s">
        <v>58</v>
      </c>
      <c r="C67" s="1">
        <v>2477</v>
      </c>
      <c r="D67" s="1">
        <v>2892</v>
      </c>
      <c r="E67" s="1">
        <v>2273</v>
      </c>
      <c r="F67" s="1">
        <v>2351</v>
      </c>
      <c r="G67" s="1">
        <v>2573</v>
      </c>
      <c r="H67" s="1">
        <v>2499</v>
      </c>
      <c r="I67" s="1">
        <v>2188</v>
      </c>
      <c r="J67" s="1">
        <v>2103</v>
      </c>
      <c r="K67" s="1">
        <v>2332</v>
      </c>
      <c r="L67" s="1">
        <v>2903</v>
      </c>
      <c r="M67" s="1">
        <v>2661</v>
      </c>
    </row>
    <row r="68" spans="2:14">
      <c r="B68" s="1" t="s">
        <v>59</v>
      </c>
      <c r="C68" s="1">
        <v>1241</v>
      </c>
      <c r="D68" s="1">
        <v>2290</v>
      </c>
      <c r="E68" s="1">
        <v>2290</v>
      </c>
      <c r="F68" s="1">
        <v>2291</v>
      </c>
      <c r="G68" s="1">
        <v>2492</v>
      </c>
      <c r="H68" s="1">
        <v>2471</v>
      </c>
      <c r="I68" s="1">
        <v>1975</v>
      </c>
      <c r="J68" s="1">
        <v>1953</v>
      </c>
      <c r="K68" s="1">
        <v>1792</v>
      </c>
      <c r="L68" s="1">
        <v>1687</v>
      </c>
      <c r="M68" s="1">
        <v>1688</v>
      </c>
    </row>
    <row r="69" spans="2:14">
      <c r="B69" s="1" t="s">
        <v>52</v>
      </c>
      <c r="C69" s="1">
        <v>1255</v>
      </c>
      <c r="D69" s="1">
        <v>1134</v>
      </c>
      <c r="E69" s="1">
        <v>1070</v>
      </c>
      <c r="F69" s="1">
        <v>899</v>
      </c>
      <c r="G69" s="1">
        <v>753</v>
      </c>
      <c r="H69" s="1">
        <v>607</v>
      </c>
      <c r="I69" s="1">
        <v>496</v>
      </c>
      <c r="J69" s="1">
        <v>478</v>
      </c>
      <c r="K69" s="1">
        <v>369</v>
      </c>
      <c r="L69" s="1">
        <v>258</v>
      </c>
      <c r="M69" s="1">
        <v>373</v>
      </c>
    </row>
    <row r="70" spans="2:14">
      <c r="B70" s="1" t="s">
        <v>65</v>
      </c>
      <c r="C70" s="1">
        <v>2242</v>
      </c>
      <c r="D70" s="1">
        <v>2236</v>
      </c>
      <c r="E70" s="1">
        <v>2228</v>
      </c>
      <c r="F70" s="1">
        <v>2467</v>
      </c>
      <c r="G70" s="1">
        <v>2453</v>
      </c>
      <c r="H70" s="1">
        <v>2452</v>
      </c>
      <c r="I70" s="1">
        <v>2473</v>
      </c>
      <c r="J70" s="1">
        <v>2271</v>
      </c>
      <c r="K70" s="1">
        <v>2239</v>
      </c>
      <c r="L70" s="1">
        <v>2229</v>
      </c>
      <c r="M70" s="1">
        <v>2215</v>
      </c>
    </row>
    <row r="71" spans="2:14">
      <c r="B71" s="1" t="s">
        <v>66</v>
      </c>
      <c r="C71" s="1">
        <v>1692</v>
      </c>
      <c r="D71" s="1">
        <v>1722</v>
      </c>
      <c r="E71" s="1">
        <v>1707</v>
      </c>
      <c r="F71" s="1">
        <v>1651</v>
      </c>
      <c r="G71" s="1">
        <v>1587</v>
      </c>
      <c r="H71" s="1">
        <v>1560</v>
      </c>
      <c r="I71" s="1">
        <v>1561</v>
      </c>
      <c r="J71" s="1">
        <v>1707</v>
      </c>
      <c r="K71" s="1">
        <v>1715</v>
      </c>
      <c r="L71" s="1">
        <v>1918</v>
      </c>
      <c r="M71" s="1">
        <v>2041</v>
      </c>
    </row>
    <row r="72" spans="2:14">
      <c r="B72" s="1" t="s">
        <v>60</v>
      </c>
      <c r="C72" s="1">
        <v>25599</v>
      </c>
      <c r="D72" s="1">
        <v>26220</v>
      </c>
      <c r="E72" s="1">
        <v>25226</v>
      </c>
      <c r="F72" s="1">
        <v>25037</v>
      </c>
      <c r="G72" s="1">
        <v>24767</v>
      </c>
      <c r="H72" s="1">
        <v>25179</v>
      </c>
      <c r="I72" s="1">
        <v>24737</v>
      </c>
      <c r="J72" s="1">
        <v>23789</v>
      </c>
      <c r="K72" s="1">
        <v>24285</v>
      </c>
      <c r="L72" s="1">
        <v>25909</v>
      </c>
      <c r="M72" s="1">
        <v>25219</v>
      </c>
    </row>
    <row r="73" spans="2:14" s="3" customFormat="1">
      <c r="B73" s="1" t="s">
        <v>61</v>
      </c>
      <c r="C73" s="7">
        <v>240</v>
      </c>
      <c r="D73" s="7">
        <v>241</v>
      </c>
      <c r="E73" s="7">
        <v>241</v>
      </c>
      <c r="F73" s="7">
        <v>242</v>
      </c>
      <c r="G73" s="7">
        <v>241</v>
      </c>
      <c r="H73" s="7">
        <v>242</v>
      </c>
      <c r="I73" s="7">
        <v>242</v>
      </c>
      <c r="J73" s="7">
        <v>241</v>
      </c>
      <c r="K73" s="7">
        <v>242</v>
      </c>
      <c r="L73" s="7">
        <v>242</v>
      </c>
      <c r="M73" s="7">
        <v>242</v>
      </c>
      <c r="N73" s="7"/>
    </row>
    <row r="74" spans="2:14" s="3" customFormat="1">
      <c r="B74" s="3" t="s">
        <v>62</v>
      </c>
      <c r="C74" s="3">
        <f t="shared" ref="C74:K74" si="65">SUM(C63:C73)</f>
        <v>45500</v>
      </c>
      <c r="D74" s="3">
        <f t="shared" si="65"/>
        <v>44189</v>
      </c>
      <c r="E74" s="3">
        <f t="shared" si="65"/>
        <v>43110</v>
      </c>
      <c r="F74" s="3">
        <f t="shared" si="65"/>
        <v>42996</v>
      </c>
      <c r="G74" s="3">
        <f t="shared" si="65"/>
        <v>43625</v>
      </c>
      <c r="H74" s="3">
        <f t="shared" si="65"/>
        <v>41464</v>
      </c>
      <c r="I74" s="3">
        <f t="shared" si="65"/>
        <v>41908</v>
      </c>
      <c r="J74" s="3">
        <f t="shared" si="65"/>
        <v>40825</v>
      </c>
      <c r="K74" s="3">
        <f t="shared" si="65"/>
        <v>42123</v>
      </c>
      <c r="L74" s="3">
        <f t="shared" ref="L74:M74" si="66">SUM(L63:L73)</f>
        <v>41759</v>
      </c>
      <c r="M74" s="3">
        <f t="shared" si="66"/>
        <v>42198</v>
      </c>
    </row>
    <row r="76" spans="2:14">
      <c r="B76" s="12" t="s">
        <v>73</v>
      </c>
    </row>
    <row r="77" spans="2:14">
      <c r="B77" s="1" t="s">
        <v>70</v>
      </c>
      <c r="C77" s="1">
        <f>+C63+C68</f>
        <v>5028</v>
      </c>
      <c r="D77" s="1">
        <f t="shared" ref="D77:J77" si="67">+D63+D68</f>
        <v>5313</v>
      </c>
      <c r="E77" s="1">
        <f t="shared" si="67"/>
        <v>5899</v>
      </c>
      <c r="F77" s="1">
        <f t="shared" si="67"/>
        <v>2489</v>
      </c>
      <c r="G77" s="1">
        <f t="shared" si="67"/>
        <v>4640</v>
      </c>
      <c r="H77" s="1">
        <f t="shared" si="67"/>
        <v>4724</v>
      </c>
      <c r="I77" s="1">
        <f t="shared" si="67"/>
        <v>5716</v>
      </c>
      <c r="J77" s="1">
        <f t="shared" si="67"/>
        <v>2703</v>
      </c>
      <c r="K77" s="1">
        <f t="shared" ref="K77" si="68">+K63+K68</f>
        <v>4083</v>
      </c>
      <c r="L77" s="1">
        <f t="shared" ref="L77:M77" si="69">+L63+L68</f>
        <v>3629</v>
      </c>
      <c r="M77" s="1">
        <f t="shared" si="69"/>
        <v>4373</v>
      </c>
    </row>
    <row r="78" spans="2:14">
      <c r="B78" s="1" t="s">
        <v>71</v>
      </c>
      <c r="C78" s="1">
        <f>SUM(C50:C51,C55)</f>
        <v>1818</v>
      </c>
      <c r="D78" s="1">
        <f t="shared" ref="D78:J78" si="70">SUM(D50:D51,D55)</f>
        <v>2699</v>
      </c>
      <c r="E78" s="1">
        <f t="shared" si="70"/>
        <v>2468</v>
      </c>
      <c r="F78" s="1">
        <f t="shared" si="70"/>
        <v>2857</v>
      </c>
      <c r="G78" s="1">
        <f t="shared" si="70"/>
        <v>1781</v>
      </c>
      <c r="H78" s="1">
        <f t="shared" si="70"/>
        <v>2072</v>
      </c>
      <c r="I78" s="1">
        <f t="shared" si="70"/>
        <v>2621</v>
      </c>
      <c r="J78" s="1">
        <f t="shared" si="70"/>
        <v>3303</v>
      </c>
      <c r="K78" s="1">
        <f t="shared" ref="K78" si="71">SUM(K50:K51,K55)</f>
        <v>2145</v>
      </c>
      <c r="L78" s="1">
        <f t="shared" ref="L78:M78" si="72">SUM(L50:L51,L55)</f>
        <v>2275</v>
      </c>
      <c r="M78" s="1">
        <f t="shared" si="72"/>
        <v>2727</v>
      </c>
    </row>
    <row r="79" spans="2:14">
      <c r="B79" s="1" t="s">
        <v>72</v>
      </c>
      <c r="C79" s="1">
        <f>+C78-C77</f>
        <v>-3210</v>
      </c>
      <c r="D79" s="1">
        <f t="shared" ref="D79:I79" si="73">+D78-D77</f>
        <v>-2614</v>
      </c>
      <c r="E79" s="1">
        <f t="shared" si="73"/>
        <v>-3431</v>
      </c>
      <c r="F79" s="1">
        <f t="shared" si="73"/>
        <v>368</v>
      </c>
      <c r="G79" s="1">
        <f t="shared" si="73"/>
        <v>-2859</v>
      </c>
      <c r="H79" s="1">
        <f t="shared" si="73"/>
        <v>-2652</v>
      </c>
      <c r="I79" s="1">
        <f t="shared" si="73"/>
        <v>-3095</v>
      </c>
      <c r="J79" s="1">
        <f>+J78-J77</f>
        <v>600</v>
      </c>
      <c r="K79" s="1">
        <f>+K78-K77</f>
        <v>-1938</v>
      </c>
      <c r="L79" s="1">
        <f>+L78-L77</f>
        <v>-1354</v>
      </c>
      <c r="M79" s="1">
        <f>+M78-M77</f>
        <v>-1646</v>
      </c>
    </row>
    <row r="80" spans="2:14">
      <c r="B80" s="1" t="s">
        <v>111</v>
      </c>
      <c r="C80" s="6"/>
      <c r="D80" s="6"/>
      <c r="E80" s="6"/>
      <c r="F80" s="6">
        <f t="shared" ref="F80:L80" si="74">+F52/((SUM(C24:F24)/365))</f>
        <v>116.28468593985836</v>
      </c>
      <c r="G80" s="6">
        <f t="shared" si="74"/>
        <v>171.42033978852322</v>
      </c>
      <c r="H80" s="6">
        <f t="shared" si="74"/>
        <v>181.8909102807408</v>
      </c>
      <c r="I80" s="6">
        <f t="shared" si="74"/>
        <v>161.6577878404475</v>
      </c>
      <c r="J80" s="6">
        <f t="shared" si="74"/>
        <v>122.53016323633783</v>
      </c>
      <c r="K80" s="6">
        <f t="shared" si="74"/>
        <v>179.84375928236204</v>
      </c>
      <c r="L80" s="6">
        <f t="shared" si="74"/>
        <v>168.43166462733416</v>
      </c>
      <c r="M80" s="6">
        <f>+M52/((SUM(J24:M24)/365))</f>
        <v>148.83755042170884</v>
      </c>
      <c r="N80" s="10"/>
    </row>
    <row r="81" spans="2:26">
      <c r="B81" s="1" t="s">
        <v>112</v>
      </c>
      <c r="C81" s="11"/>
      <c r="D81" s="6"/>
      <c r="E81" s="6"/>
      <c r="F81" s="6">
        <f t="shared" ref="F81:L81" si="75">+F53/((SUM(C25:F25)/365))</f>
        <v>253.84425403225808</v>
      </c>
      <c r="G81" s="6">
        <f t="shared" si="75"/>
        <v>232.68326631611507</v>
      </c>
      <c r="H81" s="6">
        <f t="shared" si="75"/>
        <v>188.39082278481013</v>
      </c>
      <c r="I81" s="6">
        <f t="shared" si="75"/>
        <v>220.34365358016811</v>
      </c>
      <c r="J81" s="6">
        <f t="shared" si="75"/>
        <v>208.06800293839856</v>
      </c>
      <c r="K81" s="6">
        <f t="shared" si="75"/>
        <v>200.96341594249546</v>
      </c>
      <c r="L81" s="6">
        <f t="shared" si="75"/>
        <v>168.75629351901446</v>
      </c>
      <c r="M81" s="6">
        <f>+M53/((SUM(J25:M25)/365))</f>
        <v>205.87954110898661</v>
      </c>
      <c r="N81" s="11"/>
    </row>
    <row r="82" spans="2:26">
      <c r="B82" s="1" t="s">
        <v>113</v>
      </c>
      <c r="F82" s="6">
        <f t="shared" ref="F82:L82" si="76">+F64/((SUM(C25:F25)/365))</f>
        <v>157.47983870967744</v>
      </c>
      <c r="G82" s="6">
        <f t="shared" si="76"/>
        <v>135.70368079183422</v>
      </c>
      <c r="H82" s="6">
        <f t="shared" si="76"/>
        <v>127.05696202531645</v>
      </c>
      <c r="I82" s="6">
        <f t="shared" si="76"/>
        <v>145.74369613788701</v>
      </c>
      <c r="J82" s="6">
        <f t="shared" si="76"/>
        <v>154.71035785496903</v>
      </c>
      <c r="K82" s="6">
        <f t="shared" si="76"/>
        <v>152.9154597146229</v>
      </c>
      <c r="L82" s="6">
        <f t="shared" si="76"/>
        <v>149.67541510444562</v>
      </c>
      <c r="M82" s="6">
        <f>+M64/((SUM(J25:M25)/365))</f>
        <v>168.15434459315912</v>
      </c>
    </row>
    <row r="83" spans="2:26">
      <c r="B83" s="1" t="s">
        <v>114</v>
      </c>
      <c r="C83" s="5"/>
      <c r="D83" s="5"/>
      <c r="E83" s="5"/>
      <c r="F83" s="6">
        <f t="shared" ref="F83:L83" si="77">+SUM(F80:F81)-F82</f>
        <v>212.64910126243899</v>
      </c>
      <c r="G83" s="6">
        <f t="shared" si="77"/>
        <v>268.39992531280404</v>
      </c>
      <c r="H83" s="6">
        <f t="shared" si="77"/>
        <v>243.22477104023449</v>
      </c>
      <c r="I83" s="6">
        <f t="shared" si="77"/>
        <v>236.25774528272859</v>
      </c>
      <c r="J83" s="6">
        <f t="shared" si="77"/>
        <v>175.88780831976734</v>
      </c>
      <c r="K83" s="6">
        <f t="shared" si="77"/>
        <v>227.89171551023458</v>
      </c>
      <c r="L83" s="6">
        <f t="shared" si="77"/>
        <v>187.51254304190297</v>
      </c>
      <c r="M83" s="6">
        <f>+SUM(M80:M81)-M82</f>
        <v>186.56274693753636</v>
      </c>
      <c r="N83" s="5"/>
    </row>
    <row r="87" spans="2:26">
      <c r="B87" s="1" t="s">
        <v>67</v>
      </c>
      <c r="C87" s="1">
        <v>-2606</v>
      </c>
      <c r="D87" s="1">
        <f>+-2480-C87</f>
        <v>126</v>
      </c>
      <c r="E87" s="1">
        <f>+-2574-SUM(C87:D87)</f>
        <v>-94</v>
      </c>
      <c r="F87" s="1">
        <f>1809-SUM(C87:E87)</f>
        <v>4383</v>
      </c>
      <c r="G87" s="1">
        <v>-3302</v>
      </c>
      <c r="H87" s="1">
        <f>+-1999-G87</f>
        <v>1303</v>
      </c>
      <c r="I87" s="1">
        <f>+-1871-SUM(G87:H87)</f>
        <v>128</v>
      </c>
      <c r="J87" s="1">
        <f>2296-SUM(G87:I87)</f>
        <v>4167</v>
      </c>
      <c r="K87" s="1">
        <f>+-2101</f>
        <v>-2101</v>
      </c>
      <c r="L87" s="1">
        <f>+-1139-K87</f>
        <v>962</v>
      </c>
      <c r="M87" s="1">
        <f>+-941-SUM(K87:L87)</f>
        <v>198</v>
      </c>
      <c r="X87" s="1">
        <v>912</v>
      </c>
      <c r="Y87" s="1">
        <v>1809</v>
      </c>
      <c r="Z87" s="1">
        <v>2296</v>
      </c>
    </row>
    <row r="88" spans="2:26">
      <c r="B88" s="1" t="s">
        <v>68</v>
      </c>
      <c r="C88" s="1">
        <v>-151</v>
      </c>
      <c r="D88" s="1">
        <v>-250</v>
      </c>
      <c r="E88" s="1">
        <f>+-412-SUM(C88:D88)</f>
        <v>-11</v>
      </c>
      <c r="F88" s="1">
        <f>+-595-SUM(C88:E88)</f>
        <v>-183</v>
      </c>
      <c r="G88" s="1">
        <v>-148</v>
      </c>
      <c r="H88" s="1">
        <f>+-262</f>
        <v>-262</v>
      </c>
      <c r="I88" s="1">
        <f>+-416-SUM(G88:H88)</f>
        <v>-6</v>
      </c>
      <c r="J88" s="1">
        <f>+-597-SUM(G88:I88)</f>
        <v>-181</v>
      </c>
      <c r="K88" s="1">
        <v>-94</v>
      </c>
      <c r="L88" s="1">
        <f>+-212</f>
        <v>-212</v>
      </c>
      <c r="M88" s="1">
        <f>+-369-SUM(K88:L88)</f>
        <v>-63</v>
      </c>
      <c r="X88" s="1">
        <v>-605</v>
      </c>
      <c r="Y88" s="1">
        <v>-595</v>
      </c>
      <c r="Z88" s="1">
        <v>-597</v>
      </c>
    </row>
    <row r="89" spans="2:26">
      <c r="B89" s="1" t="s">
        <v>69</v>
      </c>
      <c r="C89" s="1">
        <f t="shared" ref="C89:I89" si="78">+SUM(C87:C88)</f>
        <v>-2757</v>
      </c>
      <c r="D89" s="1">
        <f t="shared" si="78"/>
        <v>-124</v>
      </c>
      <c r="E89" s="1">
        <f t="shared" si="78"/>
        <v>-105</v>
      </c>
      <c r="F89" s="1">
        <f t="shared" si="78"/>
        <v>4200</v>
      </c>
      <c r="G89" s="1">
        <f t="shared" si="78"/>
        <v>-3450</v>
      </c>
      <c r="H89" s="1">
        <f t="shared" si="78"/>
        <v>1041</v>
      </c>
      <c r="I89" s="1">
        <f t="shared" si="78"/>
        <v>122</v>
      </c>
      <c r="J89" s="1">
        <f>+SUM(J87:J88)</f>
        <v>3986</v>
      </c>
      <c r="K89" s="1">
        <f>+SUM(K87:K88)</f>
        <v>-2195</v>
      </c>
      <c r="L89" s="1">
        <f>+SUM(L87:L88)</f>
        <v>750</v>
      </c>
      <c r="M89" s="1">
        <f>+SUM(M87:M88)</f>
        <v>135</v>
      </c>
      <c r="X89" s="1">
        <f>+SUM(X87:X88)</f>
        <v>307</v>
      </c>
      <c r="Y89" s="1">
        <f>+SUM(Y87:Y88)</f>
        <v>1214</v>
      </c>
      <c r="Z89" s="1">
        <f>+SUM(Z87:Z88)</f>
        <v>1699</v>
      </c>
    </row>
    <row r="91" spans="2:26">
      <c r="B91" s="1" t="s">
        <v>74</v>
      </c>
      <c r="F91" s="1">
        <f>SUM(C89:F89)</f>
        <v>1214</v>
      </c>
      <c r="G91" s="1">
        <f>SUM(D89:G89)</f>
        <v>521</v>
      </c>
      <c r="H91" s="1">
        <f>SUM(E89:H89)</f>
        <v>1686</v>
      </c>
      <c r="I91" s="1">
        <f>SUM(F89:I89)</f>
        <v>1913</v>
      </c>
      <c r="J91" s="1">
        <f>SUM(G89:J89)</f>
        <v>1699</v>
      </c>
      <c r="K91" s="1">
        <f>SUM(H89:K89)</f>
        <v>2954</v>
      </c>
      <c r="L91" s="1">
        <f>SUM(I89:L89)</f>
        <v>2663</v>
      </c>
      <c r="M91" s="1">
        <f>SUM(J89:M89)</f>
        <v>2676</v>
      </c>
    </row>
    <row r="92" spans="2:26">
      <c r="B92" s="1" t="s">
        <v>84</v>
      </c>
      <c r="F92" s="1">
        <f>+SUM(C32:F32)</f>
        <v>2872</v>
      </c>
      <c r="G92" s="1">
        <f>+SUM(D32:G32)</f>
        <v>2756</v>
      </c>
      <c r="H92" s="1">
        <f>+SUM(E32:H32)</f>
        <v>1286</v>
      </c>
      <c r="I92" s="1">
        <f>+SUM(F32:I32)</f>
        <v>1024</v>
      </c>
      <c r="J92" s="1">
        <f>+SUM(G32:J32)</f>
        <v>2756</v>
      </c>
      <c r="K92" s="1">
        <f>+SUM(H32:K32)</f>
        <v>2753.7932372947575</v>
      </c>
      <c r="L92" s="1">
        <f>+SUM(I32:L32)</f>
        <v>4241.793237294758</v>
      </c>
      <c r="M92" s="1">
        <f>+SUM(J32:M32)</f>
        <v>4281.793237294758</v>
      </c>
    </row>
  </sheetData>
  <pageMargins left="0.7" right="0.7" top="0.75" bottom="0.75" header="0.3" footer="0.3"/>
  <ignoredErrors>
    <ignoredError sqref="Y25:Y27 Y22 Y28:Y29 Y31:Y32 I23:J41 F81:I81 F82:I82 I13:J20 Y13:Y20 J22" formulaRange="1"/>
    <ignoredError sqref="Y30" formula="1" formulaRange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jameel</dc:creator>
  <cp:lastModifiedBy>Jameel Brannon</cp:lastModifiedBy>
  <dcterms:created xsi:type="dcterms:W3CDTF">2024-12-11T06:10:27Z</dcterms:created>
  <dcterms:modified xsi:type="dcterms:W3CDTF">2025-11-24T04:32:13Z</dcterms:modified>
</cp:coreProperties>
</file>