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BasicMaterials/"/>
    </mc:Choice>
  </mc:AlternateContent>
  <xr:revisionPtr revIDLastSave="0" documentId="13_ncr:1_{D2874A01-35F3-CE42-9BF6-5A73C5D4CED6}" xr6:coauthVersionLast="47" xr6:coauthVersionMax="47" xr10:uidLastSave="{00000000-0000-0000-0000-000000000000}"/>
  <bookViews>
    <workbookView xWindow="9740" yWindow="600" windowWidth="29300" windowHeight="27980" xr2:uid="{C22C8D43-EFC6-FF4E-A03B-82406D6DB20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28" i="1"/>
  <c r="C27" i="1"/>
  <c r="C30" i="1"/>
  <c r="C29" i="1"/>
  <c r="C25" i="1"/>
  <c r="C24" i="1"/>
  <c r="AM20" i="2"/>
  <c r="HU14" i="2"/>
  <c r="HV14" i="2" s="1"/>
  <c r="HW14" i="2" s="1"/>
  <c r="HX14" i="2" s="1"/>
  <c r="HY14" i="2" s="1"/>
  <c r="HZ14" i="2" s="1"/>
  <c r="IA14" i="2" s="1"/>
  <c r="IB14" i="2" s="1"/>
  <c r="HU1" i="2"/>
  <c r="HV1" i="2" s="1"/>
  <c r="HW1" i="2" s="1"/>
  <c r="HX1" i="2" s="1"/>
  <c r="HY1" i="2" s="1"/>
  <c r="HZ1" i="2" s="1"/>
  <c r="IA1" i="2" s="1"/>
  <c r="IB1" i="2" s="1"/>
  <c r="GI14" i="2"/>
  <c r="GJ14" i="2" s="1"/>
  <c r="GK14" i="2" s="1"/>
  <c r="GL14" i="2" s="1"/>
  <c r="GM14" i="2" s="1"/>
  <c r="GN14" i="2" s="1"/>
  <c r="GO14" i="2" s="1"/>
  <c r="GP14" i="2" s="1"/>
  <c r="GQ14" i="2" s="1"/>
  <c r="GR14" i="2" s="1"/>
  <c r="GS14" i="2" s="1"/>
  <c r="GT14" i="2" s="1"/>
  <c r="GU14" i="2" s="1"/>
  <c r="GV14" i="2" s="1"/>
  <c r="GW14" i="2" s="1"/>
  <c r="GX14" i="2" s="1"/>
  <c r="GY14" i="2" s="1"/>
  <c r="GZ14" i="2" s="1"/>
  <c r="HA14" i="2" s="1"/>
  <c r="HB14" i="2" s="1"/>
  <c r="HC14" i="2" s="1"/>
  <c r="HD14" i="2" s="1"/>
  <c r="HE14" i="2" s="1"/>
  <c r="HF14" i="2" s="1"/>
  <c r="HG14" i="2" s="1"/>
  <c r="HH14" i="2" s="1"/>
  <c r="HI14" i="2" s="1"/>
  <c r="HJ14" i="2" s="1"/>
  <c r="HK14" i="2" s="1"/>
  <c r="HL14" i="2" s="1"/>
  <c r="HM14" i="2" s="1"/>
  <c r="HN14" i="2" s="1"/>
  <c r="HO14" i="2" s="1"/>
  <c r="HP14" i="2" s="1"/>
  <c r="HQ14" i="2" s="1"/>
  <c r="HR14" i="2" s="1"/>
  <c r="HS14" i="2" s="1"/>
  <c r="HT14" i="2" s="1"/>
  <c r="GI1" i="2"/>
  <c r="GJ1" i="2" s="1"/>
  <c r="GK1" i="2" s="1"/>
  <c r="GL1" i="2" s="1"/>
  <c r="GM1" i="2" s="1"/>
  <c r="GN1" i="2" s="1"/>
  <c r="GO1" i="2" s="1"/>
  <c r="GP1" i="2" s="1"/>
  <c r="GQ1" i="2" s="1"/>
  <c r="GR1" i="2" s="1"/>
  <c r="GS1" i="2" s="1"/>
  <c r="GT1" i="2" s="1"/>
  <c r="GU1" i="2" s="1"/>
  <c r="GV1" i="2" s="1"/>
  <c r="GW1" i="2" s="1"/>
  <c r="GX1" i="2" s="1"/>
  <c r="GY1" i="2" s="1"/>
  <c r="GZ1" i="2" s="1"/>
  <c r="HA1" i="2" s="1"/>
  <c r="HB1" i="2" s="1"/>
  <c r="HC1" i="2" s="1"/>
  <c r="HD1" i="2" s="1"/>
  <c r="HE1" i="2" s="1"/>
  <c r="HF1" i="2" s="1"/>
  <c r="HG1" i="2" s="1"/>
  <c r="HH1" i="2" s="1"/>
  <c r="HI1" i="2" s="1"/>
  <c r="HJ1" i="2" s="1"/>
  <c r="HK1" i="2" s="1"/>
  <c r="HL1" i="2" s="1"/>
  <c r="HM1" i="2" s="1"/>
  <c r="HN1" i="2" s="1"/>
  <c r="HO1" i="2" s="1"/>
  <c r="HP1" i="2" s="1"/>
  <c r="HQ1" i="2" s="1"/>
  <c r="HR1" i="2" s="1"/>
  <c r="HS1" i="2" s="1"/>
  <c r="HT1" i="2" s="1"/>
  <c r="FF14" i="2"/>
  <c r="FG14" i="2" s="1"/>
  <c r="FH14" i="2" s="1"/>
  <c r="FI14" i="2" s="1"/>
  <c r="FJ14" i="2" s="1"/>
  <c r="FK14" i="2" s="1"/>
  <c r="FL14" i="2" s="1"/>
  <c r="FM14" i="2" s="1"/>
  <c r="FN14" i="2" s="1"/>
  <c r="FO14" i="2" s="1"/>
  <c r="FP14" i="2" s="1"/>
  <c r="FQ14" i="2" s="1"/>
  <c r="FR14" i="2" s="1"/>
  <c r="FS14" i="2" s="1"/>
  <c r="FT14" i="2" s="1"/>
  <c r="FU14" i="2" s="1"/>
  <c r="FV14" i="2" s="1"/>
  <c r="FW14" i="2" s="1"/>
  <c r="FX14" i="2" s="1"/>
  <c r="FY14" i="2" s="1"/>
  <c r="FZ14" i="2" s="1"/>
  <c r="GA14" i="2" s="1"/>
  <c r="GB14" i="2" s="1"/>
  <c r="GC14" i="2" s="1"/>
  <c r="GD14" i="2" s="1"/>
  <c r="GE14" i="2" s="1"/>
  <c r="GF14" i="2" s="1"/>
  <c r="GG14" i="2" s="1"/>
  <c r="GH14" i="2" s="1"/>
  <c r="FF1" i="2"/>
  <c r="FG1" i="2" s="1"/>
  <c r="FH1" i="2" s="1"/>
  <c r="FI1" i="2" s="1"/>
  <c r="FJ1" i="2" s="1"/>
  <c r="FK1" i="2" s="1"/>
  <c r="FL1" i="2" s="1"/>
  <c r="FM1" i="2" s="1"/>
  <c r="FN1" i="2" s="1"/>
  <c r="FO1" i="2" s="1"/>
  <c r="FP1" i="2" s="1"/>
  <c r="FQ1" i="2" s="1"/>
  <c r="FR1" i="2" s="1"/>
  <c r="FS1" i="2" s="1"/>
  <c r="FT1" i="2" s="1"/>
  <c r="FU1" i="2" s="1"/>
  <c r="FV1" i="2" s="1"/>
  <c r="FW1" i="2" s="1"/>
  <c r="FX1" i="2" s="1"/>
  <c r="FY1" i="2" s="1"/>
  <c r="FZ1" i="2" s="1"/>
  <c r="GA1" i="2" s="1"/>
  <c r="GB1" i="2" s="1"/>
  <c r="GC1" i="2" s="1"/>
  <c r="GD1" i="2" s="1"/>
  <c r="GE1" i="2" s="1"/>
  <c r="GF1" i="2" s="1"/>
  <c r="GG1" i="2" s="1"/>
  <c r="GH1" i="2" s="1"/>
  <c r="CI14" i="2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FC14" i="2" s="1"/>
  <c r="FD14" i="2" s="1"/>
  <c r="FE14" i="2" s="1"/>
  <c r="CI1" i="2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F1" i="2" s="1"/>
  <c r="EG1" i="2" s="1"/>
  <c r="EH1" i="2" s="1"/>
  <c r="EI1" i="2" s="1"/>
  <c r="EJ1" i="2" s="1"/>
  <c r="EK1" i="2" s="1"/>
  <c r="EL1" i="2" s="1"/>
  <c r="EM1" i="2" s="1"/>
  <c r="EN1" i="2" s="1"/>
  <c r="EO1" i="2" s="1"/>
  <c r="EP1" i="2" s="1"/>
  <c r="EQ1" i="2" s="1"/>
  <c r="ER1" i="2" s="1"/>
  <c r="ES1" i="2" s="1"/>
  <c r="ET1" i="2" s="1"/>
  <c r="EU1" i="2" s="1"/>
  <c r="EV1" i="2" s="1"/>
  <c r="EW1" i="2" s="1"/>
  <c r="EX1" i="2" s="1"/>
  <c r="EY1" i="2" s="1"/>
  <c r="EZ1" i="2" s="1"/>
  <c r="FA1" i="2" s="1"/>
  <c r="FB1" i="2" s="1"/>
  <c r="FC1" i="2" s="1"/>
  <c r="FD1" i="2" s="1"/>
  <c r="FE1" i="2" s="1"/>
  <c r="G7" i="1"/>
  <c r="AK5" i="2"/>
  <c r="AD5" i="2"/>
  <c r="AE5" i="2" s="1"/>
  <c r="AF5" i="2" s="1"/>
  <c r="AG5" i="2" s="1"/>
  <c r="AH5" i="2" s="1"/>
  <c r="AI5" i="2" s="1"/>
  <c r="AJ5" i="2" s="1"/>
  <c r="AC5" i="2"/>
  <c r="AB5" i="2"/>
  <c r="L16" i="2"/>
  <c r="K16" i="2"/>
  <c r="L13" i="2"/>
  <c r="L7" i="2"/>
  <c r="L12" i="2" s="1"/>
  <c r="L14" i="2" s="1"/>
  <c r="K7" i="2"/>
  <c r="K12" i="2" s="1"/>
  <c r="K14" i="2" s="1"/>
  <c r="H7" i="1"/>
  <c r="H8" i="1" s="1"/>
  <c r="Z21" i="2"/>
  <c r="C21" i="2"/>
  <c r="G21" i="2"/>
  <c r="D21" i="2"/>
  <c r="E21" i="2" s="1"/>
  <c r="D20" i="2"/>
  <c r="H21" i="2"/>
  <c r="I21" i="2" s="1"/>
  <c r="H20" i="2"/>
  <c r="G22" i="2"/>
  <c r="C22" i="2"/>
  <c r="E20" i="2"/>
  <c r="AM25" i="2"/>
  <c r="AM23" i="2"/>
  <c r="AL1" i="2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J13" i="2"/>
  <c r="AA13" i="2" s="1"/>
  <c r="H16" i="2"/>
  <c r="G16" i="2"/>
  <c r="I16" i="2"/>
  <c r="F13" i="2"/>
  <c r="F11" i="2"/>
  <c r="F10" i="2"/>
  <c r="F9" i="2"/>
  <c r="F8" i="2"/>
  <c r="F6" i="2"/>
  <c r="F5" i="2"/>
  <c r="J5" i="2" s="1"/>
  <c r="J11" i="2" s="1"/>
  <c r="AA11" i="2" s="1"/>
  <c r="Z16" i="2"/>
  <c r="Y7" i="2"/>
  <c r="Y12" i="2" s="1"/>
  <c r="Z7" i="2"/>
  <c r="Z12" i="2" s="1"/>
  <c r="Z14" i="2" s="1"/>
  <c r="C7" i="2"/>
  <c r="C12" i="2" s="1"/>
  <c r="C14" i="2" s="1"/>
  <c r="G7" i="2"/>
  <c r="G12" i="2" s="1"/>
  <c r="D7" i="2"/>
  <c r="D12" i="2" s="1"/>
  <c r="D14" i="2" s="1"/>
  <c r="H7" i="2"/>
  <c r="H12" i="2"/>
  <c r="H14" i="2" s="1"/>
  <c r="E7" i="2"/>
  <c r="E12" i="2" s="1"/>
  <c r="E14" i="2" s="1"/>
  <c r="I7" i="2"/>
  <c r="I12" i="2" s="1"/>
  <c r="I14" i="2" s="1"/>
  <c r="S2" i="2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G6" i="1"/>
  <c r="G9" i="1" l="1"/>
  <c r="AK16" i="2"/>
  <c r="AK11" i="2"/>
  <c r="AK10" i="2"/>
  <c r="AK9" i="2"/>
  <c r="AK6" i="2"/>
  <c r="AK7" i="2" s="1"/>
  <c r="AK12" i="2" s="1"/>
  <c r="AK14" i="2" s="1"/>
  <c r="AK8" i="2"/>
  <c r="F20" i="2"/>
  <c r="F14" i="2"/>
  <c r="H22" i="2"/>
  <c r="F21" i="2"/>
  <c r="Z22" i="2"/>
  <c r="D22" i="2"/>
  <c r="E22" i="2"/>
  <c r="I20" i="2"/>
  <c r="I22" i="2" s="1"/>
  <c r="J6" i="2"/>
  <c r="AA6" i="2" s="1"/>
  <c r="F12" i="2"/>
  <c r="J7" i="2"/>
  <c r="J16" i="2"/>
  <c r="J8" i="2"/>
  <c r="AA8" i="2" s="1"/>
  <c r="AA5" i="2"/>
  <c r="J9" i="2"/>
  <c r="AA9" i="2" s="1"/>
  <c r="F7" i="2"/>
  <c r="J10" i="2"/>
  <c r="AA10" i="2" s="1"/>
  <c r="Y14" i="2"/>
  <c r="G14" i="2"/>
  <c r="F22" i="2" l="1"/>
  <c r="H25" i="2"/>
  <c r="F25" i="2"/>
  <c r="G25" i="2"/>
  <c r="I25" i="2"/>
  <c r="AA16" i="2"/>
  <c r="J12" i="2"/>
  <c r="AA7" i="2"/>
  <c r="H24" i="2" l="1"/>
  <c r="G24" i="2"/>
  <c r="I24" i="2"/>
  <c r="F24" i="2"/>
  <c r="J14" i="2"/>
  <c r="AA14" i="2" s="1"/>
  <c r="AA12" i="2"/>
  <c r="AB9" i="2"/>
  <c r="AB8" i="2"/>
  <c r="AB6" i="2"/>
  <c r="AB7" i="2" s="1"/>
  <c r="AB16" i="2"/>
  <c r="AB11" i="2"/>
  <c r="AB10" i="2"/>
  <c r="AB12" i="2" l="1"/>
  <c r="AB14" i="2" s="1"/>
  <c r="AC11" i="2"/>
  <c r="AD11" i="2" s="1"/>
  <c r="AC10" i="2"/>
  <c r="AC9" i="2"/>
  <c r="AC16" i="2"/>
  <c r="AC8" i="2"/>
  <c r="AC6" i="2"/>
  <c r="AC7" i="2" s="1"/>
  <c r="AD8" i="2" l="1"/>
  <c r="AD10" i="2"/>
  <c r="AD9" i="2"/>
  <c r="AC12" i="2"/>
  <c r="AC14" i="2" s="1"/>
  <c r="AD16" i="2"/>
  <c r="AD6" i="2"/>
  <c r="AD7" i="2" s="1"/>
  <c r="AD12" i="2" l="1"/>
  <c r="AD14" i="2" s="1"/>
  <c r="AE16" i="2"/>
  <c r="AE6" i="2"/>
  <c r="AE7" i="2" s="1"/>
  <c r="AE11" i="2"/>
  <c r="AE10" i="2"/>
  <c r="AE8" i="2"/>
  <c r="AE9" i="2"/>
  <c r="AF11" i="2" l="1"/>
  <c r="AF10" i="2"/>
  <c r="AF8" i="2"/>
  <c r="AF16" i="2"/>
  <c r="AF6" i="2"/>
  <c r="AF7" i="2" s="1"/>
  <c r="AE12" i="2"/>
  <c r="AE14" i="2" s="1"/>
  <c r="AF9" i="2"/>
  <c r="AG10" i="2" l="1"/>
  <c r="AF12" i="2"/>
  <c r="AF14" i="2" s="1"/>
  <c r="AG16" i="2"/>
  <c r="AG6" i="2"/>
  <c r="AG7" i="2"/>
  <c r="AG11" i="2"/>
  <c r="AG9" i="2"/>
  <c r="AG8" i="2"/>
  <c r="AH8" i="2" l="1"/>
  <c r="AH11" i="2"/>
  <c r="AH9" i="2"/>
  <c r="AG12" i="2"/>
  <c r="AG14" i="2" s="1"/>
  <c r="AH16" i="2"/>
  <c r="AH6" i="2"/>
  <c r="AH7" i="2" s="1"/>
  <c r="AH10" i="2"/>
  <c r="AI11" i="2" l="1"/>
  <c r="AI10" i="2"/>
  <c r="AH12" i="2"/>
  <c r="AH14" i="2" s="1"/>
  <c r="AI16" i="2"/>
  <c r="AI6" i="2"/>
  <c r="AI7" i="2" s="1"/>
  <c r="AI8" i="2"/>
  <c r="AI9" i="2"/>
  <c r="AJ8" i="2" l="1"/>
  <c r="AJ9" i="2"/>
  <c r="AI12" i="2"/>
  <c r="AI14" i="2" s="1"/>
  <c r="AJ16" i="2"/>
  <c r="AJ6" i="2"/>
  <c r="AJ7" i="2" s="1"/>
  <c r="AJ10" i="2"/>
  <c r="AJ11" i="2"/>
  <c r="AJ12" i="2" l="1"/>
  <c r="AJ14" i="2" s="1"/>
  <c r="AL14" i="2" s="1"/>
  <c r="AM14" i="2" l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AM22" i="2" s="1"/>
  <c r="AM24" i="2" s="1"/>
  <c r="AM26" i="2" s="1"/>
</calcChain>
</file>

<file path=xl/sharedStrings.xml><?xml version="1.0" encoding="utf-8"?>
<sst xmlns="http://schemas.openxmlformats.org/spreadsheetml/2006/main" count="57" uniqueCount="55">
  <si>
    <t>P</t>
  </si>
  <si>
    <t>S</t>
  </si>
  <si>
    <t>MC</t>
  </si>
  <si>
    <t>C</t>
  </si>
  <si>
    <t>D</t>
  </si>
  <si>
    <t>EV</t>
  </si>
  <si>
    <t xml:space="preserve">Ownership </t>
  </si>
  <si>
    <t>Projects</t>
  </si>
  <si>
    <t xml:space="preserve">Mineral Hill </t>
  </si>
  <si>
    <t>Gold Chest Mine</t>
  </si>
  <si>
    <t>Q123</t>
  </si>
  <si>
    <t>Q223</t>
  </si>
  <si>
    <t>Q323</t>
  </si>
  <si>
    <t>Q423</t>
  </si>
  <si>
    <t>TR</t>
  </si>
  <si>
    <t xml:space="preserve">Gross Profit </t>
  </si>
  <si>
    <t>Exploration</t>
  </si>
  <si>
    <t>Management</t>
  </si>
  <si>
    <t>Prof Serv.</t>
  </si>
  <si>
    <t>G&amp;A</t>
  </si>
  <si>
    <t>Operating Income</t>
  </si>
  <si>
    <t xml:space="preserve">Other Income </t>
  </si>
  <si>
    <t>Net Income</t>
  </si>
  <si>
    <t>Q124</t>
  </si>
  <si>
    <t>Q224</t>
  </si>
  <si>
    <t>Q324</t>
  </si>
  <si>
    <t>Q424</t>
  </si>
  <si>
    <t>Gold Mines</t>
  </si>
  <si>
    <t xml:space="preserve">New Jersey Mill </t>
  </si>
  <si>
    <t>majority interest</t>
  </si>
  <si>
    <t>Eastern Star explorartion</t>
  </si>
  <si>
    <t>R Y/Y</t>
  </si>
  <si>
    <t xml:space="preserve">Terminal </t>
  </si>
  <si>
    <t>Discount</t>
  </si>
  <si>
    <t>NPV</t>
  </si>
  <si>
    <t xml:space="preserve">Total Value </t>
  </si>
  <si>
    <t>Shares</t>
  </si>
  <si>
    <t>Estimate</t>
  </si>
  <si>
    <t>Current</t>
  </si>
  <si>
    <t xml:space="preserve">CFFO </t>
  </si>
  <si>
    <t>Capex</t>
  </si>
  <si>
    <t xml:space="preserve">Free Cash Flow </t>
  </si>
  <si>
    <t>4Q FCF</t>
  </si>
  <si>
    <t>4Q NI</t>
  </si>
  <si>
    <t>Q125</t>
  </si>
  <si>
    <t>Q225</t>
  </si>
  <si>
    <t>Q325</t>
  </si>
  <si>
    <t>Q425</t>
  </si>
  <si>
    <t>Upside</t>
  </si>
  <si>
    <t xml:space="preserve">Factor </t>
  </si>
  <si>
    <t xml:space="preserve">Cash </t>
  </si>
  <si>
    <t>Equity Nav</t>
  </si>
  <si>
    <t xml:space="preserve">Debt </t>
  </si>
  <si>
    <t>Annualized</t>
  </si>
  <si>
    <t xml:space="preserve">Annualized FCF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</si>
</sst>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>
    <font>
      <sz val="10"/>
      <color theme="1"/>
      <name val="ArialMT"/>
      <family val="2"/>
    </font>
    <font>
      <u/>
      <sz val="10"/>
      <color theme="1"/>
      <name val="ArialMT"/>
      <family val="2"/>
    </font>
    <font>
      <b/>
      <sz val="10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3" fontId="1" fillId="0" borderId="0" xfId="0" applyNumberFormat="1" applyFont="1"/>
    <xf numFmtId="3" fontId="2" fillId="0" borderId="0" xfId="0" applyNumberFormat="1" applyFont="1"/>
    <xf numFmtId="9" fontId="2" fillId="0" borderId="0" xfId="0" applyNumberFormat="1" applyFont="1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492514</xdr:colOff>
      <xdr:row>0</xdr:row>
      <xdr:rowOff>0</xdr:rowOff>
    </xdr:from>
    <xdr:to>
      <xdr:col>26</xdr:col>
      <xdr:colOff>508868</xdr:colOff>
      <xdr:row>39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262FC05-FA1D-DB6D-659C-270CA51C15E2}"/>
            </a:ext>
          </a:extLst>
        </xdr:cNvPr>
        <xdr:cNvCxnSpPr/>
      </xdr:nvCxnSpPr>
      <xdr:spPr>
        <a:xfrm flipH="1">
          <a:off x="12973233" y="0"/>
          <a:ext cx="16354" cy="61612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417501</xdr:colOff>
      <xdr:row>0</xdr:row>
      <xdr:rowOff>0</xdr:rowOff>
    </xdr:from>
    <xdr:to>
      <xdr:col>12</xdr:col>
      <xdr:colOff>776</xdr:colOff>
      <xdr:row>39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377CE01-726E-3E49-B504-3F3893FDC72A}"/>
            </a:ext>
          </a:extLst>
        </xdr:cNvPr>
        <xdr:cNvCxnSpPr/>
      </xdr:nvCxnSpPr>
      <xdr:spPr>
        <a:xfrm flipH="1">
          <a:off x="5552321" y="0"/>
          <a:ext cx="12700" cy="61612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4FBE-F73F-7142-9A6C-2DD4C476E25A}">
  <dimension ref="B4:H32"/>
  <sheetViews>
    <sheetView tabSelected="1" zoomScale="200" workbookViewId="0">
      <selection activeCell="C32" sqref="C32"/>
    </sheetView>
  </sheetViews>
  <sheetFormatPr baseColWidth="10" defaultRowHeight="13"/>
  <cols>
    <col min="1" max="3" width="10.83203125" style="1"/>
    <col min="4" max="4" width="9.83203125" style="1" bestFit="1" customWidth="1"/>
    <col min="5" max="5" width="10.83203125" style="1"/>
    <col min="6" max="6" width="3.6640625" style="1" bestFit="1" customWidth="1"/>
    <col min="7" max="7" width="6.6640625" style="1" bestFit="1" customWidth="1"/>
    <col min="8" max="8" width="5.5" style="1" bestFit="1" customWidth="1"/>
    <col min="9" max="16384" width="10.83203125" style="1"/>
  </cols>
  <sheetData>
    <row r="4" spans="3:8">
      <c r="F4" s="1" t="s">
        <v>0</v>
      </c>
      <c r="G4" s="2">
        <v>44</v>
      </c>
    </row>
    <row r="5" spans="3:8">
      <c r="F5" s="1" t="s">
        <v>1</v>
      </c>
      <c r="G5" s="1">
        <v>14.505392000000001</v>
      </c>
      <c r="H5" s="1" t="s">
        <v>45</v>
      </c>
    </row>
    <row r="6" spans="3:8">
      <c r="F6" s="1" t="s">
        <v>2</v>
      </c>
      <c r="G6" s="1">
        <f>+G4*G5</f>
        <v>638.23724800000002</v>
      </c>
    </row>
    <row r="7" spans="3:8">
      <c r="F7" s="1" t="s">
        <v>3</v>
      </c>
      <c r="G7" s="1">
        <f>2.444476+10.611438</f>
        <v>13.055914</v>
      </c>
      <c r="H7" s="1" t="str">
        <f>+H5</f>
        <v>Q225</v>
      </c>
    </row>
    <row r="8" spans="3:8">
      <c r="F8" s="1" t="s">
        <v>4</v>
      </c>
      <c r="G8" s="1">
        <v>2.0253990000000002</v>
      </c>
      <c r="H8" s="1" t="str">
        <f>+H7</f>
        <v>Q225</v>
      </c>
    </row>
    <row r="9" spans="3:8">
      <c r="F9" s="1" t="s">
        <v>5</v>
      </c>
      <c r="G9" s="1">
        <f>+G6-G7+G8</f>
        <v>627.20673299999999</v>
      </c>
    </row>
    <row r="14" spans="3:8">
      <c r="C14" s="4" t="s">
        <v>27</v>
      </c>
      <c r="D14" s="4" t="s">
        <v>6</v>
      </c>
    </row>
    <row r="15" spans="3:8">
      <c r="C15" s="1" t="s">
        <v>9</v>
      </c>
      <c r="D15" s="3">
        <v>1</v>
      </c>
    </row>
    <row r="16" spans="3:8">
      <c r="C16" s="1" t="s">
        <v>28</v>
      </c>
      <c r="D16" s="1" t="s">
        <v>29</v>
      </c>
    </row>
    <row r="17" spans="2:4">
      <c r="C17" s="1" t="s">
        <v>30</v>
      </c>
      <c r="D17" s="3">
        <v>1</v>
      </c>
    </row>
    <row r="19" spans="2:4">
      <c r="C19" s="4" t="s">
        <v>7</v>
      </c>
    </row>
    <row r="20" spans="2:4">
      <c r="C20" s="1" t="s">
        <v>8</v>
      </c>
    </row>
    <row r="24" spans="2:4">
      <c r="B24" s="1" t="s">
        <v>54</v>
      </c>
      <c r="C24" s="1">
        <f>(13.731528-5.79965) * 2</f>
        <v>15.863756000000002</v>
      </c>
    </row>
    <row r="25" spans="2:4">
      <c r="B25" s="1" t="s">
        <v>49</v>
      </c>
      <c r="C25" s="10">
        <f>1-(1+0.08)^-15</f>
        <v>0.68475829503411001</v>
      </c>
    </row>
    <row r="26" spans="2:4">
      <c r="B26" s="3">
        <v>0.08</v>
      </c>
    </row>
    <row r="27" spans="2:4">
      <c r="C27" s="2">
        <f>+C25/B26</f>
        <v>8.5594786879263758</v>
      </c>
    </row>
    <row r="28" spans="2:4">
      <c r="B28" s="1" t="s">
        <v>53</v>
      </c>
      <c r="C28" s="1">
        <f>+C24*C27</f>
        <v>135.78548139246419</v>
      </c>
    </row>
    <row r="29" spans="2:4">
      <c r="B29" s="1" t="s">
        <v>50</v>
      </c>
      <c r="C29" s="1">
        <f>+G7</f>
        <v>13.055914</v>
      </c>
    </row>
    <row r="30" spans="2:4">
      <c r="B30" s="1" t="s">
        <v>52</v>
      </c>
      <c r="C30" s="1">
        <f>+G8</f>
        <v>2.0253990000000002</v>
      </c>
    </row>
    <row r="31" spans="2:4">
      <c r="B31" s="5" t="s">
        <v>51</v>
      </c>
      <c r="C31" s="11">
        <f>+C28+C29-C30</f>
        <v>146.8159963924642</v>
      </c>
    </row>
    <row r="32" spans="2:4">
      <c r="C32" s="8">
        <f>+G6/C31</f>
        <v>4.3471914756065342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2C7C-B846-6042-947F-6C047F3145DA}">
  <dimension ref="B1:IB26"/>
  <sheetViews>
    <sheetView zoomScale="139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AO21" sqref="AO21"/>
    </sheetView>
  </sheetViews>
  <sheetFormatPr baseColWidth="10" defaultRowHeight="13"/>
  <cols>
    <col min="1" max="1" width="1.1640625" style="1" customWidth="1"/>
    <col min="2" max="2" width="15" style="1" bestFit="1" customWidth="1"/>
    <col min="3" max="8" width="5.6640625" style="1" bestFit="1" customWidth="1"/>
    <col min="9" max="9" width="6.1640625" style="1" bestFit="1" customWidth="1"/>
    <col min="10" max="10" width="5.6640625" style="1" bestFit="1" customWidth="1"/>
    <col min="11" max="15" width="5.6640625" style="1" customWidth="1"/>
    <col min="16" max="17" width="4.6640625" style="1" customWidth="1"/>
    <col min="18" max="24" width="5.6640625" style="1" bestFit="1" customWidth="1"/>
    <col min="25" max="25" width="6.1640625" style="1" bestFit="1" customWidth="1"/>
    <col min="26" max="36" width="6.6640625" style="1" bestFit="1" customWidth="1"/>
    <col min="37" max="39" width="7.6640625" style="1" bestFit="1" customWidth="1"/>
    <col min="40" max="86" width="6.6640625" style="1" bestFit="1" customWidth="1"/>
    <col min="87" max="16384" width="10.83203125" style="1"/>
  </cols>
  <sheetData>
    <row r="1" spans="2:236">
      <c r="AK1" s="1">
        <v>1</v>
      </c>
      <c r="AL1" s="1">
        <f>+AK1+1</f>
        <v>2</v>
      </c>
      <c r="AM1" s="1">
        <f t="shared" ref="AM1:CH1" si="0">+AL1+1</f>
        <v>3</v>
      </c>
      <c r="AN1" s="1">
        <f t="shared" si="0"/>
        <v>4</v>
      </c>
      <c r="AO1" s="1">
        <f t="shared" si="0"/>
        <v>5</v>
      </c>
      <c r="AP1" s="1">
        <f t="shared" si="0"/>
        <v>6</v>
      </c>
      <c r="AQ1" s="1">
        <f t="shared" si="0"/>
        <v>7</v>
      </c>
      <c r="AR1" s="1">
        <f t="shared" si="0"/>
        <v>8</v>
      </c>
      <c r="AS1" s="1">
        <f t="shared" si="0"/>
        <v>9</v>
      </c>
      <c r="AT1" s="1">
        <f t="shared" si="0"/>
        <v>10</v>
      </c>
      <c r="AU1" s="1">
        <f t="shared" si="0"/>
        <v>11</v>
      </c>
      <c r="AV1" s="1">
        <f t="shared" si="0"/>
        <v>12</v>
      </c>
      <c r="AW1" s="1">
        <f t="shared" si="0"/>
        <v>13</v>
      </c>
      <c r="AX1" s="1">
        <f t="shared" si="0"/>
        <v>14</v>
      </c>
      <c r="AY1" s="1">
        <f t="shared" si="0"/>
        <v>15</v>
      </c>
      <c r="AZ1" s="1">
        <f t="shared" si="0"/>
        <v>16</v>
      </c>
      <c r="BA1" s="1">
        <f t="shared" si="0"/>
        <v>17</v>
      </c>
      <c r="BB1" s="1">
        <f t="shared" si="0"/>
        <v>18</v>
      </c>
      <c r="BC1" s="1">
        <f t="shared" si="0"/>
        <v>19</v>
      </c>
      <c r="BD1" s="1">
        <f t="shared" si="0"/>
        <v>20</v>
      </c>
      <c r="BE1" s="1">
        <f t="shared" si="0"/>
        <v>21</v>
      </c>
      <c r="BF1" s="1">
        <f t="shared" si="0"/>
        <v>22</v>
      </c>
      <c r="BG1" s="1">
        <f t="shared" si="0"/>
        <v>23</v>
      </c>
      <c r="BH1" s="1">
        <f t="shared" si="0"/>
        <v>24</v>
      </c>
      <c r="BI1" s="1">
        <f t="shared" si="0"/>
        <v>25</v>
      </c>
      <c r="BJ1" s="1">
        <f t="shared" si="0"/>
        <v>26</v>
      </c>
      <c r="BK1" s="1">
        <f t="shared" si="0"/>
        <v>27</v>
      </c>
      <c r="BL1" s="1">
        <f t="shared" si="0"/>
        <v>28</v>
      </c>
      <c r="BM1" s="1">
        <f t="shared" si="0"/>
        <v>29</v>
      </c>
      <c r="BN1" s="1">
        <f t="shared" si="0"/>
        <v>30</v>
      </c>
      <c r="BO1" s="1">
        <f t="shared" si="0"/>
        <v>31</v>
      </c>
      <c r="BP1" s="1">
        <f t="shared" si="0"/>
        <v>32</v>
      </c>
      <c r="BQ1" s="1">
        <f t="shared" si="0"/>
        <v>33</v>
      </c>
      <c r="BR1" s="1">
        <f t="shared" si="0"/>
        <v>34</v>
      </c>
      <c r="BS1" s="1">
        <f t="shared" si="0"/>
        <v>35</v>
      </c>
      <c r="BT1" s="1">
        <f t="shared" si="0"/>
        <v>36</v>
      </c>
      <c r="BU1" s="1">
        <f t="shared" si="0"/>
        <v>37</v>
      </c>
      <c r="BV1" s="1">
        <f t="shared" si="0"/>
        <v>38</v>
      </c>
      <c r="BW1" s="1">
        <f t="shared" si="0"/>
        <v>39</v>
      </c>
      <c r="BX1" s="1">
        <f t="shared" si="0"/>
        <v>40</v>
      </c>
      <c r="BY1" s="1">
        <f t="shared" si="0"/>
        <v>41</v>
      </c>
      <c r="BZ1" s="1">
        <f t="shared" si="0"/>
        <v>42</v>
      </c>
      <c r="CA1" s="1">
        <f t="shared" si="0"/>
        <v>43</v>
      </c>
      <c r="CB1" s="1">
        <f t="shared" si="0"/>
        <v>44</v>
      </c>
      <c r="CC1" s="1">
        <f t="shared" si="0"/>
        <v>45</v>
      </c>
      <c r="CD1" s="1">
        <f t="shared" si="0"/>
        <v>46</v>
      </c>
      <c r="CE1" s="1">
        <f t="shared" si="0"/>
        <v>47</v>
      </c>
      <c r="CF1" s="1">
        <f t="shared" si="0"/>
        <v>48</v>
      </c>
      <c r="CG1" s="1">
        <f t="shared" si="0"/>
        <v>49</v>
      </c>
      <c r="CH1" s="1">
        <f t="shared" si="0"/>
        <v>50</v>
      </c>
      <c r="CI1" s="1">
        <f t="shared" ref="CI1" si="1">+CH1+1</f>
        <v>51</v>
      </c>
      <c r="CJ1" s="1">
        <f t="shared" ref="CJ1" si="2">+CI1+1</f>
        <v>52</v>
      </c>
      <c r="CK1" s="1">
        <f t="shared" ref="CK1" si="3">+CJ1+1</f>
        <v>53</v>
      </c>
      <c r="CL1" s="1">
        <f t="shared" ref="CL1" si="4">+CK1+1</f>
        <v>54</v>
      </c>
      <c r="CM1" s="1">
        <f t="shared" ref="CM1" si="5">+CL1+1</f>
        <v>55</v>
      </c>
      <c r="CN1" s="1">
        <f t="shared" ref="CN1" si="6">+CM1+1</f>
        <v>56</v>
      </c>
      <c r="CO1" s="1">
        <f t="shared" ref="CO1" si="7">+CN1+1</f>
        <v>57</v>
      </c>
      <c r="CP1" s="1">
        <f t="shared" ref="CP1" si="8">+CO1+1</f>
        <v>58</v>
      </c>
      <c r="CQ1" s="1">
        <f t="shared" ref="CQ1" si="9">+CP1+1</f>
        <v>59</v>
      </c>
      <c r="CR1" s="1">
        <f t="shared" ref="CR1" si="10">+CQ1+1</f>
        <v>60</v>
      </c>
      <c r="CS1" s="1">
        <f t="shared" ref="CS1" si="11">+CR1+1</f>
        <v>61</v>
      </c>
      <c r="CT1" s="1">
        <f t="shared" ref="CT1" si="12">+CS1+1</f>
        <v>62</v>
      </c>
      <c r="CU1" s="1">
        <f t="shared" ref="CU1" si="13">+CT1+1</f>
        <v>63</v>
      </c>
      <c r="CV1" s="1">
        <f t="shared" ref="CV1" si="14">+CU1+1</f>
        <v>64</v>
      </c>
      <c r="CW1" s="1">
        <f t="shared" ref="CW1" si="15">+CV1+1</f>
        <v>65</v>
      </c>
      <c r="CX1" s="1">
        <f t="shared" ref="CX1" si="16">+CW1+1</f>
        <v>66</v>
      </c>
      <c r="CY1" s="1">
        <f t="shared" ref="CY1" si="17">+CX1+1</f>
        <v>67</v>
      </c>
      <c r="CZ1" s="1">
        <f t="shared" ref="CZ1" si="18">+CY1+1</f>
        <v>68</v>
      </c>
      <c r="DA1" s="1">
        <f t="shared" ref="DA1" si="19">+CZ1+1</f>
        <v>69</v>
      </c>
      <c r="DB1" s="1">
        <f t="shared" ref="DB1" si="20">+DA1+1</f>
        <v>70</v>
      </c>
      <c r="DC1" s="1">
        <f t="shared" ref="DC1" si="21">+DB1+1</f>
        <v>71</v>
      </c>
      <c r="DD1" s="1">
        <f t="shared" ref="DD1" si="22">+DC1+1</f>
        <v>72</v>
      </c>
      <c r="DE1" s="1">
        <f t="shared" ref="DE1" si="23">+DD1+1</f>
        <v>73</v>
      </c>
      <c r="DF1" s="1">
        <f t="shared" ref="DF1" si="24">+DE1+1</f>
        <v>74</v>
      </c>
      <c r="DG1" s="1">
        <f t="shared" ref="DG1" si="25">+DF1+1</f>
        <v>75</v>
      </c>
      <c r="DH1" s="1">
        <f t="shared" ref="DH1" si="26">+DG1+1</f>
        <v>76</v>
      </c>
      <c r="DI1" s="1">
        <f t="shared" ref="DI1" si="27">+DH1+1</f>
        <v>77</v>
      </c>
      <c r="DJ1" s="1">
        <f t="shared" ref="DJ1" si="28">+DI1+1</f>
        <v>78</v>
      </c>
      <c r="DK1" s="1">
        <f t="shared" ref="DK1" si="29">+DJ1+1</f>
        <v>79</v>
      </c>
      <c r="DL1" s="1">
        <f t="shared" ref="DL1" si="30">+DK1+1</f>
        <v>80</v>
      </c>
      <c r="DM1" s="1">
        <f t="shared" ref="DM1" si="31">+DL1+1</f>
        <v>81</v>
      </c>
      <c r="DN1" s="1">
        <f t="shared" ref="DN1" si="32">+DM1+1</f>
        <v>82</v>
      </c>
      <c r="DO1" s="1">
        <f t="shared" ref="DO1" si="33">+DN1+1</f>
        <v>83</v>
      </c>
      <c r="DP1" s="1">
        <f t="shared" ref="DP1" si="34">+DO1+1</f>
        <v>84</v>
      </c>
      <c r="DQ1" s="1">
        <f t="shared" ref="DQ1" si="35">+DP1+1</f>
        <v>85</v>
      </c>
      <c r="DR1" s="1">
        <f t="shared" ref="DR1" si="36">+DQ1+1</f>
        <v>86</v>
      </c>
      <c r="DS1" s="1">
        <f t="shared" ref="DS1" si="37">+DR1+1</f>
        <v>87</v>
      </c>
      <c r="DT1" s="1">
        <f t="shared" ref="DT1" si="38">+DS1+1</f>
        <v>88</v>
      </c>
      <c r="DU1" s="1">
        <f t="shared" ref="DU1" si="39">+DT1+1</f>
        <v>89</v>
      </c>
      <c r="DV1" s="1">
        <f t="shared" ref="DV1" si="40">+DU1+1</f>
        <v>90</v>
      </c>
      <c r="DW1" s="1">
        <f t="shared" ref="DW1" si="41">+DV1+1</f>
        <v>91</v>
      </c>
      <c r="DX1" s="1">
        <f t="shared" ref="DX1" si="42">+DW1+1</f>
        <v>92</v>
      </c>
      <c r="DY1" s="1">
        <f t="shared" ref="DY1" si="43">+DX1+1</f>
        <v>93</v>
      </c>
      <c r="DZ1" s="1">
        <f t="shared" ref="DZ1" si="44">+DY1+1</f>
        <v>94</v>
      </c>
      <c r="EA1" s="1">
        <f t="shared" ref="EA1" si="45">+DZ1+1</f>
        <v>95</v>
      </c>
      <c r="EB1" s="1">
        <f t="shared" ref="EB1" si="46">+EA1+1</f>
        <v>96</v>
      </c>
      <c r="EC1" s="1">
        <f t="shared" ref="EC1" si="47">+EB1+1</f>
        <v>97</v>
      </c>
      <c r="ED1" s="1">
        <f t="shared" ref="ED1" si="48">+EC1+1</f>
        <v>98</v>
      </c>
      <c r="EE1" s="1">
        <f t="shared" ref="EE1" si="49">+ED1+1</f>
        <v>99</v>
      </c>
      <c r="EF1" s="1">
        <f t="shared" ref="EF1" si="50">+EE1+1</f>
        <v>100</v>
      </c>
      <c r="EG1" s="1">
        <f t="shared" ref="EG1" si="51">+EF1+1</f>
        <v>101</v>
      </c>
      <c r="EH1" s="1">
        <f t="shared" ref="EH1" si="52">+EG1+1</f>
        <v>102</v>
      </c>
      <c r="EI1" s="1">
        <f t="shared" ref="EI1" si="53">+EH1+1</f>
        <v>103</v>
      </c>
      <c r="EJ1" s="1">
        <f t="shared" ref="EJ1" si="54">+EI1+1</f>
        <v>104</v>
      </c>
      <c r="EK1" s="1">
        <f t="shared" ref="EK1" si="55">+EJ1+1</f>
        <v>105</v>
      </c>
      <c r="EL1" s="1">
        <f t="shared" ref="EL1" si="56">+EK1+1</f>
        <v>106</v>
      </c>
      <c r="EM1" s="1">
        <f t="shared" ref="EM1" si="57">+EL1+1</f>
        <v>107</v>
      </c>
      <c r="EN1" s="1">
        <f t="shared" ref="EN1" si="58">+EM1+1</f>
        <v>108</v>
      </c>
      <c r="EO1" s="1">
        <f t="shared" ref="EO1" si="59">+EN1+1</f>
        <v>109</v>
      </c>
      <c r="EP1" s="1">
        <f t="shared" ref="EP1" si="60">+EO1+1</f>
        <v>110</v>
      </c>
      <c r="EQ1" s="1">
        <f t="shared" ref="EQ1" si="61">+EP1+1</f>
        <v>111</v>
      </c>
      <c r="ER1" s="1">
        <f t="shared" ref="ER1" si="62">+EQ1+1</f>
        <v>112</v>
      </c>
      <c r="ES1" s="1">
        <f t="shared" ref="ES1" si="63">+ER1+1</f>
        <v>113</v>
      </c>
      <c r="ET1" s="1">
        <f t="shared" ref="ET1" si="64">+ES1+1</f>
        <v>114</v>
      </c>
      <c r="EU1" s="1">
        <f t="shared" ref="EU1" si="65">+ET1+1</f>
        <v>115</v>
      </c>
      <c r="EV1" s="1">
        <f t="shared" ref="EV1" si="66">+EU1+1</f>
        <v>116</v>
      </c>
      <c r="EW1" s="1">
        <f t="shared" ref="EW1" si="67">+EV1+1</f>
        <v>117</v>
      </c>
      <c r="EX1" s="1">
        <f t="shared" ref="EX1" si="68">+EW1+1</f>
        <v>118</v>
      </c>
      <c r="EY1" s="1">
        <f t="shared" ref="EY1" si="69">+EX1+1</f>
        <v>119</v>
      </c>
      <c r="EZ1" s="1">
        <f t="shared" ref="EZ1" si="70">+EY1+1</f>
        <v>120</v>
      </c>
      <c r="FA1" s="1">
        <f t="shared" ref="FA1" si="71">+EZ1+1</f>
        <v>121</v>
      </c>
      <c r="FB1" s="1">
        <f t="shared" ref="FB1" si="72">+FA1+1</f>
        <v>122</v>
      </c>
      <c r="FC1" s="1">
        <f t="shared" ref="FC1" si="73">+FB1+1</f>
        <v>123</v>
      </c>
      <c r="FD1" s="1">
        <f t="shared" ref="FD1" si="74">+FC1+1</f>
        <v>124</v>
      </c>
      <c r="FE1" s="1">
        <f t="shared" ref="FE1" si="75">+FD1+1</f>
        <v>125</v>
      </c>
      <c r="FF1" s="1">
        <f t="shared" ref="FF1" si="76">+FE1+1</f>
        <v>126</v>
      </c>
      <c r="FG1" s="1">
        <f t="shared" ref="FG1" si="77">+FF1+1</f>
        <v>127</v>
      </c>
      <c r="FH1" s="1">
        <f t="shared" ref="FH1" si="78">+FG1+1</f>
        <v>128</v>
      </c>
      <c r="FI1" s="1">
        <f t="shared" ref="FI1" si="79">+FH1+1</f>
        <v>129</v>
      </c>
      <c r="FJ1" s="1">
        <f t="shared" ref="FJ1" si="80">+FI1+1</f>
        <v>130</v>
      </c>
      <c r="FK1" s="1">
        <f t="shared" ref="FK1" si="81">+FJ1+1</f>
        <v>131</v>
      </c>
      <c r="FL1" s="1">
        <f t="shared" ref="FL1" si="82">+FK1+1</f>
        <v>132</v>
      </c>
      <c r="FM1" s="1">
        <f t="shared" ref="FM1" si="83">+FL1+1</f>
        <v>133</v>
      </c>
      <c r="FN1" s="1">
        <f t="shared" ref="FN1" si="84">+FM1+1</f>
        <v>134</v>
      </c>
      <c r="FO1" s="1">
        <f t="shared" ref="FO1" si="85">+FN1+1</f>
        <v>135</v>
      </c>
      <c r="FP1" s="1">
        <f t="shared" ref="FP1" si="86">+FO1+1</f>
        <v>136</v>
      </c>
      <c r="FQ1" s="1">
        <f t="shared" ref="FQ1" si="87">+FP1+1</f>
        <v>137</v>
      </c>
      <c r="FR1" s="1">
        <f t="shared" ref="FR1" si="88">+FQ1+1</f>
        <v>138</v>
      </c>
      <c r="FS1" s="1">
        <f t="shared" ref="FS1" si="89">+FR1+1</f>
        <v>139</v>
      </c>
      <c r="FT1" s="1">
        <f t="shared" ref="FT1" si="90">+FS1+1</f>
        <v>140</v>
      </c>
      <c r="FU1" s="1">
        <f t="shared" ref="FU1" si="91">+FT1+1</f>
        <v>141</v>
      </c>
      <c r="FV1" s="1">
        <f t="shared" ref="FV1" si="92">+FU1+1</f>
        <v>142</v>
      </c>
      <c r="FW1" s="1">
        <f t="shared" ref="FW1" si="93">+FV1+1</f>
        <v>143</v>
      </c>
      <c r="FX1" s="1">
        <f t="shared" ref="FX1" si="94">+FW1+1</f>
        <v>144</v>
      </c>
      <c r="FY1" s="1">
        <f t="shared" ref="FY1" si="95">+FX1+1</f>
        <v>145</v>
      </c>
      <c r="FZ1" s="1">
        <f t="shared" ref="FZ1" si="96">+FY1+1</f>
        <v>146</v>
      </c>
      <c r="GA1" s="1">
        <f t="shared" ref="GA1" si="97">+FZ1+1</f>
        <v>147</v>
      </c>
      <c r="GB1" s="1">
        <f t="shared" ref="GB1" si="98">+GA1+1</f>
        <v>148</v>
      </c>
      <c r="GC1" s="1">
        <f t="shared" ref="GC1" si="99">+GB1+1</f>
        <v>149</v>
      </c>
      <c r="GD1" s="1">
        <f t="shared" ref="GD1" si="100">+GC1+1</f>
        <v>150</v>
      </c>
      <c r="GE1" s="1">
        <f t="shared" ref="GE1" si="101">+GD1+1</f>
        <v>151</v>
      </c>
      <c r="GF1" s="1">
        <f t="shared" ref="GF1" si="102">+GE1+1</f>
        <v>152</v>
      </c>
      <c r="GG1" s="1">
        <f t="shared" ref="GG1" si="103">+GF1+1</f>
        <v>153</v>
      </c>
      <c r="GH1" s="1">
        <f t="shared" ref="GH1" si="104">+GG1+1</f>
        <v>154</v>
      </c>
      <c r="GI1" s="1">
        <f t="shared" ref="GI1" si="105">+GH1+1</f>
        <v>155</v>
      </c>
      <c r="GJ1" s="1">
        <f t="shared" ref="GJ1" si="106">+GI1+1</f>
        <v>156</v>
      </c>
      <c r="GK1" s="1">
        <f t="shared" ref="GK1" si="107">+GJ1+1</f>
        <v>157</v>
      </c>
      <c r="GL1" s="1">
        <f t="shared" ref="GL1" si="108">+GK1+1</f>
        <v>158</v>
      </c>
      <c r="GM1" s="1">
        <f t="shared" ref="GM1" si="109">+GL1+1</f>
        <v>159</v>
      </c>
      <c r="GN1" s="1">
        <f t="shared" ref="GN1" si="110">+GM1+1</f>
        <v>160</v>
      </c>
      <c r="GO1" s="1">
        <f t="shared" ref="GO1" si="111">+GN1+1</f>
        <v>161</v>
      </c>
      <c r="GP1" s="1">
        <f t="shared" ref="GP1" si="112">+GO1+1</f>
        <v>162</v>
      </c>
      <c r="GQ1" s="1">
        <f t="shared" ref="GQ1" si="113">+GP1+1</f>
        <v>163</v>
      </c>
      <c r="GR1" s="1">
        <f t="shared" ref="GR1" si="114">+GQ1+1</f>
        <v>164</v>
      </c>
      <c r="GS1" s="1">
        <f t="shared" ref="GS1" si="115">+GR1+1</f>
        <v>165</v>
      </c>
      <c r="GT1" s="1">
        <f t="shared" ref="GT1" si="116">+GS1+1</f>
        <v>166</v>
      </c>
      <c r="GU1" s="1">
        <f t="shared" ref="GU1" si="117">+GT1+1</f>
        <v>167</v>
      </c>
      <c r="GV1" s="1">
        <f t="shared" ref="GV1" si="118">+GU1+1</f>
        <v>168</v>
      </c>
      <c r="GW1" s="1">
        <f t="shared" ref="GW1" si="119">+GV1+1</f>
        <v>169</v>
      </c>
      <c r="GX1" s="1">
        <f t="shared" ref="GX1" si="120">+GW1+1</f>
        <v>170</v>
      </c>
      <c r="GY1" s="1">
        <f t="shared" ref="GY1" si="121">+GX1+1</f>
        <v>171</v>
      </c>
      <c r="GZ1" s="1">
        <f t="shared" ref="GZ1" si="122">+GY1+1</f>
        <v>172</v>
      </c>
      <c r="HA1" s="1">
        <f t="shared" ref="HA1" si="123">+GZ1+1</f>
        <v>173</v>
      </c>
      <c r="HB1" s="1">
        <f t="shared" ref="HB1" si="124">+HA1+1</f>
        <v>174</v>
      </c>
      <c r="HC1" s="1">
        <f t="shared" ref="HC1" si="125">+HB1+1</f>
        <v>175</v>
      </c>
      <c r="HD1" s="1">
        <f t="shared" ref="HD1" si="126">+HC1+1</f>
        <v>176</v>
      </c>
      <c r="HE1" s="1">
        <f t="shared" ref="HE1" si="127">+HD1+1</f>
        <v>177</v>
      </c>
      <c r="HF1" s="1">
        <f t="shared" ref="HF1" si="128">+HE1+1</f>
        <v>178</v>
      </c>
      <c r="HG1" s="1">
        <f t="shared" ref="HG1" si="129">+HF1+1</f>
        <v>179</v>
      </c>
      <c r="HH1" s="1">
        <f t="shared" ref="HH1" si="130">+HG1+1</f>
        <v>180</v>
      </c>
      <c r="HI1" s="1">
        <f t="shared" ref="HI1" si="131">+HH1+1</f>
        <v>181</v>
      </c>
      <c r="HJ1" s="1">
        <f t="shared" ref="HJ1" si="132">+HI1+1</f>
        <v>182</v>
      </c>
      <c r="HK1" s="1">
        <f t="shared" ref="HK1" si="133">+HJ1+1</f>
        <v>183</v>
      </c>
      <c r="HL1" s="1">
        <f t="shared" ref="HL1" si="134">+HK1+1</f>
        <v>184</v>
      </c>
      <c r="HM1" s="1">
        <f t="shared" ref="HM1" si="135">+HL1+1</f>
        <v>185</v>
      </c>
      <c r="HN1" s="1">
        <f t="shared" ref="HN1" si="136">+HM1+1</f>
        <v>186</v>
      </c>
      <c r="HO1" s="1">
        <f t="shared" ref="HO1" si="137">+HN1+1</f>
        <v>187</v>
      </c>
      <c r="HP1" s="1">
        <f t="shared" ref="HP1" si="138">+HO1+1</f>
        <v>188</v>
      </c>
      <c r="HQ1" s="1">
        <f t="shared" ref="HQ1" si="139">+HP1+1</f>
        <v>189</v>
      </c>
      <c r="HR1" s="1">
        <f t="shared" ref="HR1" si="140">+HQ1+1</f>
        <v>190</v>
      </c>
      <c r="HS1" s="1">
        <f t="shared" ref="HS1" si="141">+HR1+1</f>
        <v>191</v>
      </c>
      <c r="HT1" s="1">
        <f t="shared" ref="HT1" si="142">+HS1+1</f>
        <v>192</v>
      </c>
      <c r="HU1" s="1">
        <f t="shared" ref="HU1" si="143">+HT1+1</f>
        <v>193</v>
      </c>
      <c r="HV1" s="1">
        <f t="shared" ref="HV1" si="144">+HU1+1</f>
        <v>194</v>
      </c>
      <c r="HW1" s="1">
        <f t="shared" ref="HW1" si="145">+HV1+1</f>
        <v>195</v>
      </c>
      <c r="HX1" s="1">
        <f t="shared" ref="HX1" si="146">+HW1+1</f>
        <v>196</v>
      </c>
      <c r="HY1" s="1">
        <f t="shared" ref="HY1" si="147">+HX1+1</f>
        <v>197</v>
      </c>
      <c r="HZ1" s="1">
        <f t="shared" ref="HZ1" si="148">+HY1+1</f>
        <v>198</v>
      </c>
      <c r="IA1" s="1">
        <f t="shared" ref="IA1" si="149">+HZ1+1</f>
        <v>199</v>
      </c>
      <c r="IB1" s="1">
        <f t="shared" ref="IB1" si="150">+IA1+1</f>
        <v>200</v>
      </c>
    </row>
    <row r="2" spans="2:236" s="9" customFormat="1">
      <c r="C2" s="9" t="s">
        <v>10</v>
      </c>
      <c r="D2" s="9" t="s">
        <v>11</v>
      </c>
      <c r="E2" s="9" t="s">
        <v>12</v>
      </c>
      <c r="F2" s="9" t="s">
        <v>13</v>
      </c>
      <c r="G2" s="9" t="s">
        <v>23</v>
      </c>
      <c r="H2" s="9" t="s">
        <v>24</v>
      </c>
      <c r="I2" s="9" t="s">
        <v>25</v>
      </c>
      <c r="J2" s="9" t="s">
        <v>26</v>
      </c>
      <c r="K2" s="9" t="s">
        <v>44</v>
      </c>
      <c r="L2" s="9" t="s">
        <v>45</v>
      </c>
      <c r="M2" s="9" t="s">
        <v>46</v>
      </c>
      <c r="N2" s="9" t="s">
        <v>47</v>
      </c>
      <c r="R2" s="9">
        <v>2015</v>
      </c>
      <c r="S2" s="9">
        <f>+R2+1</f>
        <v>2016</v>
      </c>
      <c r="T2" s="9">
        <f t="shared" ref="T2:AJ2" si="151">+S2+1</f>
        <v>2017</v>
      </c>
      <c r="U2" s="9">
        <f t="shared" si="151"/>
        <v>2018</v>
      </c>
      <c r="V2" s="9">
        <f t="shared" si="151"/>
        <v>2019</v>
      </c>
      <c r="W2" s="9">
        <f t="shared" si="151"/>
        <v>2020</v>
      </c>
      <c r="X2" s="9">
        <f t="shared" si="151"/>
        <v>2021</v>
      </c>
      <c r="Y2" s="9">
        <f t="shared" si="151"/>
        <v>2022</v>
      </c>
      <c r="Z2" s="9">
        <f t="shared" si="151"/>
        <v>2023</v>
      </c>
      <c r="AA2" s="9">
        <f t="shared" si="151"/>
        <v>2024</v>
      </c>
      <c r="AB2" s="9">
        <f t="shared" si="151"/>
        <v>2025</v>
      </c>
      <c r="AC2" s="9">
        <f t="shared" si="151"/>
        <v>2026</v>
      </c>
      <c r="AD2" s="9">
        <f t="shared" si="151"/>
        <v>2027</v>
      </c>
      <c r="AE2" s="9">
        <f t="shared" si="151"/>
        <v>2028</v>
      </c>
      <c r="AF2" s="9">
        <f t="shared" si="151"/>
        <v>2029</v>
      </c>
      <c r="AG2" s="9">
        <f t="shared" si="151"/>
        <v>2030</v>
      </c>
      <c r="AH2" s="9">
        <f t="shared" si="151"/>
        <v>2031</v>
      </c>
      <c r="AI2" s="9">
        <f t="shared" si="151"/>
        <v>2032</v>
      </c>
      <c r="AJ2" s="9">
        <f t="shared" si="151"/>
        <v>2033</v>
      </c>
    </row>
    <row r="3" spans="2:236" s="9" customFormat="1"/>
    <row r="4" spans="2:236" s="9" customFormat="1"/>
    <row r="5" spans="2:236">
      <c r="B5" s="1" t="s">
        <v>14</v>
      </c>
      <c r="C5" s="1">
        <v>3341.596</v>
      </c>
      <c r="D5" s="1">
        <v>3236.5149999999999</v>
      </c>
      <c r="E5" s="1">
        <v>3301.221</v>
      </c>
      <c r="F5" s="1">
        <f>+Z5-SUM(C5:E5)</f>
        <v>3777.4009999999998</v>
      </c>
      <c r="G5" s="1">
        <v>5898.9380000000001</v>
      </c>
      <c r="H5" s="1">
        <v>6125.3819999999996</v>
      </c>
      <c r="I5" s="1">
        <v>6153.2870000000003</v>
      </c>
      <c r="J5" s="1">
        <f>+F5*1.8</f>
        <v>6799.3217999999997</v>
      </c>
      <c r="K5" s="1">
        <v>7278.5360000000001</v>
      </c>
      <c r="L5" s="1">
        <v>9476.7389999999996</v>
      </c>
      <c r="Y5" s="1">
        <v>9580.1890000000003</v>
      </c>
      <c r="Z5" s="1">
        <v>13656.733</v>
      </c>
      <c r="AA5" s="1">
        <f>SUM(G5:J5)</f>
        <v>24976.928800000002</v>
      </c>
      <c r="AB5" s="1">
        <f>+AA5*1.4</f>
        <v>34967.700319999996</v>
      </c>
      <c r="AC5" s="1">
        <f>+AB5*1.2</f>
        <v>41961.240383999997</v>
      </c>
      <c r="AD5" s="1">
        <f t="shared" ref="AD5:AJ5" si="152">+AC5*1.2</f>
        <v>50353.488460799992</v>
      </c>
      <c r="AE5" s="1">
        <f t="shared" si="152"/>
        <v>60424.186152959985</v>
      </c>
      <c r="AF5" s="1">
        <f t="shared" si="152"/>
        <v>72509.023383551976</v>
      </c>
      <c r="AG5" s="1">
        <f t="shared" si="152"/>
        <v>87010.828060262371</v>
      </c>
      <c r="AH5" s="1">
        <f t="shared" si="152"/>
        <v>104412.99367231484</v>
      </c>
      <c r="AI5" s="1">
        <f t="shared" si="152"/>
        <v>125295.59240677781</v>
      </c>
      <c r="AJ5" s="1">
        <f t="shared" si="152"/>
        <v>150354.71088813336</v>
      </c>
      <c r="AK5" s="1">
        <f t="shared" ref="AK5" si="153">+AJ5*1.2</f>
        <v>180425.65306576001</v>
      </c>
    </row>
    <row r="6" spans="2:236">
      <c r="B6" s="1" t="s">
        <v>3</v>
      </c>
      <c r="C6" s="1">
        <v>2475.9969999999998</v>
      </c>
      <c r="D6" s="1">
        <v>2442.9319999999998</v>
      </c>
      <c r="E6" s="1">
        <v>2195.2890000000002</v>
      </c>
      <c r="F6" s="1">
        <f t="shared" ref="F6:F14" si="154">+Z6-SUM(C6:E6)</f>
        <v>2577.4789999999994</v>
      </c>
      <c r="G6" s="1">
        <v>3060.701</v>
      </c>
      <c r="H6" s="1">
        <v>2596.027</v>
      </c>
      <c r="I6" s="1">
        <v>3155.931</v>
      </c>
      <c r="J6" s="1">
        <f>+J$5*(I6/I$5)</f>
        <v>3487.2728100600216</v>
      </c>
      <c r="K6" s="1">
        <v>3030.8290000000002</v>
      </c>
      <c r="L6" s="1">
        <v>3459.2150000000001</v>
      </c>
      <c r="Y6" s="1">
        <v>8026.268</v>
      </c>
      <c r="Z6" s="1">
        <v>9691.6970000000001</v>
      </c>
      <c r="AA6" s="1">
        <f t="shared" ref="AA6:AA14" si="155">SUM(G6:J6)</f>
        <v>12299.931810060021</v>
      </c>
      <c r="AB6" s="1">
        <f>+AB$5*(AA6/AA$5)</f>
        <v>17219.904534084028</v>
      </c>
      <c r="AC6" s="1">
        <f t="shared" ref="AC6:AK6" si="156">+AC$5*(AB6/AB$5)</f>
        <v>20663.885440900835</v>
      </c>
      <c r="AD6" s="1">
        <f t="shared" si="156"/>
        <v>24796.662529081001</v>
      </c>
      <c r="AE6" s="1">
        <f t="shared" si="156"/>
        <v>29755.995034897198</v>
      </c>
      <c r="AF6" s="1">
        <f t="shared" si="156"/>
        <v>35707.194041876639</v>
      </c>
      <c r="AG6" s="1">
        <f t="shared" si="156"/>
        <v>42848.632850251968</v>
      </c>
      <c r="AH6" s="1">
        <f t="shared" si="156"/>
        <v>51418.35942030236</v>
      </c>
      <c r="AI6" s="1">
        <f t="shared" si="156"/>
        <v>61702.031304362834</v>
      </c>
      <c r="AJ6" s="1">
        <f t="shared" si="156"/>
        <v>74042.437565235392</v>
      </c>
      <c r="AK6" s="1">
        <f t="shared" si="156"/>
        <v>88850.925078282467</v>
      </c>
    </row>
    <row r="7" spans="2:236">
      <c r="B7" s="1" t="s">
        <v>15</v>
      </c>
      <c r="C7" s="1">
        <f>+C5-C6</f>
        <v>865.59900000000016</v>
      </c>
      <c r="D7" s="1">
        <f>+D5-D6</f>
        <v>793.58300000000008</v>
      </c>
      <c r="E7" s="1">
        <f>+E5-E6</f>
        <v>1105.9319999999998</v>
      </c>
      <c r="F7" s="1">
        <f t="shared" si="154"/>
        <v>1199.922</v>
      </c>
      <c r="G7" s="1">
        <f t="shared" ref="G7:L7" si="157">+G5-G6</f>
        <v>2838.2370000000001</v>
      </c>
      <c r="H7" s="1">
        <f t="shared" si="157"/>
        <v>3529.3549999999996</v>
      </c>
      <c r="I7" s="1">
        <f t="shared" si="157"/>
        <v>2997.3560000000002</v>
      </c>
      <c r="J7" s="1">
        <f t="shared" si="157"/>
        <v>3312.0489899399781</v>
      </c>
      <c r="K7" s="1">
        <f t="shared" si="157"/>
        <v>4247.7070000000003</v>
      </c>
      <c r="L7" s="1">
        <f t="shared" si="157"/>
        <v>6017.5239999999994</v>
      </c>
      <c r="Y7" s="1">
        <f>+Y5-Y6</f>
        <v>1553.9210000000003</v>
      </c>
      <c r="Z7" s="1">
        <f>+Z5-Z6</f>
        <v>3965.0360000000001</v>
      </c>
      <c r="AA7" s="1">
        <f t="shared" si="155"/>
        <v>12676.996989939978</v>
      </c>
      <c r="AB7" s="1">
        <f>+AB5-AB6</f>
        <v>17747.795785915969</v>
      </c>
      <c r="AC7" s="1">
        <f t="shared" ref="AC7:AJ7" si="158">+AC5-AC6</f>
        <v>21297.354943099162</v>
      </c>
      <c r="AD7" s="1">
        <f t="shared" si="158"/>
        <v>25556.825931718991</v>
      </c>
      <c r="AE7" s="1">
        <f t="shared" si="158"/>
        <v>30668.191118062787</v>
      </c>
      <c r="AF7" s="1">
        <f t="shared" si="158"/>
        <v>36801.829341675337</v>
      </c>
      <c r="AG7" s="1">
        <f t="shared" si="158"/>
        <v>44162.195210010403</v>
      </c>
      <c r="AH7" s="1">
        <f t="shared" si="158"/>
        <v>52994.634252012482</v>
      </c>
      <c r="AI7" s="1">
        <f t="shared" si="158"/>
        <v>63593.561102414977</v>
      </c>
      <c r="AJ7" s="1">
        <f t="shared" si="158"/>
        <v>76312.273322897963</v>
      </c>
      <c r="AK7" s="1">
        <f t="shared" ref="AK7" si="159">+AK5-AK6</f>
        <v>91574.727987477541</v>
      </c>
    </row>
    <row r="8" spans="2:236">
      <c r="B8" s="1" t="s">
        <v>16</v>
      </c>
      <c r="C8" s="1">
        <v>273.44200000000001</v>
      </c>
      <c r="D8" s="1">
        <v>207.369</v>
      </c>
      <c r="E8" s="1">
        <v>435.43900000000002</v>
      </c>
      <c r="F8" s="1">
        <f t="shared" si="154"/>
        <v>606.971</v>
      </c>
      <c r="G8" s="1">
        <v>267.84800000000001</v>
      </c>
      <c r="H8" s="1">
        <v>620.05600000000004</v>
      </c>
      <c r="I8" s="1">
        <v>1185.46</v>
      </c>
      <c r="J8" s="1">
        <f>+J$5*(I8/I$5)</f>
        <v>1309.9216761753514</v>
      </c>
      <c r="K8" s="1">
        <v>1371.433</v>
      </c>
      <c r="L8" s="1">
        <v>2244.761</v>
      </c>
      <c r="Y8" s="1">
        <v>2110.1370000000002</v>
      </c>
      <c r="Z8" s="1">
        <v>1523.221</v>
      </c>
      <c r="AA8" s="1">
        <f t="shared" si="155"/>
        <v>3383.2856761753515</v>
      </c>
      <c r="AB8" s="1">
        <f>+AB$5*(AA8/AA$5)</f>
        <v>4736.5999466454914</v>
      </c>
      <c r="AC8" s="1">
        <f t="shared" ref="AC8:AK8" si="160">+AC$5*(AB8/AB$5)</f>
        <v>5683.9199359745899</v>
      </c>
      <c r="AD8" s="1">
        <f t="shared" si="160"/>
        <v>6820.703923169508</v>
      </c>
      <c r="AE8" s="1">
        <f t="shared" si="160"/>
        <v>8184.8447078034087</v>
      </c>
      <c r="AF8" s="1">
        <f t="shared" si="160"/>
        <v>9821.8136493640886</v>
      </c>
      <c r="AG8" s="1">
        <f t="shared" si="160"/>
        <v>11786.176379236907</v>
      </c>
      <c r="AH8" s="1">
        <f t="shared" si="160"/>
        <v>14143.411655084288</v>
      </c>
      <c r="AI8" s="1">
        <f t="shared" si="160"/>
        <v>16972.093986101147</v>
      </c>
      <c r="AJ8" s="1">
        <f t="shared" si="160"/>
        <v>20366.512783321374</v>
      </c>
      <c r="AK8" s="1">
        <f t="shared" si="160"/>
        <v>24439.815339985646</v>
      </c>
    </row>
    <row r="9" spans="2:236">
      <c r="B9" s="1" t="s">
        <v>17</v>
      </c>
      <c r="C9" s="1">
        <v>68.911000000000001</v>
      </c>
      <c r="D9" s="1">
        <v>55.567999999999998</v>
      </c>
      <c r="E9" s="1">
        <v>58.997999999999998</v>
      </c>
      <c r="F9" s="1">
        <f t="shared" si="154"/>
        <v>72.102000000000004</v>
      </c>
      <c r="G9" s="1">
        <v>109.1</v>
      </c>
      <c r="H9" s="1">
        <v>90.313000000000002</v>
      </c>
      <c r="I9" s="1">
        <v>92.966999999999999</v>
      </c>
      <c r="J9" s="1">
        <f>+J$5*(I9/I$5)</f>
        <v>102.72762342803121</v>
      </c>
      <c r="K9" s="1">
        <v>264.745</v>
      </c>
      <c r="L9" s="1">
        <v>268.214</v>
      </c>
      <c r="Y9" s="1">
        <v>322.77499999999998</v>
      </c>
      <c r="Z9" s="1">
        <v>255.57900000000001</v>
      </c>
      <c r="AA9" s="1">
        <f t="shared" si="155"/>
        <v>395.10762342803122</v>
      </c>
      <c r="AB9" s="1">
        <f>+AB$5*(AA9/AA$5)</f>
        <v>553.15067279924369</v>
      </c>
      <c r="AC9" s="1">
        <f t="shared" ref="AC9:AK9" si="161">+AC$5*(AB9/AB$5)</f>
        <v>663.78080735909236</v>
      </c>
      <c r="AD9" s="1">
        <f t="shared" si="161"/>
        <v>796.53696883091084</v>
      </c>
      <c r="AE9" s="1">
        <f t="shared" si="161"/>
        <v>955.84436259709287</v>
      </c>
      <c r="AF9" s="1">
        <f t="shared" si="161"/>
        <v>1147.0132351165114</v>
      </c>
      <c r="AG9" s="1">
        <f t="shared" si="161"/>
        <v>1376.4158821398137</v>
      </c>
      <c r="AH9" s="1">
        <f t="shared" si="161"/>
        <v>1651.6990585677763</v>
      </c>
      <c r="AI9" s="1">
        <f t="shared" si="161"/>
        <v>1982.0388702813316</v>
      </c>
      <c r="AJ9" s="1">
        <f t="shared" si="161"/>
        <v>2378.4466443375977</v>
      </c>
      <c r="AK9" s="1">
        <f t="shared" si="161"/>
        <v>2854.1359732051169</v>
      </c>
    </row>
    <row r="10" spans="2:236">
      <c r="B10" s="1" t="s">
        <v>18</v>
      </c>
      <c r="C10" s="1">
        <v>240.80500000000001</v>
      </c>
      <c r="D10" s="1">
        <v>123.238</v>
      </c>
      <c r="E10" s="1">
        <v>80.855999999999995</v>
      </c>
      <c r="F10" s="1">
        <f t="shared" si="154"/>
        <v>111.86699999999996</v>
      </c>
      <c r="G10" s="1">
        <v>154.244</v>
      </c>
      <c r="H10" s="1">
        <v>84.981999999999999</v>
      </c>
      <c r="I10" s="1">
        <v>81.662999999999997</v>
      </c>
      <c r="J10" s="1">
        <f>+J$5*(I10/I$5)</f>
        <v>90.23681426746387</v>
      </c>
      <c r="K10" s="1">
        <v>183.738</v>
      </c>
      <c r="L10" s="1">
        <v>153.26</v>
      </c>
      <c r="Y10" s="1">
        <v>375.00200000000001</v>
      </c>
      <c r="Z10" s="1">
        <v>556.76599999999996</v>
      </c>
      <c r="AA10" s="1">
        <f t="shared" si="155"/>
        <v>411.12581426746385</v>
      </c>
      <c r="AB10" s="1">
        <f>+AB$5*(AA10/AA$5)</f>
        <v>575.57613997444935</v>
      </c>
      <c r="AC10" s="1">
        <f t="shared" ref="AC10:AK10" si="162">+AC$5*(AB10/AB$5)</f>
        <v>690.69136796933924</v>
      </c>
      <c r="AD10" s="1">
        <f t="shared" si="162"/>
        <v>828.82964156320702</v>
      </c>
      <c r="AE10" s="1">
        <f t="shared" si="162"/>
        <v>994.59556987584835</v>
      </c>
      <c r="AF10" s="1">
        <f t="shared" si="162"/>
        <v>1193.5146838510179</v>
      </c>
      <c r="AG10" s="1">
        <f t="shared" si="162"/>
        <v>1432.2176206212214</v>
      </c>
      <c r="AH10" s="1">
        <f t="shared" si="162"/>
        <v>1718.6611447454657</v>
      </c>
      <c r="AI10" s="1">
        <f t="shared" si="162"/>
        <v>2062.3933736945587</v>
      </c>
      <c r="AJ10" s="1">
        <f t="shared" si="162"/>
        <v>2474.8720484334704</v>
      </c>
      <c r="AK10" s="1">
        <f t="shared" si="162"/>
        <v>2969.8464581201642</v>
      </c>
    </row>
    <row r="11" spans="2:236">
      <c r="B11" s="1" t="s">
        <v>19</v>
      </c>
      <c r="C11" s="1">
        <v>263.298</v>
      </c>
      <c r="D11" s="1">
        <v>123.765</v>
      </c>
      <c r="E11" s="1">
        <v>117.178</v>
      </c>
      <c r="F11" s="1">
        <f t="shared" si="154"/>
        <v>125.88499999999999</v>
      </c>
      <c r="G11" s="1">
        <v>160.66300000000001</v>
      </c>
      <c r="H11" s="1">
        <v>179.45599999999999</v>
      </c>
      <c r="I11" s="1">
        <v>203.732</v>
      </c>
      <c r="J11" s="1">
        <f>+J$5*(I11/I$5)</f>
        <v>225.12186234082691</v>
      </c>
      <c r="K11" s="1">
        <v>237.018</v>
      </c>
      <c r="L11" s="1">
        <v>223.73500000000001</v>
      </c>
      <c r="Y11" s="1">
        <v>1229.6030000000001</v>
      </c>
      <c r="Z11" s="1">
        <v>630.12599999999998</v>
      </c>
      <c r="AA11" s="1">
        <f t="shared" si="155"/>
        <v>768.97286234082685</v>
      </c>
      <c r="AB11" s="1">
        <f>+AB$5*(AA11/AA$5)</f>
        <v>1076.5620072771574</v>
      </c>
      <c r="AC11" s="1">
        <f t="shared" ref="AC11:AK11" si="163">+AC$5*(AB11/AB$5)</f>
        <v>1291.874408732589</v>
      </c>
      <c r="AD11" s="1">
        <f t="shared" si="163"/>
        <v>1550.2492904791068</v>
      </c>
      <c r="AE11" s="1">
        <f t="shared" si="163"/>
        <v>1860.2991485749278</v>
      </c>
      <c r="AF11" s="1">
        <f t="shared" si="163"/>
        <v>2232.3589782899135</v>
      </c>
      <c r="AG11" s="1">
        <f t="shared" si="163"/>
        <v>2678.8307739478964</v>
      </c>
      <c r="AH11" s="1">
        <f t="shared" si="163"/>
        <v>3214.596928737476</v>
      </c>
      <c r="AI11" s="1">
        <f t="shared" si="163"/>
        <v>3857.5163144849712</v>
      </c>
      <c r="AJ11" s="1">
        <f t="shared" si="163"/>
        <v>4629.0195773819651</v>
      </c>
      <c r="AK11" s="1">
        <f t="shared" si="163"/>
        <v>5554.8234928583579</v>
      </c>
    </row>
    <row r="12" spans="2:236">
      <c r="B12" s="1" t="s">
        <v>20</v>
      </c>
      <c r="C12" s="1">
        <f>+C7-SUM(C8:C11)</f>
        <v>19.143000000000143</v>
      </c>
      <c r="D12" s="1">
        <f>+D7-SUM(D8:D11)</f>
        <v>283.64300000000009</v>
      </c>
      <c r="E12" s="1">
        <f>+E7-SUM(E8:E11)</f>
        <v>413.46099999999979</v>
      </c>
      <c r="F12" s="1">
        <f t="shared" si="154"/>
        <v>283.09699999999998</v>
      </c>
      <c r="G12" s="1">
        <f t="shared" ref="G12:L12" si="164">+G7-SUM(G8:G11)</f>
        <v>2146.3820000000001</v>
      </c>
      <c r="H12" s="1">
        <f t="shared" si="164"/>
        <v>2554.5479999999998</v>
      </c>
      <c r="I12" s="1">
        <f t="shared" si="164"/>
        <v>1433.5340000000001</v>
      </c>
      <c r="J12" s="1">
        <f t="shared" si="164"/>
        <v>1584.0410137283047</v>
      </c>
      <c r="K12" s="1">
        <f t="shared" si="164"/>
        <v>2190.7730000000006</v>
      </c>
      <c r="L12" s="1">
        <f t="shared" si="164"/>
        <v>3127.5539999999996</v>
      </c>
      <c r="Y12" s="1">
        <f>+Y7-SUM(Y8:Y11)</f>
        <v>-2483.596</v>
      </c>
      <c r="Z12" s="1">
        <f>+Z7-SUM(Z8:Z11)</f>
        <v>999.34400000000005</v>
      </c>
      <c r="AA12" s="1">
        <f t="shared" si="155"/>
        <v>7718.5050137283051</v>
      </c>
      <c r="AB12" s="1">
        <f>+AB7-SUM(AB8:AB11)</f>
        <v>10805.907019219627</v>
      </c>
      <c r="AC12" s="1">
        <f t="shared" ref="AC12:AJ12" si="165">+AC7-SUM(AC8:AC11)</f>
        <v>12967.088423063553</v>
      </c>
      <c r="AD12" s="1">
        <f t="shared" si="165"/>
        <v>15560.506107676258</v>
      </c>
      <c r="AE12" s="1">
        <f t="shared" si="165"/>
        <v>18672.607329211511</v>
      </c>
      <c r="AF12" s="1">
        <f t="shared" si="165"/>
        <v>22407.128795053806</v>
      </c>
      <c r="AG12" s="1">
        <f t="shared" si="165"/>
        <v>26888.554554064565</v>
      </c>
      <c r="AH12" s="1">
        <f t="shared" si="165"/>
        <v>32266.265464877477</v>
      </c>
      <c r="AI12" s="1">
        <f t="shared" si="165"/>
        <v>38719.518557852964</v>
      </c>
      <c r="AJ12" s="1">
        <f t="shared" si="165"/>
        <v>46463.422269423558</v>
      </c>
      <c r="AK12" s="1">
        <f t="shared" ref="AK12" si="166">+AK7-SUM(AK8:AK11)</f>
        <v>55756.106723308258</v>
      </c>
    </row>
    <row r="13" spans="2:236">
      <c r="B13" s="1" t="s">
        <v>21</v>
      </c>
      <c r="C13" s="1">
        <v>-31.163</v>
      </c>
      <c r="D13" s="1">
        <v>-5.8319999999999999</v>
      </c>
      <c r="E13" s="1">
        <v>-0.47799999999999998</v>
      </c>
      <c r="F13" s="1">
        <f t="shared" si="154"/>
        <v>-23.606000000000002</v>
      </c>
      <c r="G13" s="1">
        <v>-13.840999999999999</v>
      </c>
      <c r="H13" s="1">
        <v>-39.326000000000001</v>
      </c>
      <c r="I13" s="1">
        <v>-549.97400000000005</v>
      </c>
      <c r="J13" s="1">
        <f>+AVERAGE(G13:I13)</f>
        <v>-201.04700000000003</v>
      </c>
      <c r="K13" s="1">
        <v>-185.39500000000001</v>
      </c>
      <c r="L13" s="1">
        <f>+-220.409</f>
        <v>-220.40899999999999</v>
      </c>
      <c r="Y13" s="1">
        <v>78.855000000000004</v>
      </c>
      <c r="Z13" s="1">
        <v>-61.079000000000001</v>
      </c>
      <c r="AA13" s="1">
        <f t="shared" si="155"/>
        <v>-804.1880000000001</v>
      </c>
      <c r="AB13" s="1">
        <v>-200</v>
      </c>
      <c r="AC13" s="1">
        <v>-200</v>
      </c>
      <c r="AD13" s="1">
        <v>-200</v>
      </c>
      <c r="AE13" s="1">
        <v>-200</v>
      </c>
      <c r="AF13" s="1">
        <v>-200</v>
      </c>
      <c r="AG13" s="1">
        <v>-200</v>
      </c>
      <c r="AH13" s="1">
        <v>-200</v>
      </c>
      <c r="AI13" s="1">
        <v>-200</v>
      </c>
      <c r="AJ13" s="1">
        <v>-200</v>
      </c>
      <c r="AK13" s="1">
        <v>-200</v>
      </c>
    </row>
    <row r="14" spans="2:236" s="5" customFormat="1">
      <c r="B14" s="5" t="s">
        <v>22</v>
      </c>
      <c r="C14" s="5">
        <f>+C12-C13</f>
        <v>50.306000000000139</v>
      </c>
      <c r="D14" s="5">
        <f>+D12-D13</f>
        <v>289.47500000000008</v>
      </c>
      <c r="E14" s="5">
        <f>+E12-E13</f>
        <v>413.93899999999979</v>
      </c>
      <c r="F14" s="5">
        <f t="shared" si="154"/>
        <v>306.70299999999997</v>
      </c>
      <c r="G14" s="5">
        <f t="shared" ref="G14:L14" si="167">+G12-G13</f>
        <v>2160.223</v>
      </c>
      <c r="H14" s="5">
        <f t="shared" si="167"/>
        <v>2593.8739999999998</v>
      </c>
      <c r="I14" s="5">
        <f t="shared" si="167"/>
        <v>1983.5080000000003</v>
      </c>
      <c r="J14" s="5">
        <f t="shared" si="167"/>
        <v>1785.0880137283048</v>
      </c>
      <c r="K14" s="5">
        <f t="shared" si="167"/>
        <v>2376.1680000000006</v>
      </c>
      <c r="L14" s="5">
        <f t="shared" si="167"/>
        <v>3347.9629999999997</v>
      </c>
      <c r="Y14" s="5">
        <f>+Y12-Y13</f>
        <v>-2562.451</v>
      </c>
      <c r="Z14" s="5">
        <f>+Z12-Z13</f>
        <v>1060.423</v>
      </c>
      <c r="AA14" s="1">
        <f t="shared" si="155"/>
        <v>8522.6930137283052</v>
      </c>
      <c r="AB14" s="5">
        <f>+AB12-AB13</f>
        <v>11005.907019219627</v>
      </c>
      <c r="AC14" s="5">
        <f t="shared" ref="AC14:AJ14" si="168">+AC12-AC13</f>
        <v>13167.088423063553</v>
      </c>
      <c r="AD14" s="5">
        <f t="shared" si="168"/>
        <v>15760.506107676258</v>
      </c>
      <c r="AE14" s="5">
        <f t="shared" si="168"/>
        <v>18872.607329211511</v>
      </c>
      <c r="AF14" s="5">
        <f t="shared" si="168"/>
        <v>22607.128795053806</v>
      </c>
      <c r="AG14" s="5">
        <f t="shared" si="168"/>
        <v>27088.554554064565</v>
      </c>
      <c r="AH14" s="5">
        <f t="shared" si="168"/>
        <v>32466.265464877477</v>
      </c>
      <c r="AI14" s="5">
        <f t="shared" si="168"/>
        <v>38919.518557852964</v>
      </c>
      <c r="AJ14" s="5">
        <f t="shared" si="168"/>
        <v>46663.422269423558</v>
      </c>
      <c r="AK14" s="5">
        <f t="shared" ref="AK14" si="169">+AK12-AK13</f>
        <v>55956.106723308258</v>
      </c>
      <c r="AL14" s="5">
        <f t="shared" ref="AL14:BQ14" si="170">+AK14*(1+$AM$18)</f>
        <v>56515.667790541338</v>
      </c>
      <c r="AM14" s="5">
        <f t="shared" si="170"/>
        <v>57080.82446844675</v>
      </c>
      <c r="AN14" s="5">
        <f t="shared" si="170"/>
        <v>57651.632713131221</v>
      </c>
      <c r="AO14" s="5">
        <f t="shared" si="170"/>
        <v>58228.149040262535</v>
      </c>
      <c r="AP14" s="5">
        <f t="shared" si="170"/>
        <v>58810.430530665159</v>
      </c>
      <c r="AQ14" s="5">
        <f t="shared" si="170"/>
        <v>59398.534835971812</v>
      </c>
      <c r="AR14" s="5">
        <f t="shared" si="170"/>
        <v>59992.52018433153</v>
      </c>
      <c r="AS14" s="5">
        <f t="shared" si="170"/>
        <v>60592.445386174848</v>
      </c>
      <c r="AT14" s="5">
        <f t="shared" si="170"/>
        <v>61198.369840036597</v>
      </c>
      <c r="AU14" s="5">
        <f t="shared" si="170"/>
        <v>61810.353538436961</v>
      </c>
      <c r="AV14" s="5">
        <f t="shared" si="170"/>
        <v>62428.45707382133</v>
      </c>
      <c r="AW14" s="5">
        <f t="shared" si="170"/>
        <v>63052.741644559545</v>
      </c>
      <c r="AX14" s="5">
        <f t="shared" si="170"/>
        <v>63683.269061005143</v>
      </c>
      <c r="AY14" s="5">
        <f t="shared" si="170"/>
        <v>64320.101751615199</v>
      </c>
      <c r="AZ14" s="5">
        <f t="shared" si="170"/>
        <v>64963.302769131355</v>
      </c>
      <c r="BA14" s="5">
        <f t="shared" si="170"/>
        <v>65612.935796822669</v>
      </c>
      <c r="BB14" s="5">
        <f t="shared" si="170"/>
        <v>66269.065154790893</v>
      </c>
      <c r="BC14" s="5">
        <f t="shared" si="170"/>
        <v>66931.755806338799</v>
      </c>
      <c r="BD14" s="5">
        <f t="shared" si="170"/>
        <v>67601.073364402182</v>
      </c>
      <c r="BE14" s="5">
        <f t="shared" si="170"/>
        <v>68277.084098046209</v>
      </c>
      <c r="BF14" s="5">
        <f t="shared" si="170"/>
        <v>68959.854939026671</v>
      </c>
      <c r="BG14" s="5">
        <f t="shared" si="170"/>
        <v>69649.453488416941</v>
      </c>
      <c r="BH14" s="5">
        <f t="shared" si="170"/>
        <v>70345.948023301113</v>
      </c>
      <c r="BI14" s="5">
        <f t="shared" si="170"/>
        <v>71049.407503534123</v>
      </c>
      <c r="BJ14" s="5">
        <f t="shared" si="170"/>
        <v>71759.901578569465</v>
      </c>
      <c r="BK14" s="5">
        <f t="shared" si="170"/>
        <v>72477.500594355166</v>
      </c>
      <c r="BL14" s="5">
        <f t="shared" si="170"/>
        <v>73202.275600298715</v>
      </c>
      <c r="BM14" s="5">
        <f t="shared" si="170"/>
        <v>73934.298356301704</v>
      </c>
      <c r="BN14" s="5">
        <f t="shared" si="170"/>
        <v>74673.641339864727</v>
      </c>
      <c r="BO14" s="5">
        <f t="shared" si="170"/>
        <v>75420.377753263369</v>
      </c>
      <c r="BP14" s="5">
        <f t="shared" si="170"/>
        <v>76174.581530796</v>
      </c>
      <c r="BQ14" s="5">
        <f t="shared" si="170"/>
        <v>76936.327346103964</v>
      </c>
      <c r="BR14" s="5">
        <f t="shared" ref="BR14:CH14" si="171">+BQ14*(1+$AM$18)</f>
        <v>77705.690619565008</v>
      </c>
      <c r="BS14" s="5">
        <f t="shared" si="171"/>
        <v>78482.747525760657</v>
      </c>
      <c r="BT14" s="5">
        <f t="shared" si="171"/>
        <v>79267.575001018267</v>
      </c>
      <c r="BU14" s="5">
        <f t="shared" si="171"/>
        <v>80060.250751028449</v>
      </c>
      <c r="BV14" s="5">
        <f t="shared" si="171"/>
        <v>80860.853258538729</v>
      </c>
      <c r="BW14" s="5">
        <f t="shared" si="171"/>
        <v>81669.461791124122</v>
      </c>
      <c r="BX14" s="5">
        <f t="shared" si="171"/>
        <v>82486.156409035364</v>
      </c>
      <c r="BY14" s="5">
        <f t="shared" si="171"/>
        <v>83311.017973125723</v>
      </c>
      <c r="BZ14" s="5">
        <f t="shared" si="171"/>
        <v>84144.128152856982</v>
      </c>
      <c r="CA14" s="5">
        <f t="shared" si="171"/>
        <v>84985.569434385558</v>
      </c>
      <c r="CB14" s="5">
        <f t="shared" si="171"/>
        <v>85835.425128729417</v>
      </c>
      <c r="CC14" s="5">
        <f t="shared" si="171"/>
        <v>86693.779380016713</v>
      </c>
      <c r="CD14" s="5">
        <f t="shared" si="171"/>
        <v>87560.717173816884</v>
      </c>
      <c r="CE14" s="5">
        <f t="shared" si="171"/>
        <v>88436.324345555055</v>
      </c>
      <c r="CF14" s="5">
        <f t="shared" si="171"/>
        <v>89320.687589010602</v>
      </c>
      <c r="CG14" s="5">
        <f t="shared" si="171"/>
        <v>90213.894464900703</v>
      </c>
      <c r="CH14" s="5">
        <f t="shared" si="171"/>
        <v>91116.033409549709</v>
      </c>
      <c r="CI14" s="5">
        <f t="shared" ref="CI14:ET14" si="172">+CH14*(1+$AM$18)</f>
        <v>92027.193743645214</v>
      </c>
      <c r="CJ14" s="5">
        <f t="shared" si="172"/>
        <v>92947.465681081667</v>
      </c>
      <c r="CK14" s="5">
        <f t="shared" si="172"/>
        <v>93876.940337892491</v>
      </c>
      <c r="CL14" s="5">
        <f t="shared" si="172"/>
        <v>94815.709741271421</v>
      </c>
      <c r="CM14" s="5">
        <f t="shared" si="172"/>
        <v>95763.866838684131</v>
      </c>
      <c r="CN14" s="5">
        <f t="shared" si="172"/>
        <v>96721.505507070979</v>
      </c>
      <c r="CO14" s="5">
        <f t="shared" si="172"/>
        <v>97688.720562141694</v>
      </c>
      <c r="CP14" s="5">
        <f t="shared" si="172"/>
        <v>98665.607767763111</v>
      </c>
      <c r="CQ14" s="5">
        <f t="shared" si="172"/>
        <v>99652.263845440742</v>
      </c>
      <c r="CR14" s="5">
        <f t="shared" si="172"/>
        <v>100648.78648389515</v>
      </c>
      <c r="CS14" s="5">
        <f t="shared" si="172"/>
        <v>101655.27434873411</v>
      </c>
      <c r="CT14" s="5">
        <f t="shared" si="172"/>
        <v>102671.82709222144</v>
      </c>
      <c r="CU14" s="5">
        <f t="shared" si="172"/>
        <v>103698.54536314365</v>
      </c>
      <c r="CV14" s="5">
        <f t="shared" si="172"/>
        <v>104735.53081677509</v>
      </c>
      <c r="CW14" s="5">
        <f t="shared" si="172"/>
        <v>105782.88612494284</v>
      </c>
      <c r="CX14" s="5">
        <f t="shared" si="172"/>
        <v>106840.71498619228</v>
      </c>
      <c r="CY14" s="5">
        <f t="shared" si="172"/>
        <v>107909.12213605421</v>
      </c>
      <c r="CZ14" s="5">
        <f t="shared" si="172"/>
        <v>108988.21335741476</v>
      </c>
      <c r="DA14" s="5">
        <f t="shared" si="172"/>
        <v>110078.09549098891</v>
      </c>
      <c r="DB14" s="5">
        <f t="shared" si="172"/>
        <v>111178.8764458988</v>
      </c>
      <c r="DC14" s="5">
        <f t="shared" si="172"/>
        <v>112290.66521035779</v>
      </c>
      <c r="DD14" s="5">
        <f t="shared" si="172"/>
        <v>113413.57186246138</v>
      </c>
      <c r="DE14" s="5">
        <f t="shared" si="172"/>
        <v>114547.707581086</v>
      </c>
      <c r="DF14" s="5">
        <f t="shared" si="172"/>
        <v>115693.18465689686</v>
      </c>
      <c r="DG14" s="5">
        <f t="shared" si="172"/>
        <v>116850.11650346583</v>
      </c>
      <c r="DH14" s="5">
        <f t="shared" si="172"/>
        <v>118018.61766850049</v>
      </c>
      <c r="DI14" s="5">
        <f t="shared" si="172"/>
        <v>119198.8038451855</v>
      </c>
      <c r="DJ14" s="5">
        <f t="shared" si="172"/>
        <v>120390.79188363736</v>
      </c>
      <c r="DK14" s="5">
        <f t="shared" si="172"/>
        <v>121594.69980247373</v>
      </c>
      <c r="DL14" s="5">
        <f t="shared" si="172"/>
        <v>122810.64680049846</v>
      </c>
      <c r="DM14" s="5">
        <f t="shared" si="172"/>
        <v>124038.75326850345</v>
      </c>
      <c r="DN14" s="5">
        <f t="shared" si="172"/>
        <v>125279.14080118849</v>
      </c>
      <c r="DO14" s="5">
        <f t="shared" si="172"/>
        <v>126531.93220920037</v>
      </c>
      <c r="DP14" s="5">
        <f t="shared" si="172"/>
        <v>127797.25153129238</v>
      </c>
      <c r="DQ14" s="5">
        <f t="shared" si="172"/>
        <v>129075.2240466053</v>
      </c>
      <c r="DR14" s="5">
        <f t="shared" si="172"/>
        <v>130365.97628707136</v>
      </c>
      <c r="DS14" s="5">
        <f t="shared" si="172"/>
        <v>131669.63604994208</v>
      </c>
      <c r="DT14" s="5">
        <f t="shared" si="172"/>
        <v>132986.33241044151</v>
      </c>
      <c r="DU14" s="5">
        <f t="shared" si="172"/>
        <v>134316.19573454594</v>
      </c>
      <c r="DV14" s="5">
        <f t="shared" si="172"/>
        <v>135659.3576918914</v>
      </c>
      <c r="DW14" s="5">
        <f t="shared" si="172"/>
        <v>137015.95126881031</v>
      </c>
      <c r="DX14" s="5">
        <f t="shared" si="172"/>
        <v>138386.11078149843</v>
      </c>
      <c r="DY14" s="5">
        <f t="shared" si="172"/>
        <v>139769.97188931343</v>
      </c>
      <c r="DZ14" s="5">
        <f t="shared" si="172"/>
        <v>141167.67160820655</v>
      </c>
      <c r="EA14" s="5">
        <f t="shared" si="172"/>
        <v>142579.34832428861</v>
      </c>
      <c r="EB14" s="5">
        <f t="shared" si="172"/>
        <v>144005.1418075315</v>
      </c>
      <c r="EC14" s="5">
        <f t="shared" si="172"/>
        <v>145445.19322560681</v>
      </c>
      <c r="ED14" s="5">
        <f t="shared" si="172"/>
        <v>146899.64515786289</v>
      </c>
      <c r="EE14" s="5">
        <f t="shared" si="172"/>
        <v>148368.64160944152</v>
      </c>
      <c r="EF14" s="5">
        <f t="shared" si="172"/>
        <v>149852.32802553594</v>
      </c>
      <c r="EG14" s="5">
        <f t="shared" si="172"/>
        <v>151350.85130579129</v>
      </c>
      <c r="EH14" s="5">
        <f t="shared" si="172"/>
        <v>152864.35981884922</v>
      </c>
      <c r="EI14" s="5">
        <f t="shared" si="172"/>
        <v>154393.00341703772</v>
      </c>
      <c r="EJ14" s="5">
        <f t="shared" si="172"/>
        <v>155936.93345120811</v>
      </c>
      <c r="EK14" s="5">
        <f t="shared" si="172"/>
        <v>157496.30278572018</v>
      </c>
      <c r="EL14" s="5">
        <f t="shared" si="172"/>
        <v>159071.2658135774</v>
      </c>
      <c r="EM14" s="5">
        <f t="shared" si="172"/>
        <v>160661.97847171317</v>
      </c>
      <c r="EN14" s="5">
        <f t="shared" si="172"/>
        <v>162268.5982564303</v>
      </c>
      <c r="EO14" s="5">
        <f t="shared" si="172"/>
        <v>163891.28423899462</v>
      </c>
      <c r="EP14" s="5">
        <f t="shared" si="172"/>
        <v>165530.19708138457</v>
      </c>
      <c r="EQ14" s="5">
        <f t="shared" si="172"/>
        <v>167185.49905219843</v>
      </c>
      <c r="ER14" s="5">
        <f t="shared" si="172"/>
        <v>168857.35404272043</v>
      </c>
      <c r="ES14" s="5">
        <f t="shared" si="172"/>
        <v>170545.92758314763</v>
      </c>
      <c r="ET14" s="5">
        <f t="shared" si="172"/>
        <v>172251.38685897909</v>
      </c>
      <c r="EU14" s="5">
        <f t="shared" ref="EU14:FE14" si="173">+ET14*(1+$AM$18)</f>
        <v>173973.90072756889</v>
      </c>
      <c r="EV14" s="5">
        <f t="shared" si="173"/>
        <v>175713.63973484459</v>
      </c>
      <c r="EW14" s="5">
        <f t="shared" si="173"/>
        <v>177470.77613219304</v>
      </c>
      <c r="EX14" s="5">
        <f t="shared" si="173"/>
        <v>179245.48389351499</v>
      </c>
      <c r="EY14" s="5">
        <f t="shared" si="173"/>
        <v>181037.93873245013</v>
      </c>
      <c r="EZ14" s="5">
        <f t="shared" si="173"/>
        <v>182848.31811977463</v>
      </c>
      <c r="FA14" s="5">
        <f t="shared" si="173"/>
        <v>184676.80130097238</v>
      </c>
      <c r="FB14" s="5">
        <f t="shared" si="173"/>
        <v>186523.56931398209</v>
      </c>
      <c r="FC14" s="5">
        <f t="shared" si="173"/>
        <v>188388.8050071219</v>
      </c>
      <c r="FD14" s="5">
        <f t="shared" si="173"/>
        <v>190272.69305719313</v>
      </c>
      <c r="FE14" s="5">
        <f t="shared" si="173"/>
        <v>192175.41998776505</v>
      </c>
      <c r="FF14" s="5">
        <f t="shared" ref="FF14:GH14" si="174">+FE14*(1+$AM$18)</f>
        <v>194097.1741876427</v>
      </c>
      <c r="FG14" s="5">
        <f t="shared" si="174"/>
        <v>196038.14592951912</v>
      </c>
      <c r="FH14" s="5">
        <f t="shared" si="174"/>
        <v>197998.52738881431</v>
      </c>
      <c r="FI14" s="5">
        <f t="shared" si="174"/>
        <v>199978.51266270244</v>
      </c>
      <c r="FJ14" s="5">
        <f t="shared" si="174"/>
        <v>201978.29778932946</v>
      </c>
      <c r="FK14" s="5">
        <f t="shared" si="174"/>
        <v>203998.08076722277</v>
      </c>
      <c r="FL14" s="5">
        <f t="shared" si="174"/>
        <v>206038.06157489499</v>
      </c>
      <c r="FM14" s="5">
        <f t="shared" si="174"/>
        <v>208098.44219064395</v>
      </c>
      <c r="FN14" s="5">
        <f t="shared" si="174"/>
        <v>210179.42661255039</v>
      </c>
      <c r="FO14" s="5">
        <f t="shared" si="174"/>
        <v>212281.2208786759</v>
      </c>
      <c r="FP14" s="5">
        <f t="shared" si="174"/>
        <v>214404.03308746265</v>
      </c>
      <c r="FQ14" s="5">
        <f t="shared" si="174"/>
        <v>216548.07341833727</v>
      </c>
      <c r="FR14" s="5">
        <f t="shared" si="174"/>
        <v>218713.55415252064</v>
      </c>
      <c r="FS14" s="5">
        <f t="shared" si="174"/>
        <v>220900.68969404584</v>
      </c>
      <c r="FT14" s="5">
        <f t="shared" si="174"/>
        <v>223109.69659098631</v>
      </c>
      <c r="FU14" s="5">
        <f t="shared" si="174"/>
        <v>225340.79355689618</v>
      </c>
      <c r="FV14" s="5">
        <f t="shared" si="174"/>
        <v>227594.20149246516</v>
      </c>
      <c r="FW14" s="5">
        <f t="shared" si="174"/>
        <v>229870.14350738982</v>
      </c>
      <c r="FX14" s="5">
        <f t="shared" si="174"/>
        <v>232168.84494246371</v>
      </c>
      <c r="FY14" s="5">
        <f t="shared" si="174"/>
        <v>234490.53339188834</v>
      </c>
      <c r="FZ14" s="5">
        <f t="shared" si="174"/>
        <v>236835.43872580724</v>
      </c>
      <c r="GA14" s="5">
        <f t="shared" si="174"/>
        <v>239203.7931130653</v>
      </c>
      <c r="GB14" s="5">
        <f t="shared" si="174"/>
        <v>241595.83104419595</v>
      </c>
      <c r="GC14" s="5">
        <f t="shared" si="174"/>
        <v>244011.78935463791</v>
      </c>
      <c r="GD14" s="5">
        <f t="shared" si="174"/>
        <v>246451.90724818429</v>
      </c>
      <c r="GE14" s="5">
        <f t="shared" si="174"/>
        <v>248916.42632066613</v>
      </c>
      <c r="GF14" s="5">
        <f t="shared" si="174"/>
        <v>251405.59058387278</v>
      </c>
      <c r="GG14" s="5">
        <f t="shared" si="174"/>
        <v>253919.64648971151</v>
      </c>
      <c r="GH14" s="5">
        <f t="shared" si="174"/>
        <v>256458.84295460861</v>
      </c>
      <c r="GI14" s="5">
        <f t="shared" ref="GI14:HT14" si="175">+GH14*(1+$AM$18)</f>
        <v>259023.43138415471</v>
      </c>
      <c r="GJ14" s="5">
        <f t="shared" si="175"/>
        <v>261613.66569799627</v>
      </c>
      <c r="GK14" s="5">
        <f t="shared" si="175"/>
        <v>264229.80235497624</v>
      </c>
      <c r="GL14" s="5">
        <f t="shared" si="175"/>
        <v>266872.10037852603</v>
      </c>
      <c r="GM14" s="5">
        <f t="shared" si="175"/>
        <v>269540.82138231129</v>
      </c>
      <c r="GN14" s="5">
        <f t="shared" si="175"/>
        <v>272236.22959613439</v>
      </c>
      <c r="GO14" s="5">
        <f t="shared" si="175"/>
        <v>274958.59189209575</v>
      </c>
      <c r="GP14" s="5">
        <f t="shared" si="175"/>
        <v>277708.17781101674</v>
      </c>
      <c r="GQ14" s="5">
        <f t="shared" si="175"/>
        <v>280485.25958912692</v>
      </c>
      <c r="GR14" s="5">
        <f t="shared" si="175"/>
        <v>283290.1121850182</v>
      </c>
      <c r="GS14" s="5">
        <f t="shared" si="175"/>
        <v>286123.01330686838</v>
      </c>
      <c r="GT14" s="5">
        <f t="shared" si="175"/>
        <v>288984.24343993707</v>
      </c>
      <c r="GU14" s="5">
        <f t="shared" si="175"/>
        <v>291874.08587433642</v>
      </c>
      <c r="GV14" s="5">
        <f t="shared" si="175"/>
        <v>294792.8267330798</v>
      </c>
      <c r="GW14" s="5">
        <f t="shared" si="175"/>
        <v>297740.7550004106</v>
      </c>
      <c r="GX14" s="5">
        <f t="shared" si="175"/>
        <v>300718.16255041474</v>
      </c>
      <c r="GY14" s="5">
        <f t="shared" si="175"/>
        <v>303725.3441759189</v>
      </c>
      <c r="GZ14" s="5">
        <f t="shared" si="175"/>
        <v>306762.59761767811</v>
      </c>
      <c r="HA14" s="5">
        <f t="shared" si="175"/>
        <v>309830.22359385487</v>
      </c>
      <c r="HB14" s="5">
        <f t="shared" si="175"/>
        <v>312928.52582979342</v>
      </c>
      <c r="HC14" s="5">
        <f t="shared" si="175"/>
        <v>316057.81108809134</v>
      </c>
      <c r="HD14" s="5">
        <f t="shared" si="175"/>
        <v>319218.38919897226</v>
      </c>
      <c r="HE14" s="5">
        <f t="shared" si="175"/>
        <v>322410.57309096196</v>
      </c>
      <c r="HF14" s="5">
        <f t="shared" si="175"/>
        <v>325634.67882187158</v>
      </c>
      <c r="HG14" s="5">
        <f t="shared" si="175"/>
        <v>328891.02561009029</v>
      </c>
      <c r="HH14" s="5">
        <f t="shared" si="175"/>
        <v>332179.93586619123</v>
      </c>
      <c r="HI14" s="5">
        <f t="shared" si="175"/>
        <v>335501.73522485315</v>
      </c>
      <c r="HJ14" s="5">
        <f t="shared" si="175"/>
        <v>338856.7525771017</v>
      </c>
      <c r="HK14" s="5">
        <f t="shared" si="175"/>
        <v>342245.32010287273</v>
      </c>
      <c r="HL14" s="5">
        <f t="shared" si="175"/>
        <v>345667.77330390149</v>
      </c>
      <c r="HM14" s="5">
        <f t="shared" si="175"/>
        <v>349124.4510369405</v>
      </c>
      <c r="HN14" s="5">
        <f t="shared" si="175"/>
        <v>352615.69554730994</v>
      </c>
      <c r="HO14" s="5">
        <f t="shared" si="175"/>
        <v>356141.85250278306</v>
      </c>
      <c r="HP14" s="5">
        <f t="shared" si="175"/>
        <v>359703.27102781087</v>
      </c>
      <c r="HQ14" s="5">
        <f t="shared" si="175"/>
        <v>363300.30373808899</v>
      </c>
      <c r="HR14" s="5">
        <f t="shared" si="175"/>
        <v>366933.30677546986</v>
      </c>
      <c r="HS14" s="5">
        <f t="shared" si="175"/>
        <v>370602.63984322455</v>
      </c>
      <c r="HT14" s="5">
        <f t="shared" si="175"/>
        <v>374308.66624165681</v>
      </c>
      <c r="HU14" s="5">
        <f t="shared" ref="HU14:IB14" si="176">+HT14*(1+$AM$18)</f>
        <v>378051.75290407339</v>
      </c>
      <c r="HV14" s="5">
        <f t="shared" si="176"/>
        <v>381832.27043311414</v>
      </c>
      <c r="HW14" s="5">
        <f t="shared" si="176"/>
        <v>385650.59313744528</v>
      </c>
      <c r="HX14" s="5">
        <f t="shared" si="176"/>
        <v>389507.09906881972</v>
      </c>
      <c r="HY14" s="5">
        <f t="shared" si="176"/>
        <v>393402.17005950795</v>
      </c>
      <c r="HZ14" s="5">
        <f t="shared" si="176"/>
        <v>397336.19176010304</v>
      </c>
      <c r="IA14" s="5">
        <f t="shared" si="176"/>
        <v>401309.55367770407</v>
      </c>
      <c r="IB14" s="5">
        <f t="shared" si="176"/>
        <v>405322.64921448112</v>
      </c>
    </row>
    <row r="16" spans="2:236" s="6" customFormat="1">
      <c r="B16" s="6" t="s">
        <v>31</v>
      </c>
      <c r="G16" s="6">
        <f t="shared" ref="G16:H16" si="177">+G5/C5-1</f>
        <v>0.76530556057644317</v>
      </c>
      <c r="H16" s="6">
        <f t="shared" si="177"/>
        <v>0.89258569788800601</v>
      </c>
      <c r="I16" s="6">
        <f>+I5/E5-1</f>
        <v>0.86394276541921911</v>
      </c>
      <c r="J16" s="6">
        <f>+J5/F5-1</f>
        <v>0.8</v>
      </c>
      <c r="K16" s="6">
        <f>+K5/G5-1</f>
        <v>0.23387226649949522</v>
      </c>
      <c r="L16" s="6">
        <f>+L5/H5-1</f>
        <v>0.54712620372084553</v>
      </c>
      <c r="Z16" s="6">
        <f>+Z5/Y5-1</f>
        <v>0.425518118692648</v>
      </c>
      <c r="AA16" s="6">
        <f>+AA5/Z5-1</f>
        <v>0.82890950566288457</v>
      </c>
      <c r="AB16" s="6">
        <f t="shared" ref="AB16:AK16" si="178">+AB5/AA5-1</f>
        <v>0.39999999999999969</v>
      </c>
      <c r="AC16" s="6">
        <f t="shared" si="178"/>
        <v>0.19999999999999996</v>
      </c>
      <c r="AD16" s="6">
        <f t="shared" si="178"/>
        <v>0.19999999999999996</v>
      </c>
      <c r="AE16" s="6">
        <f t="shared" si="178"/>
        <v>0.19999999999999996</v>
      </c>
      <c r="AF16" s="6">
        <f t="shared" si="178"/>
        <v>0.19999999999999996</v>
      </c>
      <c r="AG16" s="6">
        <f t="shared" si="178"/>
        <v>0.19999999999999996</v>
      </c>
      <c r="AH16" s="6">
        <f t="shared" si="178"/>
        <v>0.19999999999999996</v>
      </c>
      <c r="AI16" s="6">
        <f t="shared" si="178"/>
        <v>0.19999999999999996</v>
      </c>
      <c r="AJ16" s="6">
        <f t="shared" si="178"/>
        <v>0.19999999999999996</v>
      </c>
      <c r="AK16" s="6">
        <f t="shared" si="178"/>
        <v>0.19999999999999996</v>
      </c>
    </row>
    <row r="18" spans="2:39">
      <c r="AL18" s="1" t="s">
        <v>32</v>
      </c>
      <c r="AM18" s="3">
        <v>0.01</v>
      </c>
    </row>
    <row r="19" spans="2:39">
      <c r="AL19" s="1" t="s">
        <v>33</v>
      </c>
      <c r="AM19" s="7">
        <v>7.0000000000000007E-2</v>
      </c>
    </row>
    <row r="20" spans="2:39">
      <c r="B20" s="1" t="s">
        <v>39</v>
      </c>
      <c r="C20" s="1">
        <v>160.762</v>
      </c>
      <c r="D20" s="1">
        <f>1143.346-C20</f>
        <v>982.58400000000006</v>
      </c>
      <c r="E20" s="1">
        <f>1343.068-SUM(C20:D20)</f>
        <v>199.72199999999998</v>
      </c>
      <c r="F20" s="1">
        <f>+Z20-SUM(C20:E20)</f>
        <v>760.94100000000003</v>
      </c>
      <c r="G20" s="1">
        <v>2579.8530000000001</v>
      </c>
      <c r="H20" s="1">
        <f>5209.442-G20</f>
        <v>2629.5889999999999</v>
      </c>
      <c r="I20" s="1">
        <f>8104.122-SUM(G20:H20)</f>
        <v>2894.6800000000003</v>
      </c>
      <c r="Z20" s="1">
        <v>2104.009</v>
      </c>
      <c r="AL20" s="1" t="s">
        <v>34</v>
      </c>
      <c r="AM20" s="1">
        <f>NPV(AM19,AB14:IB14)</f>
        <v>658738.77620449022</v>
      </c>
    </row>
    <row r="21" spans="2:39">
      <c r="B21" s="1" t="s">
        <v>40</v>
      </c>
      <c r="C21" s="1">
        <f>+-129.249</f>
        <v>-129.249</v>
      </c>
      <c r="D21" s="1">
        <f>+-343.356-C21</f>
        <v>-214.107</v>
      </c>
      <c r="E21" s="1">
        <f>+-467.655-SUM(C21:D21)</f>
        <v>-124.29899999999998</v>
      </c>
      <c r="F21" s="1">
        <f>+Z21-SUM(C21:E21)</f>
        <v>-304.59000000000003</v>
      </c>
      <c r="G21" s="1">
        <f>+-322.596</f>
        <v>-322.596</v>
      </c>
      <c r="H21" s="1">
        <f>+-583.841-G21</f>
        <v>-261.245</v>
      </c>
      <c r="I21" s="1">
        <f>+-1188.481-SUM(G21:H21)</f>
        <v>-604.64</v>
      </c>
      <c r="Z21" s="1">
        <f>+-772.245</f>
        <v>-772.245</v>
      </c>
    </row>
    <row r="22" spans="2:39">
      <c r="B22" s="1" t="s">
        <v>41</v>
      </c>
      <c r="C22" s="1">
        <f t="shared" ref="C22:H22" si="179">SUM(C20:C21)</f>
        <v>31.513000000000005</v>
      </c>
      <c r="D22" s="1">
        <f t="shared" si="179"/>
        <v>768.47700000000009</v>
      </c>
      <c r="E22" s="1">
        <f t="shared" si="179"/>
        <v>75.423000000000002</v>
      </c>
      <c r="F22" s="1">
        <f t="shared" si="179"/>
        <v>456.351</v>
      </c>
      <c r="G22" s="1">
        <f t="shared" si="179"/>
        <v>2257.2570000000001</v>
      </c>
      <c r="H22" s="1">
        <f t="shared" si="179"/>
        <v>2368.3440000000001</v>
      </c>
      <c r="I22" s="1">
        <f>SUM(I20:I21)</f>
        <v>2290.0400000000004</v>
      </c>
      <c r="Z22" s="1">
        <f>SUM(Z20:Z21)</f>
        <v>1331.7640000000001</v>
      </c>
      <c r="AL22" s="1" t="s">
        <v>35</v>
      </c>
      <c r="AM22" s="1">
        <f>SUM(AM20:AM21)</f>
        <v>658738.77620449022</v>
      </c>
    </row>
    <row r="23" spans="2:39">
      <c r="AL23" s="1" t="s">
        <v>36</v>
      </c>
      <c r="AM23" s="1">
        <f>+Main!G5*1000</f>
        <v>14505.392</v>
      </c>
    </row>
    <row r="24" spans="2:39">
      <c r="B24" s="1" t="s">
        <v>42</v>
      </c>
      <c r="F24" s="1">
        <f>+SUM(C22:F22)</f>
        <v>1331.7640000000001</v>
      </c>
      <c r="G24" s="1">
        <f>+SUM(D22:G22)</f>
        <v>3557.5080000000003</v>
      </c>
      <c r="H24" s="1">
        <f>+SUM(E22:H22)</f>
        <v>5157.375</v>
      </c>
      <c r="I24" s="1">
        <f>+SUM(F22:I22)</f>
        <v>7371.9920000000002</v>
      </c>
      <c r="AL24" s="1" t="s">
        <v>37</v>
      </c>
      <c r="AM24" s="8">
        <f>+AM22/AM23</f>
        <v>45.413372917084232</v>
      </c>
    </row>
    <row r="25" spans="2:39">
      <c r="B25" s="1" t="s">
        <v>43</v>
      </c>
      <c r="F25" s="1">
        <f t="shared" ref="F25:H25" si="180">+SUM(C14:F14)</f>
        <v>1060.423</v>
      </c>
      <c r="G25" s="1">
        <f t="shared" si="180"/>
        <v>3170.3399999999997</v>
      </c>
      <c r="H25" s="1">
        <f t="shared" si="180"/>
        <v>5474.7389999999996</v>
      </c>
      <c r="I25" s="1">
        <f>+SUM(F14:I14)</f>
        <v>7044.3079999999991</v>
      </c>
      <c r="AL25" s="1" t="s">
        <v>38</v>
      </c>
      <c r="AM25" s="8">
        <f>+Main!G4</f>
        <v>44</v>
      </c>
    </row>
    <row r="26" spans="2:39">
      <c r="AL26" s="1" t="s">
        <v>48</v>
      </c>
      <c r="AM26" s="3">
        <f>+AM24/AM25-1</f>
        <v>3.2122111751914373E-2</v>
      </c>
    </row>
  </sheetData>
  <pageMargins left="0.7" right="0.7" top="0.75" bottom="0.75" header="0.3" footer="0.3"/>
  <ignoredErrors>
    <ignoredError sqref="F7:F14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2024-12-09T01:06:18Z</dcterms:created>
  <dcterms:modified xsi:type="dcterms:W3CDTF">2026-10-08T01:38:48Z</dcterms:modified>
</cp:coreProperties>
</file>