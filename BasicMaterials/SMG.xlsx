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BBA0EA0E-01F1-F749-B7C9-5DBA49EED88C}" xr6:coauthVersionLast="47" xr6:coauthVersionMax="47" xr10:uidLastSave="{00000000-0000-0000-0000-000000000000}"/>
  <bookViews>
    <workbookView xWindow="23220" yWindow="2600" windowWidth="27640" windowHeight="16940" activeTab="1" xr2:uid="{2FF27B09-C91F-0D40-83FE-76BF8554BA3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AJ26" i="2"/>
  <c r="AJ25" i="2"/>
  <c r="AJ24" i="2"/>
  <c r="AI19" i="2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AI3" i="2"/>
  <c r="AH19" i="2"/>
  <c r="AG16" i="2"/>
  <c r="AG8" i="2"/>
  <c r="Y16" i="2"/>
  <c r="Z16" i="2" s="1"/>
  <c r="AA16" i="2" s="1"/>
  <c r="AB16" i="2" s="1"/>
  <c r="AC16" i="2" s="1"/>
  <c r="AD16" i="2" s="1"/>
  <c r="AE16" i="2" s="1"/>
  <c r="AF16" i="2" s="1"/>
  <c r="Y15" i="2"/>
  <c r="Z15" i="2" s="1"/>
  <c r="AA15" i="2" s="1"/>
  <c r="AB15" i="2" s="1"/>
  <c r="AC15" i="2" s="1"/>
  <c r="AD15" i="2" s="1"/>
  <c r="AE15" i="2" s="1"/>
  <c r="AF15" i="2" s="1"/>
  <c r="Y14" i="2"/>
  <c r="Z14" i="2" s="1"/>
  <c r="AA14" i="2" s="1"/>
  <c r="AB14" i="2" s="1"/>
  <c r="AC14" i="2" s="1"/>
  <c r="AD14" i="2" s="1"/>
  <c r="AE14" i="2" s="1"/>
  <c r="AF14" i="2" s="1"/>
  <c r="Y12" i="2"/>
  <c r="Z12" i="2" s="1"/>
  <c r="AA12" i="2" s="1"/>
  <c r="AB12" i="2" s="1"/>
  <c r="AC12" i="2" s="1"/>
  <c r="AD12" i="2" s="1"/>
  <c r="AE12" i="2" s="1"/>
  <c r="AF12" i="2" s="1"/>
  <c r="Y11" i="2"/>
  <c r="Z11" i="2" s="1"/>
  <c r="AA11" i="2" s="1"/>
  <c r="AB11" i="2" s="1"/>
  <c r="AC11" i="2" s="1"/>
  <c r="AD11" i="2" s="1"/>
  <c r="AE11" i="2" s="1"/>
  <c r="AF11" i="2" s="1"/>
  <c r="Y9" i="2"/>
  <c r="X16" i="2"/>
  <c r="X15" i="2"/>
  <c r="X14" i="2"/>
  <c r="X10" i="2"/>
  <c r="X13" i="2" s="1"/>
  <c r="X17" i="2" s="1"/>
  <c r="X12" i="2"/>
  <c r="X11" i="2"/>
  <c r="X9" i="2"/>
  <c r="AF8" i="2"/>
  <c r="AE8" i="2"/>
  <c r="AD8" i="2"/>
  <c r="AD24" i="2" s="1"/>
  <c r="AC8" i="2"/>
  <c r="AC24" i="2" s="1"/>
  <c r="XFD8" i="2"/>
  <c r="AB8" i="2"/>
  <c r="AA8" i="2"/>
  <c r="Z8" i="2"/>
  <c r="Y8" i="2"/>
  <c r="X8" i="2"/>
  <c r="V24" i="2"/>
  <c r="W24" i="2"/>
  <c r="W9" i="2"/>
  <c r="W10" i="2"/>
  <c r="W11" i="2"/>
  <c r="W12" i="2"/>
  <c r="W13" i="2"/>
  <c r="W14" i="2"/>
  <c r="W15" i="2"/>
  <c r="W16" i="2"/>
  <c r="W17" i="2"/>
  <c r="W18" i="2"/>
  <c r="W19" i="2"/>
  <c r="J19" i="2"/>
  <c r="J17" i="2"/>
  <c r="J47" i="2"/>
  <c r="J48" i="2"/>
  <c r="J49" i="2"/>
  <c r="J50" i="2" s="1"/>
  <c r="I36" i="2"/>
  <c r="J36" i="2"/>
  <c r="J10" i="2"/>
  <c r="J13" i="2" s="1"/>
  <c r="W8" i="2"/>
  <c r="I50" i="2"/>
  <c r="H50" i="2"/>
  <c r="G50" i="2"/>
  <c r="F50" i="2"/>
  <c r="H49" i="2"/>
  <c r="G49" i="2"/>
  <c r="F49" i="2"/>
  <c r="I49" i="2"/>
  <c r="H48" i="2"/>
  <c r="G48" i="2"/>
  <c r="F48" i="2"/>
  <c r="I48" i="2"/>
  <c r="H47" i="2"/>
  <c r="G47" i="2"/>
  <c r="F47" i="2"/>
  <c r="I47" i="2"/>
  <c r="I25" i="2"/>
  <c r="D45" i="2"/>
  <c r="D43" i="2"/>
  <c r="D36" i="2"/>
  <c r="C43" i="2"/>
  <c r="C45" i="2" s="1"/>
  <c r="C36" i="2"/>
  <c r="G45" i="2"/>
  <c r="G43" i="2"/>
  <c r="G36" i="2"/>
  <c r="H43" i="2"/>
  <c r="H45" i="2" s="1"/>
  <c r="H36" i="2"/>
  <c r="E43" i="2"/>
  <c r="E45" i="2" s="1"/>
  <c r="E36" i="2"/>
  <c r="F43" i="2"/>
  <c r="F45" i="2" s="1"/>
  <c r="F36" i="2"/>
  <c r="I43" i="2"/>
  <c r="I45" i="2" s="1"/>
  <c r="I10" i="2"/>
  <c r="I13" i="2"/>
  <c r="I17" i="2" s="1"/>
  <c r="I19" i="2" s="1"/>
  <c r="F16" i="2"/>
  <c r="F15" i="2"/>
  <c r="F14" i="2"/>
  <c r="F20" i="2"/>
  <c r="F18" i="2"/>
  <c r="F12" i="2"/>
  <c r="F11" i="2"/>
  <c r="F9" i="2"/>
  <c r="F8" i="2"/>
  <c r="V22" i="2"/>
  <c r="U24" i="2"/>
  <c r="V10" i="2"/>
  <c r="U10" i="2"/>
  <c r="T10" i="2"/>
  <c r="G24" i="2"/>
  <c r="C10" i="2"/>
  <c r="G10" i="2"/>
  <c r="H24" i="2"/>
  <c r="D10" i="2"/>
  <c r="H10" i="2"/>
  <c r="N3" i="2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K5" i="1"/>
  <c r="L6" i="1"/>
  <c r="L7" i="1" s="1"/>
  <c r="BE19" i="2" l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FC19" i="2" s="1"/>
  <c r="FD19" i="2" s="1"/>
  <c r="FE19" i="2" s="1"/>
  <c r="FF19" i="2" s="1"/>
  <c r="FG19" i="2" s="1"/>
  <c r="FH19" i="2" s="1"/>
  <c r="FI19" i="2" s="1"/>
  <c r="FJ19" i="2" s="1"/>
  <c r="FK19" i="2" s="1"/>
  <c r="FL19" i="2" s="1"/>
  <c r="FM19" i="2" s="1"/>
  <c r="FN19" i="2" s="1"/>
  <c r="FO19" i="2" s="1"/>
  <c r="FP19" i="2" s="1"/>
  <c r="FQ19" i="2" s="1"/>
  <c r="FR19" i="2" s="1"/>
  <c r="FS19" i="2" s="1"/>
  <c r="FT19" i="2" s="1"/>
  <c r="FU19" i="2" s="1"/>
  <c r="FV19" i="2" s="1"/>
  <c r="FW19" i="2" s="1"/>
  <c r="FX19" i="2" s="1"/>
  <c r="FY19" i="2" s="1"/>
  <c r="FZ19" i="2" s="1"/>
  <c r="GA19" i="2" s="1"/>
  <c r="GB19" i="2" s="1"/>
  <c r="GC19" i="2" s="1"/>
  <c r="GD19" i="2" s="1"/>
  <c r="GE19" i="2" s="1"/>
  <c r="GF19" i="2" s="1"/>
  <c r="GG19" i="2" s="1"/>
  <c r="GH19" i="2" s="1"/>
  <c r="GI19" i="2" s="1"/>
  <c r="GJ19" i="2" s="1"/>
  <c r="GK19" i="2" s="1"/>
  <c r="GL19" i="2" s="1"/>
  <c r="GM19" i="2" s="1"/>
  <c r="GN19" i="2" s="1"/>
  <c r="GO19" i="2" s="1"/>
  <c r="GP19" i="2" s="1"/>
  <c r="GQ19" i="2" s="1"/>
  <c r="GR19" i="2" s="1"/>
  <c r="GS19" i="2" s="1"/>
  <c r="GT19" i="2" s="1"/>
  <c r="GU19" i="2" s="1"/>
  <c r="GV19" i="2" s="1"/>
  <c r="GW19" i="2" s="1"/>
  <c r="GX19" i="2" s="1"/>
  <c r="GY19" i="2" s="1"/>
  <c r="GZ19" i="2" s="1"/>
  <c r="HA19" i="2" s="1"/>
  <c r="HB19" i="2" s="1"/>
  <c r="HC19" i="2" s="1"/>
  <c r="HD19" i="2" s="1"/>
  <c r="HE19" i="2" s="1"/>
  <c r="HF19" i="2" s="1"/>
  <c r="HG19" i="2" s="1"/>
  <c r="HH19" i="2" s="1"/>
  <c r="HI19" i="2" s="1"/>
  <c r="HJ19" i="2" s="1"/>
  <c r="HK19" i="2" s="1"/>
  <c r="HL19" i="2" s="1"/>
  <c r="HM19" i="2" s="1"/>
  <c r="HN19" i="2" s="1"/>
  <c r="HO19" i="2" s="1"/>
  <c r="HP19" i="2" s="1"/>
  <c r="HQ19" i="2" s="1"/>
  <c r="HR19" i="2" s="1"/>
  <c r="HS19" i="2" s="1"/>
  <c r="HT19" i="2" s="1"/>
  <c r="HU19" i="2" s="1"/>
  <c r="HV19" i="2" s="1"/>
  <c r="HW19" i="2" s="1"/>
  <c r="HX19" i="2" s="1"/>
  <c r="HY19" i="2" s="1"/>
  <c r="HZ19" i="2" s="1"/>
  <c r="AJ23" i="2"/>
  <c r="AG15" i="2"/>
  <c r="AG14" i="2"/>
  <c r="AG12" i="2"/>
  <c r="AG9" i="2"/>
  <c r="AG10" i="2" s="1"/>
  <c r="AG13" i="2" s="1"/>
  <c r="AG17" i="2" s="1"/>
  <c r="AG11" i="2"/>
  <c r="Y10" i="2"/>
  <c r="Y13" i="2" s="1"/>
  <c r="Y17" i="2" s="1"/>
  <c r="Z9" i="2"/>
  <c r="X18" i="2"/>
  <c r="X19" i="2"/>
  <c r="AE24" i="2"/>
  <c r="AF24" i="2"/>
  <c r="AB24" i="2"/>
  <c r="AA24" i="2"/>
  <c r="Z24" i="2"/>
  <c r="X24" i="2"/>
  <c r="Y24" i="2"/>
  <c r="G13" i="2"/>
  <c r="G17" i="2" s="1"/>
  <c r="G19" i="2" s="1"/>
  <c r="G21" i="2" s="1"/>
  <c r="G25" i="2"/>
  <c r="D13" i="2"/>
  <c r="D17" i="2" s="1"/>
  <c r="D19" i="2" s="1"/>
  <c r="D21" i="2" s="1"/>
  <c r="D25" i="2"/>
  <c r="H13" i="2"/>
  <c r="H17" i="2" s="1"/>
  <c r="H19" i="2" s="1"/>
  <c r="H21" i="2" s="1"/>
  <c r="H25" i="2"/>
  <c r="K8" i="1"/>
  <c r="V13" i="2"/>
  <c r="V25" i="2"/>
  <c r="E10" i="2"/>
  <c r="U13" i="2"/>
  <c r="U25" i="2"/>
  <c r="T13" i="2"/>
  <c r="T17" i="2" s="1"/>
  <c r="T19" i="2" s="1"/>
  <c r="T25" i="2"/>
  <c r="C13" i="2"/>
  <c r="C17" i="2" s="1"/>
  <c r="C19" i="2" s="1"/>
  <c r="C21" i="2" s="1"/>
  <c r="C25" i="2"/>
  <c r="AG18" i="2" l="1"/>
  <c r="AG19" i="2" s="1"/>
  <c r="Y18" i="2"/>
  <c r="Y19" i="2"/>
  <c r="AA9" i="2"/>
  <c r="Z10" i="2"/>
  <c r="Z13" i="2" s="1"/>
  <c r="Z17" i="2" s="1"/>
  <c r="V17" i="2"/>
  <c r="V19" i="2" s="1"/>
  <c r="E13" i="2"/>
  <c r="F13" i="2" s="1"/>
  <c r="U17" i="2"/>
  <c r="E25" i="2"/>
  <c r="F10" i="2"/>
  <c r="F25" i="2" s="1"/>
  <c r="AB9" i="2" l="1"/>
  <c r="AA10" i="2"/>
  <c r="AA13" i="2" s="1"/>
  <c r="AA17" i="2" s="1"/>
  <c r="Z18" i="2"/>
  <c r="Z19" i="2"/>
  <c r="E17" i="2"/>
  <c r="F17" i="2" s="1"/>
  <c r="U19" i="2"/>
  <c r="E19" i="2" s="1"/>
  <c r="AC9" i="2" l="1"/>
  <c r="AB10" i="2"/>
  <c r="AB13" i="2" s="1"/>
  <c r="AB17" i="2" s="1"/>
  <c r="AA18" i="2"/>
  <c r="AA19" i="2"/>
  <c r="F19" i="2"/>
  <c r="E21" i="2"/>
  <c r="F21" i="2" s="1"/>
  <c r="AD9" i="2" l="1"/>
  <c r="AC10" i="2"/>
  <c r="AC13" i="2" s="1"/>
  <c r="AC17" i="2" s="1"/>
  <c r="AB18" i="2"/>
  <c r="AB19" i="2" s="1"/>
  <c r="AE9" i="2" l="1"/>
  <c r="AD10" i="2"/>
  <c r="AD13" i="2" s="1"/>
  <c r="AD17" i="2" s="1"/>
  <c r="AC18" i="2"/>
  <c r="AC19" i="2"/>
  <c r="AF9" i="2" l="1"/>
  <c r="AF10" i="2" s="1"/>
  <c r="AF13" i="2" s="1"/>
  <c r="AF17" i="2" s="1"/>
  <c r="AE10" i="2"/>
  <c r="AE13" i="2" s="1"/>
  <c r="AE17" i="2" s="1"/>
  <c r="AD18" i="2"/>
  <c r="AD19" i="2"/>
  <c r="AE18" i="2" l="1"/>
  <c r="AF18" i="2" s="1"/>
  <c r="AF19" i="2" s="1"/>
  <c r="AE19" i="2"/>
</calcChain>
</file>

<file path=xl/sharedStrings.xml><?xml version="1.0" encoding="utf-8"?>
<sst xmlns="http://schemas.openxmlformats.org/spreadsheetml/2006/main" count="62" uniqueCount="60">
  <si>
    <t>P</t>
  </si>
  <si>
    <t>S</t>
  </si>
  <si>
    <t>MC</t>
  </si>
  <si>
    <t>C</t>
  </si>
  <si>
    <t>D</t>
  </si>
  <si>
    <t>EV</t>
  </si>
  <si>
    <t>Q225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</si>
  <si>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</si>
  <si>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</si>
  <si>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</si>
  <si>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</si>
  <si>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</si>
  <si>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</si>
  <si>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</si>
  <si>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Q325</t>
  </si>
  <si>
    <t>Q425</t>
  </si>
  <si>
    <t>Sales</t>
  </si>
  <si>
    <t>Margin</t>
  </si>
  <si>
    <t>SGA</t>
  </si>
  <si>
    <t>Other Exp</t>
  </si>
  <si>
    <t xml:space="preserve">Op Income </t>
  </si>
  <si>
    <t>Other NonOp Exp</t>
  </si>
  <si>
    <t xml:space="preserve">EBT </t>
  </si>
  <si>
    <t>T</t>
  </si>
  <si>
    <t xml:space="preserve">Net Income </t>
  </si>
  <si>
    <t>D./ Shares</t>
  </si>
  <si>
    <t>Equity income</t>
  </si>
  <si>
    <t>Interest Exp</t>
  </si>
  <si>
    <t>EPS</t>
  </si>
  <si>
    <t>R y/y</t>
  </si>
  <si>
    <t xml:space="preserve">Scott's Miracle Gro Co. </t>
  </si>
  <si>
    <t>Gm%</t>
  </si>
  <si>
    <t xml:space="preserve">Investment </t>
  </si>
  <si>
    <t xml:space="preserve">Cash </t>
  </si>
  <si>
    <t>A/R</t>
  </si>
  <si>
    <t xml:space="preserve">Inventories </t>
  </si>
  <si>
    <t>Prepaid/OCA</t>
  </si>
  <si>
    <t>PPE</t>
  </si>
  <si>
    <t>Goodwill</t>
  </si>
  <si>
    <t>Intangible</t>
  </si>
  <si>
    <t>OA</t>
  </si>
  <si>
    <t>Total Assets</t>
  </si>
  <si>
    <t>Current Debt</t>
  </si>
  <si>
    <t>A/P</t>
  </si>
  <si>
    <t>OCL</t>
  </si>
  <si>
    <t>LTD</t>
  </si>
  <si>
    <t>OL</t>
  </si>
  <si>
    <t xml:space="preserve">Total Liabilities </t>
  </si>
  <si>
    <t xml:space="preserve">Equity </t>
  </si>
  <si>
    <t>Total Liabilities + Equity</t>
  </si>
  <si>
    <t>DSO</t>
  </si>
  <si>
    <t>DIO</t>
  </si>
  <si>
    <t>DPO</t>
  </si>
  <si>
    <t>CC</t>
  </si>
  <si>
    <t xml:space="preserve">Terminal </t>
  </si>
  <si>
    <t>Discount</t>
  </si>
  <si>
    <t>NPV</t>
  </si>
  <si>
    <t>Shares</t>
  </si>
  <si>
    <t xml:space="preserve">Estimate 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</si>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</sst>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m/d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1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" fontId="0" fillId="0" borderId="0" xfId="0" applyNumberFormat="1"/>
    <xf numFmtId="9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7938</xdr:colOff>
      <xdr:row>0</xdr:row>
      <xdr:rowOff>0</xdr:rowOff>
    </xdr:from>
    <xdr:to>
      <xdr:col>23</xdr:col>
      <xdr:colOff>31750</xdr:colOff>
      <xdr:row>37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747CA6-25CF-2469-502D-2142CE199520}"/>
            </a:ext>
          </a:extLst>
        </xdr:cNvPr>
        <xdr:cNvCxnSpPr/>
      </xdr:nvCxnSpPr>
      <xdr:spPr>
        <a:xfrm>
          <a:off x="11382376" y="0"/>
          <a:ext cx="23812" cy="7778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420688</xdr:colOff>
      <xdr:row>0</xdr:row>
      <xdr:rowOff>31750</xdr:rowOff>
    </xdr:from>
    <xdr:to>
      <xdr:col>9</xdr:col>
      <xdr:colOff>39688</xdr:colOff>
      <xdr:row>63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50F85DC-B055-4740-BF69-2F7A8E82B291}"/>
            </a:ext>
          </a:extLst>
        </xdr:cNvPr>
        <xdr:cNvCxnSpPr/>
      </xdr:nvCxnSpPr>
      <xdr:spPr>
        <a:xfrm>
          <a:off x="4675188" y="31750"/>
          <a:ext cx="47625" cy="13065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6265-4F2D-9540-BD29-49BD4C7FCFC7}">
  <dimension ref="B2:L8"/>
  <sheetViews>
    <sheetView workbookViewId="0">
      <selection activeCell="K7" sqref="K7"/>
    </sheetView>
  </sheetViews>
  <sheetFormatPr baseColWidth="10" defaultRowHeight="16" x14ac:dyDescent="0.2"/>
  <cols>
    <col min="1" max="1" width="3.1640625" style="1" customWidth="1"/>
    <col min="2" max="2" width="5.1640625" style="1" bestFit="1" customWidth="1"/>
    <col min="3" max="9" width="10.83203125" style="1"/>
    <col min="10" max="10" width="4" style="1" bestFit="1" customWidth="1"/>
    <col min="11" max="11" width="5.6640625" style="1" bestFit="1" customWidth="1"/>
    <col min="12" max="12" width="5.5" style="1" bestFit="1" customWidth="1"/>
    <col min="13" max="16384" width="10.83203125" style="1"/>
  </cols>
  <sheetData>
    <row r="2" spans="2:12" x14ac:dyDescent="0.2">
      <c r="B2" s="1" t="s">
        <v>30</v>
      </c>
    </row>
    <row r="3" spans="2:12" x14ac:dyDescent="0.2">
      <c r="B3" s="1" t="s">
        <v>7</v>
      </c>
      <c r="J3" s="1" t="s">
        <v>0</v>
      </c>
      <c r="K3" s="1">
        <v>53.45</v>
      </c>
    </row>
    <row r="4" spans="2:12" x14ac:dyDescent="0.2">
      <c r="B4" s="1" t="s">
        <v>8</v>
      </c>
      <c r="J4" s="1" t="s">
        <v>1</v>
      </c>
      <c r="K4" s="1">
        <v>57.738576999999999</v>
      </c>
      <c r="L4" s="1" t="s">
        <v>14</v>
      </c>
    </row>
    <row r="5" spans="2:12" x14ac:dyDescent="0.2">
      <c r="J5" s="1" t="s">
        <v>2</v>
      </c>
      <c r="K5" s="1">
        <f>+K3*K4</f>
        <v>3086.1269406500001</v>
      </c>
    </row>
    <row r="6" spans="2:12" x14ac:dyDescent="0.2">
      <c r="J6" s="1" t="s">
        <v>3</v>
      </c>
      <c r="K6" s="1">
        <v>36.6</v>
      </c>
      <c r="L6" s="1" t="str">
        <f>+L4</f>
        <v>Q325</v>
      </c>
    </row>
    <row r="7" spans="2:12" x14ac:dyDescent="0.2">
      <c r="J7" s="1" t="s">
        <v>4</v>
      </c>
      <c r="K7" s="1">
        <f>57.2+2049.2</f>
        <v>2106.3999999999996</v>
      </c>
      <c r="L7" s="1" t="str">
        <f>+L6</f>
        <v>Q325</v>
      </c>
    </row>
    <row r="8" spans="2:12" x14ac:dyDescent="0.2">
      <c r="J8" s="1" t="s">
        <v>5</v>
      </c>
      <c r="K8" s="1">
        <f>+K5-K6+K7</f>
        <v>5155.9269406499998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A911-AD71-0B47-969D-19E22721C37F}">
  <dimension ref="B2:XFD50"/>
  <sheetViews>
    <sheetView tabSelected="1" zoomScale="160" workbookViewId="0">
      <pane xSplit="2" ySplit="3" topLeftCell="U7" activePane="bottomRight" state="frozen"/>
      <selection pane="topRight" activeCell="C1" sqref="C1"/>
      <selection pane="bottomLeft" activeCell="A3" sqref="A3"/>
      <selection pane="bottomRight" activeCell="W8" sqref="W8"/>
    </sheetView>
  </sheetViews>
  <sheetFormatPr baseColWidth="10" defaultColWidth="6.1640625" defaultRowHeight="16" x14ac:dyDescent="0.2"/>
  <cols>
    <col min="1" max="1" width="1.33203125" style="1" customWidth="1"/>
    <col min="2" max="2" width="20.5" style="1" bestFit="1" customWidth="1"/>
    <col min="3" max="6" width="5.6640625" style="10" bestFit="1" customWidth="1"/>
    <col min="7" max="7" width="5.83203125" style="10" bestFit="1" customWidth="1"/>
    <col min="8" max="9" width="5.6640625" style="10" bestFit="1" customWidth="1"/>
    <col min="10" max="10" width="5.5" style="10" bestFit="1" customWidth="1"/>
    <col min="11" max="12" width="10.83203125" style="1"/>
    <col min="13" max="19" width="5.1640625" style="1" bestFit="1" customWidth="1"/>
    <col min="20" max="22" width="5.6640625" style="1" bestFit="1" customWidth="1"/>
    <col min="23" max="23" width="7.33203125" style="1" bestFit="1" customWidth="1"/>
    <col min="24" max="24" width="5.6640625" style="1" bestFit="1" customWidth="1"/>
    <col min="25" max="35" width="5.1640625" style="1" bestFit="1" customWidth="1"/>
    <col min="36" max="36" width="6.6640625" style="1" bestFit="1" customWidth="1"/>
    <col min="37" max="7997" width="5.1640625" style="1" bestFit="1" customWidth="1"/>
    <col min="7998" max="7998" width="6.1640625" style="1" bestFit="1" customWidth="1"/>
    <col min="7999" max="16384" width="6.1640625" style="1"/>
  </cols>
  <sheetData>
    <row r="2" spans="2:234 16384:16384" s="8" customFormat="1" x14ac:dyDescent="0.2">
      <c r="C2" s="9"/>
      <c r="D2" s="9">
        <v>45381</v>
      </c>
      <c r="E2" s="9">
        <v>45472</v>
      </c>
      <c r="F2" s="9">
        <v>45565</v>
      </c>
      <c r="G2" s="9">
        <v>45654</v>
      </c>
      <c r="H2" s="9">
        <v>45745</v>
      </c>
      <c r="I2" s="9">
        <v>45836</v>
      </c>
      <c r="J2" s="9"/>
    </row>
    <row r="3" spans="2:234 16384:16384" s="2" customFormat="1" x14ac:dyDescent="0.2"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6</v>
      </c>
      <c r="I3" s="2" t="s">
        <v>14</v>
      </c>
      <c r="J3" s="2" t="s">
        <v>15</v>
      </c>
      <c r="M3" s="2">
        <v>2015</v>
      </c>
      <c r="N3" s="2">
        <f>+M3+1</f>
        <v>2016</v>
      </c>
      <c r="O3" s="2">
        <f t="shared" ref="O3:AS3" si="0">+N3+1</f>
        <v>2017</v>
      </c>
      <c r="P3" s="2">
        <f t="shared" si="0"/>
        <v>2018</v>
      </c>
      <c r="Q3" s="2">
        <f t="shared" si="0"/>
        <v>2019</v>
      </c>
      <c r="R3" s="2">
        <f t="shared" si="0"/>
        <v>2020</v>
      </c>
      <c r="S3" s="2">
        <f t="shared" si="0"/>
        <v>2021</v>
      </c>
      <c r="T3" s="2">
        <f t="shared" si="0"/>
        <v>2022</v>
      </c>
      <c r="U3" s="2">
        <f t="shared" si="0"/>
        <v>2023</v>
      </c>
      <c r="V3" s="2">
        <f t="shared" si="0"/>
        <v>2024</v>
      </c>
      <c r="W3" s="2">
        <f t="shared" si="0"/>
        <v>2025</v>
      </c>
      <c r="X3" s="2">
        <f t="shared" si="0"/>
        <v>2026</v>
      </c>
      <c r="Y3" s="2">
        <f t="shared" si="0"/>
        <v>2027</v>
      </c>
      <c r="Z3" s="2">
        <f t="shared" si="0"/>
        <v>2028</v>
      </c>
      <c r="AA3" s="2">
        <f t="shared" si="0"/>
        <v>2029</v>
      </c>
      <c r="AB3" s="2">
        <f t="shared" si="0"/>
        <v>2030</v>
      </c>
      <c r="AC3" s="2">
        <f t="shared" si="0"/>
        <v>2031</v>
      </c>
      <c r="AD3" s="2">
        <f t="shared" si="0"/>
        <v>2032</v>
      </c>
      <c r="AE3" s="2">
        <f t="shared" si="0"/>
        <v>2033</v>
      </c>
      <c r="AF3" s="2">
        <f t="shared" si="0"/>
        <v>2034</v>
      </c>
      <c r="AG3" s="2">
        <f t="shared" si="0"/>
        <v>2035</v>
      </c>
      <c r="AH3" s="2">
        <f t="shared" si="0"/>
        <v>2036</v>
      </c>
      <c r="AI3" s="2">
        <f t="shared" ref="AI3" si="1">+AH3+1</f>
        <v>2037</v>
      </c>
      <c r="AJ3" s="2">
        <f t="shared" ref="AJ3" si="2">+AI3+1</f>
        <v>2038</v>
      </c>
      <c r="AK3" s="2">
        <f t="shared" ref="AK3" si="3">+AJ3+1</f>
        <v>2039</v>
      </c>
      <c r="AL3" s="2">
        <f t="shared" ref="AL3" si="4">+AK3+1</f>
        <v>2040</v>
      </c>
      <c r="AM3" s="2">
        <f t="shared" ref="AM3" si="5">+AL3+1</f>
        <v>2041</v>
      </c>
      <c r="AN3" s="2">
        <f t="shared" ref="AN3" si="6">+AM3+1</f>
        <v>2042</v>
      </c>
      <c r="AO3" s="2">
        <f t="shared" ref="AO3" si="7">+AN3+1</f>
        <v>2043</v>
      </c>
      <c r="AP3" s="2">
        <f t="shared" ref="AP3" si="8">+AO3+1</f>
        <v>2044</v>
      </c>
      <c r="AQ3" s="2">
        <f t="shared" ref="AQ3" si="9">+AP3+1</f>
        <v>2045</v>
      </c>
      <c r="AR3" s="2">
        <f t="shared" ref="AR3" si="10">+AQ3+1</f>
        <v>2046</v>
      </c>
      <c r="AS3" s="2">
        <f t="shared" ref="AS3" si="11">+AR3+1</f>
        <v>2047</v>
      </c>
      <c r="AT3" s="2">
        <f t="shared" ref="AT3" si="12">+AS3+1</f>
        <v>2048</v>
      </c>
      <c r="AU3" s="2">
        <f t="shared" ref="AU3" si="13">+AT3+1</f>
        <v>2049</v>
      </c>
      <c r="AV3" s="2">
        <f t="shared" ref="AV3" si="14">+AU3+1</f>
        <v>2050</v>
      </c>
      <c r="AW3" s="2">
        <f t="shared" ref="AW3" si="15">+AV3+1</f>
        <v>2051</v>
      </c>
      <c r="AX3" s="2">
        <f t="shared" ref="AX3" si="16">+AW3+1</f>
        <v>2052</v>
      </c>
      <c r="AY3" s="2">
        <f t="shared" ref="AY3" si="17">+AX3+1</f>
        <v>2053</v>
      </c>
      <c r="AZ3" s="2">
        <f t="shared" ref="AZ3" si="18">+AY3+1</f>
        <v>2054</v>
      </c>
      <c r="BA3" s="2">
        <f t="shared" ref="BA3" si="19">+AZ3+1</f>
        <v>2055</v>
      </c>
      <c r="BB3" s="2">
        <f t="shared" ref="BB3" si="20">+BA3+1</f>
        <v>2056</v>
      </c>
      <c r="BC3" s="2">
        <f t="shared" ref="BC3" si="21">+BB3+1</f>
        <v>2057</v>
      </c>
      <c r="BD3" s="2">
        <f t="shared" ref="BD3" si="22">+BC3+1</f>
        <v>2058</v>
      </c>
      <c r="BE3" s="2">
        <f t="shared" ref="BE3" si="23">+BD3+1</f>
        <v>2059</v>
      </c>
      <c r="BF3" s="2">
        <f t="shared" ref="BF3" si="24">+BE3+1</f>
        <v>2060</v>
      </c>
      <c r="BG3" s="2">
        <f t="shared" ref="BG3" si="25">+BF3+1</f>
        <v>2061</v>
      </c>
      <c r="BH3" s="2">
        <f t="shared" ref="BH3" si="26">+BG3+1</f>
        <v>2062</v>
      </c>
      <c r="BI3" s="2">
        <f t="shared" ref="BI3" si="27">+BH3+1</f>
        <v>2063</v>
      </c>
      <c r="BJ3" s="2">
        <f t="shared" ref="BJ3" si="28">+BI3+1</f>
        <v>2064</v>
      </c>
      <c r="BK3" s="2">
        <f t="shared" ref="BK3" si="29">+BJ3+1</f>
        <v>2065</v>
      </c>
      <c r="BL3" s="2">
        <f t="shared" ref="BL3" si="30">+BK3+1</f>
        <v>2066</v>
      </c>
      <c r="BM3" s="2">
        <f t="shared" ref="BM3" si="31">+BL3+1</f>
        <v>2067</v>
      </c>
      <c r="BN3" s="2">
        <f t="shared" ref="BN3" si="32">+BM3+1</f>
        <v>2068</v>
      </c>
      <c r="BO3" s="2">
        <f t="shared" ref="BO3" si="33">+BN3+1</f>
        <v>2069</v>
      </c>
      <c r="BP3" s="2">
        <f t="shared" ref="BP3" si="34">+BO3+1</f>
        <v>2070</v>
      </c>
      <c r="BQ3" s="2">
        <f t="shared" ref="BQ3" si="35">+BP3+1</f>
        <v>2071</v>
      </c>
      <c r="BR3" s="2">
        <f t="shared" ref="BR3" si="36">+BQ3+1</f>
        <v>2072</v>
      </c>
      <c r="BS3" s="2">
        <f t="shared" ref="BS3" si="37">+BR3+1</f>
        <v>2073</v>
      </c>
      <c r="BT3" s="2">
        <f t="shared" ref="BT3" si="38">+BS3+1</f>
        <v>2074</v>
      </c>
      <c r="BU3" s="2">
        <f t="shared" ref="BU3" si="39">+BT3+1</f>
        <v>2075</v>
      </c>
      <c r="BV3" s="2">
        <f t="shared" ref="BV3" si="40">+BU3+1</f>
        <v>2076</v>
      </c>
      <c r="BW3" s="2">
        <f t="shared" ref="BW3" si="41">+BV3+1</f>
        <v>2077</v>
      </c>
      <c r="BX3" s="2">
        <f t="shared" ref="BX3" si="42">+BW3+1</f>
        <v>2078</v>
      </c>
      <c r="BY3" s="2">
        <f t="shared" ref="BY3" si="43">+BX3+1</f>
        <v>2079</v>
      </c>
      <c r="BZ3" s="2">
        <f t="shared" ref="BZ3" si="44">+BY3+1</f>
        <v>2080</v>
      </c>
      <c r="CA3" s="2">
        <f t="shared" ref="CA3" si="45">+BZ3+1</f>
        <v>2081</v>
      </c>
      <c r="CB3" s="2">
        <f t="shared" ref="CB3" si="46">+CA3+1</f>
        <v>2082</v>
      </c>
      <c r="CC3" s="2">
        <f t="shared" ref="CC3" si="47">+CB3+1</f>
        <v>2083</v>
      </c>
      <c r="CD3" s="2">
        <f t="shared" ref="CD3" si="48">+CC3+1</f>
        <v>2084</v>
      </c>
      <c r="CE3" s="2">
        <f t="shared" ref="CE3" si="49">+CD3+1</f>
        <v>2085</v>
      </c>
      <c r="CF3" s="2">
        <f t="shared" ref="CF3" si="50">+CE3+1</f>
        <v>2086</v>
      </c>
      <c r="CG3" s="2">
        <f t="shared" ref="CG3" si="51">+CF3+1</f>
        <v>2087</v>
      </c>
      <c r="CH3" s="2">
        <f t="shared" ref="CH3" si="52">+CG3+1</f>
        <v>2088</v>
      </c>
      <c r="CI3" s="2">
        <f t="shared" ref="CI3" si="53">+CH3+1</f>
        <v>2089</v>
      </c>
      <c r="CJ3" s="2">
        <f t="shared" ref="CJ3" si="54">+CI3+1</f>
        <v>2090</v>
      </c>
      <c r="CK3" s="2">
        <f t="shared" ref="CK3" si="55">+CJ3+1</f>
        <v>2091</v>
      </c>
      <c r="CL3" s="2">
        <f t="shared" ref="CL3" si="56">+CK3+1</f>
        <v>2092</v>
      </c>
      <c r="CM3" s="2">
        <f t="shared" ref="CM3" si="57">+CL3+1</f>
        <v>2093</v>
      </c>
      <c r="CN3" s="2">
        <f t="shared" ref="CN3" si="58">+CM3+1</f>
        <v>2094</v>
      </c>
      <c r="CO3" s="2">
        <f t="shared" ref="CO3" si="59">+CN3+1</f>
        <v>2095</v>
      </c>
      <c r="CP3" s="2">
        <f t="shared" ref="CP3" si="60">+CO3+1</f>
        <v>2096</v>
      </c>
      <c r="CQ3" s="2">
        <f t="shared" ref="CQ3" si="61">+CP3+1</f>
        <v>2097</v>
      </c>
      <c r="CR3" s="2">
        <f t="shared" ref="CR3" si="62">+CQ3+1</f>
        <v>2098</v>
      </c>
      <c r="CS3" s="2">
        <f t="shared" ref="CS3" si="63">+CR3+1</f>
        <v>2099</v>
      </c>
      <c r="CT3" s="2">
        <f t="shared" ref="CT3" si="64">+CS3+1</f>
        <v>2100</v>
      </c>
      <c r="CU3" s="2">
        <f t="shared" ref="CU3" si="65">+CT3+1</f>
        <v>2101</v>
      </c>
      <c r="CV3" s="2">
        <f t="shared" ref="CV3" si="66">+CU3+1</f>
        <v>2102</v>
      </c>
      <c r="CW3" s="2">
        <f t="shared" ref="CW3" si="67">+CV3+1</f>
        <v>2103</v>
      </c>
      <c r="CX3" s="2">
        <f t="shared" ref="CX3" si="68">+CW3+1</f>
        <v>2104</v>
      </c>
      <c r="CY3" s="2">
        <f t="shared" ref="CY3" si="69">+CX3+1</f>
        <v>2105</v>
      </c>
      <c r="CZ3" s="2">
        <f t="shared" ref="CZ3" si="70">+CY3+1</f>
        <v>2106</v>
      </c>
      <c r="DA3" s="2">
        <f t="shared" ref="DA3" si="71">+CZ3+1</f>
        <v>2107</v>
      </c>
      <c r="DB3" s="2">
        <f t="shared" ref="DB3" si="72">+DA3+1</f>
        <v>2108</v>
      </c>
      <c r="DC3" s="2">
        <f t="shared" ref="DC3" si="73">+DB3+1</f>
        <v>2109</v>
      </c>
      <c r="DD3" s="2">
        <f t="shared" ref="DD3" si="74">+DC3+1</f>
        <v>2110</v>
      </c>
      <c r="DE3" s="2">
        <f t="shared" ref="DE3" si="75">+DD3+1</f>
        <v>2111</v>
      </c>
      <c r="DF3" s="2">
        <f t="shared" ref="DF3" si="76">+DE3+1</f>
        <v>2112</v>
      </c>
      <c r="DG3" s="2">
        <f t="shared" ref="DG3" si="77">+DF3+1</f>
        <v>2113</v>
      </c>
      <c r="DH3" s="2">
        <f t="shared" ref="DH3" si="78">+DG3+1</f>
        <v>2114</v>
      </c>
      <c r="DI3" s="2">
        <f t="shared" ref="DI3" si="79">+DH3+1</f>
        <v>2115</v>
      </c>
      <c r="DJ3" s="2">
        <f t="shared" ref="DJ3" si="80">+DI3+1</f>
        <v>2116</v>
      </c>
      <c r="DK3" s="2">
        <f t="shared" ref="DK3" si="81">+DJ3+1</f>
        <v>2117</v>
      </c>
      <c r="DL3" s="2">
        <f t="shared" ref="DL3" si="82">+DK3+1</f>
        <v>2118</v>
      </c>
      <c r="DM3" s="2">
        <f t="shared" ref="DM3" si="83">+DL3+1</f>
        <v>2119</v>
      </c>
      <c r="DN3" s="2">
        <f t="shared" ref="DN3" si="84">+DM3+1</f>
        <v>2120</v>
      </c>
      <c r="DO3" s="2">
        <f t="shared" ref="DO3" si="85">+DN3+1</f>
        <v>2121</v>
      </c>
      <c r="DP3" s="2">
        <f t="shared" ref="DP3" si="86">+DO3+1</f>
        <v>2122</v>
      </c>
      <c r="DQ3" s="2">
        <f t="shared" ref="DQ3" si="87">+DP3+1</f>
        <v>2123</v>
      </c>
      <c r="DR3" s="2">
        <f t="shared" ref="DR3" si="88">+DQ3+1</f>
        <v>2124</v>
      </c>
      <c r="DS3" s="2">
        <f t="shared" ref="DS3" si="89">+DR3+1</f>
        <v>2125</v>
      </c>
      <c r="DT3" s="2">
        <f t="shared" ref="DT3" si="90">+DS3+1</f>
        <v>2126</v>
      </c>
      <c r="DU3" s="2">
        <f t="shared" ref="DU3" si="91">+DT3+1</f>
        <v>2127</v>
      </c>
      <c r="DV3" s="2">
        <f t="shared" ref="DV3" si="92">+DU3+1</f>
        <v>2128</v>
      </c>
      <c r="DW3" s="2">
        <f t="shared" ref="DW3" si="93">+DV3+1</f>
        <v>2129</v>
      </c>
      <c r="DX3" s="2">
        <f t="shared" ref="DX3" si="94">+DW3+1</f>
        <v>2130</v>
      </c>
      <c r="DY3" s="2">
        <f t="shared" ref="DY3" si="95">+DX3+1</f>
        <v>2131</v>
      </c>
      <c r="DZ3" s="2">
        <f t="shared" ref="DZ3" si="96">+DY3+1</f>
        <v>2132</v>
      </c>
      <c r="EA3" s="2">
        <f t="shared" ref="EA3" si="97">+DZ3+1</f>
        <v>2133</v>
      </c>
      <c r="EB3" s="2">
        <f t="shared" ref="EB3" si="98">+EA3+1</f>
        <v>2134</v>
      </c>
      <c r="EC3" s="2">
        <f t="shared" ref="EC3" si="99">+EB3+1</f>
        <v>2135</v>
      </c>
      <c r="ED3" s="2">
        <f t="shared" ref="ED3" si="100">+EC3+1</f>
        <v>2136</v>
      </c>
      <c r="EE3" s="2">
        <f t="shared" ref="EE3" si="101">+ED3+1</f>
        <v>2137</v>
      </c>
      <c r="EF3" s="2">
        <f t="shared" ref="EF3" si="102">+EE3+1</f>
        <v>2138</v>
      </c>
      <c r="EG3" s="2">
        <f t="shared" ref="EG3" si="103">+EF3+1</f>
        <v>2139</v>
      </c>
      <c r="EH3" s="2">
        <f t="shared" ref="EH3" si="104">+EG3+1</f>
        <v>2140</v>
      </c>
      <c r="EI3" s="2">
        <f t="shared" ref="EI3" si="105">+EH3+1</f>
        <v>2141</v>
      </c>
      <c r="EJ3" s="2">
        <f t="shared" ref="EJ3" si="106">+EI3+1</f>
        <v>2142</v>
      </c>
      <c r="EK3" s="2">
        <f t="shared" ref="EK3" si="107">+EJ3+1</f>
        <v>2143</v>
      </c>
      <c r="EL3" s="2">
        <f t="shared" ref="EL3" si="108">+EK3+1</f>
        <v>2144</v>
      </c>
      <c r="EM3" s="2">
        <f t="shared" ref="EM3" si="109">+EL3+1</f>
        <v>2145</v>
      </c>
      <c r="EN3" s="2">
        <f t="shared" ref="EN3" si="110">+EM3+1</f>
        <v>2146</v>
      </c>
      <c r="EO3" s="2">
        <f t="shared" ref="EO3" si="111">+EN3+1</f>
        <v>2147</v>
      </c>
      <c r="EP3" s="2">
        <f t="shared" ref="EP3" si="112">+EO3+1</f>
        <v>2148</v>
      </c>
      <c r="EQ3" s="2">
        <f t="shared" ref="EQ3" si="113">+EP3+1</f>
        <v>2149</v>
      </c>
      <c r="ER3" s="2">
        <f t="shared" ref="ER3" si="114">+EQ3+1</f>
        <v>2150</v>
      </c>
      <c r="ES3" s="2">
        <f t="shared" ref="ES3" si="115">+ER3+1</f>
        <v>2151</v>
      </c>
      <c r="ET3" s="2">
        <f t="shared" ref="ET3" si="116">+ES3+1</f>
        <v>2152</v>
      </c>
      <c r="EU3" s="2">
        <f t="shared" ref="EU3" si="117">+ET3+1</f>
        <v>2153</v>
      </c>
      <c r="EV3" s="2">
        <f t="shared" ref="EV3" si="118">+EU3+1</f>
        <v>2154</v>
      </c>
      <c r="EW3" s="2">
        <f t="shared" ref="EW3" si="119">+EV3+1</f>
        <v>2155</v>
      </c>
      <c r="EX3" s="2">
        <f t="shared" ref="EX3" si="120">+EW3+1</f>
        <v>2156</v>
      </c>
      <c r="EY3" s="2">
        <f t="shared" ref="EY3" si="121">+EX3+1</f>
        <v>2157</v>
      </c>
      <c r="EZ3" s="2">
        <f t="shared" ref="EZ3" si="122">+EY3+1</f>
        <v>2158</v>
      </c>
      <c r="FA3" s="2">
        <f t="shared" ref="FA3" si="123">+EZ3+1</f>
        <v>2159</v>
      </c>
      <c r="FB3" s="2">
        <f t="shared" ref="FB3" si="124">+FA3+1</f>
        <v>2160</v>
      </c>
      <c r="FC3" s="2">
        <f t="shared" ref="FC3" si="125">+FB3+1</f>
        <v>2161</v>
      </c>
      <c r="FD3" s="2">
        <f t="shared" ref="FD3" si="126">+FC3+1</f>
        <v>2162</v>
      </c>
      <c r="FE3" s="2">
        <f t="shared" ref="FE3" si="127">+FD3+1</f>
        <v>2163</v>
      </c>
      <c r="FF3" s="2">
        <f t="shared" ref="FF3" si="128">+FE3+1</f>
        <v>2164</v>
      </c>
      <c r="FG3" s="2">
        <f t="shared" ref="FG3" si="129">+FF3+1</f>
        <v>2165</v>
      </c>
      <c r="FH3" s="2">
        <f t="shared" ref="FH3" si="130">+FG3+1</f>
        <v>2166</v>
      </c>
      <c r="FI3" s="2">
        <f t="shared" ref="FI3" si="131">+FH3+1</f>
        <v>2167</v>
      </c>
      <c r="FJ3" s="2">
        <f t="shared" ref="FJ3" si="132">+FI3+1</f>
        <v>2168</v>
      </c>
      <c r="FK3" s="2">
        <f t="shared" ref="FK3" si="133">+FJ3+1</f>
        <v>2169</v>
      </c>
      <c r="FL3" s="2">
        <f t="shared" ref="FL3" si="134">+FK3+1</f>
        <v>2170</v>
      </c>
      <c r="FM3" s="2">
        <f t="shared" ref="FM3" si="135">+FL3+1</f>
        <v>2171</v>
      </c>
      <c r="FN3" s="2">
        <f t="shared" ref="FN3" si="136">+FM3+1</f>
        <v>2172</v>
      </c>
      <c r="FO3" s="2">
        <f t="shared" ref="FO3" si="137">+FN3+1</f>
        <v>2173</v>
      </c>
      <c r="FP3" s="2">
        <f t="shared" ref="FP3" si="138">+FO3+1</f>
        <v>2174</v>
      </c>
      <c r="FQ3" s="2">
        <f t="shared" ref="FQ3" si="139">+FP3+1</f>
        <v>2175</v>
      </c>
      <c r="FR3" s="2">
        <f t="shared" ref="FR3" si="140">+FQ3+1</f>
        <v>2176</v>
      </c>
      <c r="FS3" s="2">
        <f t="shared" ref="FS3" si="141">+FR3+1</f>
        <v>2177</v>
      </c>
      <c r="FT3" s="2">
        <f t="shared" ref="FT3" si="142">+FS3+1</f>
        <v>2178</v>
      </c>
      <c r="FU3" s="2">
        <f t="shared" ref="FU3" si="143">+FT3+1</f>
        <v>2179</v>
      </c>
      <c r="FV3" s="2">
        <f t="shared" ref="FV3" si="144">+FU3+1</f>
        <v>2180</v>
      </c>
      <c r="FW3" s="2">
        <f t="shared" ref="FW3" si="145">+FV3+1</f>
        <v>2181</v>
      </c>
      <c r="FX3" s="2">
        <f t="shared" ref="FX3" si="146">+FW3+1</f>
        <v>2182</v>
      </c>
      <c r="FY3" s="2">
        <f t="shared" ref="FY3" si="147">+FX3+1</f>
        <v>2183</v>
      </c>
      <c r="FZ3" s="2">
        <f t="shared" ref="FZ3" si="148">+FY3+1</f>
        <v>2184</v>
      </c>
      <c r="GA3" s="2">
        <f t="shared" ref="GA3" si="149">+FZ3+1</f>
        <v>2185</v>
      </c>
      <c r="GB3" s="2">
        <f t="shared" ref="GB3" si="150">+GA3+1</f>
        <v>2186</v>
      </c>
      <c r="GC3" s="2">
        <f t="shared" ref="GC3" si="151">+GB3+1</f>
        <v>2187</v>
      </c>
      <c r="GD3" s="2">
        <f t="shared" ref="GD3" si="152">+GC3+1</f>
        <v>2188</v>
      </c>
      <c r="GE3" s="2">
        <f t="shared" ref="GE3" si="153">+GD3+1</f>
        <v>2189</v>
      </c>
      <c r="GF3" s="2">
        <f t="shared" ref="GF3" si="154">+GE3+1</f>
        <v>2190</v>
      </c>
      <c r="GG3" s="2">
        <f t="shared" ref="GG3" si="155">+GF3+1</f>
        <v>2191</v>
      </c>
      <c r="GH3" s="2">
        <f t="shared" ref="GH3" si="156">+GG3+1</f>
        <v>2192</v>
      </c>
      <c r="GI3" s="2">
        <f t="shared" ref="GI3" si="157">+GH3+1</f>
        <v>2193</v>
      </c>
      <c r="GJ3" s="2">
        <f t="shared" ref="GJ3" si="158">+GI3+1</f>
        <v>2194</v>
      </c>
      <c r="GK3" s="2">
        <f t="shared" ref="GK3" si="159">+GJ3+1</f>
        <v>2195</v>
      </c>
      <c r="GL3" s="2">
        <f t="shared" ref="GL3" si="160">+GK3+1</f>
        <v>2196</v>
      </c>
      <c r="GM3" s="2">
        <f t="shared" ref="GM3" si="161">+GL3+1</f>
        <v>2197</v>
      </c>
      <c r="GN3" s="2">
        <f t="shared" ref="GN3" si="162">+GM3+1</f>
        <v>2198</v>
      </c>
      <c r="GO3" s="2">
        <f t="shared" ref="GO3" si="163">+GN3+1</f>
        <v>2199</v>
      </c>
      <c r="GP3" s="2">
        <f t="shared" ref="GP3" si="164">+GO3+1</f>
        <v>2200</v>
      </c>
      <c r="GQ3" s="2">
        <f t="shared" ref="GQ3" si="165">+GP3+1</f>
        <v>2201</v>
      </c>
      <c r="GR3" s="2">
        <f t="shared" ref="GR3" si="166">+GQ3+1</f>
        <v>2202</v>
      </c>
      <c r="GS3" s="2">
        <f t="shared" ref="GS3" si="167">+GR3+1</f>
        <v>2203</v>
      </c>
      <c r="GT3" s="2">
        <f t="shared" ref="GT3" si="168">+GS3+1</f>
        <v>2204</v>
      </c>
      <c r="GU3" s="2">
        <f t="shared" ref="GU3" si="169">+GT3+1</f>
        <v>2205</v>
      </c>
      <c r="GV3" s="2">
        <f t="shared" ref="GV3" si="170">+GU3+1</f>
        <v>2206</v>
      </c>
      <c r="GW3" s="2">
        <f t="shared" ref="GW3" si="171">+GV3+1</f>
        <v>2207</v>
      </c>
      <c r="GX3" s="2">
        <f t="shared" ref="GX3" si="172">+GW3+1</f>
        <v>2208</v>
      </c>
      <c r="GY3" s="2">
        <f t="shared" ref="GY3" si="173">+GX3+1</f>
        <v>2209</v>
      </c>
      <c r="GZ3" s="2">
        <f t="shared" ref="GZ3" si="174">+GY3+1</f>
        <v>2210</v>
      </c>
      <c r="HA3" s="2">
        <f t="shared" ref="HA3" si="175">+GZ3+1</f>
        <v>2211</v>
      </c>
      <c r="HB3" s="2">
        <f t="shared" ref="HB3" si="176">+HA3+1</f>
        <v>2212</v>
      </c>
      <c r="HC3" s="2">
        <f t="shared" ref="HC3" si="177">+HB3+1</f>
        <v>2213</v>
      </c>
      <c r="HD3" s="2">
        <f t="shared" ref="HD3" si="178">+HC3+1</f>
        <v>2214</v>
      </c>
      <c r="HE3" s="2">
        <f t="shared" ref="HE3" si="179">+HD3+1</f>
        <v>2215</v>
      </c>
      <c r="HF3" s="2">
        <f t="shared" ref="HF3" si="180">+HE3+1</f>
        <v>2216</v>
      </c>
      <c r="HG3" s="2">
        <f t="shared" ref="HG3" si="181">+HF3+1</f>
        <v>2217</v>
      </c>
      <c r="HH3" s="2">
        <f t="shared" ref="HH3" si="182">+HG3+1</f>
        <v>2218</v>
      </c>
      <c r="HI3" s="2">
        <f t="shared" ref="HI3" si="183">+HH3+1</f>
        <v>2219</v>
      </c>
      <c r="HJ3" s="2">
        <f t="shared" ref="HJ3" si="184">+HI3+1</f>
        <v>2220</v>
      </c>
      <c r="HK3" s="2">
        <f t="shared" ref="HK3" si="185">+HJ3+1</f>
        <v>2221</v>
      </c>
      <c r="HL3" s="2">
        <f t="shared" ref="HL3" si="186">+HK3+1</f>
        <v>2222</v>
      </c>
      <c r="HM3" s="2">
        <f t="shared" ref="HM3" si="187">+HL3+1</f>
        <v>2223</v>
      </c>
      <c r="HN3" s="2">
        <f t="shared" ref="HN3" si="188">+HM3+1</f>
        <v>2224</v>
      </c>
      <c r="HO3" s="2">
        <f t="shared" ref="HO3" si="189">+HN3+1</f>
        <v>2225</v>
      </c>
      <c r="HP3" s="2">
        <f t="shared" ref="HP3" si="190">+HO3+1</f>
        <v>2226</v>
      </c>
      <c r="HQ3" s="2">
        <f t="shared" ref="HQ3" si="191">+HP3+1</f>
        <v>2227</v>
      </c>
      <c r="HR3" s="2">
        <f t="shared" ref="HR3" si="192">+HQ3+1</f>
        <v>2228</v>
      </c>
      <c r="HS3" s="2">
        <f t="shared" ref="HS3" si="193">+HR3+1</f>
        <v>2229</v>
      </c>
      <c r="HT3" s="2">
        <f t="shared" ref="HT3" si="194">+HS3+1</f>
        <v>2230</v>
      </c>
      <c r="HU3" s="2">
        <f t="shared" ref="HU3" si="195">+HT3+1</f>
        <v>2231</v>
      </c>
      <c r="HV3" s="2">
        <f t="shared" ref="HV3" si="196">+HU3+1</f>
        <v>2232</v>
      </c>
      <c r="HW3" s="2">
        <f t="shared" ref="HW3" si="197">+HV3+1</f>
        <v>2233</v>
      </c>
      <c r="HX3" s="2">
        <f t="shared" ref="HX3" si="198">+HW3+1</f>
        <v>2234</v>
      </c>
      <c r="HY3" s="2">
        <f t="shared" ref="HY3" si="199">+HX3+1</f>
        <v>2235</v>
      </c>
      <c r="HZ3" s="2">
        <f t="shared" ref="HZ3" si="200">+HY3+1</f>
        <v>2236</v>
      </c>
    </row>
    <row r="4" spans="2:234 16384:16384" s="2" customFormat="1" x14ac:dyDescent="0.2"/>
    <row r="5" spans="2:234 16384:16384" s="2" customFormat="1" x14ac:dyDescent="0.2"/>
    <row r="6" spans="2:234 16384:16384" s="2" customFormat="1" x14ac:dyDescent="0.2"/>
    <row r="7" spans="2:234 16384:16384" s="2" customFormat="1" x14ac:dyDescent="0.2"/>
    <row r="8" spans="2:234 16384:16384" x14ac:dyDescent="0.2">
      <c r="B8" s="1" t="s">
        <v>16</v>
      </c>
      <c r="C8" s="10">
        <v>410.4</v>
      </c>
      <c r="D8" s="10">
        <v>1525.4</v>
      </c>
      <c r="E8" s="10">
        <v>1202.2</v>
      </c>
      <c r="F8" s="10">
        <f>+V8-SUM(C8:E8)</f>
        <v>414.69999999999982</v>
      </c>
      <c r="G8" s="10">
        <v>416.8</v>
      </c>
      <c r="H8" s="10">
        <v>1421</v>
      </c>
      <c r="I8" s="10">
        <v>1188</v>
      </c>
      <c r="J8" s="10">
        <v>387.4</v>
      </c>
      <c r="T8" s="1">
        <v>3924.1</v>
      </c>
      <c r="U8" s="1">
        <v>3551.3</v>
      </c>
      <c r="V8" s="1">
        <v>3552.7</v>
      </c>
      <c r="W8" s="1">
        <f>SUM(G8:J8)</f>
        <v>3413.2000000000003</v>
      </c>
      <c r="X8" s="1">
        <f>+W8*1.02</f>
        <v>3481.4640000000004</v>
      </c>
      <c r="Y8" s="1">
        <f>+X8*1.02</f>
        <v>3551.0932800000005</v>
      </c>
      <c r="Z8" s="1">
        <f>+Y8*1.02</f>
        <v>3622.1151456000007</v>
      </c>
      <c r="AA8" s="1">
        <f>+Z8*1.02</f>
        <v>3694.557448512001</v>
      </c>
      <c r="AB8" s="1">
        <f>+AA8*1.02</f>
        <v>3768.448597482241</v>
      </c>
      <c r="AC8" s="1">
        <f>+AB8*1.02</f>
        <v>3843.8175694318857</v>
      </c>
      <c r="AD8" s="1">
        <f>+AC8*1.02</f>
        <v>3920.6939208205235</v>
      </c>
      <c r="AE8" s="1">
        <f>+AD8*1.02</f>
        <v>3999.1077992369342</v>
      </c>
      <c r="AF8" s="1">
        <f>+AE8*1.02</f>
        <v>4079.0899552216729</v>
      </c>
      <c r="AG8" s="1">
        <f>+AF8*1.02</f>
        <v>4160.6717543261066</v>
      </c>
      <c r="XFD8" s="1">
        <f>+XFC8*1.02</f>
        <v>0</v>
      </c>
    </row>
    <row r="9" spans="2:234 16384:16384" x14ac:dyDescent="0.2">
      <c r="B9" s="1" t="s">
        <v>3</v>
      </c>
      <c r="C9" s="10">
        <v>354</v>
      </c>
      <c r="D9" s="10">
        <v>986.8</v>
      </c>
      <c r="E9" s="10">
        <v>850.6</v>
      </c>
      <c r="F9" s="10">
        <f t="shared" ref="E9:F21" si="201">+V9-SUM(C9:E9)</f>
        <v>427.29999999999973</v>
      </c>
      <c r="G9" s="10">
        <v>316.89999999999998</v>
      </c>
      <c r="H9" s="10">
        <v>865.8</v>
      </c>
      <c r="I9" s="10">
        <v>806.3</v>
      </c>
      <c r="J9" s="10">
        <v>359.7</v>
      </c>
      <c r="T9" s="1">
        <v>2891.1</v>
      </c>
      <c r="U9" s="1">
        <v>2708.3</v>
      </c>
      <c r="V9" s="1">
        <v>2618.6999999999998</v>
      </c>
      <c r="W9" s="1">
        <f t="shared" ref="W9:W19" si="202">SUM(G9:J9)</f>
        <v>2348.6999999999998</v>
      </c>
      <c r="X9" s="1">
        <f>+X$8*(W9/W$8)</f>
        <v>2395.6739999999995</v>
      </c>
      <c r="Y9" s="1">
        <f t="shared" ref="Y9:AF9" si="203">+Y$8*(X9/X$8)</f>
        <v>2443.5874799999992</v>
      </c>
      <c r="Z9" s="1">
        <f t="shared" si="203"/>
        <v>2492.4592295999996</v>
      </c>
      <c r="AA9" s="1">
        <f t="shared" si="203"/>
        <v>2542.3084141919999</v>
      </c>
      <c r="AB9" s="1">
        <f t="shared" si="203"/>
        <v>2593.1545824758396</v>
      </c>
      <c r="AC9" s="1">
        <f t="shared" si="203"/>
        <v>2645.0176741253563</v>
      </c>
      <c r="AD9" s="1">
        <f t="shared" si="203"/>
        <v>2697.9180276078637</v>
      </c>
      <c r="AE9" s="1">
        <f t="shared" si="203"/>
        <v>2751.8763881600212</v>
      </c>
      <c r="AF9" s="1">
        <f t="shared" si="203"/>
        <v>2806.9139159232213</v>
      </c>
      <c r="AG9" s="1">
        <f t="shared" ref="AG9" si="204">+AG$8*(AF9/AF$8)</f>
        <v>2863.0521942416858</v>
      </c>
    </row>
    <row r="10" spans="2:234 16384:16384" x14ac:dyDescent="0.2">
      <c r="B10" s="1" t="s">
        <v>17</v>
      </c>
      <c r="C10" s="10">
        <f>+C8-C9</f>
        <v>56.399999999999977</v>
      </c>
      <c r="D10" s="10">
        <f>+D8-D9</f>
        <v>538.60000000000014</v>
      </c>
      <c r="E10" s="10">
        <f t="shared" si="201"/>
        <v>247.99999999999989</v>
      </c>
      <c r="F10" s="10">
        <f t="shared" si="201"/>
        <v>91</v>
      </c>
      <c r="G10" s="10">
        <f>+G8-G9</f>
        <v>99.900000000000034</v>
      </c>
      <c r="H10" s="10">
        <f>+H8-H9</f>
        <v>555.20000000000005</v>
      </c>
      <c r="I10" s="10">
        <f>+I8-I9</f>
        <v>381.70000000000005</v>
      </c>
      <c r="J10" s="10">
        <f>+J8-J9</f>
        <v>27.699999999999989</v>
      </c>
      <c r="T10" s="1">
        <f>+T8-T9</f>
        <v>1033</v>
      </c>
      <c r="U10" s="1">
        <f>+U8-U9</f>
        <v>843</v>
      </c>
      <c r="V10" s="1">
        <f>+V8-V9</f>
        <v>934</v>
      </c>
      <c r="W10" s="1">
        <f t="shared" si="202"/>
        <v>1064.5000000000002</v>
      </c>
      <c r="X10" s="1">
        <f>+X8-X9</f>
        <v>1085.7900000000009</v>
      </c>
      <c r="Y10" s="1">
        <f t="shared" ref="Y10:AG10" si="205">+Y8-Y9</f>
        <v>1107.5058000000013</v>
      </c>
      <c r="Z10" s="1">
        <f t="shared" si="205"/>
        <v>1129.6559160000011</v>
      </c>
      <c r="AA10" s="1">
        <f t="shared" si="205"/>
        <v>1152.2490343200011</v>
      </c>
      <c r="AB10" s="1">
        <f t="shared" si="205"/>
        <v>1175.2940150064014</v>
      </c>
      <c r="AC10" s="1">
        <f t="shared" si="205"/>
        <v>1198.7998953065294</v>
      </c>
      <c r="AD10" s="1">
        <f t="shared" si="205"/>
        <v>1222.7758932126599</v>
      </c>
      <c r="AE10" s="1">
        <f t="shared" si="205"/>
        <v>1247.231411076913</v>
      </c>
      <c r="AF10" s="1">
        <f t="shared" si="205"/>
        <v>1272.1760392984515</v>
      </c>
      <c r="AG10" s="1">
        <f t="shared" si="205"/>
        <v>1297.6195600844208</v>
      </c>
    </row>
    <row r="11" spans="2:234 16384:16384" x14ac:dyDescent="0.2">
      <c r="B11" s="1" t="s">
        <v>18</v>
      </c>
      <c r="C11" s="10">
        <v>114.8</v>
      </c>
      <c r="D11" s="10">
        <v>178.7</v>
      </c>
      <c r="E11" s="10">
        <v>147.9</v>
      </c>
      <c r="F11" s="10">
        <f t="shared" si="201"/>
        <v>117.60000000000002</v>
      </c>
      <c r="G11" s="10">
        <v>124.8</v>
      </c>
      <c r="H11" s="10">
        <v>188.3</v>
      </c>
      <c r="I11" s="10">
        <v>153.4</v>
      </c>
      <c r="J11" s="10">
        <v>136.9</v>
      </c>
      <c r="T11" s="1">
        <v>613</v>
      </c>
      <c r="U11" s="1">
        <v>551</v>
      </c>
      <c r="V11" s="1">
        <v>559</v>
      </c>
      <c r="W11" s="1">
        <f t="shared" si="202"/>
        <v>603.4</v>
      </c>
      <c r="X11" s="1">
        <f>+X$8*(W11/W$8)</f>
        <v>615.46799999999996</v>
      </c>
      <c r="Y11" s="1">
        <f t="shared" ref="Y11:AF11" si="206">+Y$8*(X11/X$8)</f>
        <v>627.77735999999993</v>
      </c>
      <c r="Z11" s="1">
        <f t="shared" si="206"/>
        <v>640.33290720000002</v>
      </c>
      <c r="AA11" s="1">
        <f t="shared" si="206"/>
        <v>653.13956534400006</v>
      </c>
      <c r="AB11" s="1">
        <f t="shared" si="206"/>
        <v>666.20235665088001</v>
      </c>
      <c r="AC11" s="1">
        <f t="shared" si="206"/>
        <v>679.52640378389754</v>
      </c>
      <c r="AD11" s="1">
        <f t="shared" si="206"/>
        <v>693.11693185957552</v>
      </c>
      <c r="AE11" s="1">
        <f t="shared" si="206"/>
        <v>706.97927049676707</v>
      </c>
      <c r="AF11" s="1">
        <f t="shared" si="206"/>
        <v>721.11885590670249</v>
      </c>
      <c r="AG11" s="1">
        <f t="shared" ref="AG11" si="207">+AG$8*(AF11/AF$8)</f>
        <v>735.54123302483652</v>
      </c>
    </row>
    <row r="12" spans="2:234 16384:16384" x14ac:dyDescent="0.2">
      <c r="B12" s="1" t="s">
        <v>19</v>
      </c>
      <c r="C12" s="10">
        <v>1.8</v>
      </c>
      <c r="D12" s="10">
        <v>10.8</v>
      </c>
      <c r="E12" s="10">
        <v>6.9</v>
      </c>
      <c r="F12" s="10">
        <f t="shared" si="201"/>
        <v>0.39999999999999858</v>
      </c>
      <c r="G12" s="10">
        <v>16.5</v>
      </c>
      <c r="H12" s="10">
        <v>4.2</v>
      </c>
      <c r="I12" s="10">
        <v>7.2</v>
      </c>
      <c r="J12" s="10">
        <v>2.9</v>
      </c>
      <c r="T12" s="1">
        <v>0.8</v>
      </c>
      <c r="U12" s="1">
        <v>-0.1</v>
      </c>
      <c r="V12" s="1">
        <v>19.899999999999999</v>
      </c>
      <c r="W12" s="1">
        <f t="shared" si="202"/>
        <v>30.799999999999997</v>
      </c>
      <c r="X12" s="1">
        <f>+X$8*(W12/W$8)</f>
        <v>31.416</v>
      </c>
      <c r="Y12" s="1">
        <f t="shared" ref="Y12:AF12" si="208">+Y$8*(X12/X$8)</f>
        <v>32.044319999999999</v>
      </c>
      <c r="Z12" s="1">
        <f t="shared" si="208"/>
        <v>32.685206400000006</v>
      </c>
      <c r="AA12" s="1">
        <f t="shared" si="208"/>
        <v>33.338910528000007</v>
      </c>
      <c r="AB12" s="1">
        <f t="shared" si="208"/>
        <v>34.005688738560004</v>
      </c>
      <c r="AC12" s="1">
        <f t="shared" si="208"/>
        <v>34.685802513331204</v>
      </c>
      <c r="AD12" s="1">
        <f t="shared" si="208"/>
        <v>35.379518563597827</v>
      </c>
      <c r="AE12" s="1">
        <f t="shared" si="208"/>
        <v>36.087108934869789</v>
      </c>
      <c r="AF12" s="1">
        <f t="shared" si="208"/>
        <v>36.808851113567187</v>
      </c>
      <c r="AG12" s="1">
        <f t="shared" ref="AG12" si="209">+AG$8*(AF12/AF$8)</f>
        <v>37.545028135838528</v>
      </c>
    </row>
    <row r="13" spans="2:234 16384:16384" x14ac:dyDescent="0.2">
      <c r="B13" s="1" t="s">
        <v>20</v>
      </c>
      <c r="C13" s="10">
        <f>+C10-SUM(C11:C12)</f>
        <v>-60.200000000000017</v>
      </c>
      <c r="D13" s="10">
        <f>+D10-SUM(D11:D12)</f>
        <v>349.10000000000014</v>
      </c>
      <c r="E13" s="10">
        <f t="shared" si="201"/>
        <v>3.1999999999999318</v>
      </c>
      <c r="F13" s="10">
        <f t="shared" si="201"/>
        <v>63</v>
      </c>
      <c r="G13" s="10">
        <f>+G10-SUM(G11:G12)</f>
        <v>-41.399999999999977</v>
      </c>
      <c r="H13" s="10">
        <f>+H10-SUM(H11:H12)</f>
        <v>362.70000000000005</v>
      </c>
      <c r="I13" s="10">
        <f>+I10-SUM(I11:I12)</f>
        <v>221.10000000000005</v>
      </c>
      <c r="J13" s="10">
        <f>+J10-SUM(J11:J12)</f>
        <v>-112.10000000000002</v>
      </c>
      <c r="T13" s="1">
        <f>+T10-SUM(T11:T12)</f>
        <v>419.20000000000005</v>
      </c>
      <c r="U13" s="1">
        <f>+U10-SUM(U11:U12)</f>
        <v>292.10000000000002</v>
      </c>
      <c r="V13" s="1">
        <f>+V10-SUM(V11:V12)</f>
        <v>355.1</v>
      </c>
      <c r="W13" s="1">
        <f t="shared" si="202"/>
        <v>430.30000000000007</v>
      </c>
      <c r="X13" s="1">
        <f>+X10-SUM(X11:X12)</f>
        <v>438.90600000000086</v>
      </c>
      <c r="Y13" s="1">
        <f t="shared" ref="Y13:AG13" si="210">+Y10-SUM(Y11:Y12)</f>
        <v>447.68412000000137</v>
      </c>
      <c r="Z13" s="1">
        <f t="shared" si="210"/>
        <v>456.63780240000108</v>
      </c>
      <c r="AA13" s="1">
        <f t="shared" si="210"/>
        <v>465.770558448001</v>
      </c>
      <c r="AB13" s="1">
        <f t="shared" si="210"/>
        <v>475.08596961696139</v>
      </c>
      <c r="AC13" s="1">
        <f t="shared" si="210"/>
        <v>484.58768900930068</v>
      </c>
      <c r="AD13" s="1">
        <f t="shared" si="210"/>
        <v>494.27944278948655</v>
      </c>
      <c r="AE13" s="1">
        <f t="shared" si="210"/>
        <v>504.16503164527614</v>
      </c>
      <c r="AF13" s="1">
        <f t="shared" si="210"/>
        <v>514.24833227818181</v>
      </c>
      <c r="AG13" s="1">
        <f t="shared" si="210"/>
        <v>524.53329892374575</v>
      </c>
    </row>
    <row r="14" spans="2:234 16384:16384" x14ac:dyDescent="0.2">
      <c r="B14" s="1" t="s">
        <v>26</v>
      </c>
      <c r="C14" s="10">
        <v>22.5</v>
      </c>
      <c r="D14" s="10">
        <v>7</v>
      </c>
      <c r="E14" s="10">
        <v>-23</v>
      </c>
      <c r="F14" s="10">
        <f t="shared" si="201"/>
        <v>61.599999999999994</v>
      </c>
      <c r="G14" s="10">
        <v>9.9</v>
      </c>
      <c r="H14" s="10">
        <v>5.9</v>
      </c>
      <c r="I14" s="10">
        <v>-25.3</v>
      </c>
      <c r="J14" s="10">
        <v>12.3</v>
      </c>
      <c r="T14" s="1">
        <v>12.9</v>
      </c>
      <c r="U14" s="1">
        <v>101.1</v>
      </c>
      <c r="V14" s="1">
        <v>68.099999999999994</v>
      </c>
      <c r="W14" s="1">
        <f t="shared" si="202"/>
        <v>2.8000000000000007</v>
      </c>
      <c r="X14" s="1">
        <f>+X$8*(W14/W$8)</f>
        <v>2.8560000000000008</v>
      </c>
      <c r="Y14" s="1">
        <f t="shared" ref="Y14:AF14" si="211">+Y$8*(X14/X$8)</f>
        <v>2.913120000000001</v>
      </c>
      <c r="Z14" s="1">
        <f t="shared" si="211"/>
        <v>2.9713824000000013</v>
      </c>
      <c r="AA14" s="1">
        <f t="shared" si="211"/>
        <v>3.0308100480000015</v>
      </c>
      <c r="AB14" s="1">
        <f t="shared" si="211"/>
        <v>3.0914262489600013</v>
      </c>
      <c r="AC14" s="1">
        <f t="shared" si="211"/>
        <v>3.1532547739392012</v>
      </c>
      <c r="AD14" s="1">
        <f t="shared" si="211"/>
        <v>3.2163198694179855</v>
      </c>
      <c r="AE14" s="1">
        <f t="shared" si="211"/>
        <v>3.2806462668063454</v>
      </c>
      <c r="AF14" s="1">
        <f t="shared" si="211"/>
        <v>3.346259192142472</v>
      </c>
      <c r="AG14" s="1">
        <f t="shared" ref="AG14" si="212">+AG$8*(AF14/AF$8)</f>
        <v>3.4131843759853218</v>
      </c>
    </row>
    <row r="15" spans="2:234 16384:16384" x14ac:dyDescent="0.2">
      <c r="B15" s="1" t="s">
        <v>21</v>
      </c>
      <c r="C15" s="10">
        <v>42.8</v>
      </c>
      <c r="D15" s="10">
        <v>44.1</v>
      </c>
      <c r="E15" s="10">
        <v>38.799999999999997</v>
      </c>
      <c r="F15" s="10">
        <f t="shared" si="201"/>
        <v>33.100000000000009</v>
      </c>
      <c r="G15" s="10">
        <v>33.700000000000003</v>
      </c>
      <c r="H15" s="10">
        <v>36.6</v>
      </c>
      <c r="I15" s="10">
        <v>1.2</v>
      </c>
      <c r="J15" s="10">
        <v>1.4</v>
      </c>
      <c r="T15" s="1">
        <v>118.1</v>
      </c>
      <c r="U15" s="1">
        <v>178.1</v>
      </c>
      <c r="V15" s="1">
        <v>158.80000000000001</v>
      </c>
      <c r="W15" s="1">
        <f t="shared" si="202"/>
        <v>72.90000000000002</v>
      </c>
      <c r="X15" s="1">
        <f>+X$8*(W15/W$8)</f>
        <v>74.358000000000018</v>
      </c>
      <c r="Y15" s="1">
        <f t="shared" ref="Y15:AF15" si="213">+Y$8*(X15/X$8)</f>
        <v>75.845160000000021</v>
      </c>
      <c r="Z15" s="1">
        <f t="shared" si="213"/>
        <v>77.362063200000037</v>
      </c>
      <c r="AA15" s="1">
        <f t="shared" si="213"/>
        <v>78.909304464000044</v>
      </c>
      <c r="AB15" s="1">
        <f t="shared" si="213"/>
        <v>80.487490553280054</v>
      </c>
      <c r="AC15" s="1">
        <f t="shared" si="213"/>
        <v>82.097240364345652</v>
      </c>
      <c r="AD15" s="1">
        <f t="shared" si="213"/>
        <v>83.73918517163257</v>
      </c>
      <c r="AE15" s="1">
        <f t="shared" si="213"/>
        <v>85.413968875065223</v>
      </c>
      <c r="AF15" s="1">
        <f t="shared" si="213"/>
        <v>87.122248252566521</v>
      </c>
      <c r="AG15" s="1">
        <f t="shared" ref="AG15" si="214">+AG$8*(AF15/AF$8)</f>
        <v>88.864693217617855</v>
      </c>
    </row>
    <row r="16" spans="2:234 16384:16384" x14ac:dyDescent="0.2">
      <c r="B16" s="1" t="s">
        <v>27</v>
      </c>
      <c r="C16" s="10">
        <v>1.6</v>
      </c>
      <c r="D16" s="10">
        <v>1.2</v>
      </c>
      <c r="E16" s="10">
        <v>1.3</v>
      </c>
      <c r="F16" s="10">
        <f t="shared" si="201"/>
        <v>1.4000000000000004</v>
      </c>
      <c r="G16" s="10">
        <v>1.3</v>
      </c>
      <c r="H16" s="10">
        <v>1.3</v>
      </c>
      <c r="I16" s="10">
        <v>31.8</v>
      </c>
      <c r="J16" s="10">
        <v>26.8</v>
      </c>
      <c r="T16" s="1">
        <v>-6.9</v>
      </c>
      <c r="U16" s="1">
        <v>-0.3</v>
      </c>
      <c r="V16" s="1">
        <v>5.5</v>
      </c>
      <c r="W16" s="1">
        <f t="shared" si="202"/>
        <v>61.2</v>
      </c>
      <c r="X16" s="1">
        <f>+W16</f>
        <v>61.2</v>
      </c>
      <c r="Y16" s="1">
        <f t="shared" ref="Y16:AF16" si="215">+X16</f>
        <v>61.2</v>
      </c>
      <c r="Z16" s="1">
        <f t="shared" si="215"/>
        <v>61.2</v>
      </c>
      <c r="AA16" s="1">
        <f t="shared" si="215"/>
        <v>61.2</v>
      </c>
      <c r="AB16" s="1">
        <f t="shared" si="215"/>
        <v>61.2</v>
      </c>
      <c r="AC16" s="1">
        <f t="shared" si="215"/>
        <v>61.2</v>
      </c>
      <c r="AD16" s="1">
        <f t="shared" si="215"/>
        <v>61.2</v>
      </c>
      <c r="AE16" s="1">
        <f t="shared" si="215"/>
        <v>61.2</v>
      </c>
      <c r="AF16" s="1">
        <f t="shared" si="215"/>
        <v>61.2</v>
      </c>
      <c r="AG16" s="1">
        <f t="shared" ref="AG16" si="216">+AF16</f>
        <v>61.2</v>
      </c>
    </row>
    <row r="17" spans="2:234" x14ac:dyDescent="0.2">
      <c r="B17" s="1" t="s">
        <v>22</v>
      </c>
      <c r="C17" s="10">
        <f>+C13+C14-SUM(C15:C16)</f>
        <v>-82.100000000000023</v>
      </c>
      <c r="D17" s="10">
        <f>+D13+D14-SUM(D15:D16)</f>
        <v>310.80000000000013</v>
      </c>
      <c r="E17" s="10">
        <f t="shared" si="201"/>
        <v>-13.30000000000004</v>
      </c>
      <c r="F17" s="10">
        <f t="shared" si="201"/>
        <v>43.499999999999972</v>
      </c>
      <c r="G17" s="10">
        <f>+G13+G14-SUM(G15:G16)</f>
        <v>-66.499999999999972</v>
      </c>
      <c r="H17" s="10">
        <f>+H13+H14-SUM(H15:H16)</f>
        <v>330.70000000000005</v>
      </c>
      <c r="I17" s="10">
        <f>+I13+I14-SUM(I15:I16)</f>
        <v>162.80000000000004</v>
      </c>
      <c r="J17" s="10">
        <f>+J13+J14-SUM(J15:J16)</f>
        <v>-128.00000000000003</v>
      </c>
      <c r="T17" s="1">
        <f>+T13+T14-SUM(T15:T16)</f>
        <v>320.90000000000003</v>
      </c>
      <c r="U17" s="1">
        <f>+U13+U14-SUM(U15:U16)</f>
        <v>215.40000000000006</v>
      </c>
      <c r="V17" s="1">
        <f>+V13+V14-SUM(V15:V16)</f>
        <v>258.90000000000003</v>
      </c>
      <c r="W17" s="1">
        <f t="shared" si="202"/>
        <v>299.00000000000011</v>
      </c>
      <c r="X17" s="1">
        <f>+X13+X14-SUM(X15:X16)</f>
        <v>306.20400000000086</v>
      </c>
      <c r="Y17" s="1">
        <f t="shared" ref="Y17:AG17" si="217">+Y13+Y14-SUM(Y15:Y16)</f>
        <v>313.55208000000135</v>
      </c>
      <c r="Z17" s="1">
        <f t="shared" si="217"/>
        <v>321.04712160000099</v>
      </c>
      <c r="AA17" s="1">
        <f t="shared" si="217"/>
        <v>328.69206403200093</v>
      </c>
      <c r="AB17" s="1">
        <f t="shared" si="217"/>
        <v>336.48990531264133</v>
      </c>
      <c r="AC17" s="1">
        <f t="shared" si="217"/>
        <v>344.44370341889419</v>
      </c>
      <c r="AD17" s="1">
        <f t="shared" si="217"/>
        <v>352.55657748727197</v>
      </c>
      <c r="AE17" s="1">
        <f t="shared" si="217"/>
        <v>360.83170903701728</v>
      </c>
      <c r="AF17" s="1">
        <f t="shared" si="217"/>
        <v>369.27234321775779</v>
      </c>
      <c r="AG17" s="1">
        <f t="shared" si="217"/>
        <v>377.88179008211324</v>
      </c>
    </row>
    <row r="18" spans="2:234" x14ac:dyDescent="0.2">
      <c r="B18" s="1" t="s">
        <v>23</v>
      </c>
      <c r="C18" s="10">
        <v>-33.700000000000003</v>
      </c>
      <c r="D18" s="10">
        <v>62.3</v>
      </c>
      <c r="E18" s="10">
        <v>50.9</v>
      </c>
      <c r="F18" s="10">
        <f t="shared" si="201"/>
        <v>-68.2</v>
      </c>
      <c r="G18" s="10">
        <v>-26.4</v>
      </c>
      <c r="H18" s="10">
        <v>83.4</v>
      </c>
      <c r="I18" s="10">
        <v>58.2</v>
      </c>
      <c r="J18" s="10">
        <v>-38.799999999999997</v>
      </c>
      <c r="T18" s="1">
        <v>-120.6</v>
      </c>
      <c r="U18" s="1">
        <v>-73.2</v>
      </c>
      <c r="V18" s="1">
        <v>11.3</v>
      </c>
      <c r="W18" s="1">
        <f t="shared" si="202"/>
        <v>76.40000000000002</v>
      </c>
      <c r="X18" s="1">
        <f>+X17*(W18/W17)</f>
        <v>78.240754515050384</v>
      </c>
      <c r="Y18" s="1">
        <f t="shared" ref="Y18:AG18" si="218">+Y17*(X18/X17)</f>
        <v>80.118324120401681</v>
      </c>
      <c r="Z18" s="1">
        <f t="shared" si="218"/>
        <v>82.033445117859785</v>
      </c>
      <c r="AA18" s="1">
        <f t="shared" si="218"/>
        <v>83.986868535267121</v>
      </c>
      <c r="AB18" s="1">
        <f t="shared" si="218"/>
        <v>85.979360421022733</v>
      </c>
      <c r="AC18" s="1">
        <f t="shared" si="218"/>
        <v>88.011702144493356</v>
      </c>
      <c r="AD18" s="1">
        <f t="shared" si="218"/>
        <v>90.084690702433363</v>
      </c>
      <c r="AE18" s="1">
        <f t="shared" si="218"/>
        <v>92.199139031532169</v>
      </c>
      <c r="AF18" s="1">
        <f t="shared" si="218"/>
        <v>94.355876327213025</v>
      </c>
      <c r="AG18" s="1">
        <f t="shared" si="218"/>
        <v>96.555748368807528</v>
      </c>
    </row>
    <row r="19" spans="2:234" x14ac:dyDescent="0.2">
      <c r="B19" s="1" t="s">
        <v>24</v>
      </c>
      <c r="C19" s="10">
        <f>+C17-C18</f>
        <v>-48.40000000000002</v>
      </c>
      <c r="D19" s="10">
        <f>+D17-D18</f>
        <v>248.50000000000011</v>
      </c>
      <c r="E19" s="10">
        <f t="shared" si="201"/>
        <v>88.5</v>
      </c>
      <c r="F19" s="10">
        <f t="shared" si="201"/>
        <v>-41.000000000000057</v>
      </c>
      <c r="G19" s="10">
        <f>+G17-G18</f>
        <v>-40.099999999999973</v>
      </c>
      <c r="H19" s="10">
        <f>+H17-H18</f>
        <v>247.30000000000004</v>
      </c>
      <c r="I19" s="10">
        <f>+I17-I18</f>
        <v>104.60000000000004</v>
      </c>
      <c r="J19" s="10">
        <f>+J17-J18</f>
        <v>-89.200000000000031</v>
      </c>
      <c r="T19" s="1">
        <f>+T17-T18</f>
        <v>441.5</v>
      </c>
      <c r="U19" s="1">
        <f>+U17-U18</f>
        <v>288.60000000000008</v>
      </c>
      <c r="V19" s="1">
        <f>+V17-V18</f>
        <v>247.60000000000002</v>
      </c>
      <c r="W19" s="1">
        <f t="shared" si="202"/>
        <v>222.60000000000008</v>
      </c>
      <c r="X19" s="1">
        <f>+X17-X18</f>
        <v>227.96324548495048</v>
      </c>
      <c r="Y19" s="1">
        <f t="shared" ref="Y19:AG19" si="219">+Y17-Y18</f>
        <v>233.43375587959969</v>
      </c>
      <c r="Z19" s="1">
        <f t="shared" si="219"/>
        <v>239.01367648214119</v>
      </c>
      <c r="AA19" s="1">
        <f t="shared" si="219"/>
        <v>244.70519549673381</v>
      </c>
      <c r="AB19" s="1">
        <f t="shared" si="219"/>
        <v>250.51054489161859</v>
      </c>
      <c r="AC19" s="1">
        <f t="shared" si="219"/>
        <v>256.43200127440082</v>
      </c>
      <c r="AD19" s="1">
        <f t="shared" si="219"/>
        <v>262.4718867848386</v>
      </c>
      <c r="AE19" s="1">
        <f t="shared" si="219"/>
        <v>268.63257000548509</v>
      </c>
      <c r="AF19" s="1">
        <f t="shared" si="219"/>
        <v>274.91646689054477</v>
      </c>
      <c r="AG19" s="1">
        <f t="shared" si="219"/>
        <v>281.3260417133057</v>
      </c>
      <c r="AH19" s="1">
        <f>+AG19*(1+$AJ$21)</f>
        <v>278.51278129617265</v>
      </c>
      <c r="AI19" s="1">
        <f t="shared" ref="AI19:CT19" si="220">+AH19*(1+$AJ$21)</f>
        <v>275.72765348321093</v>
      </c>
      <c r="AJ19" s="1">
        <f t="shared" si="220"/>
        <v>272.97037694837883</v>
      </c>
      <c r="AK19" s="1">
        <f t="shared" si="220"/>
        <v>270.24067317889507</v>
      </c>
      <c r="AL19" s="1">
        <f t="shared" si="220"/>
        <v>267.53826644710614</v>
      </c>
      <c r="AM19" s="1">
        <f t="shared" si="220"/>
        <v>264.86288378263509</v>
      </c>
      <c r="AN19" s="1">
        <f t="shared" si="220"/>
        <v>262.21425494480872</v>
      </c>
      <c r="AO19" s="1">
        <f t="shared" si="220"/>
        <v>259.59211239536063</v>
      </c>
      <c r="AP19" s="1">
        <f t="shared" si="220"/>
        <v>256.99619127140704</v>
      </c>
      <c r="AQ19" s="1">
        <f t="shared" si="220"/>
        <v>254.42622935869298</v>
      </c>
      <c r="AR19" s="1">
        <f t="shared" si="220"/>
        <v>251.88196706510604</v>
      </c>
      <c r="AS19" s="1">
        <f t="shared" si="220"/>
        <v>249.36314739445498</v>
      </c>
      <c r="AT19" s="1">
        <f t="shared" si="220"/>
        <v>246.86951592051042</v>
      </c>
      <c r="AU19" s="1">
        <f t="shared" si="220"/>
        <v>244.40082076130531</v>
      </c>
      <c r="AV19" s="1">
        <f t="shared" si="220"/>
        <v>241.95681255369226</v>
      </c>
      <c r="AW19" s="1">
        <f t="shared" si="220"/>
        <v>239.53724442815533</v>
      </c>
      <c r="AX19" s="1">
        <f t="shared" si="220"/>
        <v>237.14187198387378</v>
      </c>
      <c r="AY19" s="1">
        <f t="shared" si="220"/>
        <v>234.77045326403504</v>
      </c>
      <c r="AZ19" s="1">
        <f t="shared" si="220"/>
        <v>232.42274873139468</v>
      </c>
      <c r="BA19" s="1">
        <f t="shared" si="220"/>
        <v>230.09852124408073</v>
      </c>
      <c r="BB19" s="1">
        <f t="shared" si="220"/>
        <v>227.79753603163991</v>
      </c>
      <c r="BC19" s="1">
        <f t="shared" si="220"/>
        <v>225.51956067132352</v>
      </c>
      <c r="BD19" s="1">
        <f t="shared" si="220"/>
        <v>223.26436506461027</v>
      </c>
      <c r="BE19" s="1">
        <f t="shared" si="220"/>
        <v>221.03172141396416</v>
      </c>
      <c r="BF19" s="1">
        <f t="shared" si="220"/>
        <v>218.82140419982451</v>
      </c>
      <c r="BG19" s="1">
        <f t="shared" si="220"/>
        <v>216.63319015782628</v>
      </c>
      <c r="BH19" s="1">
        <f t="shared" si="220"/>
        <v>214.466858256248</v>
      </c>
      <c r="BI19" s="1">
        <f t="shared" si="220"/>
        <v>212.32218967368553</v>
      </c>
      <c r="BJ19" s="1">
        <f t="shared" si="220"/>
        <v>210.19896777694868</v>
      </c>
      <c r="BK19" s="1">
        <f t="shared" si="220"/>
        <v>208.09697809917918</v>
      </c>
      <c r="BL19" s="1">
        <f t="shared" si="220"/>
        <v>206.01600831818737</v>
      </c>
      <c r="BM19" s="1">
        <f t="shared" si="220"/>
        <v>203.9558482350055</v>
      </c>
      <c r="BN19" s="1">
        <f t="shared" si="220"/>
        <v>201.91628975265544</v>
      </c>
      <c r="BO19" s="1">
        <f t="shared" si="220"/>
        <v>199.89712685512887</v>
      </c>
      <c r="BP19" s="1">
        <f t="shared" si="220"/>
        <v>197.89815558657759</v>
      </c>
      <c r="BQ19" s="1">
        <f t="shared" si="220"/>
        <v>195.91917403071182</v>
      </c>
      <c r="BR19" s="1">
        <f t="shared" si="220"/>
        <v>193.9599822904047</v>
      </c>
      <c r="BS19" s="1">
        <f t="shared" si="220"/>
        <v>192.02038246750064</v>
      </c>
      <c r="BT19" s="1">
        <f t="shared" si="220"/>
        <v>190.10017864282563</v>
      </c>
      <c r="BU19" s="1">
        <f t="shared" si="220"/>
        <v>188.19917685639737</v>
      </c>
      <c r="BV19" s="1">
        <f t="shared" si="220"/>
        <v>186.31718508783339</v>
      </c>
      <c r="BW19" s="1">
        <f t="shared" si="220"/>
        <v>184.45401323695506</v>
      </c>
      <c r="BX19" s="1">
        <f t="shared" si="220"/>
        <v>182.6094731045855</v>
      </c>
      <c r="BY19" s="1">
        <f t="shared" si="220"/>
        <v>180.78337837353965</v>
      </c>
      <c r="BZ19" s="1">
        <f t="shared" si="220"/>
        <v>178.97554458980426</v>
      </c>
      <c r="CA19" s="1">
        <f t="shared" si="220"/>
        <v>177.18578914390622</v>
      </c>
      <c r="CB19" s="1">
        <f t="shared" si="220"/>
        <v>175.41393125246717</v>
      </c>
      <c r="CC19" s="1">
        <f t="shared" si="220"/>
        <v>173.65979193994249</v>
      </c>
      <c r="CD19" s="1">
        <f t="shared" si="220"/>
        <v>171.92319402054306</v>
      </c>
      <c r="CE19" s="1">
        <f t="shared" si="220"/>
        <v>170.20396208033765</v>
      </c>
      <c r="CF19" s="1">
        <f t="shared" si="220"/>
        <v>168.50192245953426</v>
      </c>
      <c r="CG19" s="1">
        <f t="shared" si="220"/>
        <v>166.81690323493891</v>
      </c>
      <c r="CH19" s="1">
        <f t="shared" si="220"/>
        <v>165.14873420258951</v>
      </c>
      <c r="CI19" s="1">
        <f t="shared" si="220"/>
        <v>163.49724686056362</v>
      </c>
      <c r="CJ19" s="1">
        <f t="shared" si="220"/>
        <v>161.86227439195798</v>
      </c>
      <c r="CK19" s="1">
        <f t="shared" si="220"/>
        <v>160.24365164803839</v>
      </c>
      <c r="CL19" s="1">
        <f t="shared" si="220"/>
        <v>158.641215131558</v>
      </c>
      <c r="CM19" s="1">
        <f t="shared" si="220"/>
        <v>157.05480298024241</v>
      </c>
      <c r="CN19" s="1">
        <f t="shared" si="220"/>
        <v>155.48425495043998</v>
      </c>
      <c r="CO19" s="1">
        <f t="shared" si="220"/>
        <v>153.92941240093558</v>
      </c>
      <c r="CP19" s="1">
        <f t="shared" si="220"/>
        <v>152.39011827692622</v>
      </c>
      <c r="CQ19" s="1">
        <f t="shared" si="220"/>
        <v>150.86621709415695</v>
      </c>
      <c r="CR19" s="1">
        <f t="shared" si="220"/>
        <v>149.35755492321539</v>
      </c>
      <c r="CS19" s="1">
        <f t="shared" si="220"/>
        <v>147.86397937398323</v>
      </c>
      <c r="CT19" s="1">
        <f t="shared" si="220"/>
        <v>146.3853395802434</v>
      </c>
      <c r="CU19" s="1">
        <f t="shared" ref="CU19:FF19" si="221">+CT19*(1+$AJ$21)</f>
        <v>144.92148618444097</v>
      </c>
      <c r="CV19" s="1">
        <f t="shared" si="221"/>
        <v>143.47227132259655</v>
      </c>
      <c r="CW19" s="1">
        <f t="shared" si="221"/>
        <v>142.03754860937059</v>
      </c>
      <c r="CX19" s="1">
        <f t="shared" si="221"/>
        <v>140.61717312327687</v>
      </c>
      <c r="CY19" s="1">
        <f t="shared" si="221"/>
        <v>139.2110013920441</v>
      </c>
      <c r="CZ19" s="1">
        <f t="shared" si="221"/>
        <v>137.81889137812365</v>
      </c>
      <c r="DA19" s="1">
        <f t="shared" si="221"/>
        <v>136.44070246434242</v>
      </c>
      <c r="DB19" s="1">
        <f t="shared" si="221"/>
        <v>135.07629543969901</v>
      </c>
      <c r="DC19" s="1">
        <f t="shared" si="221"/>
        <v>133.72553248530201</v>
      </c>
      <c r="DD19" s="1">
        <f t="shared" si="221"/>
        <v>132.38827716044898</v>
      </c>
      <c r="DE19" s="1">
        <f t="shared" si="221"/>
        <v>131.06439438884448</v>
      </c>
      <c r="DF19" s="1">
        <f t="shared" si="221"/>
        <v>129.75375044495604</v>
      </c>
      <c r="DG19" s="1">
        <f t="shared" si="221"/>
        <v>128.45621294050648</v>
      </c>
      <c r="DH19" s="1">
        <f t="shared" si="221"/>
        <v>127.17165081110142</v>
      </c>
      <c r="DI19" s="1">
        <f t="shared" si="221"/>
        <v>125.8999343029904</v>
      </c>
      <c r="DJ19" s="1">
        <f t="shared" si="221"/>
        <v>124.6409349599605</v>
      </c>
      <c r="DK19" s="1">
        <f t="shared" si="221"/>
        <v>123.3945256103609</v>
      </c>
      <c r="DL19" s="1">
        <f t="shared" si="221"/>
        <v>122.16058035425729</v>
      </c>
      <c r="DM19" s="1">
        <f t="shared" si="221"/>
        <v>120.93897455071472</v>
      </c>
      <c r="DN19" s="1">
        <f t="shared" si="221"/>
        <v>119.72958480520757</v>
      </c>
      <c r="DO19" s="1">
        <f t="shared" si="221"/>
        <v>118.53228895715549</v>
      </c>
      <c r="DP19" s="1">
        <f t="shared" si="221"/>
        <v>117.34696606758394</v>
      </c>
      <c r="DQ19" s="1">
        <f t="shared" si="221"/>
        <v>116.1734964069081</v>
      </c>
      <c r="DR19" s="1">
        <f t="shared" si="221"/>
        <v>115.01176144283902</v>
      </c>
      <c r="DS19" s="1">
        <f t="shared" si="221"/>
        <v>113.86164382841062</v>
      </c>
      <c r="DT19" s="1">
        <f t="shared" si="221"/>
        <v>112.72302739012652</v>
      </c>
      <c r="DU19" s="1">
        <f t="shared" si="221"/>
        <v>111.59579711622526</v>
      </c>
      <c r="DV19" s="1">
        <f t="shared" si="221"/>
        <v>110.479839145063</v>
      </c>
      <c r="DW19" s="1">
        <f t="shared" si="221"/>
        <v>109.37504075361237</v>
      </c>
      <c r="DX19" s="1">
        <f t="shared" si="221"/>
        <v>108.28129034607625</v>
      </c>
      <c r="DY19" s="1">
        <f t="shared" si="221"/>
        <v>107.19847744261548</v>
      </c>
      <c r="DZ19" s="1">
        <f t="shared" si="221"/>
        <v>106.12649266818933</v>
      </c>
      <c r="EA19" s="1">
        <f t="shared" si="221"/>
        <v>105.06522774150743</v>
      </c>
      <c r="EB19" s="1">
        <f t="shared" si="221"/>
        <v>104.01457546409236</v>
      </c>
      <c r="EC19" s="1">
        <f t="shared" si="221"/>
        <v>102.97442970945144</v>
      </c>
      <c r="ED19" s="1">
        <f t="shared" si="221"/>
        <v>101.94468541235693</v>
      </c>
      <c r="EE19" s="1">
        <f t="shared" si="221"/>
        <v>100.92523855823336</v>
      </c>
      <c r="EF19" s="1">
        <f t="shared" si="221"/>
        <v>99.915986172651031</v>
      </c>
      <c r="EG19" s="1">
        <f t="shared" si="221"/>
        <v>98.91682631092452</v>
      </c>
      <c r="EH19" s="1">
        <f t="shared" si="221"/>
        <v>97.927658047815271</v>
      </c>
      <c r="EI19" s="1">
        <f t="shared" si="221"/>
        <v>96.948381467337114</v>
      </c>
      <c r="EJ19" s="1">
        <f t="shared" si="221"/>
        <v>95.978897652663747</v>
      </c>
      <c r="EK19" s="1">
        <f t="shared" si="221"/>
        <v>95.019108676137108</v>
      </c>
      <c r="EL19" s="1">
        <f t="shared" si="221"/>
        <v>94.068917589375729</v>
      </c>
      <c r="EM19" s="1">
        <f t="shared" si="221"/>
        <v>93.128228413481978</v>
      </c>
      <c r="EN19" s="1">
        <f t="shared" si="221"/>
        <v>92.196946129347154</v>
      </c>
      <c r="EO19" s="1">
        <f t="shared" si="221"/>
        <v>91.274976668053682</v>
      </c>
      <c r="EP19" s="1">
        <f t="shared" si="221"/>
        <v>90.362226901373148</v>
      </c>
      <c r="EQ19" s="1">
        <f t="shared" si="221"/>
        <v>89.45860463235941</v>
      </c>
      <c r="ER19" s="1">
        <f t="shared" si="221"/>
        <v>88.564018586035814</v>
      </c>
      <c r="ES19" s="1">
        <f t="shared" si="221"/>
        <v>87.678378400175461</v>
      </c>
      <c r="ET19" s="1">
        <f t="shared" si="221"/>
        <v>86.801594616173702</v>
      </c>
      <c r="EU19" s="1">
        <f t="shared" si="221"/>
        <v>85.933578670011968</v>
      </c>
      <c r="EV19" s="1">
        <f t="shared" si="221"/>
        <v>85.074242883311854</v>
      </c>
      <c r="EW19" s="1">
        <f t="shared" si="221"/>
        <v>84.223500454478739</v>
      </c>
      <c r="EX19" s="1">
        <f t="shared" si="221"/>
        <v>83.381265449933949</v>
      </c>
      <c r="EY19" s="1">
        <f t="shared" si="221"/>
        <v>82.547452795434609</v>
      </c>
      <c r="EZ19" s="1">
        <f t="shared" si="221"/>
        <v>81.721978267480267</v>
      </c>
      <c r="FA19" s="1">
        <f t="shared" si="221"/>
        <v>80.90475848480547</v>
      </c>
      <c r="FB19" s="1">
        <f t="shared" si="221"/>
        <v>80.09571089995741</v>
      </c>
      <c r="FC19" s="1">
        <f t="shared" si="221"/>
        <v>79.294753790957841</v>
      </c>
      <c r="FD19" s="1">
        <f t="shared" si="221"/>
        <v>78.501806253048258</v>
      </c>
      <c r="FE19" s="1">
        <f t="shared" si="221"/>
        <v>77.716788190517775</v>
      </c>
      <c r="FF19" s="1">
        <f t="shared" si="221"/>
        <v>76.939620308612604</v>
      </c>
      <c r="FG19" s="1">
        <f t="shared" ref="FG19:HR19" si="222">+FF19*(1+$AJ$21)</f>
        <v>76.170224105526472</v>
      </c>
      <c r="FH19" s="1">
        <f t="shared" si="222"/>
        <v>75.408521864471211</v>
      </c>
      <c r="FI19" s="1">
        <f t="shared" si="222"/>
        <v>74.654436645826493</v>
      </c>
      <c r="FJ19" s="1">
        <f t="shared" si="222"/>
        <v>73.907892279368227</v>
      </c>
      <c r="FK19" s="1">
        <f t="shared" si="222"/>
        <v>73.168813356574546</v>
      </c>
      <c r="FL19" s="1">
        <f t="shared" si="222"/>
        <v>72.437125223008806</v>
      </c>
      <c r="FM19" s="1">
        <f t="shared" si="222"/>
        <v>71.712753970778721</v>
      </c>
      <c r="FN19" s="1">
        <f t="shared" si="222"/>
        <v>70.995626431070932</v>
      </c>
      <c r="FO19" s="1">
        <f t="shared" si="222"/>
        <v>70.285670166760227</v>
      </c>
      <c r="FP19" s="1">
        <f t="shared" si="222"/>
        <v>69.582813465092627</v>
      </c>
      <c r="FQ19" s="1">
        <f t="shared" si="222"/>
        <v>68.886985330441703</v>
      </c>
      <c r="FR19" s="1">
        <f t="shared" si="222"/>
        <v>68.198115477137293</v>
      </c>
      <c r="FS19" s="1">
        <f t="shared" si="222"/>
        <v>67.516134322365914</v>
      </c>
      <c r="FT19" s="1">
        <f t="shared" si="222"/>
        <v>66.840972979142251</v>
      </c>
      <c r="FU19" s="1">
        <f t="shared" si="222"/>
        <v>66.17256324935083</v>
      </c>
      <c r="FV19" s="1">
        <f t="shared" si="222"/>
        <v>65.510837616857316</v>
      </c>
      <c r="FW19" s="1">
        <f t="shared" si="222"/>
        <v>64.855729240688746</v>
      </c>
      <c r="FX19" s="1">
        <f t="shared" si="222"/>
        <v>64.207171948281854</v>
      </c>
      <c r="FY19" s="1">
        <f t="shared" si="222"/>
        <v>63.565100228799032</v>
      </c>
      <c r="FZ19" s="1">
        <f t="shared" si="222"/>
        <v>62.929449226511039</v>
      </c>
      <c r="GA19" s="1">
        <f t="shared" si="222"/>
        <v>62.300154734245929</v>
      </c>
      <c r="GB19" s="1">
        <f t="shared" si="222"/>
        <v>61.677153186903467</v>
      </c>
      <c r="GC19" s="1">
        <f t="shared" si="222"/>
        <v>61.060381655034433</v>
      </c>
      <c r="GD19" s="1">
        <f t="shared" si="222"/>
        <v>60.449777838484088</v>
      </c>
      <c r="GE19" s="1">
        <f t="shared" si="222"/>
        <v>59.845280060099249</v>
      </c>
      <c r="GF19" s="1">
        <f t="shared" si="222"/>
        <v>59.246827259498254</v>
      </c>
      <c r="GG19" s="1">
        <f t="shared" si="222"/>
        <v>58.654358986903269</v>
      </c>
      <c r="GH19" s="1">
        <f t="shared" si="222"/>
        <v>58.067815397034238</v>
      </c>
      <c r="GI19" s="1">
        <f t="shared" si="222"/>
        <v>57.487137243063898</v>
      </c>
      <c r="GJ19" s="1">
        <f t="shared" si="222"/>
        <v>56.912265870633256</v>
      </c>
      <c r="GK19" s="1">
        <f t="shared" si="222"/>
        <v>56.343143211926922</v>
      </c>
      <c r="GL19" s="1">
        <f t="shared" si="222"/>
        <v>55.779711779807648</v>
      </c>
      <c r="GM19" s="1">
        <f t="shared" si="222"/>
        <v>55.221914662009574</v>
      </c>
      <c r="GN19" s="1">
        <f t="shared" si="222"/>
        <v>54.669695515389478</v>
      </c>
      <c r="GO19" s="1">
        <f t="shared" si="222"/>
        <v>54.12299856023558</v>
      </c>
      <c r="GP19" s="1">
        <f t="shared" si="222"/>
        <v>53.581768574633223</v>
      </c>
      <c r="GQ19" s="1">
        <f t="shared" si="222"/>
        <v>53.045950888886892</v>
      </c>
      <c r="GR19" s="1">
        <f t="shared" si="222"/>
        <v>52.515491379998025</v>
      </c>
      <c r="GS19" s="1">
        <f t="shared" si="222"/>
        <v>51.990336466198045</v>
      </c>
      <c r="GT19" s="1">
        <f t="shared" si="222"/>
        <v>51.470433101536067</v>
      </c>
      <c r="GU19" s="1">
        <f t="shared" si="222"/>
        <v>50.955728770520707</v>
      </c>
      <c r="GV19" s="1">
        <f t="shared" si="222"/>
        <v>50.446171482815501</v>
      </c>
      <c r="GW19" s="1">
        <f t="shared" si="222"/>
        <v>49.941709767987348</v>
      </c>
      <c r="GX19" s="1">
        <f t="shared" si="222"/>
        <v>49.442292670307474</v>
      </c>
      <c r="GY19" s="1">
        <f t="shared" si="222"/>
        <v>48.9478697436044</v>
      </c>
      <c r="GZ19" s="1">
        <f t="shared" si="222"/>
        <v>48.458391046168359</v>
      </c>
      <c r="HA19" s="1">
        <f t="shared" si="222"/>
        <v>47.973807135706672</v>
      </c>
      <c r="HB19" s="1">
        <f t="shared" si="222"/>
        <v>47.494069064349603</v>
      </c>
      <c r="HC19" s="1">
        <f t="shared" si="222"/>
        <v>47.019128373706103</v>
      </c>
      <c r="HD19" s="1">
        <f t="shared" si="222"/>
        <v>46.548937089969044</v>
      </c>
      <c r="HE19" s="1">
        <f t="shared" si="222"/>
        <v>46.083447719069355</v>
      </c>
      <c r="HF19" s="1">
        <f t="shared" si="222"/>
        <v>45.622613241878661</v>
      </c>
      <c r="HG19" s="1">
        <f t="shared" si="222"/>
        <v>45.166387109459876</v>
      </c>
      <c r="HH19" s="1">
        <f t="shared" si="222"/>
        <v>44.714723238365274</v>
      </c>
      <c r="HI19" s="1">
        <f t="shared" si="222"/>
        <v>44.267576005981617</v>
      </c>
      <c r="HJ19" s="1">
        <f t="shared" si="222"/>
        <v>43.824900245921803</v>
      </c>
      <c r="HK19" s="1">
        <f t="shared" si="222"/>
        <v>43.386651243462588</v>
      </c>
      <c r="HL19" s="1">
        <f t="shared" si="222"/>
        <v>42.952784731027961</v>
      </c>
      <c r="HM19" s="1">
        <f t="shared" si="222"/>
        <v>42.523256883717679</v>
      </c>
      <c r="HN19" s="1">
        <f t="shared" si="222"/>
        <v>42.098024314880504</v>
      </c>
      <c r="HO19" s="1">
        <f t="shared" si="222"/>
        <v>41.6770440717317</v>
      </c>
      <c r="HP19" s="1">
        <f t="shared" si="222"/>
        <v>41.260273631014385</v>
      </c>
      <c r="HQ19" s="1">
        <f t="shared" si="222"/>
        <v>40.847670894704244</v>
      </c>
      <c r="HR19" s="1">
        <f t="shared" si="222"/>
        <v>40.439194185757202</v>
      </c>
      <c r="HS19" s="1">
        <f t="shared" ref="HS19:HZ19" si="223">+HR19*(1+$AJ$21)</f>
        <v>40.034802243899627</v>
      </c>
      <c r="HT19" s="1">
        <f t="shared" si="223"/>
        <v>39.634454221460629</v>
      </c>
      <c r="HU19" s="1">
        <f t="shared" si="223"/>
        <v>39.238109679246023</v>
      </c>
      <c r="HV19" s="1">
        <f t="shared" si="223"/>
        <v>38.84572858245356</v>
      </c>
      <c r="HW19" s="1">
        <f t="shared" si="223"/>
        <v>38.457271296629024</v>
      </c>
      <c r="HX19" s="1">
        <f t="shared" si="223"/>
        <v>38.072698583662735</v>
      </c>
      <c r="HY19" s="1">
        <f t="shared" si="223"/>
        <v>37.691971597826104</v>
      </c>
      <c r="HZ19" s="1">
        <f t="shared" si="223"/>
        <v>37.315051881847843</v>
      </c>
    </row>
    <row r="20" spans="2:234" x14ac:dyDescent="0.2">
      <c r="B20" s="1" t="s">
        <v>25</v>
      </c>
      <c r="C20" s="10">
        <v>36.700000000000003</v>
      </c>
      <c r="D20" s="10">
        <v>57.4</v>
      </c>
      <c r="E20" s="10">
        <v>58</v>
      </c>
      <c r="F20" s="10">
        <f t="shared" si="201"/>
        <v>-152.1</v>
      </c>
      <c r="G20" s="10">
        <v>57.3</v>
      </c>
      <c r="H20" s="10">
        <v>58.4</v>
      </c>
    </row>
    <row r="21" spans="2:234" s="3" customFormat="1" x14ac:dyDescent="0.2">
      <c r="B21" s="3" t="s">
        <v>28</v>
      </c>
      <c r="C21" s="11">
        <f>+C19/C20</f>
        <v>-1.3188010899182565</v>
      </c>
      <c r="D21" s="11">
        <f>+D19/D20</f>
        <v>4.3292682926829293</v>
      </c>
      <c r="E21" s="10">
        <f>+E19/E20</f>
        <v>1.5258620689655173</v>
      </c>
      <c r="F21" s="10">
        <f t="shared" si="201"/>
        <v>-4.5363292717301906</v>
      </c>
      <c r="G21" s="11">
        <f>+G19/G20</f>
        <v>-0.69982547993019151</v>
      </c>
      <c r="H21" s="11">
        <f>+H19/H20</f>
        <v>4.2345890410958908</v>
      </c>
      <c r="I21" s="11"/>
      <c r="J21" s="11"/>
      <c r="AI21" s="1" t="s">
        <v>54</v>
      </c>
      <c r="AJ21" s="4">
        <v>-0.01</v>
      </c>
    </row>
    <row r="22" spans="2:234" x14ac:dyDescent="0.2">
      <c r="V22" s="1" t="e">
        <f>+V20/V21</f>
        <v>#DIV/0!</v>
      </c>
      <c r="AI22" s="1" t="s">
        <v>55</v>
      </c>
      <c r="AJ22" s="4">
        <v>0.08</v>
      </c>
    </row>
    <row r="23" spans="2:234" x14ac:dyDescent="0.2">
      <c r="AI23" s="1" t="s">
        <v>56</v>
      </c>
      <c r="AJ23" s="1">
        <f>NPV(AJ22,X19:HZ19)</f>
        <v>3112.41118513018</v>
      </c>
    </row>
    <row r="24" spans="2:234" s="5" customFormat="1" x14ac:dyDescent="0.2">
      <c r="B24" s="5" t="s">
        <v>29</v>
      </c>
      <c r="C24" s="12"/>
      <c r="D24" s="12"/>
      <c r="E24" s="12"/>
      <c r="F24" s="12"/>
      <c r="G24" s="12">
        <f>+G8/C8-1</f>
        <v>1.5594541910331383E-2</v>
      </c>
      <c r="H24" s="12">
        <f>+H8/D8-1</f>
        <v>-6.84410646387833E-2</v>
      </c>
      <c r="I24" s="12"/>
      <c r="J24" s="12"/>
      <c r="U24" s="5">
        <f>+U8/T8-1</f>
        <v>-9.5002675772788647E-2</v>
      </c>
      <c r="V24" s="5">
        <f t="shared" ref="V24:AI24" si="224">+V8/U8-1</f>
        <v>3.942218342578574E-4</v>
      </c>
      <c r="W24" s="5">
        <f t="shared" si="224"/>
        <v>-3.9265910434317486E-2</v>
      </c>
      <c r="X24" s="5">
        <f t="shared" si="224"/>
        <v>2.0000000000000018E-2</v>
      </c>
      <c r="Y24" s="5">
        <f t="shared" si="224"/>
        <v>2.0000000000000018E-2</v>
      </c>
      <c r="Z24" s="5">
        <f t="shared" si="224"/>
        <v>2.0000000000000018E-2</v>
      </c>
      <c r="AA24" s="5">
        <f t="shared" si="224"/>
        <v>2.0000000000000018E-2</v>
      </c>
      <c r="AB24" s="5">
        <f t="shared" si="224"/>
        <v>2.0000000000000018E-2</v>
      </c>
      <c r="AC24" s="5">
        <f t="shared" si="224"/>
        <v>2.0000000000000018E-2</v>
      </c>
      <c r="AD24" s="5">
        <f t="shared" si="224"/>
        <v>2.0000000000000018E-2</v>
      </c>
      <c r="AE24" s="5">
        <f t="shared" si="224"/>
        <v>2.0000000000000018E-2</v>
      </c>
      <c r="AF24" s="5">
        <f t="shared" si="224"/>
        <v>2.0000000000000018E-2</v>
      </c>
      <c r="AI24" s="17" t="s">
        <v>57</v>
      </c>
      <c r="AJ24" s="18">
        <f>+Main!K4</f>
        <v>57.738576999999999</v>
      </c>
    </row>
    <row r="25" spans="2:234" s="4" customFormat="1" x14ac:dyDescent="0.2">
      <c r="B25" s="4" t="s">
        <v>31</v>
      </c>
      <c r="C25" s="13">
        <f t="shared" ref="C25:I25" si="225">+C10/C8</f>
        <v>0.13742690058479529</v>
      </c>
      <c r="D25" s="13">
        <f t="shared" si="225"/>
        <v>0.35308771469778427</v>
      </c>
      <c r="E25" s="13">
        <f t="shared" si="225"/>
        <v>0.2062884711362501</v>
      </c>
      <c r="F25" s="13">
        <f t="shared" si="225"/>
        <v>0.21943573667711608</v>
      </c>
      <c r="G25" s="13">
        <f t="shared" si="225"/>
        <v>0.23968330134357013</v>
      </c>
      <c r="H25" s="13">
        <f t="shared" si="225"/>
        <v>0.39071076706544688</v>
      </c>
      <c r="I25" s="13">
        <f t="shared" si="225"/>
        <v>0.32129629629629636</v>
      </c>
      <c r="J25" s="13"/>
      <c r="T25" s="4">
        <f>+T10/T8</f>
        <v>0.26324507530389135</v>
      </c>
      <c r="U25" s="4">
        <f>+U10/U8</f>
        <v>0.23737786162813615</v>
      </c>
      <c r="V25" s="4">
        <f>+V10/V8</f>
        <v>0.262898640470628</v>
      </c>
      <c r="AI25" s="4" t="s">
        <v>58</v>
      </c>
      <c r="AJ25" s="16">
        <f>+AJ23/AJ24</f>
        <v>53.905228477144149</v>
      </c>
    </row>
    <row r="26" spans="2:234" x14ac:dyDescent="0.2">
      <c r="AI26" s="1" t="s">
        <v>59</v>
      </c>
      <c r="AJ26" s="4">
        <f>+AJ24/AJ25-1</f>
        <v>7.1112740473425307E-2</v>
      </c>
    </row>
    <row r="27" spans="2:234" x14ac:dyDescent="0.2">
      <c r="B27" s="1" t="s">
        <v>33</v>
      </c>
      <c r="C27" s="10">
        <v>10.4</v>
      </c>
      <c r="D27" s="10">
        <v>65.099999999999994</v>
      </c>
      <c r="E27" s="10">
        <v>279.89999999999998</v>
      </c>
      <c r="F27" s="10">
        <v>71.599999999999994</v>
      </c>
      <c r="G27" s="10">
        <v>9.8000000000000007</v>
      </c>
      <c r="H27" s="10">
        <v>16.899999999999999</v>
      </c>
      <c r="I27" s="10">
        <v>51.1</v>
      </c>
      <c r="J27" s="10">
        <v>36.6</v>
      </c>
    </row>
    <row r="28" spans="2:234" x14ac:dyDescent="0.2">
      <c r="B28" s="1" t="s">
        <v>34</v>
      </c>
      <c r="C28" s="10">
        <v>287.60000000000002</v>
      </c>
      <c r="D28" s="10">
        <v>876.9</v>
      </c>
      <c r="E28" s="10">
        <v>504.6</v>
      </c>
      <c r="F28" s="10">
        <v>176.8</v>
      </c>
      <c r="G28" s="10">
        <v>213.6</v>
      </c>
      <c r="H28" s="10">
        <v>799.3</v>
      </c>
      <c r="I28" s="10">
        <v>573.79999999999995</v>
      </c>
      <c r="J28" s="10">
        <v>186.9</v>
      </c>
    </row>
    <row r="29" spans="2:234" x14ac:dyDescent="0.2">
      <c r="B29" s="1" t="s">
        <v>35</v>
      </c>
      <c r="C29" s="10">
        <v>1169.5999999999999</v>
      </c>
      <c r="D29" s="10">
        <v>824.3</v>
      </c>
      <c r="E29" s="10">
        <v>606.79999999999995</v>
      </c>
      <c r="F29" s="10">
        <v>587.5</v>
      </c>
      <c r="G29" s="10">
        <v>909.8</v>
      </c>
      <c r="H29" s="10">
        <v>773.2</v>
      </c>
      <c r="I29" s="10">
        <v>544.29999999999995</v>
      </c>
      <c r="J29" s="10">
        <v>592.79999999999995</v>
      </c>
    </row>
    <row r="30" spans="2:234" x14ac:dyDescent="0.2">
      <c r="B30" s="1" t="s">
        <v>36</v>
      </c>
      <c r="C30" s="10">
        <v>213.8</v>
      </c>
      <c r="D30" s="10">
        <v>168.8</v>
      </c>
      <c r="E30" s="10">
        <v>147.1</v>
      </c>
      <c r="F30" s="10">
        <v>144.5</v>
      </c>
      <c r="G30" s="10">
        <v>152.19999999999999</v>
      </c>
      <c r="H30" s="10">
        <v>139.19999999999999</v>
      </c>
      <c r="I30" s="10">
        <v>114.1</v>
      </c>
      <c r="J30" s="10">
        <v>124</v>
      </c>
    </row>
    <row r="31" spans="2:234" x14ac:dyDescent="0.2">
      <c r="B31" s="1" t="s">
        <v>32</v>
      </c>
      <c r="C31" s="10">
        <v>90.8</v>
      </c>
      <c r="D31" s="10">
        <v>83.8</v>
      </c>
      <c r="E31" s="10">
        <v>106.8</v>
      </c>
      <c r="F31" s="10">
        <v>45.2</v>
      </c>
      <c r="G31" s="10">
        <v>46.4</v>
      </c>
      <c r="H31" s="10">
        <v>40.6</v>
      </c>
      <c r="I31" s="10">
        <v>65.900000000000006</v>
      </c>
      <c r="J31" s="10">
        <v>53.6</v>
      </c>
    </row>
    <row r="32" spans="2:234" x14ac:dyDescent="0.2">
      <c r="B32" s="1" t="s">
        <v>37</v>
      </c>
      <c r="C32" s="10">
        <v>610.4</v>
      </c>
      <c r="D32" s="10">
        <v>608.20000000000005</v>
      </c>
      <c r="E32" s="10">
        <v>599</v>
      </c>
      <c r="F32" s="10">
        <v>609.5</v>
      </c>
      <c r="G32" s="10">
        <v>606.9</v>
      </c>
      <c r="H32" s="10">
        <v>602.5</v>
      </c>
      <c r="I32" s="10">
        <v>609.4</v>
      </c>
      <c r="J32" s="10">
        <v>631.6</v>
      </c>
    </row>
    <row r="33" spans="2:10" x14ac:dyDescent="0.2">
      <c r="B33" s="1" t="s">
        <v>38</v>
      </c>
      <c r="C33" s="10">
        <v>243.9</v>
      </c>
      <c r="D33" s="10">
        <v>243.9</v>
      </c>
      <c r="E33" s="10">
        <v>243.9</v>
      </c>
      <c r="F33" s="10">
        <v>243.9</v>
      </c>
      <c r="G33" s="10">
        <v>243.9</v>
      </c>
      <c r="H33" s="10">
        <v>243.9</v>
      </c>
      <c r="I33" s="10">
        <v>243.9</v>
      </c>
      <c r="J33" s="10">
        <v>243.9</v>
      </c>
    </row>
    <row r="34" spans="2:10" x14ac:dyDescent="0.2">
      <c r="B34" s="1" t="s">
        <v>39</v>
      </c>
      <c r="C34" s="10">
        <v>433.2</v>
      </c>
      <c r="D34" s="10">
        <v>428.9</v>
      </c>
      <c r="E34" s="10">
        <v>424.9</v>
      </c>
      <c r="F34" s="10">
        <v>418.8</v>
      </c>
      <c r="G34" s="10">
        <v>414.9</v>
      </c>
      <c r="H34" s="10">
        <v>412</v>
      </c>
      <c r="I34" s="10">
        <v>409.6</v>
      </c>
      <c r="J34" s="10">
        <v>401.8</v>
      </c>
    </row>
    <row r="35" spans="2:10" x14ac:dyDescent="0.2">
      <c r="B35" s="1" t="s">
        <v>40</v>
      </c>
      <c r="C35" s="10">
        <v>656.4</v>
      </c>
      <c r="D35" s="10">
        <v>624.29999999999995</v>
      </c>
      <c r="E35" s="10">
        <v>576.29999999999995</v>
      </c>
      <c r="F35" s="10">
        <v>574.1</v>
      </c>
      <c r="G35" s="10">
        <v>572.70000000000005</v>
      </c>
      <c r="H35" s="10">
        <v>509.1</v>
      </c>
      <c r="I35" s="10">
        <v>478.5</v>
      </c>
      <c r="J35" s="10">
        <v>470.8</v>
      </c>
    </row>
    <row r="36" spans="2:10" s="6" customFormat="1" x14ac:dyDescent="0.2">
      <c r="B36" s="6" t="s">
        <v>41</v>
      </c>
      <c r="C36" s="14">
        <f>+SUM(C27:C35)</f>
        <v>3716.1</v>
      </c>
      <c r="D36" s="14">
        <f>+SUM(D27:D35)</f>
        <v>3924.2</v>
      </c>
      <c r="E36" s="14">
        <f>+SUM(E27:E35)</f>
        <v>3489.3</v>
      </c>
      <c r="F36" s="14">
        <f>+SUM(F27:F35)</f>
        <v>2871.9</v>
      </c>
      <c r="G36" s="14">
        <f>+SUM(G27:G35)</f>
        <v>3170.2000000000007</v>
      </c>
      <c r="H36" s="14">
        <f>+SUM(H27:H35)</f>
        <v>3536.7</v>
      </c>
      <c r="I36" s="14">
        <f t="shared" ref="I36:J36" si="226">+SUM(I27:I35)</f>
        <v>3090.6</v>
      </c>
      <c r="J36" s="14">
        <f t="shared" si="226"/>
        <v>2742.0000000000005</v>
      </c>
    </row>
    <row r="38" spans="2:10" x14ac:dyDescent="0.2">
      <c r="B38" s="1" t="s">
        <v>42</v>
      </c>
      <c r="C38" s="10">
        <v>54.5</v>
      </c>
      <c r="D38" s="10">
        <v>57.8</v>
      </c>
      <c r="E38" s="10">
        <v>52.9</v>
      </c>
      <c r="F38" s="10">
        <v>52.6</v>
      </c>
      <c r="G38" s="10">
        <v>54.6</v>
      </c>
      <c r="H38" s="10">
        <v>54.6</v>
      </c>
      <c r="I38" s="10">
        <v>52.1</v>
      </c>
      <c r="J38" s="10">
        <v>57.2</v>
      </c>
    </row>
    <row r="39" spans="2:10" x14ac:dyDescent="0.2">
      <c r="B39" s="1" t="s">
        <v>43</v>
      </c>
      <c r="C39" s="10">
        <v>332.5</v>
      </c>
      <c r="D39" s="10">
        <v>440.4</v>
      </c>
      <c r="E39" s="10">
        <v>316.7</v>
      </c>
      <c r="F39" s="10">
        <v>254.7</v>
      </c>
      <c r="G39" s="10">
        <v>309.3</v>
      </c>
      <c r="H39" s="10">
        <v>396.3</v>
      </c>
      <c r="I39" s="10">
        <v>261.7</v>
      </c>
      <c r="J39" s="10">
        <v>229</v>
      </c>
    </row>
    <row r="40" spans="2:10" x14ac:dyDescent="0.2">
      <c r="B40" s="1" t="s">
        <v>44</v>
      </c>
      <c r="C40" s="10">
        <v>377.1</v>
      </c>
      <c r="D40" s="10">
        <v>562.1</v>
      </c>
      <c r="E40" s="10">
        <v>484.8</v>
      </c>
      <c r="F40" s="10">
        <v>443</v>
      </c>
      <c r="G40" s="10">
        <v>319.89999999999998</v>
      </c>
      <c r="H40" s="10">
        <v>561.6</v>
      </c>
      <c r="I40" s="10">
        <v>484.8</v>
      </c>
      <c r="J40" s="10">
        <v>2</v>
      </c>
    </row>
    <row r="41" spans="2:10" x14ac:dyDescent="0.2">
      <c r="B41" s="1" t="s">
        <v>45</v>
      </c>
      <c r="C41" s="10">
        <v>2969</v>
      </c>
      <c r="D41" s="10">
        <v>2760.5</v>
      </c>
      <c r="E41" s="10">
        <v>2436.4</v>
      </c>
      <c r="F41" s="10">
        <v>2174.1999999999998</v>
      </c>
      <c r="G41" s="10">
        <v>2636.9</v>
      </c>
      <c r="H41" s="10">
        <v>2493.1999999999998</v>
      </c>
      <c r="I41" s="10">
        <v>2136.1999999999998</v>
      </c>
      <c r="J41" s="10">
        <v>453.3</v>
      </c>
    </row>
    <row r="42" spans="2:10" x14ac:dyDescent="0.2">
      <c r="B42" s="1" t="s">
        <v>46</v>
      </c>
      <c r="C42" s="10">
        <v>368.4</v>
      </c>
      <c r="D42" s="10">
        <v>354.3</v>
      </c>
      <c r="E42" s="10">
        <v>344.7</v>
      </c>
      <c r="F42" s="10">
        <v>338</v>
      </c>
      <c r="G42" s="10">
        <v>329</v>
      </c>
      <c r="H42" s="10">
        <v>321.10000000000002</v>
      </c>
      <c r="I42" s="10">
        <v>326.7</v>
      </c>
      <c r="J42" s="10">
        <v>2049.1999999999998</v>
      </c>
    </row>
    <row r="43" spans="2:10" s="7" customFormat="1" x14ac:dyDescent="0.2">
      <c r="B43" s="7" t="s">
        <v>47</v>
      </c>
      <c r="C43" s="15">
        <f>+SUM(C38:C42)</f>
        <v>4101.5</v>
      </c>
      <c r="D43" s="15">
        <f>+SUM(D38:D42)</f>
        <v>4175.1000000000004</v>
      </c>
      <c r="E43" s="15">
        <f>+SUM(E38:E42)</f>
        <v>3635.5</v>
      </c>
      <c r="F43" s="15">
        <f>+SUM(F38:F42)</f>
        <v>3262.5</v>
      </c>
      <c r="G43" s="15">
        <f>+SUM(G38:G42)</f>
        <v>3649.7</v>
      </c>
      <c r="H43" s="15">
        <f>+SUM(H38:H42)</f>
        <v>3826.7999999999997</v>
      </c>
      <c r="I43" s="15">
        <f>+SUM(I38:I42)</f>
        <v>3261.4999999999995</v>
      </c>
      <c r="J43" s="15"/>
    </row>
    <row r="44" spans="2:10" x14ac:dyDescent="0.2">
      <c r="B44" s="1" t="s">
        <v>48</v>
      </c>
      <c r="C44" s="10">
        <v>-385.4</v>
      </c>
      <c r="D44" s="10">
        <v>-250.9</v>
      </c>
      <c r="E44" s="10">
        <v>-146.19999999999999</v>
      </c>
      <c r="F44" s="10">
        <v>-390.6</v>
      </c>
      <c r="G44" s="10">
        <v>-479.5</v>
      </c>
      <c r="H44" s="10">
        <v>-290.10000000000002</v>
      </c>
      <c r="I44" s="10">
        <v>-170.9</v>
      </c>
      <c r="J44" s="10">
        <v>-357.5</v>
      </c>
    </row>
    <row r="45" spans="2:10" s="6" customFormat="1" x14ac:dyDescent="0.2">
      <c r="B45" s="6" t="s">
        <v>49</v>
      </c>
      <c r="C45" s="14">
        <f>+C43+C44</f>
        <v>3716.1</v>
      </c>
      <c r="D45" s="14">
        <f>+D43+D44</f>
        <v>3924.2000000000003</v>
      </c>
      <c r="E45" s="14">
        <f>+E43+E44</f>
        <v>3489.3</v>
      </c>
      <c r="F45" s="14">
        <f>+F43+F44</f>
        <v>2871.9</v>
      </c>
      <c r="G45" s="14">
        <f>+G43+G44</f>
        <v>3170.2</v>
      </c>
      <c r="H45" s="14">
        <f>+H43+H44</f>
        <v>3536.7</v>
      </c>
      <c r="I45" s="14">
        <f>+I43+I44</f>
        <v>3090.5999999999995</v>
      </c>
      <c r="J45" s="14"/>
    </row>
    <row r="47" spans="2:10" x14ac:dyDescent="0.2">
      <c r="B47" s="1" t="s">
        <v>50</v>
      </c>
      <c r="F47" s="10">
        <f t="shared" ref="D47:H47" si="227">+F28/(SUM(C8:F8)/365)</f>
        <v>18.16421313367298</v>
      </c>
      <c r="G47" s="10">
        <f t="shared" si="227"/>
        <v>21.905537916889099</v>
      </c>
      <c r="H47" s="10">
        <f t="shared" si="227"/>
        <v>84.448577300489191</v>
      </c>
      <c r="I47" s="10">
        <f>+I28/(SUM(F8:I8)/365)</f>
        <v>60.874000871966281</v>
      </c>
      <c r="J47" s="10">
        <f>+J28/(SUM(G8:J8)/365)</f>
        <v>19.986669401148482</v>
      </c>
    </row>
    <row r="48" spans="2:10" x14ac:dyDescent="0.2">
      <c r="B48" s="1" t="s">
        <v>51</v>
      </c>
      <c r="F48" s="10">
        <f t="shared" ref="F48:H48" si="228">+F29/(SUM(C9:F9)/365)</f>
        <v>81.887005002482155</v>
      </c>
      <c r="G48" s="10">
        <f t="shared" si="228"/>
        <v>128.63224356987914</v>
      </c>
      <c r="H48" s="10">
        <f t="shared" si="228"/>
        <v>114.69478988864508</v>
      </c>
      <c r="I48" s="10">
        <f>+I29/(SUM(F9:I9)/365)</f>
        <v>82.220543806646546</v>
      </c>
      <c r="J48" s="10">
        <f>+J29/(SUM(G9:J9)/365)</f>
        <v>92.124153787201436</v>
      </c>
    </row>
    <row r="49" spans="2:10" x14ac:dyDescent="0.2">
      <c r="B49" s="1" t="s">
        <v>52</v>
      </c>
      <c r="F49" s="10">
        <f t="shared" ref="F49:H49" si="229">+F39/(SUM(C9:F9)/365)</f>
        <v>35.500630083629282</v>
      </c>
      <c r="G49" s="10">
        <f t="shared" si="229"/>
        <v>43.730438487759535</v>
      </c>
      <c r="H49" s="10">
        <f t="shared" si="229"/>
        <v>58.786271641063166</v>
      </c>
      <c r="I49" s="10">
        <f>+I39/(SUM(F9:I9)/365)</f>
        <v>39.531722054380673</v>
      </c>
      <c r="J49" s="10">
        <f>+J39/(SUM(G9:J9)/365)</f>
        <v>35.587771958956026</v>
      </c>
    </row>
    <row r="50" spans="2:10" x14ac:dyDescent="0.2">
      <c r="B50" s="1" t="s">
        <v>53</v>
      </c>
      <c r="F50" s="10">
        <f>+F47+F48-F49</f>
        <v>64.550588052525853</v>
      </c>
      <c r="G50" s="10">
        <f>+G47+G48-G49</f>
        <v>106.80734299900871</v>
      </c>
      <c r="H50" s="10">
        <f>+H47+H48-H49</f>
        <v>140.3570955480711</v>
      </c>
      <c r="I50" s="10">
        <f>+I47+I48-I49</f>
        <v>103.56282262423215</v>
      </c>
      <c r="J50" s="10">
        <f>+J47+J48-J49</f>
        <v>76.523051229393886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2025-06-18T01:15:57Z</dcterms:created>
  <dcterms:modified xsi:type="dcterms:W3CDTF">2025-11-22T08:14:25Z</dcterms:modified>
</cp:coreProperties>
</file>