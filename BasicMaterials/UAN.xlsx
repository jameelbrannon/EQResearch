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8DAE1CD1-672C-754B-9368-285B96345386}" xr6:coauthVersionLast="47" xr6:coauthVersionMax="47" xr10:uidLastSave="{00000000-0000-0000-0000-000000000000}"/>
  <bookViews>
    <workbookView xWindow="21900" yWindow="940" windowWidth="27640" windowHeight="16680" activeTab="1" xr2:uid="{6E29C2F5-6641-D340-B5A1-BEC13A2E2B10}"/>
  </bookViews>
  <sheets>
    <sheet name="Main" sheetId="1" r:id="rId1"/>
    <sheet name="Model" sheetId="2" r:id="rId2"/>
    <sheet name="Nitrogen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0" i="2" l="1"/>
  <c r="Z49" i="2"/>
  <c r="AA49" i="2" s="1"/>
  <c r="AB49" i="2" s="1"/>
  <c r="AC49" i="2" s="1"/>
  <c r="AD49" i="2" s="1"/>
  <c r="AE49" i="2" s="1"/>
  <c r="AF49" i="2" s="1"/>
  <c r="AG49" i="2" s="1"/>
  <c r="HZ49" i="2"/>
  <c r="HY49" i="2"/>
  <c r="HX49" i="2"/>
  <c r="HW49" i="2"/>
  <c r="HV49" i="2"/>
  <c r="HU49" i="2"/>
  <c r="HT49" i="2"/>
  <c r="HS49" i="2"/>
  <c r="HR49" i="2"/>
  <c r="HQ49" i="2"/>
  <c r="HP49" i="2"/>
  <c r="HO49" i="2"/>
  <c r="HN49" i="2"/>
  <c r="HM49" i="2"/>
  <c r="HL49" i="2"/>
  <c r="HK49" i="2"/>
  <c r="HJ49" i="2"/>
  <c r="HI49" i="2"/>
  <c r="HH49" i="2"/>
  <c r="HG49" i="2"/>
  <c r="HF49" i="2"/>
  <c r="HE49" i="2"/>
  <c r="HD49" i="2"/>
  <c r="HC49" i="2"/>
  <c r="HB49" i="2"/>
  <c r="HA49" i="2"/>
  <c r="GZ49" i="2"/>
  <c r="GY49" i="2"/>
  <c r="GX49" i="2"/>
  <c r="GW49" i="2"/>
  <c r="GV49" i="2"/>
  <c r="GU49" i="2"/>
  <c r="GT49" i="2"/>
  <c r="GS49" i="2"/>
  <c r="GR49" i="2"/>
  <c r="GQ49" i="2"/>
  <c r="GP49" i="2"/>
  <c r="GO49" i="2"/>
  <c r="GN49" i="2"/>
  <c r="GM49" i="2"/>
  <c r="GL49" i="2"/>
  <c r="GK49" i="2"/>
  <c r="GJ49" i="2"/>
  <c r="GI49" i="2"/>
  <c r="GH49" i="2"/>
  <c r="GG49" i="2"/>
  <c r="GF49" i="2"/>
  <c r="GE49" i="2"/>
  <c r="GD49" i="2"/>
  <c r="GC49" i="2"/>
  <c r="GB49" i="2"/>
  <c r="GA49" i="2"/>
  <c r="FZ49" i="2"/>
  <c r="FY49" i="2"/>
  <c r="FX49" i="2"/>
  <c r="FW49" i="2"/>
  <c r="FV49" i="2"/>
  <c r="FU49" i="2"/>
  <c r="FT49" i="2"/>
  <c r="FS49" i="2"/>
  <c r="FR49" i="2"/>
  <c r="FQ49" i="2"/>
  <c r="FP49" i="2"/>
  <c r="FO49" i="2"/>
  <c r="FN49" i="2"/>
  <c r="FM49" i="2"/>
  <c r="FL49" i="2"/>
  <c r="FK49" i="2"/>
  <c r="FJ49" i="2"/>
  <c r="FI49" i="2"/>
  <c r="FH49" i="2"/>
  <c r="FG49" i="2"/>
  <c r="FF49" i="2"/>
  <c r="FE49" i="2"/>
  <c r="FD49" i="2"/>
  <c r="FC49" i="2"/>
  <c r="FB49" i="2"/>
  <c r="FA49" i="2"/>
  <c r="EZ49" i="2"/>
  <c r="EY49" i="2"/>
  <c r="EX49" i="2"/>
  <c r="EW49" i="2"/>
  <c r="EV49" i="2"/>
  <c r="EU49" i="2"/>
  <c r="ET49" i="2"/>
  <c r="ES49" i="2"/>
  <c r="ER49" i="2"/>
  <c r="EQ49" i="2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Y49" i="2"/>
  <c r="X49" i="2"/>
  <c r="W47" i="2"/>
  <c r="W45" i="2"/>
  <c r="J50" i="2"/>
  <c r="J49" i="2"/>
  <c r="J45" i="2"/>
  <c r="J47" i="2"/>
  <c r="J46" i="2"/>
  <c r="V5" i="2"/>
  <c r="W5" i="2"/>
  <c r="C5" i="2"/>
  <c r="I5" i="2"/>
  <c r="H5" i="2"/>
  <c r="G5" i="2"/>
  <c r="F5" i="2"/>
  <c r="E5" i="2"/>
  <c r="D5" i="2"/>
  <c r="D46" i="2"/>
  <c r="D45" i="2"/>
  <c r="H46" i="2"/>
  <c r="I46" i="2" s="1"/>
  <c r="H45" i="2"/>
  <c r="C47" i="2"/>
  <c r="G47" i="2"/>
  <c r="AJ27" i="2"/>
  <c r="AJ25" i="2"/>
  <c r="G31" i="2"/>
  <c r="G29" i="2"/>
  <c r="H31" i="2"/>
  <c r="H29" i="2"/>
  <c r="F31" i="2"/>
  <c r="F38" i="2"/>
  <c r="F29" i="2"/>
  <c r="I31" i="2"/>
  <c r="I29" i="2"/>
  <c r="X14" i="2"/>
  <c r="J12" i="2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J11" i="2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F14" i="2"/>
  <c r="F12" i="2"/>
  <c r="F11" i="2"/>
  <c r="F9" i="2"/>
  <c r="F7" i="2"/>
  <c r="V18" i="2"/>
  <c r="W18" i="2"/>
  <c r="U8" i="2"/>
  <c r="U19" i="2" s="1"/>
  <c r="U10" i="2"/>
  <c r="U13" i="2" s="1"/>
  <c r="U15" i="2" s="1"/>
  <c r="V8" i="2"/>
  <c r="V19" i="2" s="1"/>
  <c r="V10" i="2"/>
  <c r="V13" i="2" s="1"/>
  <c r="V15" i="2" s="1"/>
  <c r="W8" i="2"/>
  <c r="W10" i="2"/>
  <c r="G18" i="2"/>
  <c r="C19" i="2"/>
  <c r="C10" i="2"/>
  <c r="C13" i="2" s="1"/>
  <c r="C15" i="2" s="1"/>
  <c r="G8" i="2"/>
  <c r="G10" i="2"/>
  <c r="G13" i="2" s="1"/>
  <c r="G15" i="2" s="1"/>
  <c r="H18" i="2"/>
  <c r="D8" i="2"/>
  <c r="D19" i="2" s="1"/>
  <c r="D10" i="2"/>
  <c r="D13" i="2" s="1"/>
  <c r="D15" i="2" s="1"/>
  <c r="H8" i="2"/>
  <c r="H19" i="2" s="1"/>
  <c r="H10" i="2"/>
  <c r="H13" i="2" s="1"/>
  <c r="H15" i="2" s="1"/>
  <c r="I18" i="2"/>
  <c r="E8" i="2"/>
  <c r="E19" i="2" s="1"/>
  <c r="E10" i="2"/>
  <c r="E13" i="2" s="1"/>
  <c r="E15" i="2" s="1"/>
  <c r="I8" i="2"/>
  <c r="I19" i="2" s="1"/>
  <c r="I10" i="2"/>
  <c r="I13" i="2" s="1"/>
  <c r="I15" i="2" s="1"/>
  <c r="O2" i="2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J8" i="1"/>
  <c r="J7" i="1"/>
  <c r="J5" i="1"/>
  <c r="H40" i="2" l="1"/>
  <c r="F40" i="2"/>
  <c r="I40" i="2"/>
  <c r="G40" i="2"/>
  <c r="E46" i="2"/>
  <c r="F46" i="2" s="1"/>
  <c r="E45" i="2"/>
  <c r="D47" i="2"/>
  <c r="H47" i="2"/>
  <c r="I45" i="2"/>
  <c r="I47" i="2" s="1"/>
  <c r="G38" i="2"/>
  <c r="H38" i="2"/>
  <c r="I38" i="2"/>
  <c r="J7" i="2"/>
  <c r="F8" i="2"/>
  <c r="W19" i="2"/>
  <c r="W13" i="2"/>
  <c r="F10" i="2"/>
  <c r="G19" i="2"/>
  <c r="AI52" i="2" l="1"/>
  <c r="AI53" i="2" s="1"/>
  <c r="AI54" i="2" s="1"/>
  <c r="E47" i="2"/>
  <c r="F45" i="2"/>
  <c r="F47" i="2" s="1"/>
  <c r="F19" i="2"/>
  <c r="G42" i="2"/>
  <c r="I42" i="2"/>
  <c r="H42" i="2"/>
  <c r="F41" i="2"/>
  <c r="I41" i="2"/>
  <c r="I43" i="2" s="1"/>
  <c r="H41" i="2"/>
  <c r="J8" i="2"/>
  <c r="G41" i="2"/>
  <c r="F42" i="2"/>
  <c r="J18" i="2"/>
  <c r="X7" i="2"/>
  <c r="Y7" i="2" s="1"/>
  <c r="J9" i="2"/>
  <c r="F13" i="2"/>
  <c r="W15" i="2"/>
  <c r="F15" i="2" s="1"/>
  <c r="H43" i="2" l="1"/>
  <c r="G43" i="2"/>
  <c r="H49" i="2"/>
  <c r="I49" i="2"/>
  <c r="F43" i="2"/>
  <c r="F49" i="2"/>
  <c r="G49" i="2"/>
  <c r="Y18" i="2"/>
  <c r="Z7" i="2"/>
  <c r="X9" i="2"/>
  <c r="J10" i="2"/>
  <c r="J13" i="2" s="1"/>
  <c r="I50" i="2"/>
  <c r="H50" i="2"/>
  <c r="F50" i="2"/>
  <c r="G50" i="2"/>
  <c r="X10" i="2"/>
  <c r="X18" i="2"/>
  <c r="X8" i="2"/>
  <c r="X19" i="2" s="1"/>
  <c r="J19" i="2"/>
  <c r="Z18" i="2" l="1"/>
  <c r="AA7" i="2"/>
  <c r="X13" i="2"/>
  <c r="J15" i="2"/>
  <c r="X15" i="2" s="1"/>
  <c r="Y8" i="2"/>
  <c r="Y9" i="2"/>
  <c r="AA18" i="2" l="1"/>
  <c r="AB7" i="2"/>
  <c r="Y19" i="2"/>
  <c r="Y10" i="2"/>
  <c r="Y13" i="2" s="1"/>
  <c r="Y15" i="2" s="1"/>
  <c r="Z8" i="2"/>
  <c r="Z9" i="2"/>
  <c r="AB18" i="2" l="1"/>
  <c r="AC7" i="2"/>
  <c r="Z19" i="2"/>
  <c r="Z10" i="2"/>
  <c r="Z13" i="2" s="1"/>
  <c r="Z15" i="2" s="1"/>
  <c r="AA9" i="2"/>
  <c r="AA8" i="2"/>
  <c r="AC18" i="2" l="1"/>
  <c r="AD7" i="2"/>
  <c r="AB8" i="2"/>
  <c r="AB19" i="2" s="1"/>
  <c r="AB9" i="2"/>
  <c r="AA10" i="2"/>
  <c r="AA13" i="2" s="1"/>
  <c r="AA15" i="2" s="1"/>
  <c r="AA19" i="2"/>
  <c r="AD18" i="2" l="1"/>
  <c r="AE7" i="2"/>
  <c r="AC8" i="2"/>
  <c r="AC9" i="2"/>
  <c r="AB10" i="2"/>
  <c r="AB13" i="2" s="1"/>
  <c r="AB15" i="2" s="1"/>
  <c r="AE18" i="2" l="1"/>
  <c r="AF7" i="2"/>
  <c r="AC19" i="2"/>
  <c r="AC10" i="2"/>
  <c r="AC13" i="2" s="1"/>
  <c r="AC15" i="2" s="1"/>
  <c r="AD9" i="2"/>
  <c r="AD8" i="2"/>
  <c r="AF18" i="2" l="1"/>
  <c r="AG7" i="2"/>
  <c r="AG18" i="2" s="1"/>
  <c r="AE8" i="2"/>
  <c r="AE9" i="2"/>
  <c r="AD19" i="2"/>
  <c r="AD10" i="2"/>
  <c r="AD13" i="2" s="1"/>
  <c r="AD15" i="2" s="1"/>
  <c r="AF9" i="2" l="1"/>
  <c r="AF8" i="2"/>
  <c r="AE10" i="2"/>
  <c r="AE13" i="2" s="1"/>
  <c r="AE15" i="2" s="1"/>
  <c r="AE19" i="2"/>
  <c r="AG9" i="2" l="1"/>
  <c r="AG8" i="2"/>
  <c r="AG19" i="2" s="1"/>
  <c r="AF10" i="2"/>
  <c r="AF13" i="2" s="1"/>
  <c r="AF15" i="2" s="1"/>
  <c r="AF19" i="2"/>
  <c r="AG10" i="2" l="1"/>
  <c r="AG13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FO15" i="2" s="1"/>
  <c r="FP15" i="2" s="1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GM15" i="2" s="1"/>
  <c r="GN15" i="2" s="1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GY15" i="2" s="1"/>
  <c r="GZ15" i="2" s="1"/>
  <c r="HA15" i="2" s="1"/>
  <c r="HB15" i="2" s="1"/>
  <c r="HC15" i="2" s="1"/>
  <c r="HD15" i="2" s="1"/>
  <c r="HE15" i="2" s="1"/>
  <c r="HF15" i="2" s="1"/>
  <c r="HG15" i="2" s="1"/>
  <c r="HH15" i="2" s="1"/>
  <c r="HI15" i="2" s="1"/>
  <c r="HJ15" i="2" s="1"/>
  <c r="HK15" i="2" s="1"/>
  <c r="HL15" i="2" s="1"/>
  <c r="HM15" i="2" s="1"/>
  <c r="HN15" i="2" s="1"/>
  <c r="HO15" i="2" s="1"/>
  <c r="HP15" i="2" s="1"/>
  <c r="HQ15" i="2" s="1"/>
  <c r="HR15" i="2" s="1"/>
  <c r="HS15" i="2" s="1"/>
  <c r="HT15" i="2" s="1"/>
  <c r="HU15" i="2" s="1"/>
  <c r="HV15" i="2" s="1"/>
  <c r="HW15" i="2" s="1"/>
  <c r="HX15" i="2" s="1"/>
  <c r="HY15" i="2" s="1"/>
  <c r="HZ15" i="2" s="1"/>
  <c r="AJ24" i="2" s="1"/>
  <c r="AJ26" i="2" s="1"/>
  <c r="AJ28" i="2" s="1"/>
</calcChain>
</file>

<file path=xl/sharedStrings.xml><?xml version="1.0" encoding="utf-8"?>
<sst xmlns="http://schemas.openxmlformats.org/spreadsheetml/2006/main" count="104" uniqueCount="99">
  <si>
    <t>P</t>
  </si>
  <si>
    <t>S</t>
  </si>
  <si>
    <t>MC</t>
  </si>
  <si>
    <t>C</t>
  </si>
  <si>
    <t>D</t>
  </si>
  <si>
    <t>EV</t>
  </si>
  <si>
    <t>Q325</t>
  </si>
  <si>
    <t xml:space="preserve">CVR Partners LP 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</si>
  <si>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</si>
  <si>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</si>
  <si>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</si>
  <si>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</si>
  <si>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</si>
  <si>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</si>
  <si>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</si>
  <si>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Q225</t>
  </si>
  <si>
    <t>Q425</t>
  </si>
  <si>
    <t>Sales</t>
  </si>
  <si>
    <t>Cost</t>
  </si>
  <si>
    <t>SG&amp;A</t>
  </si>
  <si>
    <t>Operating Income</t>
  </si>
  <si>
    <t>Interest Expense</t>
  </si>
  <si>
    <t xml:space="preserve">Other Income </t>
  </si>
  <si>
    <t>EBT</t>
  </si>
  <si>
    <t>Taxes</t>
  </si>
  <si>
    <t>Net Income</t>
  </si>
  <si>
    <t>GM%</t>
  </si>
  <si>
    <t xml:space="preserve">Cash </t>
  </si>
  <si>
    <t xml:space="preserve">Terminal </t>
  </si>
  <si>
    <t xml:space="preserve">Discount </t>
  </si>
  <si>
    <t>NPV</t>
  </si>
  <si>
    <t>Shares</t>
  </si>
  <si>
    <t xml:space="preserve">Estimate </t>
  </si>
  <si>
    <t>$K</t>
  </si>
  <si>
    <t>A/R</t>
  </si>
  <si>
    <t xml:space="preserve">Inventories </t>
  </si>
  <si>
    <t>Prepaid Exp</t>
  </si>
  <si>
    <t>OCA</t>
  </si>
  <si>
    <t>PPE</t>
  </si>
  <si>
    <t>OLTA</t>
  </si>
  <si>
    <t xml:space="preserve">Total Assets </t>
  </si>
  <si>
    <t>A/P</t>
  </si>
  <si>
    <t>Deferred Rev</t>
  </si>
  <si>
    <t>OCL</t>
  </si>
  <si>
    <t>LTD</t>
  </si>
  <si>
    <t>LT Deferred Rev</t>
  </si>
  <si>
    <t>OLTL</t>
  </si>
  <si>
    <t>Equity</t>
  </si>
  <si>
    <t>Total Liab + Equity</t>
  </si>
  <si>
    <t>DSO</t>
  </si>
  <si>
    <t>DIO</t>
  </si>
  <si>
    <t>DPO</t>
  </si>
  <si>
    <t>CC</t>
  </si>
  <si>
    <t xml:space="preserve">Current </t>
  </si>
  <si>
    <t>Upside</t>
  </si>
  <si>
    <t xml:space="preserve">CFFO </t>
  </si>
  <si>
    <t>Capex</t>
  </si>
  <si>
    <t xml:space="preserve">FCF </t>
  </si>
  <si>
    <t xml:space="preserve">4Q FCF </t>
  </si>
  <si>
    <t>4Q NI</t>
  </si>
  <si>
    <t xml:space="preserve">Ammonia </t>
  </si>
  <si>
    <t xml:space="preserve">UAN </t>
  </si>
  <si>
    <t>Sales volume (tonsk)</t>
  </si>
  <si>
    <t xml:space="preserve">Makes Ammonia then upgrades It to Urea Ammonium Nitrate </t>
  </si>
  <si>
    <t xml:space="preserve">Primary feedstock --&gt; Petroleum coke </t>
  </si>
  <si>
    <t xml:space="preserve">Feedstock: raw input material you chemically convwert into fertilizer </t>
  </si>
  <si>
    <t>For Nitrogen fertilizer, feedstock provides hydrogen (need to make ammonia)</t>
  </si>
  <si>
    <t xml:space="preserve">Steps </t>
  </si>
  <si>
    <t xml:space="preserve">1. Make Hydrogen: take hydrocarbon and break it apart to extract hydrogen </t>
  </si>
  <si>
    <t xml:space="preserve">Natural gas --&gt; steam mathane reforming </t>
  </si>
  <si>
    <t>Petroleum coke --&gt; gasification (turn solids into syngas then into hydrogen)</t>
  </si>
  <si>
    <t xml:space="preserve">2. Combine Hydrogen + Nitrogen = Ammonia </t>
  </si>
  <si>
    <t>Using Haber-Bosch process</t>
  </si>
  <si>
    <t>Hydrogen (from feedstock)</t>
  </si>
  <si>
    <t>Nitrogen (from air)</t>
  </si>
  <si>
    <t xml:space="preserve">3. Upgrade Ammonia --&gt; Urea --&gt; Urea Aommonium Nitrate </t>
  </si>
  <si>
    <t xml:space="preserve">Plants convert ammonia into Urea and Urea Ammonium Nitrate </t>
  </si>
  <si>
    <t xml:space="preserve">4. Sell to farmers </t>
  </si>
  <si>
    <t>Ammonia, Urea, and UAN sold inot corn belt, wheat, other nitrogen intensive crops</t>
  </si>
  <si>
    <t xml:space="preserve">Revenue = price * volume </t>
  </si>
  <si>
    <t xml:space="preserve">Hydrogen </t>
  </si>
  <si>
    <t>Carbon</t>
  </si>
  <si>
    <t>Oxygen</t>
  </si>
  <si>
    <t>Sulfure</t>
  </si>
  <si>
    <t xml:space="preserve">Nitrogen </t>
  </si>
  <si>
    <t xml:space="preserve">essential for making ammonia </t>
  </si>
  <si>
    <r>
      <t>CO(NH</t>
    </r>
    <r>
      <rPr>
        <sz val="8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</t>
    </r>
    <r>
      <rPr>
        <sz val="8"/>
        <color theme="1"/>
        <rFont val="Aptos Narrow (Body)"/>
      </rPr>
      <t>2</t>
    </r>
  </si>
  <si>
    <t>unreactive gas that makes up four-fifths of the air we breathe</t>
  </si>
  <si>
    <t xml:space="preserve">modern agriculture must add nitrogen chemicals to grow enough food </t>
  </si>
  <si>
    <t xml:space="preserve">~1/3 of humanity eats food that uses an artificial nitrogen source </t>
  </si>
  <si>
    <t xml:space="preserve">Atomic </t>
  </si>
  <si>
    <t xml:space="preserve">Category </t>
  </si>
  <si>
    <t xml:space="preserve">Non-Metal </t>
  </si>
  <si>
    <t>Phase</t>
  </si>
  <si>
    <t>Gas</t>
  </si>
  <si>
    <t>Lightening: enough to react nitrogen and oxygen to make nitrates, which adds to naturally supply</t>
  </si>
  <si>
    <t xml:space="preserve">Natural Cycle: Plants/animals rely on nitrates (nitrogeen rich chemicals) in the soil.. The soil is replenished by death and decay.  Soil bacteria 'fix' nitogen from the air, making fresh nitrates </t>
  </si>
  <si>
    <t>Plants + crops --&gt;  food --&gt; animals --&gt; Excrement --&gt; Natural Nitrates --&gt; Plants + crops</t>
  </si>
  <si>
    <t>Animals --&gt; death/decay --&gt; Natural Nitrates --&gt; Plants +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</si>
</sst>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color theme="1"/>
      <name val="Aptos Narrow (Body)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3" fontId="0" fillId="2" borderId="0" xfId="0" applyNumberFormat="1" applyFill="1"/>
    <xf numFmtId="3" fontId="0" fillId="0" borderId="0" xfId="0" applyNumberFormat="1" applyAlignment="1">
      <alignment horizontal="left" indent="1"/>
    </xf>
    <xf numFmtId="3" fontId="1" fillId="0" borderId="0" xfId="0" applyNumberFormat="1" applyFont="1" applyAlignment="1">
      <alignment horizontal="left" inden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50800</xdr:rowOff>
    </xdr:from>
    <xdr:to>
      <xdr:col>9</xdr:col>
      <xdr:colOff>12700</xdr:colOff>
      <xdr:row>63</xdr:row>
      <xdr:rowOff>127000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E8EE002-268E-232D-7D8F-81FD7BE0D117}"/>
            </a:ext>
          </a:extLst>
        </xdr:cNvPr>
        <xdr:cNvCxnSpPr/>
      </xdr:nvCxnSpPr>
      <xdr:spPr>
        <a:xfrm>
          <a:off x="5359400" y="50800"/>
          <a:ext cx="12700" cy="12268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25400</xdr:colOff>
      <xdr:row>0</xdr:row>
      <xdr:rowOff>25400</xdr:rowOff>
    </xdr:from>
    <xdr:to>
      <xdr:col>23</xdr:col>
      <xdr:colOff>38100</xdr:colOff>
      <xdr:row>63</xdr:row>
      <xdr:rowOff>101600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58F926-C641-F941-8473-37DA5067B70F}"/>
            </a:ext>
          </a:extLst>
        </xdr:cNvPr>
        <xdr:cNvCxnSpPr/>
      </xdr:nvCxnSpPr>
      <xdr:spPr>
        <a:xfrm>
          <a:off x="12788900" y="25400"/>
          <a:ext cx="12700" cy="12268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0076-11B4-C54B-8C53-6B2B6653E92A}">
  <dimension ref="B3:K36"/>
  <sheetViews>
    <sheetView workbookViewId="0">
      <selection activeCell="J7" sqref="J7"/>
    </sheetView>
  </sheetViews>
  <sheetFormatPr baseColWidth="10" defaultRowHeight="16" x14ac:dyDescent="0.2"/>
  <cols>
    <col min="1" max="8" width="10.83203125" style="1"/>
    <col min="9" max="9" width="4" style="1" bestFit="1" customWidth="1"/>
    <col min="10" max="10" width="10.83203125" style="1"/>
    <col min="11" max="11" width="5.5" style="1" bestFit="1" customWidth="1"/>
    <col min="12" max="16384" width="10.83203125" style="1"/>
  </cols>
  <sheetData>
    <row r="3" spans="2:11" x14ac:dyDescent="0.2">
      <c r="B3" s="1" t="s">
        <v>7</v>
      </c>
      <c r="I3" s="1" t="s">
        <v>0</v>
      </c>
      <c r="J3" s="1">
        <v>97.35</v>
      </c>
    </row>
    <row r="4" spans="2:11" x14ac:dyDescent="0.2">
      <c r="B4" s="1" t="s">
        <v>8</v>
      </c>
      <c r="I4" s="1" t="s">
        <v>1</v>
      </c>
      <c r="J4" s="1">
        <v>10.569637</v>
      </c>
      <c r="K4" s="1" t="s">
        <v>6</v>
      </c>
    </row>
    <row r="5" spans="2:11" x14ac:dyDescent="0.2">
      <c r="B5" s="1" t="s">
        <v>9</v>
      </c>
      <c r="I5" s="1" t="s">
        <v>2</v>
      </c>
      <c r="J5" s="1">
        <f>+J3*J4</f>
        <v>1028.9541619499998</v>
      </c>
    </row>
    <row r="6" spans="2:11" x14ac:dyDescent="0.2">
      <c r="I6" s="1" t="s">
        <v>3</v>
      </c>
      <c r="J6" s="1">
        <v>156.18299999999999</v>
      </c>
      <c r="K6" s="1" t="s">
        <v>6</v>
      </c>
    </row>
    <row r="7" spans="2:11" x14ac:dyDescent="0.2">
      <c r="I7" s="1" t="s">
        <v>4</v>
      </c>
      <c r="J7" s="1">
        <f>569.119+0</f>
        <v>569.11900000000003</v>
      </c>
      <c r="K7" s="1" t="s">
        <v>6</v>
      </c>
    </row>
    <row r="8" spans="2:11" x14ac:dyDescent="0.2">
      <c r="I8" s="1" t="s">
        <v>5</v>
      </c>
      <c r="J8" s="1">
        <f>+J5-J6+J7</f>
        <v>1441.8901619499998</v>
      </c>
    </row>
    <row r="9" spans="2:11" x14ac:dyDescent="0.2">
      <c r="B9" s="1" t="s">
        <v>63</v>
      </c>
    </row>
    <row r="10" spans="2:11" x14ac:dyDescent="0.2">
      <c r="B10" s="1" t="s">
        <v>64</v>
      </c>
    </row>
    <row r="13" spans="2:11" x14ac:dyDescent="0.2">
      <c r="B13" s="1" t="s">
        <v>65</v>
      </c>
    </row>
    <row r="14" spans="2:11" x14ac:dyDescent="0.2">
      <c r="B14" s="1" t="s">
        <v>66</v>
      </c>
    </row>
    <row r="16" spans="2:11" x14ac:dyDescent="0.2">
      <c r="B16" s="1" t="s">
        <v>67</v>
      </c>
    </row>
    <row r="17" spans="2:2" x14ac:dyDescent="0.2">
      <c r="B17" s="1" t="s">
        <v>68</v>
      </c>
    </row>
    <row r="18" spans="2:2" x14ac:dyDescent="0.2">
      <c r="B18" s="12" t="s">
        <v>69</v>
      </c>
    </row>
    <row r="19" spans="2:2" x14ac:dyDescent="0.2">
      <c r="B19" s="12" t="s">
        <v>70</v>
      </c>
    </row>
    <row r="20" spans="2:2" x14ac:dyDescent="0.2">
      <c r="B20" s="1" t="s">
        <v>71</v>
      </c>
    </row>
    <row r="21" spans="2:2" x14ac:dyDescent="0.2">
      <c r="B21" s="1" t="s">
        <v>72</v>
      </c>
    </row>
    <row r="22" spans="2:2" x14ac:dyDescent="0.2">
      <c r="B22" s="13" t="s">
        <v>73</v>
      </c>
    </row>
    <row r="23" spans="2:2" x14ac:dyDescent="0.2">
      <c r="B23" s="13" t="s">
        <v>74</v>
      </c>
    </row>
    <row r="24" spans="2:2" x14ac:dyDescent="0.2">
      <c r="B24" s="1" t="s">
        <v>75</v>
      </c>
    </row>
    <row r="25" spans="2:2" x14ac:dyDescent="0.2">
      <c r="B25" s="1" t="s">
        <v>76</v>
      </c>
    </row>
    <row r="26" spans="2:2" x14ac:dyDescent="0.2">
      <c r="B26" s="1" t="s">
        <v>77</v>
      </c>
    </row>
    <row r="27" spans="2:2" x14ac:dyDescent="0.2">
      <c r="B27" s="1" t="s">
        <v>78</v>
      </c>
    </row>
    <row r="29" spans="2:2" x14ac:dyDescent="0.2">
      <c r="B29" s="1" t="s">
        <v>79</v>
      </c>
    </row>
    <row r="32" spans="2:2" x14ac:dyDescent="0.2">
      <c r="B32" s="1" t="s">
        <v>84</v>
      </c>
    </row>
    <row r="33" spans="2:3" x14ac:dyDescent="0.2">
      <c r="B33" s="1" t="s">
        <v>80</v>
      </c>
      <c r="C33" s="1" t="s">
        <v>85</v>
      </c>
    </row>
    <row r="34" spans="2:3" x14ac:dyDescent="0.2">
      <c r="B34" s="1" t="s">
        <v>81</v>
      </c>
      <c r="C34" s="1" t="s">
        <v>86</v>
      </c>
    </row>
    <row r="35" spans="2:3" x14ac:dyDescent="0.2">
      <c r="B35" s="1" t="s">
        <v>82</v>
      </c>
    </row>
    <row r="36" spans="2:3" x14ac:dyDescent="0.2">
      <c r="B36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52F4-65C7-FF44-8087-5DF15325F0B7}">
  <dimension ref="B1:HZ54"/>
  <sheetViews>
    <sheetView tabSelected="1"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F5" sqref="F5"/>
    </sheetView>
  </sheetViews>
  <sheetFormatPr baseColWidth="10" defaultRowHeight="16" x14ac:dyDescent="0.2"/>
  <cols>
    <col min="1" max="1" width="1.1640625" customWidth="1"/>
    <col min="2" max="2" width="18.5" bestFit="1" customWidth="1"/>
    <col min="3" max="5" width="7.6640625" style="3" bestFit="1" customWidth="1"/>
    <col min="6" max="7" width="9.1640625" style="3" bestFit="1" customWidth="1"/>
    <col min="8" max="8" width="7.6640625" style="3" bestFit="1" customWidth="1"/>
    <col min="9" max="9" width="9.1640625" style="3" bestFit="1" customWidth="1"/>
    <col min="10" max="10" width="7.6640625" style="3" bestFit="1" customWidth="1"/>
    <col min="11" max="12" width="4.6640625" style="3" customWidth="1"/>
    <col min="13" max="13" width="4.6640625" customWidth="1"/>
    <col min="14" max="20" width="5.1640625" bestFit="1" customWidth="1"/>
    <col min="21" max="28" width="7.6640625" bestFit="1" customWidth="1"/>
    <col min="29" max="33" width="9.1640625" bestFit="1" customWidth="1"/>
    <col min="34" max="34" width="7.6640625" bestFit="1" customWidth="1"/>
    <col min="35" max="35" width="13.33203125" bestFit="1" customWidth="1"/>
    <col min="36" max="36" width="13.5" bestFit="1" customWidth="1"/>
    <col min="37" max="77" width="7.6640625" bestFit="1" customWidth="1"/>
    <col min="78" max="234" width="9.1640625" bestFit="1" customWidth="1"/>
  </cols>
  <sheetData>
    <row r="1" spans="2:234" x14ac:dyDescent="0.2">
      <c r="B1" t="s">
        <v>33</v>
      </c>
    </row>
    <row r="2" spans="2:234" x14ac:dyDescent="0.2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6</v>
      </c>
      <c r="J2" s="3" t="s">
        <v>16</v>
      </c>
      <c r="N2">
        <v>2015</v>
      </c>
      <c r="O2">
        <f>+N2+1</f>
        <v>2016</v>
      </c>
      <c r="P2">
        <f t="shared" ref="P2:AH2" si="0">+O2+1</f>
        <v>2017</v>
      </c>
      <c r="Q2">
        <f t="shared" si="0"/>
        <v>2018</v>
      </c>
      <c r="R2">
        <f t="shared" si="0"/>
        <v>2019</v>
      </c>
      <c r="S2">
        <f t="shared" si="0"/>
        <v>2020</v>
      </c>
      <c r="T2">
        <f t="shared" si="0"/>
        <v>2021</v>
      </c>
      <c r="U2">
        <f t="shared" si="0"/>
        <v>2022</v>
      </c>
      <c r="V2">
        <f t="shared" si="0"/>
        <v>2023</v>
      </c>
      <c r="W2">
        <f t="shared" si="0"/>
        <v>2024</v>
      </c>
      <c r="X2">
        <f t="shared" si="0"/>
        <v>2025</v>
      </c>
      <c r="Y2">
        <f t="shared" si="0"/>
        <v>2026</v>
      </c>
      <c r="Z2">
        <f t="shared" si="0"/>
        <v>2027</v>
      </c>
      <c r="AA2">
        <f t="shared" si="0"/>
        <v>2028</v>
      </c>
      <c r="AB2">
        <f t="shared" si="0"/>
        <v>2029</v>
      </c>
      <c r="AC2">
        <f t="shared" si="0"/>
        <v>2030</v>
      </c>
      <c r="AD2">
        <f t="shared" si="0"/>
        <v>2031</v>
      </c>
      <c r="AE2">
        <f t="shared" si="0"/>
        <v>2032</v>
      </c>
      <c r="AF2">
        <f t="shared" si="0"/>
        <v>2033</v>
      </c>
      <c r="AG2">
        <f t="shared" si="0"/>
        <v>2034</v>
      </c>
      <c r="AH2">
        <f t="shared" si="0"/>
        <v>2035</v>
      </c>
      <c r="AI2">
        <f t="shared" ref="AI2:CT2" si="1">+AH2+1</f>
        <v>2036</v>
      </c>
      <c r="AJ2">
        <f t="shared" si="1"/>
        <v>2037</v>
      </c>
      <c r="AK2">
        <f t="shared" si="1"/>
        <v>2038</v>
      </c>
      <c r="AL2">
        <f t="shared" si="1"/>
        <v>2039</v>
      </c>
      <c r="AM2">
        <f t="shared" si="1"/>
        <v>2040</v>
      </c>
      <c r="AN2">
        <f t="shared" si="1"/>
        <v>2041</v>
      </c>
      <c r="AO2">
        <f t="shared" si="1"/>
        <v>2042</v>
      </c>
      <c r="AP2">
        <f t="shared" si="1"/>
        <v>2043</v>
      </c>
      <c r="AQ2">
        <f t="shared" si="1"/>
        <v>2044</v>
      </c>
      <c r="AR2">
        <f t="shared" si="1"/>
        <v>2045</v>
      </c>
      <c r="AS2">
        <f t="shared" si="1"/>
        <v>2046</v>
      </c>
      <c r="AT2">
        <f t="shared" si="1"/>
        <v>2047</v>
      </c>
      <c r="AU2">
        <f t="shared" si="1"/>
        <v>2048</v>
      </c>
      <c r="AV2">
        <f t="shared" si="1"/>
        <v>2049</v>
      </c>
      <c r="AW2">
        <f t="shared" si="1"/>
        <v>2050</v>
      </c>
      <c r="AX2">
        <f t="shared" si="1"/>
        <v>2051</v>
      </c>
      <c r="AY2">
        <f t="shared" si="1"/>
        <v>2052</v>
      </c>
      <c r="AZ2">
        <f t="shared" si="1"/>
        <v>2053</v>
      </c>
      <c r="BA2">
        <f t="shared" si="1"/>
        <v>2054</v>
      </c>
      <c r="BB2">
        <f t="shared" si="1"/>
        <v>2055</v>
      </c>
      <c r="BC2">
        <f t="shared" si="1"/>
        <v>2056</v>
      </c>
      <c r="BD2">
        <f t="shared" si="1"/>
        <v>2057</v>
      </c>
      <c r="BE2">
        <f t="shared" si="1"/>
        <v>2058</v>
      </c>
      <c r="BF2">
        <f t="shared" si="1"/>
        <v>2059</v>
      </c>
      <c r="BG2">
        <f t="shared" si="1"/>
        <v>2060</v>
      </c>
      <c r="BH2">
        <f t="shared" si="1"/>
        <v>2061</v>
      </c>
      <c r="BI2">
        <f t="shared" si="1"/>
        <v>2062</v>
      </c>
      <c r="BJ2">
        <f t="shared" si="1"/>
        <v>2063</v>
      </c>
      <c r="BK2">
        <f t="shared" si="1"/>
        <v>2064</v>
      </c>
      <c r="BL2">
        <f t="shared" si="1"/>
        <v>2065</v>
      </c>
      <c r="BM2">
        <f t="shared" si="1"/>
        <v>2066</v>
      </c>
      <c r="BN2">
        <f t="shared" si="1"/>
        <v>2067</v>
      </c>
      <c r="BO2">
        <f t="shared" si="1"/>
        <v>2068</v>
      </c>
      <c r="BP2">
        <f t="shared" si="1"/>
        <v>2069</v>
      </c>
      <c r="BQ2">
        <f t="shared" si="1"/>
        <v>2070</v>
      </c>
      <c r="BR2">
        <f t="shared" si="1"/>
        <v>2071</v>
      </c>
      <c r="BS2">
        <f t="shared" si="1"/>
        <v>2072</v>
      </c>
      <c r="BT2">
        <f t="shared" si="1"/>
        <v>2073</v>
      </c>
      <c r="BU2">
        <f t="shared" si="1"/>
        <v>2074</v>
      </c>
      <c r="BV2">
        <f t="shared" si="1"/>
        <v>2075</v>
      </c>
      <c r="BW2">
        <f t="shared" si="1"/>
        <v>2076</v>
      </c>
      <c r="BX2">
        <f t="shared" si="1"/>
        <v>2077</v>
      </c>
      <c r="BY2">
        <f t="shared" si="1"/>
        <v>2078</v>
      </c>
      <c r="BZ2">
        <f t="shared" si="1"/>
        <v>2079</v>
      </c>
      <c r="CA2">
        <f t="shared" si="1"/>
        <v>2080</v>
      </c>
      <c r="CB2">
        <f t="shared" si="1"/>
        <v>2081</v>
      </c>
      <c r="CC2">
        <f t="shared" si="1"/>
        <v>2082</v>
      </c>
      <c r="CD2">
        <f t="shared" si="1"/>
        <v>2083</v>
      </c>
      <c r="CE2">
        <f t="shared" si="1"/>
        <v>2084</v>
      </c>
      <c r="CF2">
        <f t="shared" si="1"/>
        <v>2085</v>
      </c>
      <c r="CG2">
        <f t="shared" si="1"/>
        <v>2086</v>
      </c>
      <c r="CH2">
        <f t="shared" si="1"/>
        <v>2087</v>
      </c>
      <c r="CI2">
        <f t="shared" si="1"/>
        <v>2088</v>
      </c>
      <c r="CJ2">
        <f t="shared" si="1"/>
        <v>2089</v>
      </c>
      <c r="CK2">
        <f t="shared" si="1"/>
        <v>2090</v>
      </c>
      <c r="CL2">
        <f t="shared" si="1"/>
        <v>2091</v>
      </c>
      <c r="CM2">
        <f t="shared" si="1"/>
        <v>2092</v>
      </c>
      <c r="CN2">
        <f t="shared" si="1"/>
        <v>2093</v>
      </c>
      <c r="CO2">
        <f t="shared" si="1"/>
        <v>2094</v>
      </c>
      <c r="CP2">
        <f t="shared" si="1"/>
        <v>2095</v>
      </c>
      <c r="CQ2">
        <f t="shared" si="1"/>
        <v>2096</v>
      </c>
      <c r="CR2">
        <f t="shared" si="1"/>
        <v>2097</v>
      </c>
      <c r="CS2">
        <f t="shared" si="1"/>
        <v>2098</v>
      </c>
      <c r="CT2">
        <f t="shared" si="1"/>
        <v>2099</v>
      </c>
      <c r="CU2">
        <f t="shared" ref="CU2:FF2" si="2">+CT2+1</f>
        <v>2100</v>
      </c>
      <c r="CV2">
        <f t="shared" si="2"/>
        <v>2101</v>
      </c>
      <c r="CW2">
        <f t="shared" si="2"/>
        <v>2102</v>
      </c>
      <c r="CX2">
        <f t="shared" si="2"/>
        <v>2103</v>
      </c>
      <c r="CY2">
        <f t="shared" si="2"/>
        <v>2104</v>
      </c>
      <c r="CZ2">
        <f t="shared" si="2"/>
        <v>2105</v>
      </c>
      <c r="DA2">
        <f t="shared" si="2"/>
        <v>2106</v>
      </c>
      <c r="DB2">
        <f t="shared" si="2"/>
        <v>2107</v>
      </c>
      <c r="DC2">
        <f t="shared" si="2"/>
        <v>2108</v>
      </c>
      <c r="DD2">
        <f t="shared" si="2"/>
        <v>2109</v>
      </c>
      <c r="DE2">
        <f t="shared" si="2"/>
        <v>2110</v>
      </c>
      <c r="DF2">
        <f t="shared" si="2"/>
        <v>2111</v>
      </c>
      <c r="DG2">
        <f t="shared" si="2"/>
        <v>2112</v>
      </c>
      <c r="DH2">
        <f t="shared" si="2"/>
        <v>2113</v>
      </c>
      <c r="DI2">
        <f t="shared" si="2"/>
        <v>2114</v>
      </c>
      <c r="DJ2">
        <f t="shared" si="2"/>
        <v>2115</v>
      </c>
      <c r="DK2">
        <f t="shared" si="2"/>
        <v>2116</v>
      </c>
      <c r="DL2">
        <f t="shared" si="2"/>
        <v>2117</v>
      </c>
      <c r="DM2">
        <f t="shared" si="2"/>
        <v>2118</v>
      </c>
      <c r="DN2">
        <f t="shared" si="2"/>
        <v>2119</v>
      </c>
      <c r="DO2">
        <f t="shared" si="2"/>
        <v>2120</v>
      </c>
      <c r="DP2">
        <f t="shared" si="2"/>
        <v>2121</v>
      </c>
      <c r="DQ2">
        <f t="shared" si="2"/>
        <v>2122</v>
      </c>
      <c r="DR2">
        <f t="shared" si="2"/>
        <v>2123</v>
      </c>
      <c r="DS2">
        <f t="shared" si="2"/>
        <v>2124</v>
      </c>
      <c r="DT2">
        <f t="shared" si="2"/>
        <v>2125</v>
      </c>
      <c r="DU2">
        <f t="shared" si="2"/>
        <v>2126</v>
      </c>
      <c r="DV2">
        <f t="shared" si="2"/>
        <v>2127</v>
      </c>
      <c r="DW2">
        <f t="shared" si="2"/>
        <v>2128</v>
      </c>
      <c r="DX2">
        <f t="shared" si="2"/>
        <v>2129</v>
      </c>
      <c r="DY2">
        <f t="shared" si="2"/>
        <v>2130</v>
      </c>
      <c r="DZ2">
        <f t="shared" si="2"/>
        <v>2131</v>
      </c>
      <c r="EA2">
        <f t="shared" si="2"/>
        <v>2132</v>
      </c>
      <c r="EB2">
        <f t="shared" si="2"/>
        <v>2133</v>
      </c>
      <c r="EC2">
        <f t="shared" si="2"/>
        <v>2134</v>
      </c>
      <c r="ED2">
        <f t="shared" si="2"/>
        <v>2135</v>
      </c>
      <c r="EE2">
        <f t="shared" si="2"/>
        <v>2136</v>
      </c>
      <c r="EF2">
        <f t="shared" si="2"/>
        <v>2137</v>
      </c>
      <c r="EG2">
        <f t="shared" si="2"/>
        <v>2138</v>
      </c>
      <c r="EH2">
        <f t="shared" si="2"/>
        <v>2139</v>
      </c>
      <c r="EI2">
        <f t="shared" si="2"/>
        <v>2140</v>
      </c>
      <c r="EJ2">
        <f t="shared" si="2"/>
        <v>2141</v>
      </c>
      <c r="EK2">
        <f t="shared" si="2"/>
        <v>2142</v>
      </c>
      <c r="EL2">
        <f t="shared" si="2"/>
        <v>2143</v>
      </c>
      <c r="EM2">
        <f t="shared" si="2"/>
        <v>2144</v>
      </c>
      <c r="EN2">
        <f t="shared" si="2"/>
        <v>2145</v>
      </c>
      <c r="EO2">
        <f t="shared" si="2"/>
        <v>2146</v>
      </c>
      <c r="EP2">
        <f t="shared" si="2"/>
        <v>2147</v>
      </c>
      <c r="EQ2">
        <f t="shared" si="2"/>
        <v>2148</v>
      </c>
      <c r="ER2">
        <f t="shared" si="2"/>
        <v>2149</v>
      </c>
      <c r="ES2">
        <f t="shared" si="2"/>
        <v>2150</v>
      </c>
      <c r="ET2">
        <f t="shared" si="2"/>
        <v>2151</v>
      </c>
      <c r="EU2">
        <f t="shared" si="2"/>
        <v>2152</v>
      </c>
      <c r="EV2">
        <f t="shared" si="2"/>
        <v>2153</v>
      </c>
      <c r="EW2">
        <f t="shared" si="2"/>
        <v>2154</v>
      </c>
      <c r="EX2">
        <f t="shared" si="2"/>
        <v>2155</v>
      </c>
      <c r="EY2">
        <f t="shared" si="2"/>
        <v>2156</v>
      </c>
      <c r="EZ2">
        <f t="shared" si="2"/>
        <v>2157</v>
      </c>
      <c r="FA2">
        <f t="shared" si="2"/>
        <v>2158</v>
      </c>
      <c r="FB2">
        <f t="shared" si="2"/>
        <v>2159</v>
      </c>
      <c r="FC2">
        <f t="shared" si="2"/>
        <v>2160</v>
      </c>
      <c r="FD2">
        <f t="shared" si="2"/>
        <v>2161</v>
      </c>
      <c r="FE2">
        <f t="shared" si="2"/>
        <v>2162</v>
      </c>
      <c r="FF2">
        <f t="shared" si="2"/>
        <v>2163</v>
      </c>
      <c r="FG2">
        <f t="shared" ref="FG2:HR2" si="3">+FF2+1</f>
        <v>2164</v>
      </c>
      <c r="FH2">
        <f t="shared" si="3"/>
        <v>2165</v>
      </c>
      <c r="FI2">
        <f t="shared" si="3"/>
        <v>2166</v>
      </c>
      <c r="FJ2">
        <f t="shared" si="3"/>
        <v>2167</v>
      </c>
      <c r="FK2">
        <f t="shared" si="3"/>
        <v>2168</v>
      </c>
      <c r="FL2">
        <f t="shared" si="3"/>
        <v>2169</v>
      </c>
      <c r="FM2">
        <f t="shared" si="3"/>
        <v>2170</v>
      </c>
      <c r="FN2">
        <f t="shared" si="3"/>
        <v>2171</v>
      </c>
      <c r="FO2">
        <f t="shared" si="3"/>
        <v>2172</v>
      </c>
      <c r="FP2">
        <f t="shared" si="3"/>
        <v>2173</v>
      </c>
      <c r="FQ2">
        <f t="shared" si="3"/>
        <v>2174</v>
      </c>
      <c r="FR2">
        <f t="shared" si="3"/>
        <v>2175</v>
      </c>
      <c r="FS2">
        <f t="shared" si="3"/>
        <v>2176</v>
      </c>
      <c r="FT2">
        <f t="shared" si="3"/>
        <v>2177</v>
      </c>
      <c r="FU2">
        <f t="shared" si="3"/>
        <v>2178</v>
      </c>
      <c r="FV2">
        <f t="shared" si="3"/>
        <v>2179</v>
      </c>
      <c r="FW2">
        <f t="shared" si="3"/>
        <v>2180</v>
      </c>
      <c r="FX2">
        <f t="shared" si="3"/>
        <v>2181</v>
      </c>
      <c r="FY2">
        <f t="shared" si="3"/>
        <v>2182</v>
      </c>
      <c r="FZ2">
        <f t="shared" si="3"/>
        <v>2183</v>
      </c>
      <c r="GA2">
        <f t="shared" si="3"/>
        <v>2184</v>
      </c>
      <c r="GB2">
        <f t="shared" si="3"/>
        <v>2185</v>
      </c>
      <c r="GC2">
        <f t="shared" si="3"/>
        <v>2186</v>
      </c>
      <c r="GD2">
        <f t="shared" si="3"/>
        <v>2187</v>
      </c>
      <c r="GE2">
        <f t="shared" si="3"/>
        <v>2188</v>
      </c>
      <c r="GF2">
        <f t="shared" si="3"/>
        <v>2189</v>
      </c>
      <c r="GG2">
        <f t="shared" si="3"/>
        <v>2190</v>
      </c>
      <c r="GH2">
        <f t="shared" si="3"/>
        <v>2191</v>
      </c>
      <c r="GI2">
        <f t="shared" si="3"/>
        <v>2192</v>
      </c>
      <c r="GJ2">
        <f t="shared" si="3"/>
        <v>2193</v>
      </c>
      <c r="GK2">
        <f t="shared" si="3"/>
        <v>2194</v>
      </c>
      <c r="GL2">
        <f t="shared" si="3"/>
        <v>2195</v>
      </c>
      <c r="GM2">
        <f t="shared" si="3"/>
        <v>2196</v>
      </c>
      <c r="GN2">
        <f t="shared" si="3"/>
        <v>2197</v>
      </c>
      <c r="GO2">
        <f t="shared" si="3"/>
        <v>2198</v>
      </c>
      <c r="GP2">
        <f t="shared" si="3"/>
        <v>2199</v>
      </c>
      <c r="GQ2">
        <f t="shared" si="3"/>
        <v>2200</v>
      </c>
      <c r="GR2">
        <f t="shared" si="3"/>
        <v>2201</v>
      </c>
      <c r="GS2">
        <f t="shared" si="3"/>
        <v>2202</v>
      </c>
      <c r="GT2">
        <f t="shared" si="3"/>
        <v>2203</v>
      </c>
      <c r="GU2">
        <f t="shared" si="3"/>
        <v>2204</v>
      </c>
      <c r="GV2">
        <f t="shared" si="3"/>
        <v>2205</v>
      </c>
      <c r="GW2">
        <f t="shared" si="3"/>
        <v>2206</v>
      </c>
      <c r="GX2">
        <f t="shared" si="3"/>
        <v>2207</v>
      </c>
      <c r="GY2">
        <f t="shared" si="3"/>
        <v>2208</v>
      </c>
      <c r="GZ2">
        <f t="shared" si="3"/>
        <v>2209</v>
      </c>
      <c r="HA2">
        <f t="shared" si="3"/>
        <v>2210</v>
      </c>
      <c r="HB2">
        <f t="shared" si="3"/>
        <v>2211</v>
      </c>
      <c r="HC2">
        <f t="shared" si="3"/>
        <v>2212</v>
      </c>
      <c r="HD2">
        <f t="shared" si="3"/>
        <v>2213</v>
      </c>
      <c r="HE2">
        <f t="shared" si="3"/>
        <v>2214</v>
      </c>
      <c r="HF2">
        <f t="shared" si="3"/>
        <v>2215</v>
      </c>
      <c r="HG2">
        <f t="shared" si="3"/>
        <v>2216</v>
      </c>
      <c r="HH2">
        <f t="shared" si="3"/>
        <v>2217</v>
      </c>
      <c r="HI2">
        <f t="shared" si="3"/>
        <v>2218</v>
      </c>
      <c r="HJ2">
        <f t="shared" si="3"/>
        <v>2219</v>
      </c>
      <c r="HK2">
        <f t="shared" si="3"/>
        <v>2220</v>
      </c>
      <c r="HL2">
        <f t="shared" si="3"/>
        <v>2221</v>
      </c>
      <c r="HM2">
        <f t="shared" si="3"/>
        <v>2222</v>
      </c>
      <c r="HN2">
        <f t="shared" si="3"/>
        <v>2223</v>
      </c>
      <c r="HO2">
        <f t="shared" si="3"/>
        <v>2224</v>
      </c>
      <c r="HP2">
        <f t="shared" si="3"/>
        <v>2225</v>
      </c>
      <c r="HQ2">
        <f t="shared" si="3"/>
        <v>2226</v>
      </c>
      <c r="HR2">
        <f t="shared" si="3"/>
        <v>2227</v>
      </c>
      <c r="HS2">
        <f t="shared" ref="HS2:HZ2" si="4">+HR2+1</f>
        <v>2228</v>
      </c>
      <c r="HT2">
        <f t="shared" si="4"/>
        <v>2229</v>
      </c>
      <c r="HU2">
        <f t="shared" si="4"/>
        <v>2230</v>
      </c>
      <c r="HV2">
        <f t="shared" si="4"/>
        <v>2231</v>
      </c>
      <c r="HW2">
        <f t="shared" si="4"/>
        <v>2232</v>
      </c>
      <c r="HX2">
        <f t="shared" si="4"/>
        <v>2233</v>
      </c>
      <c r="HY2">
        <f t="shared" si="4"/>
        <v>2234</v>
      </c>
      <c r="HZ2">
        <f t="shared" si="4"/>
        <v>2235</v>
      </c>
    </row>
    <row r="3" spans="2:234" s="1" customFormat="1" x14ac:dyDescent="0.2">
      <c r="B3" s="1" t="s">
        <v>60</v>
      </c>
      <c r="C3" s="4">
        <v>70</v>
      </c>
      <c r="D3" s="4">
        <v>43</v>
      </c>
      <c r="E3" s="4">
        <v>62</v>
      </c>
      <c r="F3" s="4">
        <v>97</v>
      </c>
      <c r="G3" s="4">
        <v>60</v>
      </c>
      <c r="H3" s="4">
        <v>57</v>
      </c>
      <c r="I3" s="4">
        <v>48</v>
      </c>
      <c r="J3" s="4"/>
      <c r="K3" s="4"/>
      <c r="L3" s="4"/>
      <c r="V3" s="1">
        <v>281</v>
      </c>
      <c r="W3" s="1">
        <v>271</v>
      </c>
    </row>
    <row r="4" spans="2:234" s="1" customFormat="1" x14ac:dyDescent="0.2">
      <c r="B4" s="1" t="s">
        <v>61</v>
      </c>
      <c r="C4" s="4">
        <v>284</v>
      </c>
      <c r="D4" s="4">
        <v>330</v>
      </c>
      <c r="E4" s="4">
        <v>336</v>
      </c>
      <c r="F4" s="4">
        <v>310</v>
      </c>
      <c r="G4" s="4">
        <v>336</v>
      </c>
      <c r="H4" s="4">
        <v>345</v>
      </c>
      <c r="I4" s="4">
        <v>328</v>
      </c>
      <c r="J4" s="4"/>
      <c r="K4" s="4"/>
      <c r="L4" s="4"/>
      <c r="V4" s="1">
        <v>1395</v>
      </c>
      <c r="W4" s="1">
        <v>1260</v>
      </c>
    </row>
    <row r="5" spans="2:234" s="7" customFormat="1" x14ac:dyDescent="0.2">
      <c r="B5" s="7" t="s">
        <v>62</v>
      </c>
      <c r="C5" s="8">
        <f>SUM(C3:C4)</f>
        <v>354</v>
      </c>
      <c r="D5" s="8">
        <f>SUM(D3:D4)</f>
        <v>373</v>
      </c>
      <c r="E5" s="8">
        <f t="shared" ref="E5:I5" si="5">SUM(E3:E4)</f>
        <v>398</v>
      </c>
      <c r="F5" s="8">
        <f t="shared" si="5"/>
        <v>407</v>
      </c>
      <c r="G5" s="8">
        <f t="shared" si="5"/>
        <v>396</v>
      </c>
      <c r="H5" s="8">
        <f t="shared" si="5"/>
        <v>402</v>
      </c>
      <c r="I5" s="8">
        <f t="shared" si="5"/>
        <v>376</v>
      </c>
      <c r="J5" s="8"/>
      <c r="K5" s="8"/>
      <c r="L5" s="8"/>
      <c r="V5" s="7">
        <f>SUM(V3:V4)</f>
        <v>1676</v>
      </c>
      <c r="W5" s="7">
        <f>SUM(W3:W4)</f>
        <v>1531</v>
      </c>
    </row>
    <row r="7" spans="2:234" s="1" customFormat="1" x14ac:dyDescent="0.2">
      <c r="B7" s="1" t="s">
        <v>17</v>
      </c>
      <c r="C7" s="4">
        <v>127665</v>
      </c>
      <c r="D7" s="4">
        <v>132901</v>
      </c>
      <c r="E7" s="4">
        <v>125203</v>
      </c>
      <c r="F7" s="4">
        <f>+W7-SUM(C7:E7)</f>
        <v>139555</v>
      </c>
      <c r="G7" s="4">
        <v>142866</v>
      </c>
      <c r="H7" s="4">
        <v>168559</v>
      </c>
      <c r="I7" s="4">
        <v>163549</v>
      </c>
      <c r="J7" s="4">
        <f>+F7*1.1</f>
        <v>153510.5</v>
      </c>
      <c r="K7" s="4"/>
      <c r="L7" s="4"/>
      <c r="U7" s="4">
        <v>835584</v>
      </c>
      <c r="V7" s="4">
        <v>681477</v>
      </c>
      <c r="W7" s="4">
        <v>525324</v>
      </c>
      <c r="X7" s="1">
        <f>SUM(G7:J7)</f>
        <v>628484.5</v>
      </c>
      <c r="Y7" s="1">
        <f>+X7*0.9</f>
        <v>565636.05000000005</v>
      </c>
      <c r="Z7" s="1">
        <f t="shared" ref="Z7:AG7" si="6">+Y7*0.9</f>
        <v>509072.44500000007</v>
      </c>
      <c r="AA7" s="1">
        <f t="shared" si="6"/>
        <v>458165.20050000009</v>
      </c>
      <c r="AB7" s="1">
        <f t="shared" si="6"/>
        <v>412348.6804500001</v>
      </c>
      <c r="AC7" s="1">
        <f t="shared" si="6"/>
        <v>371113.81240500009</v>
      </c>
      <c r="AD7" s="1">
        <f t="shared" si="6"/>
        <v>334002.43116450007</v>
      </c>
      <c r="AE7" s="1">
        <f t="shared" si="6"/>
        <v>300602.1880480501</v>
      </c>
      <c r="AF7" s="1">
        <f t="shared" si="6"/>
        <v>270541.96924324508</v>
      </c>
      <c r="AG7" s="1">
        <f t="shared" si="6"/>
        <v>243487.77231892059</v>
      </c>
    </row>
    <row r="8" spans="2:234" s="1" customFormat="1" x14ac:dyDescent="0.2">
      <c r="B8" s="1" t="s">
        <v>18</v>
      </c>
      <c r="C8" s="4">
        <v>25327</v>
      </c>
      <c r="D8" s="4">
        <f>26114+46870</f>
        <v>72984</v>
      </c>
      <c r="E8" s="4">
        <f>26263+55761</f>
        <v>82024</v>
      </c>
      <c r="F8" s="4">
        <f t="shared" ref="F8:F15" si="7">+W8-SUM(C8:E8)</f>
        <v>138028</v>
      </c>
      <c r="G8" s="4">
        <f>27901+54486</f>
        <v>82387</v>
      </c>
      <c r="H8" s="4">
        <f>32547+60517</f>
        <v>93064</v>
      </c>
      <c r="I8" s="4">
        <f>25390+57681</f>
        <v>83071</v>
      </c>
      <c r="J8" s="4">
        <f>+F8</f>
        <v>138028</v>
      </c>
      <c r="K8" s="4"/>
      <c r="L8" s="4"/>
      <c r="U8" s="4">
        <f>130913+270167</f>
        <v>401080</v>
      </c>
      <c r="V8" s="4">
        <f>134377+234916</f>
        <v>369293</v>
      </c>
      <c r="W8" s="4">
        <f>104141+214222</f>
        <v>318363</v>
      </c>
      <c r="X8" s="1">
        <f t="shared" ref="X8:X15" si="8">SUM(G8:J8)</f>
        <v>396550</v>
      </c>
      <c r="Y8" s="1">
        <f>+Y$7*(X8/X$7)</f>
        <v>356895</v>
      </c>
      <c r="Z8" s="1">
        <f t="shared" ref="Z8:AG8" si="9">+Z$7*(Y8/Y$7)</f>
        <v>321205.5</v>
      </c>
      <c r="AA8" s="1">
        <f t="shared" si="9"/>
        <v>289084.95</v>
      </c>
      <c r="AB8" s="1">
        <f t="shared" si="9"/>
        <v>260176.45500000005</v>
      </c>
      <c r="AC8" s="1">
        <f t="shared" si="9"/>
        <v>234158.80950000003</v>
      </c>
      <c r="AD8" s="1">
        <f t="shared" si="9"/>
        <v>210742.92855000004</v>
      </c>
      <c r="AE8" s="1">
        <f t="shared" si="9"/>
        <v>189668.63569500003</v>
      </c>
      <c r="AF8" s="1">
        <f t="shared" si="9"/>
        <v>170701.77212550005</v>
      </c>
      <c r="AG8" s="1">
        <f t="shared" si="9"/>
        <v>153631.59491295004</v>
      </c>
    </row>
    <row r="9" spans="2:234" s="1" customFormat="1" x14ac:dyDescent="0.2">
      <c r="B9" s="1" t="s">
        <v>19</v>
      </c>
      <c r="C9" s="4">
        <v>55669</v>
      </c>
      <c r="D9" s="4">
        <v>6308</v>
      </c>
      <c r="E9" s="4">
        <v>7447</v>
      </c>
      <c r="F9" s="4">
        <f t="shared" si="7"/>
        <v>-41010</v>
      </c>
      <c r="G9" s="4">
        <v>7889</v>
      </c>
      <c r="H9" s="4">
        <v>8034</v>
      </c>
      <c r="I9" s="4">
        <v>9171</v>
      </c>
      <c r="J9" s="4">
        <f>+J$7*(I9/I$7)</f>
        <v>8608.0917370329389</v>
      </c>
      <c r="K9" s="4"/>
      <c r="L9" s="4"/>
      <c r="U9" s="4">
        <v>32192</v>
      </c>
      <c r="V9" s="4">
        <v>29523</v>
      </c>
      <c r="W9" s="4">
        <v>28414</v>
      </c>
      <c r="X9" s="1">
        <f t="shared" si="8"/>
        <v>33702.091737032941</v>
      </c>
      <c r="Y9" s="1">
        <f>+Y$7*(X9/X$7)</f>
        <v>30331.882563329647</v>
      </c>
      <c r="Z9" s="1">
        <f t="shared" ref="Z9:AG9" si="10">+Z$7*(Y9/Y$7)</f>
        <v>27298.694306996684</v>
      </c>
      <c r="AA9" s="1">
        <f t="shared" si="10"/>
        <v>24568.824876297018</v>
      </c>
      <c r="AB9" s="1">
        <f t="shared" si="10"/>
        <v>22111.942388667318</v>
      </c>
      <c r="AC9" s="1">
        <f t="shared" si="10"/>
        <v>19900.748149800584</v>
      </c>
      <c r="AD9" s="1">
        <f t="shared" si="10"/>
        <v>17910.673334820523</v>
      </c>
      <c r="AE9" s="1">
        <f t="shared" si="10"/>
        <v>16119.606001338474</v>
      </c>
      <c r="AF9" s="1">
        <f t="shared" si="10"/>
        <v>14507.645401204625</v>
      </c>
      <c r="AG9" s="1">
        <f t="shared" si="10"/>
        <v>13056.880861084164</v>
      </c>
    </row>
    <row r="10" spans="2:234" s="1" customFormat="1" x14ac:dyDescent="0.2">
      <c r="B10" s="1" t="s">
        <v>20</v>
      </c>
      <c r="C10" s="4">
        <f>+C7-SUM(C8:C9)</f>
        <v>46669</v>
      </c>
      <c r="D10" s="4">
        <f>+D7-SUM(D8:D9)</f>
        <v>53609</v>
      </c>
      <c r="E10" s="4">
        <f>+E7-SUM(E8:E9)</f>
        <v>35732</v>
      </c>
      <c r="F10" s="4">
        <f t="shared" si="7"/>
        <v>42537</v>
      </c>
      <c r="G10" s="4">
        <f>+G7-SUM(G8:G9)</f>
        <v>52590</v>
      </c>
      <c r="H10" s="4">
        <f>+H7-SUM(H8:H9)</f>
        <v>67461</v>
      </c>
      <c r="I10" s="4">
        <f>+I7-SUM(I8:I9)</f>
        <v>71307</v>
      </c>
      <c r="J10" s="4">
        <f>+J7-SUM(J8:J9)</f>
        <v>6874.4082629670738</v>
      </c>
      <c r="K10" s="4"/>
      <c r="L10" s="4"/>
      <c r="U10" s="4">
        <f>+U7-SUM(U8:U9)</f>
        <v>402312</v>
      </c>
      <c r="V10" s="4">
        <f>+V7-SUM(V8:V9)</f>
        <v>282661</v>
      </c>
      <c r="W10" s="4">
        <f>+W7-SUM(W8:W9)</f>
        <v>178547</v>
      </c>
      <c r="X10" s="1">
        <f t="shared" si="8"/>
        <v>198232.40826296707</v>
      </c>
      <c r="Y10" s="4">
        <f>+Y7-SUM(Y8:Y9)</f>
        <v>178409.1674366704</v>
      </c>
      <c r="Z10" s="4">
        <f t="shared" ref="Z10:AG10" si="11">+Z7-SUM(Z8:Z9)</f>
        <v>160568.25069300336</v>
      </c>
      <c r="AA10" s="4">
        <f t="shared" si="11"/>
        <v>144511.42562370305</v>
      </c>
      <c r="AB10" s="4">
        <f t="shared" si="11"/>
        <v>130060.28306133277</v>
      </c>
      <c r="AC10" s="4">
        <f t="shared" si="11"/>
        <v>117054.25475519948</v>
      </c>
      <c r="AD10" s="4">
        <f t="shared" si="11"/>
        <v>105348.82927967951</v>
      </c>
      <c r="AE10" s="4">
        <f t="shared" si="11"/>
        <v>94813.94635171158</v>
      </c>
      <c r="AF10" s="4">
        <f t="shared" si="11"/>
        <v>85332.551716540416</v>
      </c>
      <c r="AG10" s="4">
        <f t="shared" si="11"/>
        <v>76799.296544886398</v>
      </c>
    </row>
    <row r="11" spans="2:234" s="1" customFormat="1" x14ac:dyDescent="0.2">
      <c r="B11" s="1" t="s">
        <v>21</v>
      </c>
      <c r="C11" s="4">
        <v>7311</v>
      </c>
      <c r="D11" s="4">
        <v>-7510</v>
      </c>
      <c r="E11" s="4">
        <v>-7241</v>
      </c>
      <c r="F11" s="4">
        <f t="shared" si="7"/>
        <v>-22387</v>
      </c>
      <c r="G11" s="4">
        <v>-7726</v>
      </c>
      <c r="H11" s="4">
        <v>-7580</v>
      </c>
      <c r="I11" s="4">
        <v>-7587</v>
      </c>
      <c r="J11" s="4">
        <f>+I11</f>
        <v>-7587</v>
      </c>
      <c r="K11" s="4"/>
      <c r="L11" s="4"/>
      <c r="U11" s="4">
        <v>-34065</v>
      </c>
      <c r="V11" s="4">
        <v>-28653</v>
      </c>
      <c r="W11" s="4">
        <v>-29827</v>
      </c>
      <c r="X11" s="1">
        <f t="shared" si="8"/>
        <v>-30480</v>
      </c>
      <c r="Y11" s="1">
        <f>+X11</f>
        <v>-30480</v>
      </c>
      <c r="Z11" s="1">
        <f t="shared" ref="Z11:AG11" si="12">+Y11</f>
        <v>-30480</v>
      </c>
      <c r="AA11" s="1">
        <f t="shared" si="12"/>
        <v>-30480</v>
      </c>
      <c r="AB11" s="1">
        <f t="shared" si="12"/>
        <v>-30480</v>
      </c>
      <c r="AC11" s="1">
        <f t="shared" si="12"/>
        <v>-30480</v>
      </c>
      <c r="AD11" s="1">
        <f t="shared" si="12"/>
        <v>-30480</v>
      </c>
      <c r="AE11" s="1">
        <f t="shared" si="12"/>
        <v>-30480</v>
      </c>
      <c r="AF11" s="1">
        <f t="shared" si="12"/>
        <v>-30480</v>
      </c>
      <c r="AG11" s="1">
        <f t="shared" si="12"/>
        <v>-30480</v>
      </c>
    </row>
    <row r="12" spans="2:234" s="1" customFormat="1" x14ac:dyDescent="0.2">
      <c r="B12" s="1" t="s">
        <v>22</v>
      </c>
      <c r="C12" s="4">
        <v>160</v>
      </c>
      <c r="D12" s="4">
        <v>165</v>
      </c>
      <c r="E12" s="4">
        <v>52</v>
      </c>
      <c r="F12" s="4">
        <f t="shared" si="7"/>
        <v>76</v>
      </c>
      <c r="G12" s="4">
        <v>225</v>
      </c>
      <c r="H12" s="4">
        <v>30</v>
      </c>
      <c r="I12" s="4">
        <v>23</v>
      </c>
      <c r="J12" s="4">
        <f>+I12</f>
        <v>23</v>
      </c>
      <c r="K12" s="4"/>
      <c r="L12" s="4"/>
      <c r="U12" s="4">
        <v>1114</v>
      </c>
      <c r="V12" s="4">
        <v>-33</v>
      </c>
      <c r="W12" s="4">
        <v>453</v>
      </c>
      <c r="X12" s="1">
        <f t="shared" si="8"/>
        <v>301</v>
      </c>
      <c r="Y12" s="1">
        <f>+X12</f>
        <v>301</v>
      </c>
      <c r="Z12" s="1">
        <f t="shared" ref="Z12:AG12" si="13">+Y12</f>
        <v>301</v>
      </c>
      <c r="AA12" s="1">
        <f t="shared" si="13"/>
        <v>301</v>
      </c>
      <c r="AB12" s="1">
        <f t="shared" si="13"/>
        <v>301</v>
      </c>
      <c r="AC12" s="1">
        <f t="shared" si="13"/>
        <v>301</v>
      </c>
      <c r="AD12" s="1">
        <f t="shared" si="13"/>
        <v>301</v>
      </c>
      <c r="AE12" s="1">
        <f t="shared" si="13"/>
        <v>301</v>
      </c>
      <c r="AF12" s="1">
        <f t="shared" si="13"/>
        <v>301</v>
      </c>
      <c r="AG12" s="1">
        <f t="shared" si="13"/>
        <v>301</v>
      </c>
    </row>
    <row r="13" spans="2:234" s="1" customFormat="1" x14ac:dyDescent="0.2">
      <c r="B13" s="1" t="s">
        <v>23</v>
      </c>
      <c r="C13" s="4">
        <f>+C10-SUM(C11:C12)</f>
        <v>39198</v>
      </c>
      <c r="D13" s="4">
        <f>+D10-SUM(D11:D12)</f>
        <v>60954</v>
      </c>
      <c r="E13" s="4">
        <f>+E10-SUM(E11:E12)</f>
        <v>42921</v>
      </c>
      <c r="F13" s="4">
        <f t="shared" si="7"/>
        <v>64848</v>
      </c>
      <c r="G13" s="4">
        <f>+G10-SUM(G11:G12)</f>
        <v>60091</v>
      </c>
      <c r="H13" s="4">
        <f>+H10-SUM(H11:H12)</f>
        <v>75011</v>
      </c>
      <c r="I13" s="4">
        <f>+I10-SUM(I11:I12)</f>
        <v>78871</v>
      </c>
      <c r="J13" s="4">
        <f>+J10-SUM(J11:J12)</f>
        <v>14438.408262967074</v>
      </c>
      <c r="K13" s="4"/>
      <c r="L13" s="4"/>
      <c r="U13" s="4">
        <f>+U10-SUM(U11:U12)</f>
        <v>435263</v>
      </c>
      <c r="V13" s="4">
        <f>+V10-SUM(V11:V12)</f>
        <v>311347</v>
      </c>
      <c r="W13" s="4">
        <f>+W10-SUM(W11:W12)</f>
        <v>207921</v>
      </c>
      <c r="X13" s="1">
        <f t="shared" si="8"/>
        <v>228411.40826296707</v>
      </c>
      <c r="Y13" s="4">
        <f>+Y10-SUM(Y11:Y12)</f>
        <v>208588.1674366704</v>
      </c>
      <c r="Z13" s="4">
        <f t="shared" ref="Z13:AG13" si="14">+Z10-SUM(Z11:Z12)</f>
        <v>190747.25069300336</v>
      </c>
      <c r="AA13" s="4">
        <f t="shared" si="14"/>
        <v>174690.42562370305</v>
      </c>
      <c r="AB13" s="4">
        <f t="shared" si="14"/>
        <v>160239.28306133277</v>
      </c>
      <c r="AC13" s="4">
        <f t="shared" si="14"/>
        <v>147233.25475519948</v>
      </c>
      <c r="AD13" s="4">
        <f t="shared" si="14"/>
        <v>135527.82927967951</v>
      </c>
      <c r="AE13" s="4">
        <f t="shared" si="14"/>
        <v>124992.94635171158</v>
      </c>
      <c r="AF13" s="4">
        <f t="shared" si="14"/>
        <v>115511.55171654042</v>
      </c>
      <c r="AG13" s="4">
        <f t="shared" si="14"/>
        <v>106978.2965448864</v>
      </c>
    </row>
    <row r="14" spans="2:234" s="1" customFormat="1" x14ac:dyDescent="0.2">
      <c r="B14" s="1" t="s">
        <v>24</v>
      </c>
      <c r="C14" s="4">
        <v>-25</v>
      </c>
      <c r="D14" s="4">
        <v>0</v>
      </c>
      <c r="E14" s="4">
        <v>0</v>
      </c>
      <c r="F14" s="4">
        <f t="shared" si="7"/>
        <v>102</v>
      </c>
      <c r="G14" s="4">
        <v>0</v>
      </c>
      <c r="H14" s="4">
        <v>0</v>
      </c>
      <c r="I14" s="4">
        <v>0</v>
      </c>
      <c r="J14" s="4">
        <v>0</v>
      </c>
      <c r="K14" s="4"/>
      <c r="L14" s="4"/>
      <c r="U14" s="4">
        <v>160</v>
      </c>
      <c r="V14" s="4">
        <v>289</v>
      </c>
      <c r="W14" s="4">
        <v>77</v>
      </c>
      <c r="X14" s="1">
        <f t="shared" si="8"/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2:234" s="1" customFormat="1" x14ac:dyDescent="0.2">
      <c r="B15" s="1" t="s">
        <v>25</v>
      </c>
      <c r="C15" s="4">
        <f>+C13-C14</f>
        <v>39223</v>
      </c>
      <c r="D15" s="4">
        <f>+D13-D14</f>
        <v>60954</v>
      </c>
      <c r="E15" s="4">
        <f>+E13-E14</f>
        <v>42921</v>
      </c>
      <c r="F15" s="4">
        <f t="shared" si="7"/>
        <v>64746</v>
      </c>
      <c r="G15" s="4">
        <f>+G13-G14</f>
        <v>60091</v>
      </c>
      <c r="H15" s="4">
        <f>+H13-H14</f>
        <v>75011</v>
      </c>
      <c r="I15" s="4">
        <f>+I13-I14</f>
        <v>78871</v>
      </c>
      <c r="J15" s="4">
        <f>+J13-J14</f>
        <v>14438.408262967074</v>
      </c>
      <c r="K15" s="4"/>
      <c r="L15" s="4"/>
      <c r="U15" s="4">
        <f>+U13-U14</f>
        <v>435103</v>
      </c>
      <c r="V15" s="4">
        <f>+V13-V14</f>
        <v>311058</v>
      </c>
      <c r="W15" s="4">
        <f>+W13-W14</f>
        <v>207844</v>
      </c>
      <c r="X15" s="1">
        <f t="shared" si="8"/>
        <v>228411.40826296707</v>
      </c>
      <c r="Y15" s="4">
        <f>+Y13-Y14</f>
        <v>208588.1674366704</v>
      </c>
      <c r="Z15" s="4">
        <f t="shared" ref="Z15:AG15" si="15">+Z13-Z14</f>
        <v>190747.25069300336</v>
      </c>
      <c r="AA15" s="4">
        <f t="shared" si="15"/>
        <v>174690.42562370305</v>
      </c>
      <c r="AB15" s="4">
        <f t="shared" si="15"/>
        <v>160239.28306133277</v>
      </c>
      <c r="AC15" s="4">
        <f t="shared" si="15"/>
        <v>147233.25475519948</v>
      </c>
      <c r="AD15" s="4">
        <f t="shared" si="15"/>
        <v>135527.82927967951</v>
      </c>
      <c r="AE15" s="4">
        <f t="shared" si="15"/>
        <v>124992.94635171158</v>
      </c>
      <c r="AF15" s="4">
        <f t="shared" si="15"/>
        <v>115511.55171654042</v>
      </c>
      <c r="AG15" s="4">
        <f t="shared" si="15"/>
        <v>106978.2965448864</v>
      </c>
      <c r="AH15" s="1">
        <f>+AG15*(1+$AJ$22)</f>
        <v>104838.73061398866</v>
      </c>
      <c r="AI15" s="1">
        <f t="shared" ref="AI15:CT15" si="16">+AH15*(1+$AJ$22)</f>
        <v>102741.9560017089</v>
      </c>
      <c r="AJ15" s="1">
        <f t="shared" si="16"/>
        <v>100687.11688167471</v>
      </c>
      <c r="AK15" s="1">
        <f t="shared" si="16"/>
        <v>98673.374544041217</v>
      </c>
      <c r="AL15" s="1">
        <f t="shared" si="16"/>
        <v>96699.907053160394</v>
      </c>
      <c r="AM15" s="1">
        <f t="shared" si="16"/>
        <v>94765.908912097191</v>
      </c>
      <c r="AN15" s="1">
        <f t="shared" si="16"/>
        <v>92870.59073385525</v>
      </c>
      <c r="AO15" s="1">
        <f t="shared" si="16"/>
        <v>91013.178919178143</v>
      </c>
      <c r="AP15" s="1">
        <f t="shared" si="16"/>
        <v>89192.915340794585</v>
      </c>
      <c r="AQ15" s="1">
        <f t="shared" si="16"/>
        <v>87409.057033978694</v>
      </c>
      <c r="AR15" s="1">
        <f t="shared" si="16"/>
        <v>85660.875893299119</v>
      </c>
      <c r="AS15" s="1">
        <f t="shared" si="16"/>
        <v>83947.658375433137</v>
      </c>
      <c r="AT15" s="1">
        <f t="shared" si="16"/>
        <v>82268.705207924475</v>
      </c>
      <c r="AU15" s="1">
        <f t="shared" si="16"/>
        <v>80623.331103765988</v>
      </c>
      <c r="AV15" s="1">
        <f t="shared" si="16"/>
        <v>79010.86448169066</v>
      </c>
      <c r="AW15" s="1">
        <f t="shared" si="16"/>
        <v>77430.647192056844</v>
      </c>
      <c r="AX15" s="1">
        <f t="shared" si="16"/>
        <v>75882.034248215699</v>
      </c>
      <c r="AY15" s="1">
        <f t="shared" si="16"/>
        <v>74364.393563251389</v>
      </c>
      <c r="AZ15" s="1">
        <f t="shared" si="16"/>
        <v>72877.105691986362</v>
      </c>
      <c r="BA15" s="1">
        <f t="shared" si="16"/>
        <v>71419.563578146641</v>
      </c>
      <c r="BB15" s="1">
        <f t="shared" si="16"/>
        <v>69991.1723065837</v>
      </c>
      <c r="BC15" s="1">
        <f t="shared" si="16"/>
        <v>68591.348860452024</v>
      </c>
      <c r="BD15" s="1">
        <f t="shared" si="16"/>
        <v>67219.521883242982</v>
      </c>
      <c r="BE15" s="1">
        <f t="shared" si="16"/>
        <v>65875.131445578125</v>
      </c>
      <c r="BF15" s="1">
        <f t="shared" si="16"/>
        <v>64557.628816666562</v>
      </c>
      <c r="BG15" s="1">
        <f t="shared" si="16"/>
        <v>63266.476240333228</v>
      </c>
      <c r="BH15" s="1">
        <f t="shared" si="16"/>
        <v>62001.146715526564</v>
      </c>
      <c r="BI15" s="1">
        <f t="shared" si="16"/>
        <v>60761.123781216033</v>
      </c>
      <c r="BJ15" s="1">
        <f t="shared" si="16"/>
        <v>59545.901305591709</v>
      </c>
      <c r="BK15" s="1">
        <f t="shared" si="16"/>
        <v>58354.983279479871</v>
      </c>
      <c r="BL15" s="1">
        <f t="shared" si="16"/>
        <v>57187.88361389027</v>
      </c>
      <c r="BM15" s="1">
        <f t="shared" si="16"/>
        <v>56044.125941612467</v>
      </c>
      <c r="BN15" s="1">
        <f t="shared" si="16"/>
        <v>54923.243422780215</v>
      </c>
      <c r="BO15" s="1">
        <f t="shared" si="16"/>
        <v>53824.778554324606</v>
      </c>
      <c r="BP15" s="1">
        <f t="shared" si="16"/>
        <v>52748.28298323811</v>
      </c>
      <c r="BQ15" s="1">
        <f t="shared" si="16"/>
        <v>51693.317323573348</v>
      </c>
      <c r="BR15" s="1">
        <f t="shared" si="16"/>
        <v>50659.450977101878</v>
      </c>
      <c r="BS15" s="1">
        <f t="shared" si="16"/>
        <v>49646.261957559836</v>
      </c>
      <c r="BT15" s="1">
        <f t="shared" si="16"/>
        <v>48653.336718408638</v>
      </c>
      <c r="BU15" s="1">
        <f t="shared" si="16"/>
        <v>47680.269984040468</v>
      </c>
      <c r="BV15" s="1">
        <f t="shared" si="16"/>
        <v>46726.664584359656</v>
      </c>
      <c r="BW15" s="1">
        <f t="shared" si="16"/>
        <v>45792.131292672464</v>
      </c>
      <c r="BX15" s="1">
        <f t="shared" si="16"/>
        <v>44876.288666819011</v>
      </c>
      <c r="BY15" s="1">
        <f t="shared" si="16"/>
        <v>43978.762893482628</v>
      </c>
      <c r="BZ15" s="1">
        <f t="shared" si="16"/>
        <v>43099.187635612972</v>
      </c>
      <c r="CA15" s="1">
        <f t="shared" si="16"/>
        <v>42237.203882900714</v>
      </c>
      <c r="CB15" s="1">
        <f t="shared" si="16"/>
        <v>41392.459805242703</v>
      </c>
      <c r="CC15" s="1">
        <f t="shared" si="16"/>
        <v>40564.610609137846</v>
      </c>
      <c r="CD15" s="1">
        <f t="shared" si="16"/>
        <v>39753.318396955088</v>
      </c>
      <c r="CE15" s="1">
        <f t="shared" si="16"/>
        <v>38958.252029015988</v>
      </c>
      <c r="CF15" s="1">
        <f t="shared" si="16"/>
        <v>38179.086988435665</v>
      </c>
      <c r="CG15" s="1">
        <f t="shared" si="16"/>
        <v>37415.505248666952</v>
      </c>
      <c r="CH15" s="1">
        <f t="shared" si="16"/>
        <v>36667.195143693614</v>
      </c>
      <c r="CI15" s="1">
        <f t="shared" si="16"/>
        <v>35933.851240819742</v>
      </c>
      <c r="CJ15" s="1">
        <f t="shared" si="16"/>
        <v>35215.174216003346</v>
      </c>
      <c r="CK15" s="1">
        <f t="shared" si="16"/>
        <v>34510.870731683281</v>
      </c>
      <c r="CL15" s="1">
        <f t="shared" si="16"/>
        <v>33820.653317049611</v>
      </c>
      <c r="CM15" s="1">
        <f t="shared" si="16"/>
        <v>33144.240250708615</v>
      </c>
      <c r="CN15" s="1">
        <f t="shared" si="16"/>
        <v>32481.355445694444</v>
      </c>
      <c r="CO15" s="1">
        <f t="shared" si="16"/>
        <v>31831.728336780554</v>
      </c>
      <c r="CP15" s="1">
        <f t="shared" si="16"/>
        <v>31195.093770044943</v>
      </c>
      <c r="CQ15" s="1">
        <f t="shared" si="16"/>
        <v>30571.191894644042</v>
      </c>
      <c r="CR15" s="1">
        <f t="shared" si="16"/>
        <v>29959.76805675116</v>
      </c>
      <c r="CS15" s="1">
        <f t="shared" si="16"/>
        <v>29360.572695616134</v>
      </c>
      <c r="CT15" s="1">
        <f t="shared" si="16"/>
        <v>28773.361241703809</v>
      </c>
      <c r="CU15" s="1">
        <f t="shared" ref="CU15:FF15" si="17">+CT15*(1+$AJ$22)</f>
        <v>28197.894016869734</v>
      </c>
      <c r="CV15" s="1">
        <f t="shared" si="17"/>
        <v>27633.936136532338</v>
      </c>
      <c r="CW15" s="1">
        <f t="shared" si="17"/>
        <v>27081.25741380169</v>
      </c>
      <c r="CX15" s="1">
        <f t="shared" si="17"/>
        <v>26539.632265525655</v>
      </c>
      <c r="CY15" s="1">
        <f t="shared" si="17"/>
        <v>26008.839620215142</v>
      </c>
      <c r="CZ15" s="1">
        <f t="shared" si="17"/>
        <v>25488.66282781084</v>
      </c>
      <c r="DA15" s="1">
        <f t="shared" si="17"/>
        <v>24978.889571254622</v>
      </c>
      <c r="DB15" s="1">
        <f t="shared" si="17"/>
        <v>24479.311779829528</v>
      </c>
      <c r="DC15" s="1">
        <f t="shared" si="17"/>
        <v>23989.725544232937</v>
      </c>
      <c r="DD15" s="1">
        <f t="shared" si="17"/>
        <v>23509.931033348279</v>
      </c>
      <c r="DE15" s="1">
        <f t="shared" si="17"/>
        <v>23039.732412681315</v>
      </c>
      <c r="DF15" s="1">
        <f t="shared" si="17"/>
        <v>22578.937764427686</v>
      </c>
      <c r="DG15" s="1">
        <f t="shared" si="17"/>
        <v>22127.359009139131</v>
      </c>
      <c r="DH15" s="1">
        <f t="shared" si="17"/>
        <v>21684.811828956346</v>
      </c>
      <c r="DI15" s="1">
        <f t="shared" si="17"/>
        <v>21251.11559237722</v>
      </c>
      <c r="DJ15" s="1">
        <f t="shared" si="17"/>
        <v>20826.093280529676</v>
      </c>
      <c r="DK15" s="1">
        <f t="shared" si="17"/>
        <v>20409.571414919083</v>
      </c>
      <c r="DL15" s="1">
        <f t="shared" si="17"/>
        <v>20001.379986620701</v>
      </c>
      <c r="DM15" s="1">
        <f t="shared" si="17"/>
        <v>19601.352386888288</v>
      </c>
      <c r="DN15" s="1">
        <f t="shared" si="17"/>
        <v>19209.32533915052</v>
      </c>
      <c r="DO15" s="1">
        <f t="shared" si="17"/>
        <v>18825.138832367509</v>
      </c>
      <c r="DP15" s="1">
        <f t="shared" si="17"/>
        <v>18448.636055720159</v>
      </c>
      <c r="DQ15" s="1">
        <f t="shared" si="17"/>
        <v>18079.663334605757</v>
      </c>
      <c r="DR15" s="1">
        <f t="shared" si="17"/>
        <v>17718.070067913643</v>
      </c>
      <c r="DS15" s="1">
        <f t="shared" si="17"/>
        <v>17363.708666555369</v>
      </c>
      <c r="DT15" s="1">
        <f t="shared" si="17"/>
        <v>17016.43449322426</v>
      </c>
      <c r="DU15" s="1">
        <f t="shared" si="17"/>
        <v>16676.105803359776</v>
      </c>
      <c r="DV15" s="1">
        <f t="shared" si="17"/>
        <v>16342.583687292581</v>
      </c>
      <c r="DW15" s="1">
        <f t="shared" si="17"/>
        <v>16015.732013546729</v>
      </c>
      <c r="DX15" s="1">
        <f t="shared" si="17"/>
        <v>15695.417373275794</v>
      </c>
      <c r="DY15" s="1">
        <f t="shared" si="17"/>
        <v>15381.509025810277</v>
      </c>
      <c r="DZ15" s="1">
        <f t="shared" si="17"/>
        <v>15073.878845294072</v>
      </c>
      <c r="EA15" s="1">
        <f t="shared" si="17"/>
        <v>14772.40126838819</v>
      </c>
      <c r="EB15" s="1">
        <f t="shared" si="17"/>
        <v>14476.953243020425</v>
      </c>
      <c r="EC15" s="1">
        <f t="shared" si="17"/>
        <v>14187.414178160017</v>
      </c>
      <c r="ED15" s="1">
        <f t="shared" si="17"/>
        <v>13903.665894596817</v>
      </c>
      <c r="EE15" s="1">
        <f t="shared" si="17"/>
        <v>13625.592576704881</v>
      </c>
      <c r="EF15" s="1">
        <f t="shared" si="17"/>
        <v>13353.080725170783</v>
      </c>
      <c r="EG15" s="1">
        <f t="shared" si="17"/>
        <v>13086.019110667366</v>
      </c>
      <c r="EH15" s="1">
        <f t="shared" si="17"/>
        <v>12824.29872845402</v>
      </c>
      <c r="EI15" s="1">
        <f t="shared" si="17"/>
        <v>12567.812753884939</v>
      </c>
      <c r="EJ15" s="1">
        <f t="shared" si="17"/>
        <v>12316.45649880724</v>
      </c>
      <c r="EK15" s="1">
        <f t="shared" si="17"/>
        <v>12070.127368831094</v>
      </c>
      <c r="EL15" s="1">
        <f t="shared" si="17"/>
        <v>11828.724821454472</v>
      </c>
      <c r="EM15" s="1">
        <f t="shared" si="17"/>
        <v>11592.150325025383</v>
      </c>
      <c r="EN15" s="1">
        <f t="shared" si="17"/>
        <v>11360.307318524874</v>
      </c>
      <c r="EO15" s="1">
        <f t="shared" si="17"/>
        <v>11133.101172154376</v>
      </c>
      <c r="EP15" s="1">
        <f t="shared" si="17"/>
        <v>10910.439148711288</v>
      </c>
      <c r="EQ15" s="1">
        <f t="shared" si="17"/>
        <v>10692.230365737061</v>
      </c>
      <c r="ER15" s="1">
        <f t="shared" si="17"/>
        <v>10478.385758422321</v>
      </c>
      <c r="ES15" s="1">
        <f t="shared" si="17"/>
        <v>10268.818043253874</v>
      </c>
      <c r="ET15" s="1">
        <f t="shared" si="17"/>
        <v>10063.441682388797</v>
      </c>
      <c r="EU15" s="1">
        <f t="shared" si="17"/>
        <v>9862.1728487410201</v>
      </c>
      <c r="EV15" s="1">
        <f t="shared" si="17"/>
        <v>9664.9293917661998</v>
      </c>
      <c r="EW15" s="1">
        <f t="shared" si="17"/>
        <v>9471.6308039308751</v>
      </c>
      <c r="EX15" s="1">
        <f t="shared" si="17"/>
        <v>9282.1981878522583</v>
      </c>
      <c r="EY15" s="1">
        <f t="shared" si="17"/>
        <v>9096.5542240952127</v>
      </c>
      <c r="EZ15" s="1">
        <f t="shared" si="17"/>
        <v>8914.623139613308</v>
      </c>
      <c r="FA15" s="1">
        <f t="shared" si="17"/>
        <v>8736.3306768210423</v>
      </c>
      <c r="FB15" s="1">
        <f t="shared" si="17"/>
        <v>8561.6040632846216</v>
      </c>
      <c r="FC15" s="1">
        <f t="shared" si="17"/>
        <v>8390.371982018929</v>
      </c>
      <c r="FD15" s="1">
        <f t="shared" si="17"/>
        <v>8222.56454237855</v>
      </c>
      <c r="FE15" s="1">
        <f t="shared" si="17"/>
        <v>8058.1132515309791</v>
      </c>
      <c r="FF15" s="1">
        <f t="shared" si="17"/>
        <v>7896.9509865003592</v>
      </c>
      <c r="FG15" s="1">
        <f t="shared" ref="FG15:HR15" si="18">+FF15*(1+$AJ$22)</f>
        <v>7739.011966770352</v>
      </c>
      <c r="FH15" s="1">
        <f t="shared" si="18"/>
        <v>7584.2317274349452</v>
      </c>
      <c r="FI15" s="1">
        <f t="shared" si="18"/>
        <v>7432.547092886246</v>
      </c>
      <c r="FJ15" s="1">
        <f t="shared" si="18"/>
        <v>7283.8961510285208</v>
      </c>
      <c r="FK15" s="1">
        <f t="shared" si="18"/>
        <v>7138.2182280079505</v>
      </c>
      <c r="FL15" s="1">
        <f t="shared" si="18"/>
        <v>6995.4538634477913</v>
      </c>
      <c r="FM15" s="1">
        <f t="shared" si="18"/>
        <v>6855.5447861788352</v>
      </c>
      <c r="FN15" s="1">
        <f t="shared" si="18"/>
        <v>6718.4338904552587</v>
      </c>
      <c r="FO15" s="1">
        <f t="shared" si="18"/>
        <v>6584.0652126461537</v>
      </c>
      <c r="FP15" s="1">
        <f t="shared" si="18"/>
        <v>6452.3839083932307</v>
      </c>
      <c r="FQ15" s="1">
        <f t="shared" si="18"/>
        <v>6323.3362302253663</v>
      </c>
      <c r="FR15" s="1">
        <f t="shared" si="18"/>
        <v>6196.8695056208589</v>
      </c>
      <c r="FS15" s="1">
        <f t="shared" si="18"/>
        <v>6072.9321155084417</v>
      </c>
      <c r="FT15" s="1">
        <f t="shared" si="18"/>
        <v>5951.4734731982726</v>
      </c>
      <c r="FU15" s="1">
        <f t="shared" si="18"/>
        <v>5832.4440037343074</v>
      </c>
      <c r="FV15" s="1">
        <f t="shared" si="18"/>
        <v>5715.7951236596209</v>
      </c>
      <c r="FW15" s="1">
        <f t="shared" si="18"/>
        <v>5601.4792211864287</v>
      </c>
      <c r="FX15" s="1">
        <f t="shared" si="18"/>
        <v>5489.4496367626998</v>
      </c>
      <c r="FY15" s="1">
        <f t="shared" si="18"/>
        <v>5379.6606440274454</v>
      </c>
      <c r="FZ15" s="1">
        <f t="shared" si="18"/>
        <v>5272.0674311468965</v>
      </c>
      <c r="GA15" s="1">
        <f t="shared" si="18"/>
        <v>5166.6260825239588</v>
      </c>
      <c r="GB15" s="1">
        <f t="shared" si="18"/>
        <v>5063.2935608734797</v>
      </c>
      <c r="GC15" s="1">
        <f t="shared" si="18"/>
        <v>4962.0276896560099</v>
      </c>
      <c r="GD15" s="1">
        <f t="shared" si="18"/>
        <v>4862.78713586289</v>
      </c>
      <c r="GE15" s="1">
        <f t="shared" si="18"/>
        <v>4765.5313931456321</v>
      </c>
      <c r="GF15" s="1">
        <f t="shared" si="18"/>
        <v>4670.2207652827192</v>
      </c>
      <c r="GG15" s="1">
        <f t="shared" si="18"/>
        <v>4576.8163499770644</v>
      </c>
      <c r="GH15" s="1">
        <f t="shared" si="18"/>
        <v>4485.280022977523</v>
      </c>
      <c r="GI15" s="1">
        <f t="shared" si="18"/>
        <v>4395.5744225179724</v>
      </c>
      <c r="GJ15" s="1">
        <f t="shared" si="18"/>
        <v>4307.6629340676127</v>
      </c>
      <c r="GK15" s="1">
        <f t="shared" si="18"/>
        <v>4221.5096753862599</v>
      </c>
      <c r="GL15" s="1">
        <f t="shared" si="18"/>
        <v>4137.0794818785344</v>
      </c>
      <c r="GM15" s="1">
        <f t="shared" si="18"/>
        <v>4054.3378922409638</v>
      </c>
      <c r="GN15" s="1">
        <f t="shared" si="18"/>
        <v>3973.2511343961446</v>
      </c>
      <c r="GO15" s="1">
        <f t="shared" si="18"/>
        <v>3893.7861117082216</v>
      </c>
      <c r="GP15" s="1">
        <f t="shared" si="18"/>
        <v>3815.910389474057</v>
      </c>
      <c r="GQ15" s="1">
        <f t="shared" si="18"/>
        <v>3739.5921816845757</v>
      </c>
      <c r="GR15" s="1">
        <f t="shared" si="18"/>
        <v>3664.800338050884</v>
      </c>
      <c r="GS15" s="1">
        <f t="shared" si="18"/>
        <v>3591.5043312898661</v>
      </c>
      <c r="GT15" s="1">
        <f t="shared" si="18"/>
        <v>3519.6742446640687</v>
      </c>
      <c r="GU15" s="1">
        <f t="shared" si="18"/>
        <v>3449.2807597707874</v>
      </c>
      <c r="GV15" s="1">
        <f t="shared" si="18"/>
        <v>3380.2951445753715</v>
      </c>
      <c r="GW15" s="1">
        <f t="shared" si="18"/>
        <v>3312.6892416838641</v>
      </c>
      <c r="GX15" s="1">
        <f t="shared" si="18"/>
        <v>3246.4354568501867</v>
      </c>
      <c r="GY15" s="1">
        <f t="shared" si="18"/>
        <v>3181.5067477131829</v>
      </c>
      <c r="GZ15" s="1">
        <f t="shared" si="18"/>
        <v>3117.8766127589192</v>
      </c>
      <c r="HA15" s="1">
        <f t="shared" si="18"/>
        <v>3055.519080503741</v>
      </c>
      <c r="HB15" s="1">
        <f t="shared" si="18"/>
        <v>2994.408698893666</v>
      </c>
      <c r="HC15" s="1">
        <f t="shared" si="18"/>
        <v>2934.5205249157925</v>
      </c>
      <c r="HD15" s="1">
        <f t="shared" si="18"/>
        <v>2875.8301144174766</v>
      </c>
      <c r="HE15" s="1">
        <f t="shared" si="18"/>
        <v>2818.313512129127</v>
      </c>
      <c r="HF15" s="1">
        <f t="shared" si="18"/>
        <v>2761.9472418865444</v>
      </c>
      <c r="HG15" s="1">
        <f t="shared" si="18"/>
        <v>2706.7082970488136</v>
      </c>
      <c r="HH15" s="1">
        <f t="shared" si="18"/>
        <v>2652.5741311078373</v>
      </c>
      <c r="HI15" s="1">
        <f t="shared" si="18"/>
        <v>2599.5226484856803</v>
      </c>
      <c r="HJ15" s="1">
        <f t="shared" si="18"/>
        <v>2547.5321955159666</v>
      </c>
      <c r="HK15" s="1">
        <f t="shared" si="18"/>
        <v>2496.5815516056473</v>
      </c>
      <c r="HL15" s="1">
        <f t="shared" si="18"/>
        <v>2446.6499205735345</v>
      </c>
      <c r="HM15" s="1">
        <f t="shared" si="18"/>
        <v>2397.7169221620638</v>
      </c>
      <c r="HN15" s="1">
        <f t="shared" si="18"/>
        <v>2349.7625837188225</v>
      </c>
      <c r="HO15" s="1">
        <f t="shared" si="18"/>
        <v>2302.767332044446</v>
      </c>
      <c r="HP15" s="1">
        <f t="shared" si="18"/>
        <v>2256.7119854035568</v>
      </c>
      <c r="HQ15" s="1">
        <f t="shared" si="18"/>
        <v>2211.5777456954856</v>
      </c>
      <c r="HR15" s="1">
        <f t="shared" si="18"/>
        <v>2167.3461907815758</v>
      </c>
      <c r="HS15" s="1">
        <f t="shared" ref="HS15:HZ15" si="19">+HR15*(1+$AJ$22)</f>
        <v>2123.9992669659441</v>
      </c>
      <c r="HT15" s="1">
        <f t="shared" si="19"/>
        <v>2081.5192816266253</v>
      </c>
      <c r="HU15" s="1">
        <f t="shared" si="19"/>
        <v>2039.8888959940928</v>
      </c>
      <c r="HV15" s="1">
        <f t="shared" si="19"/>
        <v>1999.091118074211</v>
      </c>
      <c r="HW15" s="1">
        <f t="shared" si="19"/>
        <v>1959.1092957127266</v>
      </c>
      <c r="HX15" s="1">
        <f t="shared" si="19"/>
        <v>1919.927109798472</v>
      </c>
      <c r="HY15" s="1">
        <f t="shared" si="19"/>
        <v>1881.5285676025026</v>
      </c>
      <c r="HZ15" s="1">
        <f t="shared" si="19"/>
        <v>1843.8979962504525</v>
      </c>
    </row>
    <row r="18" spans="2:36" s="2" customFormat="1" x14ac:dyDescent="0.2">
      <c r="B18" s="2" t="s">
        <v>17</v>
      </c>
      <c r="C18" s="5"/>
      <c r="D18" s="5"/>
      <c r="E18" s="5"/>
      <c r="F18" s="5"/>
      <c r="G18" s="5">
        <f>+G7/C7-1</f>
        <v>0.11906943954881921</v>
      </c>
      <c r="H18" s="5">
        <f>+H7/D7-1</f>
        <v>0.26830497889406391</v>
      </c>
      <c r="I18" s="5">
        <f>+I7/E7-1</f>
        <v>0.30627061651877341</v>
      </c>
      <c r="J18" s="5">
        <f>+J7/F7-1</f>
        <v>0.10000000000000009</v>
      </c>
      <c r="K18" s="5"/>
      <c r="L18" s="5"/>
      <c r="V18" s="2">
        <f>+V7/U7-1</f>
        <v>-0.18443029067095584</v>
      </c>
      <c r="W18" s="2">
        <f>+W7/V7-1</f>
        <v>-0.22913906118621763</v>
      </c>
      <c r="X18" s="2">
        <f>+X7/W7-1</f>
        <v>0.19637499904820643</v>
      </c>
      <c r="Y18" s="2">
        <f t="shared" ref="Y18:AG18" si="20">+Y7/X7-1</f>
        <v>-9.9999999999999978E-2</v>
      </c>
      <c r="Z18" s="2">
        <f t="shared" si="20"/>
        <v>-9.9999999999999978E-2</v>
      </c>
      <c r="AA18" s="2">
        <f t="shared" si="20"/>
        <v>-9.9999999999999978E-2</v>
      </c>
      <c r="AB18" s="2">
        <f t="shared" si="20"/>
        <v>-9.9999999999999978E-2</v>
      </c>
      <c r="AC18" s="2">
        <f t="shared" si="20"/>
        <v>-9.9999999999999978E-2</v>
      </c>
      <c r="AD18" s="2">
        <f t="shared" si="20"/>
        <v>-9.9999999999999978E-2</v>
      </c>
      <c r="AE18" s="2">
        <f t="shared" si="20"/>
        <v>-9.9999999999999867E-2</v>
      </c>
      <c r="AF18" s="2">
        <f t="shared" si="20"/>
        <v>-9.9999999999999978E-2</v>
      </c>
      <c r="AG18" s="2">
        <f t="shared" si="20"/>
        <v>-9.9999999999999978E-2</v>
      </c>
    </row>
    <row r="19" spans="2:36" s="2" customFormat="1" x14ac:dyDescent="0.2">
      <c r="B19" s="2" t="s">
        <v>26</v>
      </c>
      <c r="C19" s="5">
        <f>(C7-C8)/C7</f>
        <v>0.80161359808874788</v>
      </c>
      <c r="D19" s="5">
        <f>(D7-D8)/D7</f>
        <v>0.45083934658128982</v>
      </c>
      <c r="E19" s="5">
        <f>(E7-E8)/E7</f>
        <v>0.34487192798894595</v>
      </c>
      <c r="F19" s="5">
        <f>(F7-F8)/F7</f>
        <v>1.0941922539500555E-2</v>
      </c>
      <c r="G19" s="5">
        <f>(G7-G8)/G7</f>
        <v>0.42332675374126805</v>
      </c>
      <c r="H19" s="5">
        <f>(H7-H8)/H7</f>
        <v>0.44788471692404441</v>
      </c>
      <c r="I19" s="5">
        <f>(I7-I8)/I7</f>
        <v>0.4920727121535442</v>
      </c>
      <c r="J19" s="5">
        <f>(J7-J8)/J7</f>
        <v>0.10085629321772778</v>
      </c>
      <c r="K19" s="5"/>
      <c r="L19" s="5"/>
      <c r="U19" s="5">
        <f>(U7-U8)/U7</f>
        <v>0.52000038296568629</v>
      </c>
      <c r="V19" s="5">
        <f>(V7-V8)/V7</f>
        <v>0.45809909945603444</v>
      </c>
      <c r="W19" s="5">
        <f>(W7-W8)/W7</f>
        <v>0.39396829385293647</v>
      </c>
      <c r="X19" s="5">
        <f>(X7-X8)/X7</f>
        <v>0.36903774078756119</v>
      </c>
      <c r="Y19" s="5">
        <f>(Y7-Y8)/Y7</f>
        <v>0.36903774078756124</v>
      </c>
      <c r="Z19" s="5">
        <f t="shared" ref="Z19:AG19" si="21">(Z7-Z8)/Z7</f>
        <v>0.3690377407875613</v>
      </c>
      <c r="AA19" s="5">
        <f t="shared" si="21"/>
        <v>0.3690377407875613</v>
      </c>
      <c r="AB19" s="5">
        <f t="shared" si="21"/>
        <v>0.36903774078756124</v>
      </c>
      <c r="AC19" s="5">
        <f t="shared" si="21"/>
        <v>0.36903774078756124</v>
      </c>
      <c r="AD19" s="5">
        <f t="shared" si="21"/>
        <v>0.36903774078756119</v>
      </c>
      <c r="AE19" s="5">
        <f t="shared" si="21"/>
        <v>0.3690377407875613</v>
      </c>
      <c r="AF19" s="5">
        <f t="shared" si="21"/>
        <v>0.36903774078756119</v>
      </c>
      <c r="AG19" s="5">
        <f t="shared" si="21"/>
        <v>0.36903774078756124</v>
      </c>
    </row>
    <row r="22" spans="2:36" s="1" customFormat="1" x14ac:dyDescent="0.2">
      <c r="B22" s="1" t="s">
        <v>27</v>
      </c>
      <c r="C22" s="4"/>
      <c r="D22" s="4"/>
      <c r="E22" s="4"/>
      <c r="F22" s="4">
        <v>90857</v>
      </c>
      <c r="G22" s="4">
        <v>121775</v>
      </c>
      <c r="H22" s="4">
        <v>114400</v>
      </c>
      <c r="I22" s="4">
        <v>156183</v>
      </c>
      <c r="J22" s="4"/>
      <c r="K22" s="4"/>
      <c r="L22" s="4"/>
      <c r="AI22" s="1" t="s">
        <v>28</v>
      </c>
      <c r="AJ22" s="6">
        <v>-0.02</v>
      </c>
    </row>
    <row r="23" spans="2:36" s="1" customFormat="1" x14ac:dyDescent="0.2">
      <c r="B23" s="1" t="s">
        <v>34</v>
      </c>
      <c r="C23" s="4"/>
      <c r="D23" s="4"/>
      <c r="E23" s="4"/>
      <c r="F23" s="4">
        <v>65216</v>
      </c>
      <c r="G23" s="4">
        <v>41641</v>
      </c>
      <c r="H23" s="4">
        <v>50488</v>
      </c>
      <c r="I23" s="4">
        <v>47814</v>
      </c>
      <c r="J23" s="4"/>
      <c r="K23" s="4"/>
      <c r="L23" s="4"/>
      <c r="AI23" s="1" t="s">
        <v>29</v>
      </c>
      <c r="AJ23" s="6">
        <v>0.1</v>
      </c>
    </row>
    <row r="24" spans="2:36" s="1" customFormat="1" x14ac:dyDescent="0.2">
      <c r="B24" s="1" t="s">
        <v>35</v>
      </c>
      <c r="C24" s="4"/>
      <c r="D24" s="4"/>
      <c r="E24" s="4"/>
      <c r="F24" s="4">
        <v>75579</v>
      </c>
      <c r="G24" s="4">
        <v>80391</v>
      </c>
      <c r="H24" s="4">
        <v>73863</v>
      </c>
      <c r="I24" s="4">
        <v>81852</v>
      </c>
      <c r="J24" s="4"/>
      <c r="K24" s="4"/>
      <c r="L24" s="4"/>
      <c r="AI24" s="1" t="s">
        <v>30</v>
      </c>
      <c r="AJ24" s="1">
        <f>NPV(AJ23,X15:HZ15)</f>
        <v>1380188.6337701655</v>
      </c>
    </row>
    <row r="25" spans="2:36" s="1" customFormat="1" x14ac:dyDescent="0.2">
      <c r="B25" s="1" t="s">
        <v>36</v>
      </c>
      <c r="C25" s="4"/>
      <c r="D25" s="4"/>
      <c r="E25" s="4"/>
      <c r="F25" s="4">
        <v>1257</v>
      </c>
      <c r="G25" s="4">
        <v>1831</v>
      </c>
      <c r="H25" s="4">
        <v>1975</v>
      </c>
      <c r="I25" s="4">
        <v>1232</v>
      </c>
      <c r="J25" s="4"/>
      <c r="K25" s="4"/>
      <c r="L25" s="4"/>
      <c r="AI25" s="1" t="s">
        <v>31</v>
      </c>
      <c r="AJ25" s="1">
        <f>+Main!J4 * 1000</f>
        <v>10569.637000000001</v>
      </c>
    </row>
    <row r="26" spans="2:36" s="1" customFormat="1" x14ac:dyDescent="0.2">
      <c r="B26" s="1" t="s">
        <v>37</v>
      </c>
      <c r="C26" s="4"/>
      <c r="D26" s="4"/>
      <c r="E26" s="4"/>
      <c r="F26" s="4">
        <v>632</v>
      </c>
      <c r="G26" s="4">
        <v>1470</v>
      </c>
      <c r="H26" s="4">
        <v>1471</v>
      </c>
      <c r="I26" s="4">
        <v>1470</v>
      </c>
      <c r="J26" s="4"/>
      <c r="K26" s="4"/>
      <c r="L26" s="4"/>
      <c r="AI26" s="7" t="s">
        <v>32</v>
      </c>
      <c r="AJ26" s="7">
        <f>+AJ24/AJ25</f>
        <v>130.58051414350044</v>
      </c>
    </row>
    <row r="27" spans="2:36" s="1" customFormat="1" x14ac:dyDescent="0.2">
      <c r="B27" s="1" t="s">
        <v>38</v>
      </c>
      <c r="C27" s="4"/>
      <c r="D27" s="4"/>
      <c r="E27" s="4"/>
      <c r="F27" s="4">
        <v>735591</v>
      </c>
      <c r="G27" s="4">
        <v>722930</v>
      </c>
      <c r="H27" s="4">
        <v>713063</v>
      </c>
      <c r="I27" s="4">
        <v>705324</v>
      </c>
      <c r="J27" s="4"/>
      <c r="K27" s="4"/>
      <c r="L27" s="4"/>
      <c r="AI27" s="1" t="s">
        <v>53</v>
      </c>
      <c r="AJ27" s="1">
        <f>+Main!J3</f>
        <v>97.35</v>
      </c>
    </row>
    <row r="28" spans="2:36" s="1" customFormat="1" x14ac:dyDescent="0.2">
      <c r="B28" s="1" t="s">
        <v>39</v>
      </c>
      <c r="C28" s="4"/>
      <c r="D28" s="4"/>
      <c r="E28" s="4"/>
      <c r="F28" s="4">
        <v>49592</v>
      </c>
      <c r="G28" s="4">
        <v>43916</v>
      </c>
      <c r="H28" s="4">
        <v>42736</v>
      </c>
      <c r="I28" s="4">
        <v>43320</v>
      </c>
      <c r="J28" s="4"/>
      <c r="K28" s="4"/>
      <c r="L28" s="4"/>
      <c r="AI28" s="1" t="s">
        <v>54</v>
      </c>
      <c r="AJ28" s="2">
        <f>+AJ26/AJ27-1</f>
        <v>0.34135094138161737</v>
      </c>
    </row>
    <row r="29" spans="2:36" s="1" customFormat="1" x14ac:dyDescent="0.2">
      <c r="B29" s="1" t="s">
        <v>40</v>
      </c>
      <c r="C29" s="4"/>
      <c r="D29" s="4"/>
      <c r="E29" s="4"/>
      <c r="F29" s="4">
        <f>+SUM(F22:F28)</f>
        <v>1018724</v>
      </c>
      <c r="G29" s="4">
        <f>+SUM(G22:G28)</f>
        <v>1013954</v>
      </c>
      <c r="H29" s="4">
        <f>+SUM(H22:H28)</f>
        <v>997996</v>
      </c>
      <c r="I29" s="4">
        <f>+SUM(I22:I28)</f>
        <v>1037195</v>
      </c>
      <c r="J29" s="4"/>
      <c r="K29" s="4"/>
      <c r="L29" s="4"/>
    </row>
    <row r="30" spans="2:36" s="1" customFormat="1" x14ac:dyDescent="0.2">
      <c r="C30" s="4"/>
      <c r="D30" s="4"/>
      <c r="E30" s="4"/>
      <c r="F30" s="4"/>
      <c r="G30" s="4"/>
      <c r="H30" s="4"/>
      <c r="I30" s="4"/>
      <c r="J30" s="4"/>
      <c r="K30" s="4"/>
      <c r="L30" s="4"/>
      <c r="AJ30" s="1">
        <f>AVERAGE(AJ24,AI52)</f>
        <v>1286795.8356285745</v>
      </c>
    </row>
    <row r="31" spans="2:36" s="1" customFormat="1" x14ac:dyDescent="0.2">
      <c r="B31" s="1" t="s">
        <v>41</v>
      </c>
      <c r="C31" s="4"/>
      <c r="D31" s="4"/>
      <c r="E31" s="4"/>
      <c r="F31" s="4">
        <f>30365+6213</f>
        <v>36578</v>
      </c>
      <c r="G31" s="4">
        <f>26938+4969</f>
        <v>31907</v>
      </c>
      <c r="H31" s="4">
        <f>32865+5562</f>
        <v>38427</v>
      </c>
      <c r="I31" s="4">
        <f>33640+5612</f>
        <v>39252</v>
      </c>
      <c r="J31" s="4"/>
      <c r="K31" s="4"/>
      <c r="L31" s="4"/>
    </row>
    <row r="32" spans="2:36" s="1" customFormat="1" x14ac:dyDescent="0.2">
      <c r="B32" s="1" t="s">
        <v>42</v>
      </c>
      <c r="C32" s="4"/>
      <c r="D32" s="4"/>
      <c r="E32" s="4"/>
      <c r="F32" s="4">
        <v>50788</v>
      </c>
      <c r="G32" s="4">
        <v>36893</v>
      </c>
      <c r="H32" s="4">
        <v>9097</v>
      </c>
      <c r="I32" s="4">
        <v>35885</v>
      </c>
      <c r="J32" s="4"/>
      <c r="K32" s="4"/>
      <c r="L32" s="4"/>
    </row>
    <row r="33" spans="2:23" s="1" customFormat="1" x14ac:dyDescent="0.2">
      <c r="B33" s="1" t="s">
        <v>43</v>
      </c>
      <c r="C33" s="4"/>
      <c r="D33" s="4"/>
      <c r="E33" s="4"/>
      <c r="F33" s="4">
        <v>23983</v>
      </c>
      <c r="G33" s="4">
        <v>30135</v>
      </c>
      <c r="H33" s="4">
        <v>22749</v>
      </c>
      <c r="I33" s="4">
        <v>32589</v>
      </c>
      <c r="J33" s="4"/>
      <c r="K33" s="4"/>
      <c r="L33" s="4"/>
    </row>
    <row r="34" spans="2:23" s="1" customFormat="1" x14ac:dyDescent="0.2">
      <c r="B34" s="1" t="s">
        <v>44</v>
      </c>
      <c r="C34" s="4"/>
      <c r="D34" s="4"/>
      <c r="E34" s="4"/>
      <c r="F34" s="4">
        <v>567974</v>
      </c>
      <c r="G34" s="4">
        <v>569275</v>
      </c>
      <c r="H34" s="4">
        <v>569230</v>
      </c>
      <c r="I34" s="4">
        <v>569119</v>
      </c>
      <c r="J34" s="4"/>
      <c r="K34" s="4"/>
      <c r="L34" s="4"/>
    </row>
    <row r="35" spans="2:23" s="1" customFormat="1" x14ac:dyDescent="0.2">
      <c r="B35" s="1" t="s">
        <v>45</v>
      </c>
      <c r="C35" s="4"/>
      <c r="D35" s="4"/>
      <c r="E35" s="4"/>
      <c r="F35" s="4">
        <v>26966</v>
      </c>
      <c r="G35" s="4">
        <v>25379</v>
      </c>
      <c r="H35" s="4">
        <v>23793</v>
      </c>
      <c r="I35" s="4">
        <v>22207</v>
      </c>
      <c r="J35" s="4"/>
      <c r="K35" s="4"/>
      <c r="L35" s="4"/>
    </row>
    <row r="36" spans="2:23" s="1" customFormat="1" x14ac:dyDescent="0.2">
      <c r="B36" s="1" t="s">
        <v>46</v>
      </c>
      <c r="C36" s="4"/>
      <c r="D36" s="4"/>
      <c r="E36" s="4"/>
      <c r="F36" s="4">
        <v>19365</v>
      </c>
      <c r="G36" s="4">
        <v>18704</v>
      </c>
      <c r="H36" s="4">
        <v>18159</v>
      </c>
      <c r="I36" s="4">
        <v>19645</v>
      </c>
      <c r="J36" s="4"/>
      <c r="K36" s="4"/>
      <c r="L36" s="4"/>
    </row>
    <row r="37" spans="2:23" s="1" customFormat="1" x14ac:dyDescent="0.2">
      <c r="B37" s="1" t="s">
        <v>47</v>
      </c>
      <c r="C37" s="4"/>
      <c r="D37" s="4"/>
      <c r="E37" s="4"/>
      <c r="F37" s="4">
        <v>293070</v>
      </c>
      <c r="G37" s="4">
        <v>301661</v>
      </c>
      <c r="H37" s="4">
        <v>316541</v>
      </c>
      <c r="I37" s="4">
        <v>318498</v>
      </c>
      <c r="J37" s="4"/>
      <c r="K37" s="4"/>
      <c r="L37" s="4"/>
    </row>
    <row r="38" spans="2:23" s="7" customFormat="1" x14ac:dyDescent="0.2">
      <c r="B38" s="7" t="s">
        <v>48</v>
      </c>
      <c r="C38" s="8"/>
      <c r="D38" s="8"/>
      <c r="E38" s="8"/>
      <c r="F38" s="8">
        <f>+SUM(F31:F37)</f>
        <v>1018724</v>
      </c>
      <c r="G38" s="8">
        <f>+SUM(G31:G37)</f>
        <v>1013954</v>
      </c>
      <c r="H38" s="8">
        <f>+SUM(H31:H37)</f>
        <v>997996</v>
      </c>
      <c r="I38" s="8">
        <f>+SUM(I31:I37)</f>
        <v>1037195</v>
      </c>
      <c r="J38" s="8"/>
      <c r="K38" s="8"/>
      <c r="L38" s="8"/>
    </row>
    <row r="40" spans="2:23" x14ac:dyDescent="0.2">
      <c r="B40" s="1" t="s">
        <v>49</v>
      </c>
      <c r="F40" s="9">
        <f t="shared" ref="F40:H40" si="22">+F23/(SUM(C7:F7)/365)</f>
        <v>45.312683220260254</v>
      </c>
      <c r="G40" s="9">
        <f t="shared" si="22"/>
        <v>28.11889366819296</v>
      </c>
      <c r="H40" s="9">
        <f t="shared" si="22"/>
        <v>31.983102590669979</v>
      </c>
      <c r="I40" s="9">
        <f>+I23/(SUM(F7:I7)/365)</f>
        <v>28.399164237977377</v>
      </c>
    </row>
    <row r="41" spans="2:23" x14ac:dyDescent="0.2">
      <c r="B41" s="1" t="s">
        <v>50</v>
      </c>
      <c r="F41" s="9">
        <f t="shared" ref="F41:H41" si="23">F23/(SUM(C8:F8)/365)</f>
        <v>74.769492686021934</v>
      </c>
      <c r="G41" s="9">
        <f t="shared" si="23"/>
        <v>40.484906358960423</v>
      </c>
      <c r="H41" s="9">
        <f t="shared" si="23"/>
        <v>46.594134557765685</v>
      </c>
      <c r="I41" s="9">
        <f>I23/(SUM(F8:I8)/365)</f>
        <v>44.009860042869754</v>
      </c>
    </row>
    <row r="42" spans="2:23" x14ac:dyDescent="0.2">
      <c r="B42" s="1" t="s">
        <v>51</v>
      </c>
      <c r="F42" s="9">
        <f t="shared" ref="F42:H42" si="24">+F31/(SUM(C8:F8)/365)</f>
        <v>41.936311694512241</v>
      </c>
      <c r="G42" s="9">
        <f t="shared" si="24"/>
        <v>31.021154804047697</v>
      </c>
      <c r="H42" s="9">
        <f t="shared" si="24"/>
        <v>35.463334032864481</v>
      </c>
      <c r="I42" s="9">
        <f>+I31/(SUM(F8:I8)/365)</f>
        <v>36.129063169839867</v>
      </c>
    </row>
    <row r="43" spans="2:23" x14ac:dyDescent="0.2">
      <c r="B43" s="1" t="s">
        <v>52</v>
      </c>
      <c r="F43" s="9">
        <f t="shared" ref="F43:H43" si="25">SUM(F40:F41)-F42</f>
        <v>78.145864211769947</v>
      </c>
      <c r="G43" s="9">
        <f t="shared" si="25"/>
        <v>37.582645223105686</v>
      </c>
      <c r="H43" s="9">
        <f t="shared" si="25"/>
        <v>43.11390311557119</v>
      </c>
      <c r="I43" s="9">
        <f>SUM(I40:I41)-I42</f>
        <v>36.279961111007268</v>
      </c>
    </row>
    <row r="45" spans="2:23" s="1" customFormat="1" x14ac:dyDescent="0.2">
      <c r="B45" s="1" t="s">
        <v>55</v>
      </c>
      <c r="C45" s="4">
        <v>42417</v>
      </c>
      <c r="D45" s="4">
        <f>51025-C45</f>
        <v>8608</v>
      </c>
      <c r="E45" s="4">
        <f>137750-SUM(C45:D45)</f>
        <v>86725</v>
      </c>
      <c r="F45" s="4">
        <f>150541-SUM(C45:E45)</f>
        <v>12791</v>
      </c>
      <c r="G45" s="4">
        <v>55391</v>
      </c>
      <c r="H45" s="4">
        <f>79493-G45</f>
        <v>24102</v>
      </c>
      <c r="I45" s="4">
        <f>171237-SUM(G45:H45)</f>
        <v>91744</v>
      </c>
      <c r="J45" s="4">
        <f>+F45</f>
        <v>12791</v>
      </c>
      <c r="K45" s="4"/>
      <c r="L45" s="4"/>
      <c r="W45" s="1">
        <f>SUM(C45:F45)</f>
        <v>150541</v>
      </c>
    </row>
    <row r="46" spans="2:23" s="1" customFormat="1" x14ac:dyDescent="0.2">
      <c r="B46" s="1" t="s">
        <v>56</v>
      </c>
      <c r="C46" s="4">
        <v>-8095</v>
      </c>
      <c r="D46" s="4">
        <f>+-14263-C46</f>
        <v>-6168</v>
      </c>
      <c r="E46" s="4">
        <f>+-18728-SUM(C46:D46)</f>
        <v>-4465</v>
      </c>
      <c r="F46" s="4">
        <f>+-37074-SUM(C46:E46)</f>
        <v>-18346</v>
      </c>
      <c r="G46" s="4">
        <v>-9871</v>
      </c>
      <c r="H46" s="4">
        <f>+-15618</f>
        <v>-15618</v>
      </c>
      <c r="I46" s="4">
        <f>+-27234-SUM(G46:H46)</f>
        <v>-1745</v>
      </c>
      <c r="J46" s="4">
        <f>-30000-SUM(G46:I46)</f>
        <v>-2766</v>
      </c>
      <c r="K46" s="4"/>
      <c r="L46" s="4"/>
    </row>
    <row r="47" spans="2:23" s="1" customFormat="1" x14ac:dyDescent="0.2">
      <c r="B47" s="1" t="s">
        <v>57</v>
      </c>
      <c r="C47" s="4">
        <f>+SUM(C45:C46)</f>
        <v>34322</v>
      </c>
      <c r="D47" s="4">
        <f>+SUM(D45:D46)</f>
        <v>2440</v>
      </c>
      <c r="E47" s="4">
        <f>+SUM(E45:E46)</f>
        <v>82260</v>
      </c>
      <c r="F47" s="4">
        <f>+SUM(F45:F46)</f>
        <v>-5555</v>
      </c>
      <c r="G47" s="4">
        <f>+SUM(G45:G46)</f>
        <v>45520</v>
      </c>
      <c r="H47" s="4">
        <f>+SUM(H45:H46)</f>
        <v>8484</v>
      </c>
      <c r="I47" s="4">
        <f>+SUM(I45:I46)</f>
        <v>89999</v>
      </c>
      <c r="J47" s="4">
        <f>+SUM(J45:J46)</f>
        <v>10025</v>
      </c>
      <c r="K47" s="4"/>
      <c r="L47" s="4"/>
      <c r="W47" s="1">
        <f>SUM(C47:F47)</f>
        <v>113467</v>
      </c>
    </row>
    <row r="49" spans="2:234" x14ac:dyDescent="0.2">
      <c r="B49" s="1" t="s">
        <v>58</v>
      </c>
      <c r="F49" s="4">
        <f t="shared" ref="F49:H49" si="26">+SUM(C47:F47)</f>
        <v>113467</v>
      </c>
      <c r="G49" s="4">
        <f t="shared" si="26"/>
        <v>124665</v>
      </c>
      <c r="H49" s="4">
        <f t="shared" si="26"/>
        <v>130709</v>
      </c>
      <c r="I49" s="4">
        <f>+SUM(F47:I47)</f>
        <v>138448</v>
      </c>
      <c r="J49" s="4">
        <f>+SUM(G47:J47)</f>
        <v>154028</v>
      </c>
      <c r="X49" s="1">
        <f>+J49</f>
        <v>154028</v>
      </c>
      <c r="Y49" s="1">
        <f>+X49*0.9</f>
        <v>138625.20000000001</v>
      </c>
      <c r="Z49" s="1">
        <f t="shared" ref="Z49:AG49" si="27">+Y49*0.9</f>
        <v>124762.68000000001</v>
      </c>
      <c r="AA49" s="1">
        <f t="shared" si="27"/>
        <v>112286.41200000001</v>
      </c>
      <c r="AB49" s="1">
        <f t="shared" si="27"/>
        <v>101057.77080000001</v>
      </c>
      <c r="AC49" s="1">
        <f t="shared" si="27"/>
        <v>90951.993720000013</v>
      </c>
      <c r="AD49" s="1">
        <f t="shared" si="27"/>
        <v>81856.79434800001</v>
      </c>
      <c r="AE49" s="1">
        <f t="shared" si="27"/>
        <v>73671.114913200014</v>
      </c>
      <c r="AF49" s="1">
        <f t="shared" si="27"/>
        <v>66304.003421880014</v>
      </c>
      <c r="AG49" s="1">
        <f t="shared" si="27"/>
        <v>59673.603079692017</v>
      </c>
      <c r="AH49" s="11">
        <f>+AH15*(1+$AJ$22)</f>
        <v>102741.9560017089</v>
      </c>
      <c r="AI49" s="11">
        <f>+AI15*(1+$AJ$22)</f>
        <v>100687.11688167471</v>
      </c>
      <c r="AJ49" s="11">
        <f t="shared" ref="AJ49:CU49" si="28">+AJ15*(1+$AJ$22)</f>
        <v>98673.374544041217</v>
      </c>
      <c r="AK49" s="11">
        <f t="shared" si="28"/>
        <v>96699.907053160394</v>
      </c>
      <c r="AL49" s="11">
        <f t="shared" si="28"/>
        <v>94765.908912097191</v>
      </c>
      <c r="AM49" s="11">
        <f t="shared" si="28"/>
        <v>92870.59073385525</v>
      </c>
      <c r="AN49" s="11">
        <f t="shared" si="28"/>
        <v>91013.178919178143</v>
      </c>
      <c r="AO49" s="11">
        <f t="shared" si="28"/>
        <v>89192.915340794585</v>
      </c>
      <c r="AP49" s="11">
        <f t="shared" si="28"/>
        <v>87409.057033978694</v>
      </c>
      <c r="AQ49" s="11">
        <f t="shared" si="28"/>
        <v>85660.875893299119</v>
      </c>
      <c r="AR49" s="11">
        <f t="shared" si="28"/>
        <v>83947.658375433137</v>
      </c>
      <c r="AS49" s="11">
        <f t="shared" si="28"/>
        <v>82268.705207924475</v>
      </c>
      <c r="AT49" s="11">
        <f t="shared" si="28"/>
        <v>80623.331103765988</v>
      </c>
      <c r="AU49" s="11">
        <f t="shared" si="28"/>
        <v>79010.86448169066</v>
      </c>
      <c r="AV49" s="11">
        <f t="shared" si="28"/>
        <v>77430.647192056844</v>
      </c>
      <c r="AW49" s="11">
        <f t="shared" si="28"/>
        <v>75882.034248215699</v>
      </c>
      <c r="AX49" s="11">
        <f t="shared" si="28"/>
        <v>74364.393563251389</v>
      </c>
      <c r="AY49" s="11">
        <f t="shared" si="28"/>
        <v>72877.105691986362</v>
      </c>
      <c r="AZ49" s="11">
        <f t="shared" si="28"/>
        <v>71419.563578146641</v>
      </c>
      <c r="BA49" s="11">
        <f t="shared" si="28"/>
        <v>69991.1723065837</v>
      </c>
      <c r="BB49" s="11">
        <f t="shared" si="28"/>
        <v>68591.348860452024</v>
      </c>
      <c r="BC49" s="11">
        <f t="shared" si="28"/>
        <v>67219.521883242982</v>
      </c>
      <c r="BD49" s="11">
        <f t="shared" si="28"/>
        <v>65875.131445578125</v>
      </c>
      <c r="BE49" s="11">
        <f t="shared" si="28"/>
        <v>64557.628816666562</v>
      </c>
      <c r="BF49" s="11">
        <f t="shared" si="28"/>
        <v>63266.476240333228</v>
      </c>
      <c r="BG49" s="11">
        <f t="shared" si="28"/>
        <v>62001.146715526564</v>
      </c>
      <c r="BH49" s="11">
        <f t="shared" si="28"/>
        <v>60761.123781216033</v>
      </c>
      <c r="BI49" s="11">
        <f t="shared" si="28"/>
        <v>59545.901305591709</v>
      </c>
      <c r="BJ49" s="11">
        <f t="shared" si="28"/>
        <v>58354.983279479871</v>
      </c>
      <c r="BK49" s="11">
        <f t="shared" si="28"/>
        <v>57187.88361389027</v>
      </c>
      <c r="BL49" s="11">
        <f t="shared" si="28"/>
        <v>56044.125941612467</v>
      </c>
      <c r="BM49" s="11">
        <f t="shared" si="28"/>
        <v>54923.243422780215</v>
      </c>
      <c r="BN49" s="11">
        <f t="shared" si="28"/>
        <v>53824.778554324606</v>
      </c>
      <c r="BO49" s="11">
        <f t="shared" si="28"/>
        <v>52748.28298323811</v>
      </c>
      <c r="BP49" s="11">
        <f t="shared" si="28"/>
        <v>51693.317323573348</v>
      </c>
      <c r="BQ49" s="11">
        <f t="shared" si="28"/>
        <v>50659.450977101878</v>
      </c>
      <c r="BR49" s="11">
        <f t="shared" si="28"/>
        <v>49646.261957559836</v>
      </c>
      <c r="BS49" s="11">
        <f t="shared" si="28"/>
        <v>48653.336718408638</v>
      </c>
      <c r="BT49" s="11">
        <f t="shared" si="28"/>
        <v>47680.269984040468</v>
      </c>
      <c r="BU49" s="11">
        <f t="shared" si="28"/>
        <v>46726.664584359656</v>
      </c>
      <c r="BV49" s="11">
        <f t="shared" si="28"/>
        <v>45792.131292672464</v>
      </c>
      <c r="BW49" s="11">
        <f t="shared" si="28"/>
        <v>44876.288666819011</v>
      </c>
      <c r="BX49" s="11">
        <f t="shared" si="28"/>
        <v>43978.762893482628</v>
      </c>
      <c r="BY49" s="11">
        <f t="shared" si="28"/>
        <v>43099.187635612972</v>
      </c>
      <c r="BZ49" s="11">
        <f t="shared" si="28"/>
        <v>42237.203882900714</v>
      </c>
      <c r="CA49" s="11">
        <f t="shared" si="28"/>
        <v>41392.459805242703</v>
      </c>
      <c r="CB49" s="11">
        <f t="shared" si="28"/>
        <v>40564.610609137846</v>
      </c>
      <c r="CC49" s="11">
        <f t="shared" si="28"/>
        <v>39753.318396955088</v>
      </c>
      <c r="CD49" s="11">
        <f t="shared" si="28"/>
        <v>38958.252029015988</v>
      </c>
      <c r="CE49" s="11">
        <f t="shared" si="28"/>
        <v>38179.086988435665</v>
      </c>
      <c r="CF49" s="11">
        <f t="shared" si="28"/>
        <v>37415.505248666952</v>
      </c>
      <c r="CG49" s="11">
        <f t="shared" si="28"/>
        <v>36667.195143693614</v>
      </c>
      <c r="CH49" s="11">
        <f t="shared" si="28"/>
        <v>35933.851240819742</v>
      </c>
      <c r="CI49" s="11">
        <f t="shared" si="28"/>
        <v>35215.174216003346</v>
      </c>
      <c r="CJ49" s="11">
        <f t="shared" si="28"/>
        <v>34510.870731683281</v>
      </c>
      <c r="CK49" s="11">
        <f t="shared" si="28"/>
        <v>33820.653317049611</v>
      </c>
      <c r="CL49" s="11">
        <f t="shared" si="28"/>
        <v>33144.240250708615</v>
      </c>
      <c r="CM49" s="11">
        <f t="shared" si="28"/>
        <v>32481.355445694444</v>
      </c>
      <c r="CN49" s="11">
        <f t="shared" si="28"/>
        <v>31831.728336780554</v>
      </c>
      <c r="CO49" s="11">
        <f t="shared" si="28"/>
        <v>31195.093770044943</v>
      </c>
      <c r="CP49" s="11">
        <f t="shared" si="28"/>
        <v>30571.191894644042</v>
      </c>
      <c r="CQ49" s="11">
        <f t="shared" si="28"/>
        <v>29959.76805675116</v>
      </c>
      <c r="CR49" s="11">
        <f t="shared" si="28"/>
        <v>29360.572695616134</v>
      </c>
      <c r="CS49" s="11">
        <f t="shared" si="28"/>
        <v>28773.361241703809</v>
      </c>
      <c r="CT49" s="11">
        <f t="shared" si="28"/>
        <v>28197.894016869734</v>
      </c>
      <c r="CU49" s="11">
        <f t="shared" si="28"/>
        <v>27633.936136532338</v>
      </c>
      <c r="CV49" s="11">
        <f t="shared" ref="CV49:FG49" si="29">+CV15*(1+$AJ$22)</f>
        <v>27081.25741380169</v>
      </c>
      <c r="CW49" s="11">
        <f t="shared" si="29"/>
        <v>26539.632265525655</v>
      </c>
      <c r="CX49" s="11">
        <f t="shared" si="29"/>
        <v>26008.839620215142</v>
      </c>
      <c r="CY49" s="11">
        <f t="shared" si="29"/>
        <v>25488.66282781084</v>
      </c>
      <c r="CZ49" s="11">
        <f t="shared" si="29"/>
        <v>24978.889571254622</v>
      </c>
      <c r="DA49" s="11">
        <f t="shared" si="29"/>
        <v>24479.311779829528</v>
      </c>
      <c r="DB49" s="11">
        <f t="shared" si="29"/>
        <v>23989.725544232937</v>
      </c>
      <c r="DC49" s="11">
        <f t="shared" si="29"/>
        <v>23509.931033348279</v>
      </c>
      <c r="DD49" s="11">
        <f t="shared" si="29"/>
        <v>23039.732412681315</v>
      </c>
      <c r="DE49" s="11">
        <f t="shared" si="29"/>
        <v>22578.937764427686</v>
      </c>
      <c r="DF49" s="11">
        <f t="shared" si="29"/>
        <v>22127.359009139131</v>
      </c>
      <c r="DG49" s="11">
        <f t="shared" si="29"/>
        <v>21684.811828956346</v>
      </c>
      <c r="DH49" s="11">
        <f t="shared" si="29"/>
        <v>21251.11559237722</v>
      </c>
      <c r="DI49" s="11">
        <f t="shared" si="29"/>
        <v>20826.093280529676</v>
      </c>
      <c r="DJ49" s="11">
        <f t="shared" si="29"/>
        <v>20409.571414919083</v>
      </c>
      <c r="DK49" s="11">
        <f t="shared" si="29"/>
        <v>20001.379986620701</v>
      </c>
      <c r="DL49" s="11">
        <f t="shared" si="29"/>
        <v>19601.352386888288</v>
      </c>
      <c r="DM49" s="11">
        <f t="shared" si="29"/>
        <v>19209.32533915052</v>
      </c>
      <c r="DN49" s="11">
        <f t="shared" si="29"/>
        <v>18825.138832367509</v>
      </c>
      <c r="DO49" s="11">
        <f t="shared" si="29"/>
        <v>18448.636055720159</v>
      </c>
      <c r="DP49" s="11">
        <f t="shared" si="29"/>
        <v>18079.663334605757</v>
      </c>
      <c r="DQ49" s="11">
        <f t="shared" si="29"/>
        <v>17718.070067913643</v>
      </c>
      <c r="DR49" s="11">
        <f t="shared" si="29"/>
        <v>17363.708666555369</v>
      </c>
      <c r="DS49" s="11">
        <f t="shared" si="29"/>
        <v>17016.43449322426</v>
      </c>
      <c r="DT49" s="11">
        <f t="shared" si="29"/>
        <v>16676.105803359776</v>
      </c>
      <c r="DU49" s="11">
        <f t="shared" si="29"/>
        <v>16342.583687292581</v>
      </c>
      <c r="DV49" s="11">
        <f t="shared" si="29"/>
        <v>16015.732013546729</v>
      </c>
      <c r="DW49" s="11">
        <f t="shared" si="29"/>
        <v>15695.417373275794</v>
      </c>
      <c r="DX49" s="11">
        <f t="shared" si="29"/>
        <v>15381.509025810277</v>
      </c>
      <c r="DY49" s="11">
        <f t="shared" si="29"/>
        <v>15073.878845294072</v>
      </c>
      <c r="DZ49" s="11">
        <f t="shared" si="29"/>
        <v>14772.40126838819</v>
      </c>
      <c r="EA49" s="11">
        <f t="shared" si="29"/>
        <v>14476.953243020425</v>
      </c>
      <c r="EB49" s="11">
        <f t="shared" si="29"/>
        <v>14187.414178160017</v>
      </c>
      <c r="EC49" s="11">
        <f t="shared" si="29"/>
        <v>13903.665894596817</v>
      </c>
      <c r="ED49" s="11">
        <f t="shared" si="29"/>
        <v>13625.592576704881</v>
      </c>
      <c r="EE49" s="11">
        <f t="shared" si="29"/>
        <v>13353.080725170783</v>
      </c>
      <c r="EF49" s="11">
        <f t="shared" si="29"/>
        <v>13086.019110667366</v>
      </c>
      <c r="EG49" s="11">
        <f t="shared" si="29"/>
        <v>12824.29872845402</v>
      </c>
      <c r="EH49" s="11">
        <f t="shared" si="29"/>
        <v>12567.812753884939</v>
      </c>
      <c r="EI49" s="11">
        <f t="shared" si="29"/>
        <v>12316.45649880724</v>
      </c>
      <c r="EJ49" s="11">
        <f t="shared" si="29"/>
        <v>12070.127368831094</v>
      </c>
      <c r="EK49" s="11">
        <f t="shared" si="29"/>
        <v>11828.724821454472</v>
      </c>
      <c r="EL49" s="11">
        <f t="shared" si="29"/>
        <v>11592.150325025383</v>
      </c>
      <c r="EM49" s="11">
        <f t="shared" si="29"/>
        <v>11360.307318524874</v>
      </c>
      <c r="EN49" s="11">
        <f t="shared" si="29"/>
        <v>11133.101172154376</v>
      </c>
      <c r="EO49" s="11">
        <f t="shared" si="29"/>
        <v>10910.439148711288</v>
      </c>
      <c r="EP49" s="11">
        <f t="shared" si="29"/>
        <v>10692.230365737061</v>
      </c>
      <c r="EQ49" s="11">
        <f t="shared" si="29"/>
        <v>10478.385758422321</v>
      </c>
      <c r="ER49" s="11">
        <f t="shared" si="29"/>
        <v>10268.818043253874</v>
      </c>
      <c r="ES49" s="11">
        <f t="shared" si="29"/>
        <v>10063.441682388797</v>
      </c>
      <c r="ET49" s="11">
        <f t="shared" si="29"/>
        <v>9862.1728487410201</v>
      </c>
      <c r="EU49" s="11">
        <f t="shared" si="29"/>
        <v>9664.9293917661998</v>
      </c>
      <c r="EV49" s="11">
        <f t="shared" si="29"/>
        <v>9471.6308039308751</v>
      </c>
      <c r="EW49" s="11">
        <f t="shared" si="29"/>
        <v>9282.1981878522583</v>
      </c>
      <c r="EX49" s="11">
        <f t="shared" si="29"/>
        <v>9096.5542240952127</v>
      </c>
      <c r="EY49" s="11">
        <f t="shared" si="29"/>
        <v>8914.623139613308</v>
      </c>
      <c r="EZ49" s="11">
        <f t="shared" si="29"/>
        <v>8736.3306768210423</v>
      </c>
      <c r="FA49" s="11">
        <f t="shared" si="29"/>
        <v>8561.6040632846216</v>
      </c>
      <c r="FB49" s="11">
        <f t="shared" si="29"/>
        <v>8390.371982018929</v>
      </c>
      <c r="FC49" s="11">
        <f t="shared" si="29"/>
        <v>8222.56454237855</v>
      </c>
      <c r="FD49" s="11">
        <f t="shared" si="29"/>
        <v>8058.1132515309791</v>
      </c>
      <c r="FE49" s="11">
        <f t="shared" si="29"/>
        <v>7896.9509865003592</v>
      </c>
      <c r="FF49" s="11">
        <f t="shared" si="29"/>
        <v>7739.011966770352</v>
      </c>
      <c r="FG49" s="11">
        <f t="shared" si="29"/>
        <v>7584.2317274349452</v>
      </c>
      <c r="FH49" s="11">
        <f t="shared" ref="FH49:HS49" si="30">+FH15*(1+$AJ$22)</f>
        <v>7432.547092886246</v>
      </c>
      <c r="FI49" s="11">
        <f t="shared" si="30"/>
        <v>7283.8961510285208</v>
      </c>
      <c r="FJ49" s="11">
        <f t="shared" si="30"/>
        <v>7138.2182280079505</v>
      </c>
      <c r="FK49" s="11">
        <f t="shared" si="30"/>
        <v>6995.4538634477913</v>
      </c>
      <c r="FL49" s="11">
        <f t="shared" si="30"/>
        <v>6855.5447861788352</v>
      </c>
      <c r="FM49" s="11">
        <f t="shared" si="30"/>
        <v>6718.4338904552587</v>
      </c>
      <c r="FN49" s="11">
        <f t="shared" si="30"/>
        <v>6584.0652126461537</v>
      </c>
      <c r="FO49" s="11">
        <f t="shared" si="30"/>
        <v>6452.3839083932307</v>
      </c>
      <c r="FP49" s="11">
        <f t="shared" si="30"/>
        <v>6323.3362302253663</v>
      </c>
      <c r="FQ49" s="11">
        <f t="shared" si="30"/>
        <v>6196.8695056208589</v>
      </c>
      <c r="FR49" s="11">
        <f t="shared" si="30"/>
        <v>6072.9321155084417</v>
      </c>
      <c r="FS49" s="11">
        <f t="shared" si="30"/>
        <v>5951.4734731982726</v>
      </c>
      <c r="FT49" s="11">
        <f t="shared" si="30"/>
        <v>5832.4440037343074</v>
      </c>
      <c r="FU49" s="11">
        <f t="shared" si="30"/>
        <v>5715.7951236596209</v>
      </c>
      <c r="FV49" s="11">
        <f t="shared" si="30"/>
        <v>5601.4792211864287</v>
      </c>
      <c r="FW49" s="11">
        <f t="shared" si="30"/>
        <v>5489.4496367626998</v>
      </c>
      <c r="FX49" s="11">
        <f t="shared" si="30"/>
        <v>5379.6606440274454</v>
      </c>
      <c r="FY49" s="11">
        <f t="shared" si="30"/>
        <v>5272.0674311468965</v>
      </c>
      <c r="FZ49" s="11">
        <f t="shared" si="30"/>
        <v>5166.6260825239588</v>
      </c>
      <c r="GA49" s="11">
        <f t="shared" si="30"/>
        <v>5063.2935608734797</v>
      </c>
      <c r="GB49" s="11">
        <f t="shared" si="30"/>
        <v>4962.0276896560099</v>
      </c>
      <c r="GC49" s="11">
        <f t="shared" si="30"/>
        <v>4862.78713586289</v>
      </c>
      <c r="GD49" s="11">
        <f t="shared" si="30"/>
        <v>4765.5313931456321</v>
      </c>
      <c r="GE49" s="11">
        <f t="shared" si="30"/>
        <v>4670.2207652827192</v>
      </c>
      <c r="GF49" s="11">
        <f t="shared" si="30"/>
        <v>4576.8163499770644</v>
      </c>
      <c r="GG49" s="11">
        <f t="shared" si="30"/>
        <v>4485.280022977523</v>
      </c>
      <c r="GH49" s="11">
        <f t="shared" si="30"/>
        <v>4395.5744225179724</v>
      </c>
      <c r="GI49" s="11">
        <f t="shared" si="30"/>
        <v>4307.6629340676127</v>
      </c>
      <c r="GJ49" s="11">
        <f t="shared" si="30"/>
        <v>4221.5096753862599</v>
      </c>
      <c r="GK49" s="11">
        <f t="shared" si="30"/>
        <v>4137.0794818785344</v>
      </c>
      <c r="GL49" s="11">
        <f t="shared" si="30"/>
        <v>4054.3378922409638</v>
      </c>
      <c r="GM49" s="11">
        <f t="shared" si="30"/>
        <v>3973.2511343961446</v>
      </c>
      <c r="GN49" s="11">
        <f t="shared" si="30"/>
        <v>3893.7861117082216</v>
      </c>
      <c r="GO49" s="11">
        <f t="shared" si="30"/>
        <v>3815.910389474057</v>
      </c>
      <c r="GP49" s="11">
        <f t="shared" si="30"/>
        <v>3739.5921816845757</v>
      </c>
      <c r="GQ49" s="11">
        <f t="shared" si="30"/>
        <v>3664.800338050884</v>
      </c>
      <c r="GR49" s="11">
        <f t="shared" si="30"/>
        <v>3591.5043312898661</v>
      </c>
      <c r="GS49" s="11">
        <f t="shared" si="30"/>
        <v>3519.6742446640687</v>
      </c>
      <c r="GT49" s="11">
        <f t="shared" si="30"/>
        <v>3449.2807597707874</v>
      </c>
      <c r="GU49" s="11">
        <f t="shared" si="30"/>
        <v>3380.2951445753715</v>
      </c>
      <c r="GV49" s="11">
        <f t="shared" si="30"/>
        <v>3312.6892416838641</v>
      </c>
      <c r="GW49" s="11">
        <f t="shared" si="30"/>
        <v>3246.4354568501867</v>
      </c>
      <c r="GX49" s="11">
        <f t="shared" si="30"/>
        <v>3181.5067477131829</v>
      </c>
      <c r="GY49" s="11">
        <f t="shared" si="30"/>
        <v>3117.8766127589192</v>
      </c>
      <c r="GZ49" s="11">
        <f t="shared" si="30"/>
        <v>3055.519080503741</v>
      </c>
      <c r="HA49" s="11">
        <f t="shared" si="30"/>
        <v>2994.408698893666</v>
      </c>
      <c r="HB49" s="11">
        <f t="shared" si="30"/>
        <v>2934.5205249157925</v>
      </c>
      <c r="HC49" s="11">
        <f t="shared" si="30"/>
        <v>2875.8301144174766</v>
      </c>
      <c r="HD49" s="11">
        <f t="shared" si="30"/>
        <v>2818.313512129127</v>
      </c>
      <c r="HE49" s="11">
        <f t="shared" si="30"/>
        <v>2761.9472418865444</v>
      </c>
      <c r="HF49" s="11">
        <f t="shared" si="30"/>
        <v>2706.7082970488136</v>
      </c>
      <c r="HG49" s="11">
        <f t="shared" si="30"/>
        <v>2652.5741311078373</v>
      </c>
      <c r="HH49" s="11">
        <f t="shared" si="30"/>
        <v>2599.5226484856803</v>
      </c>
      <c r="HI49" s="11">
        <f t="shared" si="30"/>
        <v>2547.5321955159666</v>
      </c>
      <c r="HJ49" s="11">
        <f t="shared" si="30"/>
        <v>2496.5815516056473</v>
      </c>
      <c r="HK49" s="11">
        <f t="shared" si="30"/>
        <v>2446.6499205735345</v>
      </c>
      <c r="HL49" s="11">
        <f t="shared" si="30"/>
        <v>2397.7169221620638</v>
      </c>
      <c r="HM49" s="11">
        <f t="shared" si="30"/>
        <v>2349.7625837188225</v>
      </c>
      <c r="HN49" s="11">
        <f t="shared" si="30"/>
        <v>2302.767332044446</v>
      </c>
      <c r="HO49" s="11">
        <f t="shared" si="30"/>
        <v>2256.7119854035568</v>
      </c>
      <c r="HP49" s="11">
        <f t="shared" si="30"/>
        <v>2211.5777456954856</v>
      </c>
      <c r="HQ49" s="11">
        <f t="shared" si="30"/>
        <v>2167.3461907815758</v>
      </c>
      <c r="HR49" s="11">
        <f t="shared" si="30"/>
        <v>2123.9992669659441</v>
      </c>
      <c r="HS49" s="11">
        <f t="shared" si="30"/>
        <v>2081.5192816266253</v>
      </c>
      <c r="HT49" s="11">
        <f t="shared" ref="HT49:HZ49" si="31">+HT15*(1+$AJ$22)</f>
        <v>2039.8888959940928</v>
      </c>
      <c r="HU49" s="11">
        <f t="shared" si="31"/>
        <v>1999.091118074211</v>
      </c>
      <c r="HV49" s="11">
        <f t="shared" si="31"/>
        <v>1959.1092957127266</v>
      </c>
      <c r="HW49" s="11">
        <f t="shared" si="31"/>
        <v>1919.927109798472</v>
      </c>
      <c r="HX49" s="11">
        <f t="shared" si="31"/>
        <v>1881.5285676025026</v>
      </c>
      <c r="HY49" s="11">
        <f t="shared" si="31"/>
        <v>1843.8979962504525</v>
      </c>
      <c r="HZ49" s="11">
        <f t="shared" si="31"/>
        <v>1807.0200363254435</v>
      </c>
    </row>
    <row r="50" spans="2:234" x14ac:dyDescent="0.2">
      <c r="B50" s="1" t="s">
        <v>59</v>
      </c>
      <c r="F50" s="4">
        <f t="shared" ref="F50:H50" si="32">SUM(C15:F15)</f>
        <v>207844</v>
      </c>
      <c r="G50" s="4">
        <f t="shared" si="32"/>
        <v>228712</v>
      </c>
      <c r="H50" s="4">
        <f t="shared" si="32"/>
        <v>242769</v>
      </c>
      <c r="I50" s="4">
        <f>SUM(F15:I15)</f>
        <v>278719</v>
      </c>
      <c r="J50" s="4">
        <f>SUM(G15:J15)</f>
        <v>228411.40826296707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</row>
    <row r="51" spans="2:234" x14ac:dyDescent="0.2"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</row>
    <row r="52" spans="2:234" x14ac:dyDescent="0.2"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>
        <f>NPV(0.08,X49:HZ49)</f>
        <v>1193403.0374869835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</row>
    <row r="53" spans="2:234" x14ac:dyDescent="0.2"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>
        <f>+AI52/AJ25</f>
        <v>112.90861147710024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</row>
    <row r="54" spans="2:234" x14ac:dyDescent="0.2"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2">
        <f>+AI53/AJ27-1</f>
        <v>0.15982138137750646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</row>
  </sheetData>
  <pageMargins left="0.7" right="0.7" top="0.75" bottom="0.75" header="0.3" footer="0.3"/>
  <ignoredErrors>
    <ignoredError sqref="F10:G2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2385-11A7-8C4B-AF2B-6FEDD54487B4}">
  <dimension ref="B2:C15"/>
  <sheetViews>
    <sheetView zoomScale="150" zoomScaleNormal="150" workbookViewId="0">
      <selection activeCell="B12" sqref="B12:B15"/>
    </sheetView>
  </sheetViews>
  <sheetFormatPr baseColWidth="10" defaultRowHeight="16" x14ac:dyDescent="0.2"/>
  <sheetData>
    <row r="2" spans="2:3" x14ac:dyDescent="0.2">
      <c r="B2" t="s">
        <v>90</v>
      </c>
      <c r="C2" s="14">
        <v>7</v>
      </c>
    </row>
    <row r="3" spans="2:3" x14ac:dyDescent="0.2">
      <c r="B3" t="s">
        <v>91</v>
      </c>
      <c r="C3" s="14" t="s">
        <v>92</v>
      </c>
    </row>
    <row r="4" spans="2:3" x14ac:dyDescent="0.2">
      <c r="B4" t="s">
        <v>93</v>
      </c>
      <c r="C4" s="15" t="s">
        <v>94</v>
      </c>
    </row>
    <row r="6" spans="2:3" x14ac:dyDescent="0.2">
      <c r="B6" s="10" t="s">
        <v>84</v>
      </c>
    </row>
    <row r="7" spans="2:3" x14ac:dyDescent="0.2">
      <c r="B7" t="s">
        <v>87</v>
      </c>
    </row>
    <row r="8" spans="2:3" x14ac:dyDescent="0.2">
      <c r="B8" t="s">
        <v>88</v>
      </c>
    </row>
    <row r="9" spans="2:3" x14ac:dyDescent="0.2">
      <c r="B9" t="s">
        <v>89</v>
      </c>
    </row>
    <row r="12" spans="2:3" x14ac:dyDescent="0.2">
      <c r="B12" s="16" t="s">
        <v>95</v>
      </c>
    </row>
    <row r="13" spans="2:3" x14ac:dyDescent="0.2">
      <c r="B13" s="16" t="s">
        <v>96</v>
      </c>
    </row>
    <row r="14" spans="2:3" x14ac:dyDescent="0.2">
      <c r="B14" t="s">
        <v>97</v>
      </c>
    </row>
    <row r="15" spans="2:3" x14ac:dyDescent="0.2">
      <c r="B15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7D26-6252-C84A-9DED-3C127BDD415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Nitrogen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2025-11-22T08:14:51Z</dcterms:created>
  <dcterms:modified xsi:type="dcterms:W3CDTF">2025-11-22T19:34:02Z</dcterms:modified>
</cp:coreProperties>
</file>