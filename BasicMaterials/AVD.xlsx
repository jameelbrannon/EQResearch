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FD4F5F3D-D669-2442-AB3B-E008D35EEE7D}" xr6:coauthVersionLast="47" xr6:coauthVersionMax="47" xr10:uidLastSave="{00000000-0000-0000-0000-000000000000}"/>
  <bookViews>
    <workbookView xWindow="22640" yWindow="2260" windowWidth="27640" windowHeight="16680" xr2:uid="{2C628265-9BEE-1543-A2E8-9619C52ECEBD}"/>
  </bookViews>
  <sheets>
    <sheet name="Main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E42" i="2"/>
  <c r="E43" i="2" s="1"/>
  <c r="E41" i="2"/>
  <c r="E40" i="2"/>
  <c r="E25" i="2"/>
  <c r="Z14" i="2"/>
  <c r="Z13" i="2"/>
  <c r="Z12" i="2"/>
  <c r="J3" i="2"/>
  <c r="X3" i="2"/>
  <c r="H12" i="2"/>
  <c r="G12" i="2"/>
  <c r="F12" i="2"/>
  <c r="E12" i="2"/>
  <c r="D12" i="2"/>
  <c r="C12" i="2"/>
  <c r="I12" i="2"/>
  <c r="F8" i="2"/>
  <c r="F7" i="2"/>
  <c r="F6" i="2"/>
  <c r="F5" i="2"/>
  <c r="F4" i="2"/>
  <c r="F3" i="2"/>
  <c r="V11" i="2"/>
  <c r="W11" i="2"/>
  <c r="U9" i="2"/>
  <c r="V9" i="2"/>
  <c r="W9" i="2"/>
  <c r="G11" i="2"/>
  <c r="H11" i="2"/>
  <c r="D9" i="2"/>
  <c r="C9" i="2"/>
  <c r="H9" i="2"/>
  <c r="G9" i="2"/>
  <c r="E9" i="2"/>
  <c r="I40" i="2"/>
  <c r="H40" i="2"/>
  <c r="G40" i="2"/>
  <c r="F40" i="2"/>
  <c r="G38" i="2"/>
  <c r="G25" i="2"/>
  <c r="H38" i="2"/>
  <c r="H25" i="2"/>
  <c r="F38" i="2"/>
  <c r="F25" i="2"/>
  <c r="I38" i="2"/>
  <c r="I25" i="2"/>
  <c r="I11" i="2"/>
  <c r="I9" i="2"/>
  <c r="O2" i="2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K8" i="1"/>
  <c r="L7" i="1"/>
  <c r="L6" i="1"/>
  <c r="K5" i="1"/>
  <c r="F42" i="2" l="1"/>
  <c r="H41" i="2"/>
  <c r="H43" i="2" s="1"/>
  <c r="G41" i="2"/>
  <c r="I41" i="2"/>
  <c r="I43" i="2" s="1"/>
  <c r="F41" i="2"/>
  <c r="F43" i="2" s="1"/>
  <c r="I42" i="2"/>
  <c r="H42" i="2"/>
  <c r="G42" i="2"/>
  <c r="F9" i="2"/>
  <c r="G43" i="2" l="1"/>
</calcChain>
</file>

<file path=xl/sharedStrings.xml><?xml version="1.0" encoding="utf-8"?>
<sst xmlns="http://schemas.openxmlformats.org/spreadsheetml/2006/main" count="66" uniqueCount="64">
  <si>
    <t>P</t>
  </si>
  <si>
    <t>S</t>
  </si>
  <si>
    <t>MC</t>
  </si>
  <si>
    <t>C</t>
  </si>
  <si>
    <t>D</t>
  </si>
  <si>
    <t>EV</t>
  </si>
  <si>
    <t>Q325</t>
  </si>
  <si>
    <t xml:space="preserve">CEO </t>
  </si>
  <si>
    <t xml:space="preserve">CFO </t>
  </si>
  <si>
    <t>Q124</t>
  </si>
  <si>
    <t>Q224</t>
  </si>
  <si>
    <t>Q324</t>
  </si>
  <si>
    <t>Q424</t>
  </si>
  <si>
    <t>Q125</t>
  </si>
  <si>
    <t>Q225</t>
  </si>
  <si>
    <t>Q425</t>
  </si>
  <si>
    <t>American Vanguard Corp</t>
  </si>
  <si>
    <t xml:space="preserve">Op Income </t>
  </si>
  <si>
    <t>Sales</t>
  </si>
  <si>
    <t>Costs</t>
  </si>
  <si>
    <t>SGA</t>
  </si>
  <si>
    <t>R&amp;D</t>
  </si>
  <si>
    <t>Prod liab</t>
  </si>
  <si>
    <t>Transformation</t>
  </si>
  <si>
    <t xml:space="preserve">Total Assets </t>
  </si>
  <si>
    <t xml:space="preserve">Cash </t>
  </si>
  <si>
    <t>Trade Rec</t>
  </si>
  <si>
    <t>Inventories</t>
  </si>
  <si>
    <t>Prepaid Exp</t>
  </si>
  <si>
    <t>Income Tx Rec</t>
  </si>
  <si>
    <t>PPE</t>
  </si>
  <si>
    <t>OpLease</t>
  </si>
  <si>
    <t>Intangibles</t>
  </si>
  <si>
    <t>Goodwill</t>
  </si>
  <si>
    <t>Deferrd inc tx</t>
  </si>
  <si>
    <t>OA</t>
  </si>
  <si>
    <t>A/P</t>
  </si>
  <si>
    <t xml:space="preserve">Cust Prepay </t>
  </si>
  <si>
    <t>Accrued Program</t>
  </si>
  <si>
    <t>Accrued Exp</t>
  </si>
  <si>
    <t>Op Lease</t>
  </si>
  <si>
    <t>Income Tx Pay</t>
  </si>
  <si>
    <t>LTD</t>
  </si>
  <si>
    <t>Op LeaseLiab</t>
  </si>
  <si>
    <t>Deferred i/t</t>
  </si>
  <si>
    <t>OL</t>
  </si>
  <si>
    <t>Equity</t>
  </si>
  <si>
    <t xml:space="preserve">TL + Equity </t>
  </si>
  <si>
    <t>DSO</t>
  </si>
  <si>
    <t>DIO</t>
  </si>
  <si>
    <t>DPO</t>
  </si>
  <si>
    <t>CC</t>
  </si>
  <si>
    <t xml:space="preserve">Dak Kaye </t>
  </si>
  <si>
    <t xml:space="preserve">David Johnson </t>
  </si>
  <si>
    <t>GM%</t>
  </si>
  <si>
    <t>Makes synthetic chemicals to protect crops from:</t>
  </si>
  <si>
    <t>insects</t>
  </si>
  <si>
    <t>weeds</t>
  </si>
  <si>
    <t>fungi</t>
  </si>
  <si>
    <t>nematodes</t>
  </si>
  <si>
    <t xml:space="preserve">soil pests </t>
  </si>
  <si>
    <t>25R</t>
  </si>
  <si>
    <t>EV/25R</t>
  </si>
  <si>
    <t>Sales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</si>
</sst>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1" fontId="0" fillId="0" borderId="0" xfId="0" applyNumberFormat="1"/>
    <xf numFmtId="9" fontId="0" fillId="0" borderId="0" xfId="0" applyNumberFormat="1"/>
    <xf numFmtId="3" fontId="1" fillId="0" borderId="0" xfId="0" applyNumberFormat="1" applyFont="1"/>
    <xf numFmtId="3" fontId="0" fillId="0" borderId="0" xfId="0" applyNumberFormat="1" applyAlignment="1">
      <alignment horizontal="left" indent="1"/>
    </xf>
    <xf numFmtId="164" fontId="0" fillId="0" borderId="0" xfId="0" applyNumberFormat="1"/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0" fillId="2" borderId="0" xfId="0" applyNumberFormat="1" applyFill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4204-77D0-9D47-B0C3-336A830FA576}">
  <dimension ref="B2:L14"/>
  <sheetViews>
    <sheetView tabSelected="1" zoomScale="200" workbookViewId="0">
      <selection activeCell="K2" sqref="K2"/>
    </sheetView>
  </sheetViews>
  <sheetFormatPr baseColWidth="10" defaultRowHeight="16" x14ac:dyDescent="0.2"/>
  <cols>
    <col min="1" max="1" width="2.33203125" style="1" customWidth="1"/>
    <col min="2" max="2" width="5.6640625" style="1" customWidth="1"/>
    <col min="3" max="9" width="10.83203125" style="1"/>
    <col min="10" max="10" width="4" style="1" bestFit="1" customWidth="1"/>
    <col min="11" max="11" width="4.83203125" style="1" bestFit="1" customWidth="1"/>
    <col min="12" max="12" width="5.5" style="1" bestFit="1" customWidth="1"/>
    <col min="13" max="16384" width="10.83203125" style="1"/>
  </cols>
  <sheetData>
    <row r="2" spans="2:12" x14ac:dyDescent="0.2">
      <c r="B2" s="1" t="s">
        <v>16</v>
      </c>
    </row>
    <row r="3" spans="2:12" x14ac:dyDescent="0.2">
      <c r="B3" s="1" t="s">
        <v>7</v>
      </c>
      <c r="C3" s="1" t="s">
        <v>52</v>
      </c>
      <c r="J3" s="1" t="s">
        <v>0</v>
      </c>
      <c r="K3" s="1">
        <v>4.2300000000000004</v>
      </c>
    </row>
    <row r="4" spans="2:12" x14ac:dyDescent="0.2">
      <c r="B4" s="1" t="s">
        <v>8</v>
      </c>
      <c r="C4" s="1" t="s">
        <v>53</v>
      </c>
      <c r="J4" s="1" t="s">
        <v>1</v>
      </c>
      <c r="K4" s="1">
        <v>28.468139999999998</v>
      </c>
      <c r="L4" s="1" t="s">
        <v>6</v>
      </c>
    </row>
    <row r="5" spans="2:12" x14ac:dyDescent="0.2">
      <c r="J5" s="1" t="s">
        <v>2</v>
      </c>
      <c r="K5" s="1">
        <f>+K4*K3</f>
        <v>120.4202322</v>
      </c>
    </row>
    <row r="6" spans="2:12" x14ac:dyDescent="0.2">
      <c r="J6" s="1" t="s">
        <v>3</v>
      </c>
      <c r="K6" s="1">
        <v>16.795000000000002</v>
      </c>
      <c r="L6" s="1" t="str">
        <f>+L4</f>
        <v>Q325</v>
      </c>
    </row>
    <row r="7" spans="2:12" x14ac:dyDescent="0.2">
      <c r="J7" s="1" t="s">
        <v>4</v>
      </c>
      <c r="K7" s="1">
        <v>182.25</v>
      </c>
      <c r="L7" s="1" t="str">
        <f>+L6</f>
        <v>Q325</v>
      </c>
    </row>
    <row r="8" spans="2:12" x14ac:dyDescent="0.2">
      <c r="J8" s="1" t="s">
        <v>5</v>
      </c>
      <c r="K8" s="1">
        <f>+K5-K6+K7</f>
        <v>285.87523220000003</v>
      </c>
    </row>
    <row r="9" spans="2:12" x14ac:dyDescent="0.2">
      <c r="C9" s="1" t="s">
        <v>55</v>
      </c>
    </row>
    <row r="10" spans="2:12" x14ac:dyDescent="0.2">
      <c r="C10" s="5" t="s">
        <v>56</v>
      </c>
      <c r="K10" s="1">
        <f>+K6-K7</f>
        <v>-165.45499999999998</v>
      </c>
    </row>
    <row r="11" spans="2:12" x14ac:dyDescent="0.2">
      <c r="C11" s="5" t="s">
        <v>57</v>
      </c>
      <c r="K11" s="1">
        <f>+K10/K4</f>
        <v>-5.8119357288533777</v>
      </c>
    </row>
    <row r="12" spans="2:12" x14ac:dyDescent="0.2">
      <c r="C12" s="5" t="s">
        <v>58</v>
      </c>
    </row>
    <row r="13" spans="2:12" x14ac:dyDescent="0.2">
      <c r="C13" s="5" t="s">
        <v>59</v>
      </c>
    </row>
    <row r="14" spans="2:12" x14ac:dyDescent="0.2">
      <c r="C14" s="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15B3-FE8F-484D-B9E4-B85C9C48CBA4}">
  <dimension ref="B2:AH43"/>
  <sheetViews>
    <sheetView zoomScale="190" zoomScaleNormal="190" workbookViewId="0">
      <pane xSplit="2" ySplit="2" topLeftCell="C34" activePane="bottomRight" state="frozen"/>
      <selection pane="topRight" activeCell="C1" sqref="C1"/>
      <selection pane="bottomLeft" activeCell="A3" sqref="A3"/>
      <selection pane="bottomRight" activeCell="E11" sqref="E6:E11"/>
    </sheetView>
  </sheetViews>
  <sheetFormatPr baseColWidth="10" defaultRowHeight="16" outlineLevelRow="1" x14ac:dyDescent="0.2"/>
  <cols>
    <col min="1" max="1" width="1.5" style="1" customWidth="1"/>
    <col min="2" max="2" width="14.83203125" style="1" bestFit="1" customWidth="1"/>
    <col min="3" max="4" width="7.6640625" style="8" bestFit="1" customWidth="1"/>
    <col min="5" max="6" width="8.33203125" style="8" bestFit="1" customWidth="1"/>
    <col min="7" max="10" width="7.6640625" style="8" bestFit="1" customWidth="1"/>
    <col min="11" max="13" width="10.83203125" style="1"/>
    <col min="14" max="20" width="5.1640625" style="1" bestFit="1" customWidth="1"/>
    <col min="21" max="23" width="8.33203125" style="1" bestFit="1" customWidth="1"/>
    <col min="24" max="24" width="7.6640625" style="1" bestFit="1" customWidth="1"/>
    <col min="25" max="25" width="9" style="1" customWidth="1"/>
    <col min="26" max="26" width="7.6640625" style="1" bestFit="1" customWidth="1"/>
    <col min="27" max="34" width="5.1640625" style="1" bestFit="1" customWidth="1"/>
    <col min="35" max="16384" width="10.83203125" style="1"/>
  </cols>
  <sheetData>
    <row r="2" spans="2:34" s="2" customFormat="1" x14ac:dyDescent="0.2"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6</v>
      </c>
      <c r="J2" s="7" t="s">
        <v>15</v>
      </c>
      <c r="N2" s="2">
        <v>2015</v>
      </c>
      <c r="O2" s="2">
        <f>+N2+1</f>
        <v>2016</v>
      </c>
      <c r="P2" s="2">
        <f t="shared" ref="P2:AH2" si="0">+O2+1</f>
        <v>2017</v>
      </c>
      <c r="Q2" s="2">
        <f t="shared" si="0"/>
        <v>2018</v>
      </c>
      <c r="R2" s="2">
        <f t="shared" si="0"/>
        <v>2019</v>
      </c>
      <c r="S2" s="2">
        <f t="shared" si="0"/>
        <v>2020</v>
      </c>
      <c r="T2" s="2">
        <f t="shared" si="0"/>
        <v>2021</v>
      </c>
      <c r="U2" s="2">
        <f t="shared" si="0"/>
        <v>2022</v>
      </c>
      <c r="V2" s="2">
        <f t="shared" si="0"/>
        <v>2023</v>
      </c>
      <c r="W2" s="2">
        <f t="shared" si="0"/>
        <v>2024</v>
      </c>
      <c r="X2" s="2">
        <f t="shared" si="0"/>
        <v>2025</v>
      </c>
      <c r="Y2" s="2">
        <f t="shared" si="0"/>
        <v>2026</v>
      </c>
      <c r="Z2" s="2">
        <f t="shared" si="0"/>
        <v>2027</v>
      </c>
      <c r="AA2" s="2">
        <f t="shared" si="0"/>
        <v>2028</v>
      </c>
      <c r="AB2" s="2">
        <f t="shared" si="0"/>
        <v>2029</v>
      </c>
      <c r="AC2" s="2">
        <f t="shared" si="0"/>
        <v>2030</v>
      </c>
      <c r="AD2" s="2">
        <f t="shared" si="0"/>
        <v>2031</v>
      </c>
      <c r="AE2" s="2">
        <f t="shared" si="0"/>
        <v>2032</v>
      </c>
      <c r="AF2" s="2">
        <f t="shared" si="0"/>
        <v>2033</v>
      </c>
      <c r="AG2" s="2">
        <f t="shared" si="0"/>
        <v>2034</v>
      </c>
      <c r="AH2" s="2">
        <f t="shared" si="0"/>
        <v>2035</v>
      </c>
    </row>
    <row r="3" spans="2:34" x14ac:dyDescent="0.2">
      <c r="B3" s="1" t="s">
        <v>18</v>
      </c>
      <c r="C3" s="8">
        <v>135143</v>
      </c>
      <c r="D3" s="8">
        <v>128209</v>
      </c>
      <c r="E3" s="8">
        <v>118307</v>
      </c>
      <c r="F3" s="8">
        <f>+W3-SUM(C3:E3)</f>
        <v>165647</v>
      </c>
      <c r="G3" s="8">
        <v>115800</v>
      </c>
      <c r="H3" s="8">
        <v>129313</v>
      </c>
      <c r="I3" s="8">
        <v>119313</v>
      </c>
      <c r="J3" s="8">
        <f>+F3*1.01</f>
        <v>167303.47</v>
      </c>
      <c r="U3" s="1">
        <v>609615</v>
      </c>
      <c r="V3" s="1">
        <v>579371</v>
      </c>
      <c r="W3" s="1">
        <v>547306</v>
      </c>
      <c r="X3" s="1">
        <f>+SUM(G3:J3)</f>
        <v>531729.47</v>
      </c>
    </row>
    <row r="4" spans="2:34" x14ac:dyDescent="0.2">
      <c r="B4" s="1" t="s">
        <v>19</v>
      </c>
      <c r="C4" s="8">
        <v>-92725</v>
      </c>
      <c r="D4" s="8">
        <v>-90446</v>
      </c>
      <c r="E4" s="8">
        <v>-101014</v>
      </c>
      <c r="F4" s="8">
        <f>+W4-SUM(C4:E4)</f>
        <v>-142804</v>
      </c>
      <c r="G4" s="8">
        <v>-85609</v>
      </c>
      <c r="H4" s="8">
        <v>-88766</v>
      </c>
      <c r="I4" s="8">
        <v>-85099</v>
      </c>
      <c r="U4" s="1">
        <v>-417227</v>
      </c>
      <c r="V4" s="1">
        <v>-400207</v>
      </c>
      <c r="W4" s="1">
        <v>-426989</v>
      </c>
    </row>
    <row r="5" spans="2:34" x14ac:dyDescent="0.2">
      <c r="B5" s="1" t="s">
        <v>20</v>
      </c>
      <c r="C5" s="8">
        <v>-29469</v>
      </c>
      <c r="D5" s="8">
        <v>-31051</v>
      </c>
      <c r="E5" s="8">
        <v>-26365</v>
      </c>
      <c r="F5" s="8">
        <f>+W5-SUM(C5:E5)</f>
        <v>-32749</v>
      </c>
      <c r="G5" s="8">
        <v>-26628</v>
      </c>
      <c r="H5" s="8">
        <v>-28757</v>
      </c>
      <c r="I5" s="8">
        <v>-26747</v>
      </c>
      <c r="U5" s="1">
        <v>-119921</v>
      </c>
      <c r="V5" s="1">
        <v>-116887</v>
      </c>
      <c r="W5" s="1">
        <v>-119634</v>
      </c>
    </row>
    <row r="6" spans="2:34" x14ac:dyDescent="0.2">
      <c r="B6" s="1" t="s">
        <v>21</v>
      </c>
      <c r="C6" s="8">
        <v>-5706</v>
      </c>
      <c r="D6" s="8">
        <v>-8599</v>
      </c>
      <c r="E6" s="8">
        <v>-11177</v>
      </c>
      <c r="F6" s="8">
        <f>+W6-SUM(C6:E6)</f>
        <v>-7180</v>
      </c>
      <c r="G6" s="8">
        <v>-5682</v>
      </c>
      <c r="H6" s="8">
        <v>-5803</v>
      </c>
      <c r="I6" s="8">
        <v>-5654</v>
      </c>
      <c r="U6" s="1">
        <v>-31816</v>
      </c>
      <c r="V6" s="1">
        <v>-38025</v>
      </c>
      <c r="W6" s="1">
        <v>-32662</v>
      </c>
    </row>
    <row r="7" spans="2:34" x14ac:dyDescent="0.2">
      <c r="B7" s="1" t="s">
        <v>22</v>
      </c>
      <c r="C7" s="8">
        <v>0</v>
      </c>
      <c r="E7" s="8">
        <v>0</v>
      </c>
      <c r="F7" s="8">
        <f>+W7-SUM(C7:E7)</f>
        <v>0</v>
      </c>
      <c r="G7" s="8">
        <v>0</v>
      </c>
      <c r="I7" s="8">
        <v>-7029</v>
      </c>
      <c r="U7" s="1">
        <v>0</v>
      </c>
      <c r="V7" s="1">
        <v>0</v>
      </c>
      <c r="W7" s="1">
        <v>0</v>
      </c>
    </row>
    <row r="8" spans="2:34" x14ac:dyDescent="0.2">
      <c r="B8" s="1" t="s">
        <v>23</v>
      </c>
      <c r="C8" s="8">
        <v>-1152</v>
      </c>
      <c r="D8" s="8">
        <v>-7345</v>
      </c>
      <c r="E8" s="8">
        <v>-8139</v>
      </c>
      <c r="F8" s="8">
        <f>+W8-SUM(C8:E8)</f>
        <v>-3526</v>
      </c>
      <c r="G8" s="8">
        <v>-2191</v>
      </c>
      <c r="H8" s="8">
        <v>-1621</v>
      </c>
      <c r="I8" s="8">
        <v>-1442</v>
      </c>
      <c r="U8" s="1">
        <v>0</v>
      </c>
      <c r="V8" s="1">
        <v>-957</v>
      </c>
      <c r="W8" s="1">
        <v>-20162</v>
      </c>
    </row>
    <row r="9" spans="2:34" x14ac:dyDescent="0.2">
      <c r="B9" s="1" t="s">
        <v>17</v>
      </c>
      <c r="C9" s="8">
        <f t="shared" ref="C9:H9" si="1">+C3+SUM(C4:C8)</f>
        <v>6091</v>
      </c>
      <c r="D9" s="8">
        <f t="shared" si="1"/>
        <v>-9232</v>
      </c>
      <c r="E9" s="8">
        <f t="shared" si="1"/>
        <v>-28388</v>
      </c>
      <c r="F9" s="8">
        <f t="shared" si="1"/>
        <v>-20612</v>
      </c>
      <c r="G9" s="8">
        <f t="shared" si="1"/>
        <v>-4310</v>
      </c>
      <c r="H9" s="8">
        <f t="shared" si="1"/>
        <v>4366</v>
      </c>
      <c r="I9" s="8">
        <f>+I3+SUM(I4:I8)</f>
        <v>-6658</v>
      </c>
      <c r="U9" s="1">
        <f>+U3+SUM(U4:U8)</f>
        <v>40651</v>
      </c>
      <c r="V9" s="1">
        <f>+V3+SUM(V4:V8)</f>
        <v>23295</v>
      </c>
      <c r="W9" s="1">
        <f>+W3+SUM(W4:W8)</f>
        <v>-52141</v>
      </c>
    </row>
    <row r="11" spans="2:34" s="3" customFormat="1" x14ac:dyDescent="0.2">
      <c r="B11" s="3" t="s">
        <v>63</v>
      </c>
      <c r="C11" s="9"/>
      <c r="D11" s="9"/>
      <c r="E11" s="9"/>
      <c r="F11" s="9"/>
      <c r="G11" s="9">
        <f>+G3/C3-1</f>
        <v>-0.14312986984157527</v>
      </c>
      <c r="H11" s="9">
        <f>+H3/D3-1</f>
        <v>8.6109399496134831E-3</v>
      </c>
      <c r="I11" s="9">
        <f>+I3/E3-1</f>
        <v>8.5033007345296507E-3</v>
      </c>
      <c r="J11" s="9"/>
      <c r="V11" s="3">
        <f>+V3/U3-1</f>
        <v>-4.9611640133526924E-2</v>
      </c>
      <c r="W11" s="3">
        <f>+W3/V3-1</f>
        <v>-5.5344502917819449E-2</v>
      </c>
    </row>
    <row r="12" spans="2:34" s="3" customFormat="1" x14ac:dyDescent="0.2">
      <c r="B12" s="3" t="s">
        <v>54</v>
      </c>
      <c r="C12" s="9">
        <f t="shared" ref="C12:I12" si="2">(C3+C4)/C3</f>
        <v>0.31387493247892972</v>
      </c>
      <c r="D12" s="9">
        <f t="shared" si="2"/>
        <v>0.29454250481635452</v>
      </c>
      <c r="E12" s="9">
        <f t="shared" si="2"/>
        <v>0.14617055626463354</v>
      </c>
      <c r="F12" s="9">
        <f t="shared" si="2"/>
        <v>0.13790168249349521</v>
      </c>
      <c r="G12" s="9">
        <f t="shared" si="2"/>
        <v>0.26071675302245251</v>
      </c>
      <c r="H12" s="9">
        <f t="shared" si="2"/>
        <v>0.31355702829568566</v>
      </c>
      <c r="I12" s="9">
        <f>(I3+I4)/I3</f>
        <v>0.28675835826774954</v>
      </c>
      <c r="J12" s="9"/>
      <c r="Y12" s="3" t="s">
        <v>5</v>
      </c>
      <c r="Z12" s="1">
        <f>+Main!K8 * 1000</f>
        <v>285875.23220000003</v>
      </c>
    </row>
    <row r="13" spans="2:34" x14ac:dyDescent="0.2">
      <c r="Y13" s="1" t="s">
        <v>61</v>
      </c>
      <c r="Z13" s="1">
        <f>+X3</f>
        <v>531729.47</v>
      </c>
    </row>
    <row r="14" spans="2:34" x14ac:dyDescent="0.2">
      <c r="B14" s="1" t="s">
        <v>25</v>
      </c>
      <c r="E14" s="8">
        <v>11880</v>
      </c>
      <c r="F14" s="8">
        <v>12514</v>
      </c>
      <c r="G14" s="8">
        <v>11805</v>
      </c>
      <c r="H14" s="8">
        <v>14482</v>
      </c>
      <c r="I14" s="8">
        <v>16795</v>
      </c>
      <c r="Y14" s="1" t="s">
        <v>62</v>
      </c>
      <c r="Z14" s="6">
        <f>+Z12/Z13</f>
        <v>0.53763285341322165</v>
      </c>
    </row>
    <row r="15" spans="2:34" x14ac:dyDescent="0.2">
      <c r="B15" s="1" t="s">
        <v>26</v>
      </c>
      <c r="E15" s="8">
        <v>151997</v>
      </c>
      <c r="F15" s="8">
        <v>174442</v>
      </c>
      <c r="G15" s="8">
        <v>167714</v>
      </c>
      <c r="H15" s="8">
        <v>178952</v>
      </c>
      <c r="I15" s="8">
        <v>175147</v>
      </c>
    </row>
    <row r="16" spans="2:34" x14ac:dyDescent="0.2">
      <c r="B16" s="1" t="s">
        <v>27</v>
      </c>
      <c r="E16" s="12">
        <v>246037</v>
      </c>
      <c r="F16" s="12">
        <v>179292</v>
      </c>
      <c r="G16" s="12">
        <v>184596</v>
      </c>
      <c r="H16" s="12">
        <v>191497</v>
      </c>
      <c r="I16" s="12">
        <v>199005</v>
      </c>
    </row>
    <row r="17" spans="2:26" outlineLevel="1" x14ac:dyDescent="0.2">
      <c r="B17" s="1" t="s">
        <v>28</v>
      </c>
      <c r="E17" s="8">
        <v>7501</v>
      </c>
      <c r="F17" s="8">
        <v>7615</v>
      </c>
      <c r="G17" s="8">
        <v>8507</v>
      </c>
      <c r="H17" s="8">
        <v>9391</v>
      </c>
      <c r="I17" s="8">
        <v>10087</v>
      </c>
    </row>
    <row r="18" spans="2:26" outlineLevel="1" x14ac:dyDescent="0.2">
      <c r="B18" s="1" t="s">
        <v>29</v>
      </c>
      <c r="E18" s="8">
        <v>7690</v>
      </c>
      <c r="F18" s="8">
        <v>5030</v>
      </c>
      <c r="G18" s="8">
        <v>5226</v>
      </c>
      <c r="H18" s="8">
        <v>5004</v>
      </c>
      <c r="I18" s="8">
        <v>5434</v>
      </c>
      <c r="Z18" s="2"/>
    </row>
    <row r="19" spans="2:26" outlineLevel="1" x14ac:dyDescent="0.2">
      <c r="B19" s="1" t="s">
        <v>30</v>
      </c>
      <c r="E19" s="8">
        <v>73494</v>
      </c>
      <c r="F19" s="8">
        <v>58169</v>
      </c>
      <c r="G19" s="8">
        <v>57016</v>
      </c>
      <c r="H19" s="8">
        <v>56104</v>
      </c>
      <c r="I19" s="8">
        <v>55799</v>
      </c>
    </row>
    <row r="20" spans="2:26" outlineLevel="1" x14ac:dyDescent="0.2">
      <c r="B20" s="1" t="s">
        <v>31</v>
      </c>
      <c r="E20" s="8">
        <v>21448</v>
      </c>
      <c r="F20" s="8">
        <v>19735</v>
      </c>
      <c r="G20" s="8">
        <v>18430</v>
      </c>
      <c r="H20" s="8">
        <v>18390</v>
      </c>
      <c r="I20" s="8">
        <v>17749</v>
      </c>
    </row>
    <row r="21" spans="2:26" outlineLevel="1" x14ac:dyDescent="0.2">
      <c r="B21" s="1" t="s">
        <v>32</v>
      </c>
      <c r="E21" s="8">
        <v>164480</v>
      </c>
      <c r="F21" s="8">
        <v>150497</v>
      </c>
      <c r="G21" s="8">
        <v>147668</v>
      </c>
      <c r="H21" s="8">
        <v>146168</v>
      </c>
      <c r="I21" s="8">
        <v>143407</v>
      </c>
    </row>
    <row r="22" spans="2:26" outlineLevel="1" x14ac:dyDescent="0.2">
      <c r="B22" s="1" t="s">
        <v>33</v>
      </c>
      <c r="E22" s="8">
        <v>48012</v>
      </c>
      <c r="F22" s="8">
        <v>19701</v>
      </c>
      <c r="G22" s="8">
        <v>20291</v>
      </c>
      <c r="H22" s="8">
        <v>20805</v>
      </c>
      <c r="I22" s="8">
        <v>21040</v>
      </c>
    </row>
    <row r="23" spans="2:26" outlineLevel="1" x14ac:dyDescent="0.2">
      <c r="B23" s="1" t="s">
        <v>34</v>
      </c>
      <c r="E23" s="8">
        <v>12218</v>
      </c>
      <c r="F23" s="8">
        <v>1242</v>
      </c>
      <c r="G23" s="8">
        <v>1331</v>
      </c>
      <c r="H23" s="8">
        <v>3429</v>
      </c>
      <c r="I23" s="8">
        <v>3523</v>
      </c>
    </row>
    <row r="24" spans="2:26" outlineLevel="1" x14ac:dyDescent="0.2">
      <c r="B24" s="1" t="s">
        <v>35</v>
      </c>
      <c r="E24" s="8">
        <v>14701</v>
      </c>
      <c r="F24" s="8">
        <v>8484</v>
      </c>
      <c r="G24" s="8">
        <v>9004</v>
      </c>
      <c r="H24" s="8">
        <v>7756</v>
      </c>
      <c r="I24" s="8">
        <v>7027</v>
      </c>
    </row>
    <row r="25" spans="2:26" s="4" customFormat="1" outlineLevel="1" x14ac:dyDescent="0.2">
      <c r="B25" s="4" t="s">
        <v>24</v>
      </c>
      <c r="C25" s="11"/>
      <c r="D25" s="11"/>
      <c r="E25" s="11">
        <f>+SUM(E14:E24)</f>
        <v>759458</v>
      </c>
      <c r="F25" s="11">
        <f>+SUM(F14:F24)</f>
        <v>636721</v>
      </c>
      <c r="G25" s="11">
        <f>+SUM(G14:G24)</f>
        <v>631588</v>
      </c>
      <c r="H25" s="11">
        <f>+SUM(H14:H24)</f>
        <v>651978</v>
      </c>
      <c r="I25" s="11">
        <f>+SUM(I14:I24)</f>
        <v>655013</v>
      </c>
      <c r="J25" s="11"/>
    </row>
    <row r="27" spans="2:26" x14ac:dyDescent="0.2">
      <c r="B27" s="1" t="s">
        <v>36</v>
      </c>
      <c r="E27" s="8">
        <v>73557</v>
      </c>
      <c r="F27" s="8">
        <v>69159</v>
      </c>
      <c r="G27" s="8">
        <v>93920</v>
      </c>
      <c r="H27" s="8">
        <v>96778</v>
      </c>
      <c r="I27" s="8">
        <v>84204</v>
      </c>
    </row>
    <row r="28" spans="2:26" outlineLevel="1" x14ac:dyDescent="0.2">
      <c r="B28" s="1" t="s">
        <v>37</v>
      </c>
      <c r="F28" s="8">
        <v>52675</v>
      </c>
      <c r="G28" s="8">
        <v>24460</v>
      </c>
      <c r="H28" s="8">
        <v>6490</v>
      </c>
      <c r="I28" s="8">
        <v>31234</v>
      </c>
    </row>
    <row r="29" spans="2:26" outlineLevel="1" x14ac:dyDescent="0.2">
      <c r="B29" s="1" t="s">
        <v>38</v>
      </c>
      <c r="F29" s="8">
        <v>69449</v>
      </c>
      <c r="G29" s="8">
        <v>70319</v>
      </c>
      <c r="H29" s="8">
        <v>79868</v>
      </c>
      <c r="I29" s="8">
        <v>81909</v>
      </c>
    </row>
    <row r="30" spans="2:26" outlineLevel="1" x14ac:dyDescent="0.2">
      <c r="B30" s="1" t="s">
        <v>39</v>
      </c>
      <c r="F30" s="8">
        <v>31989</v>
      </c>
      <c r="G30" s="8">
        <v>17119</v>
      </c>
      <c r="H30" s="8">
        <v>17312</v>
      </c>
      <c r="I30" s="8">
        <v>24271</v>
      </c>
    </row>
    <row r="31" spans="2:26" outlineLevel="1" x14ac:dyDescent="0.2">
      <c r="B31" s="1" t="s">
        <v>40</v>
      </c>
      <c r="F31" s="8">
        <v>6136</v>
      </c>
      <c r="G31" s="8">
        <v>5986</v>
      </c>
      <c r="H31" s="8">
        <v>6302</v>
      </c>
      <c r="I31" s="8">
        <v>6185</v>
      </c>
    </row>
    <row r="32" spans="2:26" outlineLevel="1" x14ac:dyDescent="0.2">
      <c r="B32" s="1" t="s">
        <v>41</v>
      </c>
      <c r="F32" s="8">
        <v>2942</v>
      </c>
      <c r="G32" s="8">
        <v>1261</v>
      </c>
      <c r="H32" s="8">
        <v>1994</v>
      </c>
      <c r="I32" s="8">
        <v>2364</v>
      </c>
    </row>
    <row r="33" spans="2:9" outlineLevel="1" x14ac:dyDescent="0.2">
      <c r="B33" s="1" t="s">
        <v>42</v>
      </c>
      <c r="F33" s="8">
        <v>147332</v>
      </c>
      <c r="G33" s="8">
        <v>167498</v>
      </c>
      <c r="H33" s="8">
        <v>189500</v>
      </c>
      <c r="I33" s="8">
        <v>182250</v>
      </c>
    </row>
    <row r="34" spans="2:9" outlineLevel="1" x14ac:dyDescent="0.2">
      <c r="B34" s="1" t="s">
        <v>43</v>
      </c>
      <c r="F34" s="8">
        <v>14339</v>
      </c>
      <c r="G34" s="8">
        <v>13074</v>
      </c>
      <c r="H34" s="8">
        <v>12728</v>
      </c>
      <c r="I34" s="8">
        <v>12154</v>
      </c>
    </row>
    <row r="35" spans="2:9" outlineLevel="1" x14ac:dyDescent="0.2">
      <c r="B35" s="1" t="s">
        <v>44</v>
      </c>
      <c r="F35" s="8">
        <v>7989</v>
      </c>
      <c r="G35" s="8">
        <v>8924</v>
      </c>
      <c r="H35" s="8">
        <v>9217</v>
      </c>
      <c r="I35" s="8">
        <v>8997</v>
      </c>
    </row>
    <row r="36" spans="2:9" outlineLevel="1" x14ac:dyDescent="0.2">
      <c r="B36" s="1" t="s">
        <v>45</v>
      </c>
      <c r="F36" s="8">
        <v>1601</v>
      </c>
      <c r="G36" s="8">
        <v>1673</v>
      </c>
      <c r="H36" s="8">
        <v>967</v>
      </c>
      <c r="I36" s="8">
        <v>457</v>
      </c>
    </row>
    <row r="37" spans="2:9" outlineLevel="1" x14ac:dyDescent="0.2">
      <c r="B37" s="1" t="s">
        <v>46</v>
      </c>
      <c r="F37" s="8">
        <v>233110</v>
      </c>
      <c r="G37" s="8">
        <v>227354</v>
      </c>
      <c r="H37" s="8">
        <v>230822</v>
      </c>
      <c r="I37" s="8">
        <v>220988</v>
      </c>
    </row>
    <row r="38" spans="2:9" outlineLevel="1" x14ac:dyDescent="0.2">
      <c r="B38" s="1" t="s">
        <v>47</v>
      </c>
      <c r="F38" s="8">
        <f>+SUM(F27:F37)</f>
        <v>636721</v>
      </c>
      <c r="G38" s="8">
        <f>+SUM(G27:G37)</f>
        <v>631588</v>
      </c>
      <c r="H38" s="8">
        <f>+SUM(H27:H37)</f>
        <v>651978</v>
      </c>
      <c r="I38" s="8">
        <f>+SUM(I27:I37)</f>
        <v>655013</v>
      </c>
    </row>
    <row r="40" spans="2:9" x14ac:dyDescent="0.2">
      <c r="B40" s="1" t="s">
        <v>48</v>
      </c>
      <c r="E40" s="8">
        <f>+E15/(SUM(B3:E3)/365)</f>
        <v>145.3624963645558</v>
      </c>
      <c r="F40" s="8">
        <f>+F15/(SUM(C3:F3)/365)</f>
        <v>116.33588888117433</v>
      </c>
      <c r="G40" s="8">
        <f t="shared" ref="G40:I40" si="3">+G15/(SUM(D3:G3)/365)</f>
        <v>115.94678036150262</v>
      </c>
      <c r="H40" s="8">
        <f t="shared" si="3"/>
        <v>123.45786072463412</v>
      </c>
      <c r="I40" s="8">
        <f t="shared" si="3"/>
        <v>120.60349234916701</v>
      </c>
    </row>
    <row r="41" spans="2:9" x14ac:dyDescent="0.2">
      <c r="B41" s="1" t="s">
        <v>49</v>
      </c>
      <c r="E41" s="10">
        <f>+E16/(ABS(SUM(B4:E4))/365)</f>
        <v>316.00367718211731</v>
      </c>
      <c r="F41" s="10">
        <f>+F16/(ABS(SUM(C4:F4))/365)</f>
        <v>153.26291778008334</v>
      </c>
      <c r="G41" s="10">
        <f>+G16/(ABS(SUM(D4:G4))/365)</f>
        <v>160.47123773140925</v>
      </c>
      <c r="H41" s="10">
        <f>+H16/(ABS(SUM(E4:H4))/365)</f>
        <v>167.13910801950297</v>
      </c>
      <c r="I41" s="10">
        <f>+I16/(ABS(SUM(F4:I4))/365)</f>
        <v>180.56375193274303</v>
      </c>
    </row>
    <row r="42" spans="2:9" x14ac:dyDescent="0.2">
      <c r="B42" s="1" t="s">
        <v>50</v>
      </c>
      <c r="E42" s="8">
        <f>+E27/(ABS(SUM(B4:E4))/365)</f>
        <v>94.474743564931302</v>
      </c>
      <c r="F42" s="8">
        <f>+F27/(ABS(SUM(C4:F4))/365)</f>
        <v>59.118700950141573</v>
      </c>
      <c r="G42" s="8">
        <f>+G27/(ABS(SUM(D4:G4))/365)</f>
        <v>81.645640467474678</v>
      </c>
      <c r="H42" s="8">
        <f>+H27/(ABS(SUM(E4:H4))/365)</f>
        <v>84.468104439816059</v>
      </c>
      <c r="I42" s="8">
        <f>+I27/(ABS(SUM(F4:I4))/365)</f>
        <v>76.401046042786334</v>
      </c>
    </row>
    <row r="43" spans="2:9" x14ac:dyDescent="0.2">
      <c r="B43" s="1" t="s">
        <v>51</v>
      </c>
      <c r="E43" s="8">
        <f t="shared" ref="E43:H43" si="4">+SUM(E40:E41)-E42</f>
        <v>366.89142998174179</v>
      </c>
      <c r="F43" s="8">
        <f t="shared" si="4"/>
        <v>210.48010571111607</v>
      </c>
      <c r="G43" s="8">
        <f t="shared" si="4"/>
        <v>194.77237762543723</v>
      </c>
      <c r="H43" s="8">
        <f t="shared" si="4"/>
        <v>206.12886430432104</v>
      </c>
      <c r="I43" s="8">
        <f>+SUM(I40:I41)-I42</f>
        <v>224.7661982391237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2025-11-23T03:41:29Z</dcterms:created>
  <dcterms:modified xsi:type="dcterms:W3CDTF">2025-11-23T05:50:12Z</dcterms:modified>
</cp:coreProperties>
</file>