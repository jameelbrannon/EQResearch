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13_ncr:1_{D47277A9-ACB9-784A-BDD1-C3BA9A54925E}" xr6:coauthVersionLast="47" xr6:coauthVersionMax="47" xr10:uidLastSave="{00000000-0000-0000-0000-000000000000}"/>
  <bookViews>
    <workbookView xWindow="21640" yWindow="8980" windowWidth="27640" windowHeight="16680" xr2:uid="{DE55BDE3-9E91-9647-B131-9986E8481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 s="1"/>
  <c r="D10" i="1"/>
  <c r="D14" i="1" s="1"/>
  <c r="D17" i="1" s="1"/>
  <c r="J5" i="1"/>
  <c r="J6" i="1" s="1"/>
  <c r="I5" i="1"/>
  <c r="D15" i="1" s="1"/>
  <c r="I4" i="1"/>
  <c r="D18" i="1" l="1"/>
  <c r="I7" i="1"/>
</calcChain>
</file>

<file path=xl/sharedStrings.xml><?xml version="1.0" encoding="utf-8"?>
<sst xmlns="http://schemas.openxmlformats.org/spreadsheetml/2006/main" count="16" uniqueCount="16">
  <si>
    <t>Founder</t>
  </si>
  <si>
    <t>CEO</t>
  </si>
  <si>
    <t>CFO</t>
  </si>
  <si>
    <t>P</t>
  </si>
  <si>
    <t>S</t>
  </si>
  <si>
    <t>MC</t>
  </si>
  <si>
    <t>C</t>
  </si>
  <si>
    <t>D</t>
  </si>
  <si>
    <t>EV</t>
  </si>
  <si>
    <t>Q226</t>
  </si>
  <si>
    <t>H1 FCF</t>
  </si>
  <si>
    <t>Annualized</t>
  </si>
  <si>
    <t xml:space="preserve">Cash </t>
  </si>
  <si>
    <t xml:space="preserve">Debt </t>
  </si>
  <si>
    <t>Equity NAV</t>
  </si>
  <si>
    <t>P/NAV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</si>
</sst>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0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58FE-B44E-BF4A-8FAD-799B95B0A0E3}">
  <dimension ref="B2:J18"/>
  <sheetViews>
    <sheetView tabSelected="1" zoomScale="160" workbookViewId="0">
      <selection activeCell="G18" sqref="G18"/>
    </sheetView>
  </sheetViews>
  <sheetFormatPr baseColWidth="10" defaultRowHeight="13"/>
  <sheetData>
    <row r="2" spans="2:10">
      <c r="B2" t="s">
        <v>0</v>
      </c>
      <c r="H2" t="s">
        <v>3</v>
      </c>
      <c r="I2">
        <v>34.28</v>
      </c>
    </row>
    <row r="3" spans="2:10">
      <c r="B3" t="s">
        <v>1</v>
      </c>
      <c r="H3" t="s">
        <v>4</v>
      </c>
      <c r="I3">
        <v>203.909312</v>
      </c>
      <c r="J3" t="s">
        <v>9</v>
      </c>
    </row>
    <row r="4" spans="2:10">
      <c r="B4" t="s">
        <v>2</v>
      </c>
      <c r="H4" t="s">
        <v>5</v>
      </c>
      <c r="I4">
        <f>+I2*I3</f>
        <v>6990.0112153600003</v>
      </c>
    </row>
    <row r="5" spans="2:10">
      <c r="H5" t="s">
        <v>6</v>
      </c>
      <c r="I5">
        <f>1783.042+50.922</f>
        <v>1833.9639999999999</v>
      </c>
      <c r="J5" t="str">
        <f>+J3</f>
        <v>Q226</v>
      </c>
    </row>
    <row r="6" spans="2:10">
      <c r="H6" t="s">
        <v>7</v>
      </c>
      <c r="I6">
        <v>0</v>
      </c>
      <c r="J6" t="str">
        <f>+J5</f>
        <v>Q226</v>
      </c>
    </row>
    <row r="7" spans="2:10">
      <c r="H7" t="s">
        <v>8</v>
      </c>
      <c r="I7">
        <f>+I4-I5+I6</f>
        <v>5156.0472153600003</v>
      </c>
    </row>
    <row r="9" spans="2:10">
      <c r="C9" t="s">
        <v>10</v>
      </c>
      <c r="D9">
        <v>299.096</v>
      </c>
    </row>
    <row r="10" spans="2:10">
      <c r="C10" t="s">
        <v>11</v>
      </c>
      <c r="D10">
        <f>+D9*2</f>
        <v>598.19200000000001</v>
      </c>
    </row>
    <row r="11" spans="2:10">
      <c r="C11" s="1">
        <v>0.08</v>
      </c>
    </row>
    <row r="12" spans="2:10">
      <c r="D12">
        <f>1-(1+C11)^-15</f>
        <v>0.68475829503411001</v>
      </c>
    </row>
    <row r="13" spans="2:10">
      <c r="D13" s="2">
        <f>+D12/C11</f>
        <v>8.5594786879263758</v>
      </c>
    </row>
    <row r="14" spans="2:10">
      <c r="D14">
        <f>+D10*D13</f>
        <v>5120.2116752880547</v>
      </c>
    </row>
    <row r="15" spans="2:10">
      <c r="C15" t="s">
        <v>12</v>
      </c>
      <c r="D15">
        <f>+I5</f>
        <v>1833.9639999999999</v>
      </c>
    </row>
    <row r="16" spans="2:10">
      <c r="C16" t="s">
        <v>13</v>
      </c>
      <c r="D16">
        <v>0</v>
      </c>
    </row>
    <row r="17" spans="3:4">
      <c r="C17" t="s">
        <v>14</v>
      </c>
      <c r="D17">
        <f>+D14+D15-D16</f>
        <v>6954.1756752880547</v>
      </c>
    </row>
    <row r="18" spans="3:4">
      <c r="C18" t="s">
        <v>15</v>
      </c>
      <c r="D18">
        <f>+I4/D17</f>
        <v>1.0051530967500992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2026-10-07T05:10:17Z</dcterms:created>
  <dcterms:modified xsi:type="dcterms:W3CDTF">2026-10-09T23:20:48Z</dcterms:modified>
</cp:coreProperties>
</file>