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elbrannon/Library/CloudStorage/Dropbox/models/"/>
    </mc:Choice>
  </mc:AlternateContent>
  <xr:revisionPtr revIDLastSave="0" documentId="8_{8A89BE5C-700F-C741-B43F-A30A4E36AB76}" xr6:coauthVersionLast="47" xr6:coauthVersionMax="47" xr10:uidLastSave="{00000000-0000-0000-0000-000000000000}"/>
  <bookViews>
    <workbookView xWindow="23180" yWindow="5400" windowWidth="27640" windowHeight="16940" activeTab="1" xr2:uid="{5A001CC0-D263-A743-8F6D-5193C4D6180B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1" i="2" l="1"/>
  <c r="K71" i="2"/>
  <c r="L71" i="2"/>
  <c r="M71" i="2"/>
  <c r="J70" i="2"/>
  <c r="K70" i="2"/>
  <c r="L70" i="2"/>
  <c r="M70" i="2"/>
  <c r="L69" i="2"/>
  <c r="K69" i="2"/>
  <c r="J69" i="2"/>
  <c r="M69" i="2"/>
  <c r="J68" i="2"/>
  <c r="K68" i="2"/>
  <c r="L68" i="2"/>
  <c r="M68" i="2"/>
  <c r="K66" i="2"/>
  <c r="K49" i="2"/>
  <c r="L66" i="2"/>
  <c r="L49" i="2"/>
  <c r="J66" i="2"/>
  <c r="J49" i="2"/>
  <c r="M66" i="2"/>
  <c r="M49" i="2"/>
  <c r="AC13" i="2"/>
  <c r="AD13" i="2"/>
  <c r="AE13" i="2"/>
  <c r="AF13" i="2"/>
  <c r="AG13" i="2"/>
  <c r="AH13" i="2"/>
  <c r="AI13" i="2"/>
  <c r="AJ13" i="2"/>
  <c r="AB13" i="2"/>
  <c r="AM31" i="2"/>
  <c r="N22" i="2"/>
  <c r="N21" i="2"/>
  <c r="N20" i="2"/>
  <c r="AA20" i="2" s="1"/>
  <c r="N19" i="2"/>
  <c r="N18" i="2"/>
  <c r="N16" i="2"/>
  <c r="AA16" i="2" s="1"/>
  <c r="AB16" i="2" s="1"/>
  <c r="AC16" i="2" s="1"/>
  <c r="N15" i="2"/>
  <c r="N14" i="2"/>
  <c r="N17" i="2" s="1"/>
  <c r="AA17" i="2" s="1"/>
  <c r="AM29" i="2"/>
  <c r="HY2" i="2"/>
  <c r="HZ2" i="2" s="1"/>
  <c r="IA2" i="2" s="1"/>
  <c r="IB2" i="2" s="1"/>
  <c r="IC2" i="2" s="1"/>
  <c r="HO2" i="2"/>
  <c r="HP2" i="2" s="1"/>
  <c r="HQ2" i="2" s="1"/>
  <c r="HR2" i="2" s="1"/>
  <c r="HS2" i="2" s="1"/>
  <c r="HT2" i="2" s="1"/>
  <c r="HU2" i="2" s="1"/>
  <c r="HV2" i="2" s="1"/>
  <c r="HW2" i="2" s="1"/>
  <c r="HX2" i="2" s="1"/>
  <c r="AL2" i="2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BD2" i="2" s="1"/>
  <c r="BE2" i="2" s="1"/>
  <c r="BF2" i="2" s="1"/>
  <c r="BG2" i="2" s="1"/>
  <c r="BH2" i="2" s="1"/>
  <c r="BI2" i="2" s="1"/>
  <c r="BJ2" i="2" s="1"/>
  <c r="BK2" i="2" s="1"/>
  <c r="BL2" i="2" s="1"/>
  <c r="BM2" i="2" s="1"/>
  <c r="BN2" i="2" s="1"/>
  <c r="BO2" i="2" s="1"/>
  <c r="BP2" i="2" s="1"/>
  <c r="BQ2" i="2" s="1"/>
  <c r="BR2" i="2" s="1"/>
  <c r="BS2" i="2" s="1"/>
  <c r="BT2" i="2" s="1"/>
  <c r="BU2" i="2" s="1"/>
  <c r="BV2" i="2" s="1"/>
  <c r="BW2" i="2" s="1"/>
  <c r="BX2" i="2" s="1"/>
  <c r="BY2" i="2" s="1"/>
  <c r="BZ2" i="2" s="1"/>
  <c r="CA2" i="2" s="1"/>
  <c r="CB2" i="2" s="1"/>
  <c r="CC2" i="2" s="1"/>
  <c r="CD2" i="2" s="1"/>
  <c r="CE2" i="2" s="1"/>
  <c r="CF2" i="2" s="1"/>
  <c r="CG2" i="2" s="1"/>
  <c r="CH2" i="2" s="1"/>
  <c r="CI2" i="2" s="1"/>
  <c r="CJ2" i="2" s="1"/>
  <c r="CK2" i="2" s="1"/>
  <c r="CL2" i="2" s="1"/>
  <c r="CM2" i="2" s="1"/>
  <c r="CN2" i="2" s="1"/>
  <c r="CO2" i="2" s="1"/>
  <c r="CP2" i="2" s="1"/>
  <c r="CQ2" i="2" s="1"/>
  <c r="CR2" i="2" s="1"/>
  <c r="CS2" i="2" s="1"/>
  <c r="CT2" i="2" s="1"/>
  <c r="CU2" i="2" s="1"/>
  <c r="CV2" i="2" s="1"/>
  <c r="CW2" i="2" s="1"/>
  <c r="CX2" i="2" s="1"/>
  <c r="CY2" i="2" s="1"/>
  <c r="CZ2" i="2" s="1"/>
  <c r="DA2" i="2" s="1"/>
  <c r="DB2" i="2" s="1"/>
  <c r="DC2" i="2" s="1"/>
  <c r="DD2" i="2" s="1"/>
  <c r="DE2" i="2" s="1"/>
  <c r="DF2" i="2" s="1"/>
  <c r="DG2" i="2" s="1"/>
  <c r="DH2" i="2" s="1"/>
  <c r="DI2" i="2" s="1"/>
  <c r="DJ2" i="2" s="1"/>
  <c r="DK2" i="2" s="1"/>
  <c r="DL2" i="2" s="1"/>
  <c r="DM2" i="2" s="1"/>
  <c r="DN2" i="2" s="1"/>
  <c r="DO2" i="2" s="1"/>
  <c r="DP2" i="2" s="1"/>
  <c r="DQ2" i="2" s="1"/>
  <c r="DR2" i="2" s="1"/>
  <c r="DS2" i="2" s="1"/>
  <c r="DT2" i="2" s="1"/>
  <c r="DU2" i="2" s="1"/>
  <c r="DV2" i="2" s="1"/>
  <c r="DW2" i="2" s="1"/>
  <c r="DX2" i="2" s="1"/>
  <c r="DY2" i="2" s="1"/>
  <c r="DZ2" i="2" s="1"/>
  <c r="EA2" i="2" s="1"/>
  <c r="EB2" i="2" s="1"/>
  <c r="EC2" i="2" s="1"/>
  <c r="ED2" i="2" s="1"/>
  <c r="EE2" i="2" s="1"/>
  <c r="EF2" i="2" s="1"/>
  <c r="EG2" i="2" s="1"/>
  <c r="EH2" i="2" s="1"/>
  <c r="EI2" i="2" s="1"/>
  <c r="EJ2" i="2" s="1"/>
  <c r="EK2" i="2" s="1"/>
  <c r="EL2" i="2" s="1"/>
  <c r="EM2" i="2" s="1"/>
  <c r="EN2" i="2" s="1"/>
  <c r="EO2" i="2" s="1"/>
  <c r="EP2" i="2" s="1"/>
  <c r="EQ2" i="2" s="1"/>
  <c r="ER2" i="2" s="1"/>
  <c r="ES2" i="2" s="1"/>
  <c r="ET2" i="2" s="1"/>
  <c r="EU2" i="2" s="1"/>
  <c r="EV2" i="2" s="1"/>
  <c r="EW2" i="2" s="1"/>
  <c r="EX2" i="2" s="1"/>
  <c r="EY2" i="2" s="1"/>
  <c r="EZ2" i="2" s="1"/>
  <c r="FA2" i="2" s="1"/>
  <c r="FB2" i="2" s="1"/>
  <c r="FC2" i="2" s="1"/>
  <c r="FD2" i="2" s="1"/>
  <c r="FE2" i="2" s="1"/>
  <c r="FF2" i="2" s="1"/>
  <c r="FG2" i="2" s="1"/>
  <c r="FH2" i="2" s="1"/>
  <c r="FI2" i="2" s="1"/>
  <c r="FJ2" i="2" s="1"/>
  <c r="FK2" i="2" s="1"/>
  <c r="FL2" i="2" s="1"/>
  <c r="FM2" i="2" s="1"/>
  <c r="FN2" i="2" s="1"/>
  <c r="FO2" i="2" s="1"/>
  <c r="FP2" i="2" s="1"/>
  <c r="FQ2" i="2" s="1"/>
  <c r="FR2" i="2" s="1"/>
  <c r="FS2" i="2" s="1"/>
  <c r="FT2" i="2" s="1"/>
  <c r="FU2" i="2" s="1"/>
  <c r="FV2" i="2" s="1"/>
  <c r="FW2" i="2" s="1"/>
  <c r="FX2" i="2" s="1"/>
  <c r="FY2" i="2" s="1"/>
  <c r="FZ2" i="2" s="1"/>
  <c r="GA2" i="2" s="1"/>
  <c r="GB2" i="2" s="1"/>
  <c r="GC2" i="2" s="1"/>
  <c r="GD2" i="2" s="1"/>
  <c r="GE2" i="2" s="1"/>
  <c r="GF2" i="2" s="1"/>
  <c r="GG2" i="2" s="1"/>
  <c r="GH2" i="2" s="1"/>
  <c r="GI2" i="2" s="1"/>
  <c r="GJ2" i="2" s="1"/>
  <c r="GK2" i="2" s="1"/>
  <c r="GL2" i="2" s="1"/>
  <c r="GM2" i="2" s="1"/>
  <c r="GN2" i="2" s="1"/>
  <c r="GO2" i="2" s="1"/>
  <c r="GP2" i="2" s="1"/>
  <c r="GQ2" i="2" s="1"/>
  <c r="GR2" i="2" s="1"/>
  <c r="GS2" i="2" s="1"/>
  <c r="GT2" i="2" s="1"/>
  <c r="GU2" i="2" s="1"/>
  <c r="GV2" i="2" s="1"/>
  <c r="GW2" i="2" s="1"/>
  <c r="GX2" i="2" s="1"/>
  <c r="GY2" i="2" s="1"/>
  <c r="GZ2" i="2" s="1"/>
  <c r="HA2" i="2" s="1"/>
  <c r="HB2" i="2" s="1"/>
  <c r="HC2" i="2" s="1"/>
  <c r="HD2" i="2" s="1"/>
  <c r="HE2" i="2" s="1"/>
  <c r="HF2" i="2" s="1"/>
  <c r="HG2" i="2" s="1"/>
  <c r="HH2" i="2" s="1"/>
  <c r="HI2" i="2" s="1"/>
  <c r="HJ2" i="2" s="1"/>
  <c r="HK2" i="2" s="1"/>
  <c r="HL2" i="2" s="1"/>
  <c r="HM2" i="2" s="1"/>
  <c r="HN2" i="2" s="1"/>
  <c r="AB24" i="2"/>
  <c r="AA22" i="2"/>
  <c r="AA21" i="2"/>
  <c r="AA19" i="2"/>
  <c r="AB19" i="2" s="1"/>
  <c r="AC19" i="2" s="1"/>
  <c r="AD19" i="2" s="1"/>
  <c r="AE19" i="2" s="1"/>
  <c r="AF19" i="2" s="1"/>
  <c r="AG19" i="2" s="1"/>
  <c r="AH19" i="2" s="1"/>
  <c r="AI19" i="2" s="1"/>
  <c r="AJ19" i="2" s="1"/>
  <c r="AA18" i="2"/>
  <c r="AB18" i="2" s="1"/>
  <c r="AC18" i="2" s="1"/>
  <c r="AD18" i="2" s="1"/>
  <c r="AE18" i="2" s="1"/>
  <c r="AF18" i="2" s="1"/>
  <c r="AG18" i="2" s="1"/>
  <c r="AH18" i="2" s="1"/>
  <c r="AI18" i="2" s="1"/>
  <c r="AJ18" i="2" s="1"/>
  <c r="AA15" i="2"/>
  <c r="AB15" i="2" s="1"/>
  <c r="AA14" i="2"/>
  <c r="AB14" i="2" s="1"/>
  <c r="AA13" i="2"/>
  <c r="AA24" i="2" s="1"/>
  <c r="AA12" i="2"/>
  <c r="AA11" i="2"/>
  <c r="AA10" i="2"/>
  <c r="AA9" i="2"/>
  <c r="M33" i="2"/>
  <c r="J7" i="2"/>
  <c r="J6" i="2"/>
  <c r="J5" i="2"/>
  <c r="J4" i="2"/>
  <c r="J3" i="2"/>
  <c r="Y29" i="2"/>
  <c r="Y28" i="2"/>
  <c r="Y27" i="2"/>
  <c r="Y26" i="2"/>
  <c r="Y25" i="2"/>
  <c r="Z29" i="2"/>
  <c r="Z28" i="2"/>
  <c r="Z27" i="2"/>
  <c r="Z26" i="2"/>
  <c r="Z25" i="2"/>
  <c r="L29" i="2"/>
  <c r="L28" i="2"/>
  <c r="L27" i="2"/>
  <c r="L26" i="2"/>
  <c r="L25" i="2"/>
  <c r="M29" i="2"/>
  <c r="M28" i="2"/>
  <c r="M27" i="2"/>
  <c r="M26" i="2"/>
  <c r="M25" i="2"/>
  <c r="Y33" i="2"/>
  <c r="Y32" i="2"/>
  <c r="Y31" i="2"/>
  <c r="Y30" i="2"/>
  <c r="Z33" i="2"/>
  <c r="Z32" i="2"/>
  <c r="Z31" i="2"/>
  <c r="Z30" i="2"/>
  <c r="J12" i="2"/>
  <c r="J11" i="2"/>
  <c r="J10" i="2"/>
  <c r="J9" i="2"/>
  <c r="Y13" i="2"/>
  <c r="Z13" i="2"/>
  <c r="K13" i="2"/>
  <c r="H13" i="2"/>
  <c r="H24" i="2" s="1"/>
  <c r="L13" i="2"/>
  <c r="L33" i="2"/>
  <c r="G33" i="2"/>
  <c r="L32" i="2"/>
  <c r="G32" i="2"/>
  <c r="L31" i="2"/>
  <c r="G31" i="2"/>
  <c r="L30" i="2"/>
  <c r="G30" i="2"/>
  <c r="M32" i="2"/>
  <c r="M31" i="2"/>
  <c r="M30" i="2"/>
  <c r="I13" i="2"/>
  <c r="I24" i="2" s="1"/>
  <c r="M13" i="2"/>
  <c r="C13" i="2"/>
  <c r="G13" i="2"/>
  <c r="F21" i="2"/>
  <c r="F19" i="2"/>
  <c r="F18" i="2"/>
  <c r="F16" i="2"/>
  <c r="F15" i="2"/>
  <c r="F14" i="2"/>
  <c r="D35" i="2"/>
  <c r="D17" i="2"/>
  <c r="J21" i="2"/>
  <c r="J19" i="2"/>
  <c r="J18" i="2"/>
  <c r="J16" i="2"/>
  <c r="J15" i="2"/>
  <c r="J14" i="2"/>
  <c r="K7" i="1"/>
  <c r="E35" i="2"/>
  <c r="E17" i="2"/>
  <c r="X35" i="2"/>
  <c r="X17" i="2"/>
  <c r="R2" i="2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AG2" i="2" s="1"/>
  <c r="AH2" i="2" s="1"/>
  <c r="AI2" i="2" s="1"/>
  <c r="AJ2" i="2" s="1"/>
  <c r="AK2" i="2" s="1"/>
  <c r="L6" i="1"/>
  <c r="L7" i="1" s="1"/>
  <c r="K5" i="1"/>
  <c r="AC15" i="2" l="1"/>
  <c r="AD15" i="2" s="1"/>
  <c r="AE15" i="2" s="1"/>
  <c r="AF15" i="2" s="1"/>
  <c r="AG15" i="2" s="1"/>
  <c r="AH15" i="2" s="1"/>
  <c r="AI15" i="2" s="1"/>
  <c r="AJ15" i="2" s="1"/>
  <c r="AC24" i="2"/>
  <c r="AC14" i="2"/>
  <c r="AD14" i="2" s="1"/>
  <c r="AB17" i="2"/>
  <c r="AB20" i="2" s="1"/>
  <c r="AB21" i="2" s="1"/>
  <c r="AB22" i="2" s="1"/>
  <c r="AC17" i="2"/>
  <c r="AC20" i="2" s="1"/>
  <c r="AD16" i="2"/>
  <c r="AE14" i="2"/>
  <c r="Z35" i="2"/>
  <c r="Z17" i="2"/>
  <c r="J13" i="2"/>
  <c r="D20" i="2"/>
  <c r="D22" i="2" s="1"/>
  <c r="D36" i="2"/>
  <c r="E20" i="2"/>
  <c r="E22" i="2" s="1"/>
  <c r="E36" i="2"/>
  <c r="X20" i="2"/>
  <c r="X22" i="2" s="1"/>
  <c r="X36" i="2"/>
  <c r="Y24" i="2"/>
  <c r="Y35" i="2"/>
  <c r="Y17" i="2"/>
  <c r="F13" i="2"/>
  <c r="Z24" i="2"/>
  <c r="G17" i="2"/>
  <c r="K35" i="2"/>
  <c r="K17" i="2"/>
  <c r="H35" i="2"/>
  <c r="H17" i="2"/>
  <c r="L24" i="2"/>
  <c r="L35" i="2"/>
  <c r="L17" i="2"/>
  <c r="M35" i="2"/>
  <c r="M24" i="2"/>
  <c r="M17" i="2"/>
  <c r="I17" i="2"/>
  <c r="I35" i="2"/>
  <c r="C35" i="2"/>
  <c r="C17" i="2"/>
  <c r="G35" i="2"/>
  <c r="K24" i="2"/>
  <c r="G24" i="2"/>
  <c r="J17" i="2"/>
  <c r="J35" i="2"/>
  <c r="F17" i="2"/>
  <c r="K8" i="1"/>
  <c r="AD24" i="2" l="1"/>
  <c r="AE16" i="2"/>
  <c r="AF16" i="2" s="1"/>
  <c r="AG16" i="2" s="1"/>
  <c r="AH16" i="2" s="1"/>
  <c r="AI16" i="2" s="1"/>
  <c r="AJ16" i="2" s="1"/>
  <c r="AD17" i="2"/>
  <c r="AD20" i="2" s="1"/>
  <c r="AD21" i="2" s="1"/>
  <c r="AD22" i="2" s="1"/>
  <c r="AC21" i="2"/>
  <c r="AC22" i="2" s="1"/>
  <c r="AF14" i="2"/>
  <c r="AE17" i="2"/>
  <c r="AE20" i="2" s="1"/>
  <c r="Z36" i="2"/>
  <c r="Z20" i="2"/>
  <c r="Z22" i="2" s="1"/>
  <c r="Y20" i="2"/>
  <c r="Y22" i="2" s="1"/>
  <c r="Y36" i="2"/>
  <c r="F35" i="2"/>
  <c r="J24" i="2"/>
  <c r="G20" i="2"/>
  <c r="G22" i="2" s="1"/>
  <c r="G36" i="2"/>
  <c r="K20" i="2"/>
  <c r="K22" i="2" s="1"/>
  <c r="K36" i="2"/>
  <c r="H20" i="2"/>
  <c r="H22" i="2" s="1"/>
  <c r="H36" i="2"/>
  <c r="L20" i="2"/>
  <c r="L22" i="2" s="1"/>
  <c r="L36" i="2"/>
  <c r="M20" i="2"/>
  <c r="M22" i="2" s="1"/>
  <c r="M36" i="2"/>
  <c r="I20" i="2"/>
  <c r="I22" i="2" s="1"/>
  <c r="I36" i="2"/>
  <c r="C20" i="2"/>
  <c r="C22" i="2" s="1"/>
  <c r="C36" i="2"/>
  <c r="J20" i="2"/>
  <c r="J22" i="2" s="1"/>
  <c r="J36" i="2"/>
  <c r="F20" i="2"/>
  <c r="F22" i="2" s="1"/>
  <c r="F36" i="2"/>
  <c r="AE24" i="2" l="1"/>
  <c r="AG14" i="2"/>
  <c r="AF17" i="2"/>
  <c r="AF20" i="2" s="1"/>
  <c r="AE21" i="2"/>
  <c r="AE22" i="2" s="1"/>
  <c r="AF24" i="2" l="1"/>
  <c r="AH14" i="2"/>
  <c r="AG17" i="2"/>
  <c r="AG20" i="2" s="1"/>
  <c r="AF21" i="2"/>
  <c r="AF22" i="2" s="1"/>
  <c r="AG24" i="2" l="1"/>
  <c r="AI14" i="2"/>
  <c r="AH17" i="2"/>
  <c r="AH20" i="2" s="1"/>
  <c r="AG21" i="2"/>
  <c r="AG22" i="2" s="1"/>
  <c r="AH24" i="2" l="1"/>
  <c r="AJ14" i="2"/>
  <c r="AJ17" i="2" s="1"/>
  <c r="AJ20" i="2" s="1"/>
  <c r="AI17" i="2"/>
  <c r="AI20" i="2" s="1"/>
  <c r="AH21" i="2"/>
  <c r="AH22" i="2"/>
  <c r="AI24" i="2" l="1"/>
  <c r="AJ24" i="2"/>
  <c r="AJ21" i="2"/>
  <c r="AJ22" i="2" s="1"/>
  <c r="AK22" i="2" s="1"/>
  <c r="AL22" i="2" s="1"/>
  <c r="AM22" i="2" s="1"/>
  <c r="AN22" i="2" s="1"/>
  <c r="AO22" i="2" s="1"/>
  <c r="AP22" i="2" s="1"/>
  <c r="AQ22" i="2" s="1"/>
  <c r="AR22" i="2" s="1"/>
  <c r="AS22" i="2" s="1"/>
  <c r="AT22" i="2" s="1"/>
  <c r="AU22" i="2" s="1"/>
  <c r="AV22" i="2" s="1"/>
  <c r="AW22" i="2" s="1"/>
  <c r="AX22" i="2" s="1"/>
  <c r="AY22" i="2" s="1"/>
  <c r="AZ22" i="2" s="1"/>
  <c r="BA22" i="2" s="1"/>
  <c r="BB22" i="2" s="1"/>
  <c r="BC22" i="2" s="1"/>
  <c r="BD22" i="2" s="1"/>
  <c r="BE22" i="2" s="1"/>
  <c r="BF22" i="2" s="1"/>
  <c r="BG22" i="2" s="1"/>
  <c r="BH22" i="2" s="1"/>
  <c r="BI22" i="2" s="1"/>
  <c r="BJ22" i="2" s="1"/>
  <c r="BK22" i="2" s="1"/>
  <c r="BL22" i="2" s="1"/>
  <c r="BM22" i="2" s="1"/>
  <c r="BN22" i="2" s="1"/>
  <c r="BO22" i="2" s="1"/>
  <c r="BP22" i="2" s="1"/>
  <c r="BQ22" i="2" s="1"/>
  <c r="BR22" i="2" s="1"/>
  <c r="BS22" i="2" s="1"/>
  <c r="BT22" i="2" s="1"/>
  <c r="BU22" i="2" s="1"/>
  <c r="BV22" i="2" s="1"/>
  <c r="BW22" i="2" s="1"/>
  <c r="BX22" i="2" s="1"/>
  <c r="BY22" i="2" s="1"/>
  <c r="BZ22" i="2" s="1"/>
  <c r="CA22" i="2" s="1"/>
  <c r="CB22" i="2" s="1"/>
  <c r="CC22" i="2" s="1"/>
  <c r="CD22" i="2" s="1"/>
  <c r="CE22" i="2" s="1"/>
  <c r="CF22" i="2" s="1"/>
  <c r="CG22" i="2" s="1"/>
  <c r="CH22" i="2" s="1"/>
  <c r="CI22" i="2" s="1"/>
  <c r="CJ22" i="2" s="1"/>
  <c r="CK22" i="2" s="1"/>
  <c r="CL22" i="2" s="1"/>
  <c r="CM22" i="2" s="1"/>
  <c r="CN22" i="2" s="1"/>
  <c r="CO22" i="2" s="1"/>
  <c r="CP22" i="2" s="1"/>
  <c r="CQ22" i="2" s="1"/>
  <c r="CR22" i="2" s="1"/>
  <c r="CS22" i="2" s="1"/>
  <c r="CT22" i="2" s="1"/>
  <c r="CU22" i="2" s="1"/>
  <c r="CV22" i="2" s="1"/>
  <c r="CW22" i="2" s="1"/>
  <c r="CX22" i="2" s="1"/>
  <c r="CY22" i="2" s="1"/>
  <c r="CZ22" i="2" s="1"/>
  <c r="DA22" i="2" s="1"/>
  <c r="DB22" i="2" s="1"/>
  <c r="DC22" i="2" s="1"/>
  <c r="DD22" i="2" s="1"/>
  <c r="DE22" i="2" s="1"/>
  <c r="DF22" i="2" s="1"/>
  <c r="DG22" i="2" s="1"/>
  <c r="DH22" i="2" s="1"/>
  <c r="DI22" i="2" s="1"/>
  <c r="DJ22" i="2" s="1"/>
  <c r="DK22" i="2" s="1"/>
  <c r="DL22" i="2" s="1"/>
  <c r="DM22" i="2" s="1"/>
  <c r="DN22" i="2" s="1"/>
  <c r="DO22" i="2" s="1"/>
  <c r="DP22" i="2" s="1"/>
  <c r="DQ22" i="2" s="1"/>
  <c r="DR22" i="2" s="1"/>
  <c r="DS22" i="2" s="1"/>
  <c r="DT22" i="2" s="1"/>
  <c r="DU22" i="2" s="1"/>
  <c r="DV22" i="2" s="1"/>
  <c r="DW22" i="2" s="1"/>
  <c r="DX22" i="2" s="1"/>
  <c r="DY22" i="2" s="1"/>
  <c r="DZ22" i="2" s="1"/>
  <c r="EA22" i="2" s="1"/>
  <c r="EB22" i="2" s="1"/>
  <c r="EC22" i="2" s="1"/>
  <c r="ED22" i="2" s="1"/>
  <c r="EE22" i="2" s="1"/>
  <c r="EF22" i="2" s="1"/>
  <c r="EG22" i="2" s="1"/>
  <c r="EH22" i="2" s="1"/>
  <c r="EI22" i="2" s="1"/>
  <c r="EJ22" i="2" s="1"/>
  <c r="EK22" i="2" s="1"/>
  <c r="EL22" i="2" s="1"/>
  <c r="EM22" i="2" s="1"/>
  <c r="EN22" i="2" s="1"/>
  <c r="EO22" i="2" s="1"/>
  <c r="EP22" i="2" s="1"/>
  <c r="EQ22" i="2" s="1"/>
  <c r="ER22" i="2" s="1"/>
  <c r="ES22" i="2" s="1"/>
  <c r="ET22" i="2" s="1"/>
  <c r="EU22" i="2" s="1"/>
  <c r="EV22" i="2" s="1"/>
  <c r="EW22" i="2" s="1"/>
  <c r="EX22" i="2" s="1"/>
  <c r="EY22" i="2" s="1"/>
  <c r="EZ22" i="2" s="1"/>
  <c r="FA22" i="2" s="1"/>
  <c r="FB22" i="2" s="1"/>
  <c r="FC22" i="2" s="1"/>
  <c r="FD22" i="2" s="1"/>
  <c r="FE22" i="2" s="1"/>
  <c r="FF22" i="2" s="1"/>
  <c r="FG22" i="2" s="1"/>
  <c r="FH22" i="2" s="1"/>
  <c r="FI22" i="2" s="1"/>
  <c r="FJ22" i="2" s="1"/>
  <c r="FK22" i="2" s="1"/>
  <c r="FL22" i="2" s="1"/>
  <c r="FM22" i="2" s="1"/>
  <c r="FN22" i="2" s="1"/>
  <c r="FO22" i="2" s="1"/>
  <c r="FP22" i="2" s="1"/>
  <c r="FQ22" i="2" s="1"/>
  <c r="FR22" i="2" s="1"/>
  <c r="FS22" i="2" s="1"/>
  <c r="FT22" i="2" s="1"/>
  <c r="FU22" i="2" s="1"/>
  <c r="FV22" i="2" s="1"/>
  <c r="FW22" i="2" s="1"/>
  <c r="FX22" i="2" s="1"/>
  <c r="FY22" i="2" s="1"/>
  <c r="FZ22" i="2" s="1"/>
  <c r="GA22" i="2" s="1"/>
  <c r="GB22" i="2" s="1"/>
  <c r="GC22" i="2" s="1"/>
  <c r="GD22" i="2" s="1"/>
  <c r="GE22" i="2" s="1"/>
  <c r="GF22" i="2" s="1"/>
  <c r="GG22" i="2" s="1"/>
  <c r="GH22" i="2" s="1"/>
  <c r="GI22" i="2" s="1"/>
  <c r="GJ22" i="2" s="1"/>
  <c r="GK22" i="2" s="1"/>
  <c r="GL22" i="2" s="1"/>
  <c r="GM22" i="2" s="1"/>
  <c r="GN22" i="2" s="1"/>
  <c r="GO22" i="2" s="1"/>
  <c r="GP22" i="2" s="1"/>
  <c r="GQ22" i="2" s="1"/>
  <c r="GR22" i="2" s="1"/>
  <c r="GS22" i="2" s="1"/>
  <c r="GT22" i="2" s="1"/>
  <c r="GU22" i="2" s="1"/>
  <c r="GV22" i="2" s="1"/>
  <c r="GW22" i="2" s="1"/>
  <c r="GX22" i="2" s="1"/>
  <c r="GY22" i="2" s="1"/>
  <c r="GZ22" i="2" s="1"/>
  <c r="HA22" i="2" s="1"/>
  <c r="HB22" i="2" s="1"/>
  <c r="HC22" i="2" s="1"/>
  <c r="HD22" i="2" s="1"/>
  <c r="HE22" i="2" s="1"/>
  <c r="HF22" i="2" s="1"/>
  <c r="HG22" i="2" s="1"/>
  <c r="HH22" i="2" s="1"/>
  <c r="HI22" i="2" s="1"/>
  <c r="HJ22" i="2" s="1"/>
  <c r="HK22" i="2" s="1"/>
  <c r="HL22" i="2" s="1"/>
  <c r="HM22" i="2" s="1"/>
  <c r="HN22" i="2" s="1"/>
  <c r="HO22" i="2" s="1"/>
  <c r="HP22" i="2" s="1"/>
  <c r="HQ22" i="2" s="1"/>
  <c r="HR22" i="2" s="1"/>
  <c r="HS22" i="2" s="1"/>
  <c r="HT22" i="2" s="1"/>
  <c r="HU22" i="2" s="1"/>
  <c r="HV22" i="2" s="1"/>
  <c r="HW22" i="2" s="1"/>
  <c r="HX22" i="2" s="1"/>
  <c r="HY22" i="2" s="1"/>
  <c r="HZ22" i="2" s="1"/>
  <c r="IA22" i="2" s="1"/>
  <c r="IB22" i="2" s="1"/>
  <c r="IC22" i="2" s="1"/>
  <c r="AI21" i="2"/>
  <c r="AI22" i="2" s="1"/>
  <c r="AM28" i="2" l="1"/>
  <c r="AM30" i="2" s="1"/>
  <c r="AM32" i="2" s="1"/>
</calcChain>
</file>

<file path=xl/sharedStrings.xml><?xml version="1.0" encoding="utf-8"?>
<sst xmlns="http://schemas.openxmlformats.org/spreadsheetml/2006/main" count="92" uniqueCount="80">
  <si>
    <t>P</t>
  </si>
  <si>
    <t>S</t>
  </si>
  <si>
    <t>MC</t>
  </si>
  <si>
    <t>C</t>
  </si>
  <si>
    <t>D</t>
  </si>
  <si>
    <t>EV</t>
  </si>
  <si>
    <t>Q124</t>
  </si>
  <si>
    <t>Q125</t>
  </si>
  <si>
    <t>Q123</t>
  </si>
  <si>
    <t>Q223</t>
  </si>
  <si>
    <t>Q323</t>
  </si>
  <si>
    <t>Q423</t>
  </si>
  <si>
    <t>Q224</t>
  </si>
  <si>
    <t>Q324</t>
  </si>
  <si>
    <t>Q424</t>
  </si>
  <si>
    <t>Q225</t>
  </si>
  <si>
    <t>Q325</t>
  </si>
  <si>
    <t>Q425</t>
  </si>
  <si>
    <t>R</t>
  </si>
  <si>
    <t xml:space="preserve">Operating Income </t>
  </si>
  <si>
    <t>S&amp;m</t>
  </si>
  <si>
    <t>R&amp;d</t>
  </si>
  <si>
    <t>Pension/postretirement</t>
  </si>
  <si>
    <t>Interest Exp</t>
  </si>
  <si>
    <t>EBT</t>
  </si>
  <si>
    <t>T</t>
  </si>
  <si>
    <t xml:space="preserve">Net Income </t>
  </si>
  <si>
    <t>R y/y</t>
  </si>
  <si>
    <t>GM%</t>
  </si>
  <si>
    <t xml:space="preserve">CFO </t>
  </si>
  <si>
    <t xml:space="preserve">CEO </t>
  </si>
  <si>
    <t>NA</t>
  </si>
  <si>
    <t>LA</t>
  </si>
  <si>
    <t>EMEA</t>
  </si>
  <si>
    <t xml:space="preserve">Asia </t>
  </si>
  <si>
    <t>Insecticides</t>
  </si>
  <si>
    <t>Herbicides</t>
  </si>
  <si>
    <t>Fungicides</t>
  </si>
  <si>
    <t xml:space="preserve">Plant Health </t>
  </si>
  <si>
    <t>OM%</t>
  </si>
  <si>
    <t xml:space="preserve">Other </t>
  </si>
  <si>
    <t xml:space="preserve">Terminal </t>
  </si>
  <si>
    <t xml:space="preserve">Discount </t>
  </si>
  <si>
    <t>NPV</t>
  </si>
  <si>
    <t>Shares</t>
  </si>
  <si>
    <t>Estimat e</t>
  </si>
  <si>
    <t xml:space="preserve">Current </t>
  </si>
  <si>
    <t xml:space="preserve">Upside </t>
  </si>
  <si>
    <t xml:space="preserve">Cash </t>
  </si>
  <si>
    <t>Trade Rec</t>
  </si>
  <si>
    <t>Inventories</t>
  </si>
  <si>
    <t>Prepaid &amp; OCA</t>
  </si>
  <si>
    <t xml:space="preserve">Assets held </t>
  </si>
  <si>
    <t>Investments</t>
  </si>
  <si>
    <t>PPE</t>
  </si>
  <si>
    <t>Goodwill</t>
  </si>
  <si>
    <t>Other intangibles</t>
  </si>
  <si>
    <t>OA</t>
  </si>
  <si>
    <t>Deferred I/T</t>
  </si>
  <si>
    <t xml:space="preserve">Total Assets </t>
  </si>
  <si>
    <t>Debt</t>
  </si>
  <si>
    <t>A/P</t>
  </si>
  <si>
    <t>Advance payments</t>
  </si>
  <si>
    <t>Accrued and other</t>
  </si>
  <si>
    <t>Accrued cust rebates</t>
  </si>
  <si>
    <t>Gurantees of vendor fin</t>
  </si>
  <si>
    <t>Accrued Pension</t>
  </si>
  <si>
    <t>Income taxes</t>
  </si>
  <si>
    <t>Liabilities held for sale</t>
  </si>
  <si>
    <t>LTD</t>
  </si>
  <si>
    <t>Enviro liab</t>
  </si>
  <si>
    <t>Deferred i/t</t>
  </si>
  <si>
    <t>OLTL</t>
  </si>
  <si>
    <t xml:space="preserve">Equity </t>
  </si>
  <si>
    <t>TL + E</t>
  </si>
  <si>
    <t xml:space="preserve">swaps </t>
  </si>
  <si>
    <t xml:space="preserve">DSO </t>
  </si>
  <si>
    <t>DIO</t>
  </si>
  <si>
    <t xml:space="preserve">DPO </t>
  </si>
  <si>
    <t>CCC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</si>
</sst>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#,##0.0"/>
    <numFmt numFmtId="165" formatCode="0.0%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3" fontId="0" fillId="0" borderId="0" xfId="0" applyNumberFormat="1"/>
    <xf numFmtId="9" fontId="0" fillId="0" borderId="0" xfId="0" applyNumberFormat="1"/>
    <xf numFmtId="9" fontId="1" fillId="0" borderId="0" xfId="0" applyNumberFormat="1" applyFont="1"/>
    <xf numFmtId="4" fontId="0" fillId="0" borderId="0" xfId="0" applyNumberFormat="1"/>
    <xf numFmtId="9" fontId="2" fillId="0" borderId="0" xfId="0" applyNumberFormat="1" applyFont="1"/>
    <xf numFmtId="0" fontId="2" fillId="0" borderId="0" xfId="0" applyFont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3" fontId="0" fillId="2" borderId="0" xfId="0" applyNumberFormat="1" applyFill="1" applyAlignment="1">
      <alignment horizontal="right"/>
    </xf>
    <xf numFmtId="9" fontId="1" fillId="0" borderId="0" xfId="0" applyNumberFormat="1" applyFont="1" applyAlignment="1">
      <alignment horizontal="right"/>
    </xf>
    <xf numFmtId="9" fontId="2" fillId="0" borderId="0" xfId="0" applyNumberFormat="1" applyFont="1" applyAlignment="1">
      <alignment horizontal="right"/>
    </xf>
    <xf numFmtId="9" fontId="2" fillId="2" borderId="0" xfId="0" applyNumberFormat="1" applyFont="1" applyFill="1" applyAlignment="1">
      <alignment horizontal="right"/>
    </xf>
    <xf numFmtId="9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3" fontId="1" fillId="3" borderId="0" xfId="0" applyNumberFormat="1" applyFont="1" applyFill="1" applyAlignment="1">
      <alignment horizontal="right"/>
    </xf>
    <xf numFmtId="9" fontId="2" fillId="0" borderId="0" xfId="0" applyNumberFormat="1" applyFont="1" applyAlignment="1">
      <alignment horizontal="left"/>
    </xf>
    <xf numFmtId="9" fontId="1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center"/>
    </xf>
    <xf numFmtId="8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1" fontId="0" fillId="0" borderId="0" xfId="0" applyNumberFormat="1" applyAlignment="1">
      <alignment horizontal="right"/>
    </xf>
    <xf numFmtId="1" fontId="0" fillId="2" borderId="0" xfId="0" applyNumberForma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0</xdr:row>
      <xdr:rowOff>63500</xdr:rowOff>
    </xdr:from>
    <xdr:to>
      <xdr:col>13</xdr:col>
      <xdr:colOff>12700</xdr:colOff>
      <xdr:row>84</xdr:row>
      <xdr:rowOff>190500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1E11CCA-ABBA-678E-9691-EFEA741B08DC}"/>
            </a:ext>
          </a:extLst>
        </xdr:cNvPr>
        <xdr:cNvCxnSpPr/>
      </xdr:nvCxnSpPr>
      <xdr:spPr>
        <a:xfrm>
          <a:off x="6540500" y="63500"/>
          <a:ext cx="12700" cy="171958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0</xdr:row>
      <xdr:rowOff>0</xdr:rowOff>
    </xdr:from>
    <xdr:to>
      <xdr:col>26</xdr:col>
      <xdr:colOff>25400</xdr:colOff>
      <xdr:row>62</xdr:row>
      <xdr:rowOff>127000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B6EB86E4-173C-A743-A629-C6F33598DAD2}"/>
            </a:ext>
          </a:extLst>
        </xdr:cNvPr>
        <xdr:cNvCxnSpPr/>
      </xdr:nvCxnSpPr>
      <xdr:spPr>
        <a:xfrm>
          <a:off x="12230100" y="0"/>
          <a:ext cx="25400" cy="127254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5E0AA-7BFD-E34E-BE70-808448DE67D7}">
  <dimension ref="B3:L8"/>
  <sheetViews>
    <sheetView workbookViewId="0">
      <selection activeCell="B3" sqref="B3"/>
    </sheetView>
  </sheetViews>
  <sheetFormatPr baseColWidth="10" defaultRowHeight="16" x14ac:dyDescent="0.2"/>
  <cols>
    <col min="5" max="5" width="4" bestFit="1" customWidth="1"/>
    <col min="6" max="6" width="5.6640625" bestFit="1" customWidth="1"/>
    <col min="7" max="7" width="5.5" bestFit="1" customWidth="1"/>
    <col min="12" max="12" width="5.5" bestFit="1" customWidth="1"/>
  </cols>
  <sheetData>
    <row r="3" spans="2:12" x14ac:dyDescent="0.2">
      <c r="B3" t="s">
        <v>30</v>
      </c>
      <c r="J3" t="s">
        <v>0</v>
      </c>
      <c r="K3" s="4">
        <v>12.85</v>
      </c>
    </row>
    <row r="4" spans="2:12" x14ac:dyDescent="0.2">
      <c r="B4" t="s">
        <v>29</v>
      </c>
      <c r="J4" t="s">
        <v>1</v>
      </c>
      <c r="K4">
        <v>124.920067</v>
      </c>
      <c r="L4" t="s">
        <v>16</v>
      </c>
    </row>
    <row r="5" spans="2:12" x14ac:dyDescent="0.2">
      <c r="J5" t="s">
        <v>2</v>
      </c>
      <c r="K5" s="1">
        <f>+K3*K4</f>
        <v>1605.22286095</v>
      </c>
    </row>
    <row r="6" spans="2:12" x14ac:dyDescent="0.2">
      <c r="J6" t="s">
        <v>3</v>
      </c>
      <c r="K6" s="1">
        <v>497.7</v>
      </c>
      <c r="L6" t="str">
        <f>+L4</f>
        <v>Q325</v>
      </c>
    </row>
    <row r="7" spans="2:12" x14ac:dyDescent="0.2">
      <c r="J7" t="s">
        <v>4</v>
      </c>
      <c r="K7" s="1">
        <f>1271.7+3270.5</f>
        <v>4542.2</v>
      </c>
      <c r="L7" t="str">
        <f>+L6</f>
        <v>Q325</v>
      </c>
    </row>
    <row r="8" spans="2:12" x14ac:dyDescent="0.2">
      <c r="J8" t="s">
        <v>5</v>
      </c>
      <c r="K8" s="1">
        <f>+K5-K6+K7</f>
        <v>5649.7228609499998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F92E4-5FA0-764E-A33D-9659667BB8B0}">
  <dimension ref="B2:ID71"/>
  <sheetViews>
    <sheetView tabSelected="1" zoomScale="115" workbookViewId="0">
      <pane xSplit="2" ySplit="2" topLeftCell="C20" activePane="bottomRight" state="frozen"/>
      <selection pane="topRight" activeCell="B1" sqref="B1"/>
      <selection pane="bottomLeft" activeCell="A2" sqref="A2"/>
      <selection pane="bottomRight" activeCell="J71" sqref="J71"/>
    </sheetView>
  </sheetViews>
  <sheetFormatPr baseColWidth="10" defaultRowHeight="16" x14ac:dyDescent="0.2"/>
  <cols>
    <col min="1" max="1" width="1.83203125" customWidth="1"/>
    <col min="2" max="2" width="20.5" bestFit="1" customWidth="1"/>
    <col min="3" max="4" width="5.6640625" style="7" bestFit="1" customWidth="1"/>
    <col min="5" max="5" width="5.5" style="7" bestFit="1" customWidth="1"/>
    <col min="6" max="6" width="6.33203125" style="7" bestFit="1" customWidth="1"/>
    <col min="7" max="7" width="5.5" style="7" bestFit="1" customWidth="1"/>
    <col min="8" max="9" width="5.6640625" style="7" bestFit="1" customWidth="1"/>
    <col min="10" max="13" width="6.6640625" style="7" bestFit="1" customWidth="1"/>
    <col min="14" max="14" width="5.6640625" style="7" bestFit="1" customWidth="1"/>
    <col min="15" max="16" width="4" customWidth="1"/>
    <col min="17" max="23" width="5.1640625" style="7" bestFit="1" customWidth="1"/>
    <col min="24" max="24" width="5.6640625" style="7" bestFit="1" customWidth="1"/>
    <col min="25" max="25" width="6.33203125" style="7" bestFit="1" customWidth="1"/>
    <col min="26" max="36" width="5.6640625" style="7" bestFit="1" customWidth="1"/>
    <col min="37" max="37" width="5.1640625" style="7" bestFit="1" customWidth="1"/>
    <col min="38" max="38" width="8.83203125" style="7" bestFit="1" customWidth="1"/>
    <col min="39" max="39" width="9.83203125" style="7" bestFit="1" customWidth="1"/>
    <col min="40" max="237" width="5.1640625" bestFit="1" customWidth="1"/>
  </cols>
  <sheetData>
    <row r="2" spans="2:238" x14ac:dyDescent="0.2">
      <c r="C2" s="7" t="s">
        <v>8</v>
      </c>
      <c r="D2" s="7" t="s">
        <v>9</v>
      </c>
      <c r="E2" s="7" t="s">
        <v>10</v>
      </c>
      <c r="F2" s="7" t="s">
        <v>11</v>
      </c>
      <c r="G2" s="7" t="s">
        <v>6</v>
      </c>
      <c r="H2" s="7" t="s">
        <v>12</v>
      </c>
      <c r="I2" s="7" t="s">
        <v>13</v>
      </c>
      <c r="J2" s="7" t="s">
        <v>14</v>
      </c>
      <c r="K2" s="7" t="s">
        <v>7</v>
      </c>
      <c r="L2" s="7" t="s">
        <v>15</v>
      </c>
      <c r="M2" s="7" t="s">
        <v>16</v>
      </c>
      <c r="N2" s="7" t="s">
        <v>17</v>
      </c>
      <c r="Q2" s="7">
        <v>2015</v>
      </c>
      <c r="R2" s="7">
        <f>+Q2+1</f>
        <v>2016</v>
      </c>
      <c r="S2" s="7">
        <f t="shared" ref="S2:AK2" si="0">+R2+1</f>
        <v>2017</v>
      </c>
      <c r="T2" s="7">
        <f t="shared" si="0"/>
        <v>2018</v>
      </c>
      <c r="U2" s="7">
        <f t="shared" si="0"/>
        <v>2019</v>
      </c>
      <c r="V2" s="7">
        <f t="shared" si="0"/>
        <v>2020</v>
      </c>
      <c r="W2" s="7">
        <f t="shared" si="0"/>
        <v>2021</v>
      </c>
      <c r="X2" s="7">
        <f t="shared" si="0"/>
        <v>2022</v>
      </c>
      <c r="Y2" s="7">
        <f t="shared" si="0"/>
        <v>2023</v>
      </c>
      <c r="Z2" s="7">
        <f t="shared" si="0"/>
        <v>2024</v>
      </c>
      <c r="AA2" s="7">
        <f t="shared" si="0"/>
        <v>2025</v>
      </c>
      <c r="AB2" s="7">
        <f t="shared" si="0"/>
        <v>2026</v>
      </c>
      <c r="AC2" s="7">
        <f t="shared" si="0"/>
        <v>2027</v>
      </c>
      <c r="AD2" s="7">
        <f t="shared" si="0"/>
        <v>2028</v>
      </c>
      <c r="AE2" s="7">
        <f t="shared" si="0"/>
        <v>2029</v>
      </c>
      <c r="AF2" s="7">
        <f t="shared" si="0"/>
        <v>2030</v>
      </c>
      <c r="AG2" s="7">
        <f t="shared" si="0"/>
        <v>2031</v>
      </c>
      <c r="AH2" s="7">
        <f t="shared" si="0"/>
        <v>2032</v>
      </c>
      <c r="AI2" s="7">
        <f t="shared" si="0"/>
        <v>2033</v>
      </c>
      <c r="AJ2" s="7">
        <f t="shared" si="0"/>
        <v>2034</v>
      </c>
      <c r="AK2" s="7">
        <f t="shared" si="0"/>
        <v>2035</v>
      </c>
      <c r="AL2" s="7">
        <f t="shared" ref="AL2" si="1">+AK2+1</f>
        <v>2036</v>
      </c>
      <c r="AM2" s="7">
        <f t="shared" ref="AM2" si="2">+AL2+1</f>
        <v>2037</v>
      </c>
      <c r="AN2" s="7">
        <f t="shared" ref="AN2" si="3">+AM2+1</f>
        <v>2038</v>
      </c>
      <c r="AO2" s="7">
        <f t="shared" ref="AO2" si="4">+AN2+1</f>
        <v>2039</v>
      </c>
      <c r="AP2" s="7">
        <f t="shared" ref="AP2" si="5">+AO2+1</f>
        <v>2040</v>
      </c>
      <c r="AQ2" s="7">
        <f t="shared" ref="AQ2" si="6">+AP2+1</f>
        <v>2041</v>
      </c>
      <c r="AR2" s="7">
        <f t="shared" ref="AR2" si="7">+AQ2+1</f>
        <v>2042</v>
      </c>
      <c r="AS2" s="7">
        <f t="shared" ref="AS2" si="8">+AR2+1</f>
        <v>2043</v>
      </c>
      <c r="AT2" s="7">
        <f t="shared" ref="AT2" si="9">+AS2+1</f>
        <v>2044</v>
      </c>
      <c r="AU2" s="7">
        <f t="shared" ref="AU2" si="10">+AT2+1</f>
        <v>2045</v>
      </c>
      <c r="AV2" s="7">
        <f t="shared" ref="AV2" si="11">+AU2+1</f>
        <v>2046</v>
      </c>
      <c r="AW2" s="7">
        <f t="shared" ref="AW2" si="12">+AV2+1</f>
        <v>2047</v>
      </c>
      <c r="AX2" s="7">
        <f t="shared" ref="AX2" si="13">+AW2+1</f>
        <v>2048</v>
      </c>
      <c r="AY2" s="7">
        <f t="shared" ref="AY2" si="14">+AX2+1</f>
        <v>2049</v>
      </c>
      <c r="AZ2" s="7">
        <f t="shared" ref="AZ2" si="15">+AY2+1</f>
        <v>2050</v>
      </c>
      <c r="BA2" s="7">
        <f t="shared" ref="BA2" si="16">+AZ2+1</f>
        <v>2051</v>
      </c>
      <c r="BB2" s="7">
        <f t="shared" ref="BB2" si="17">+BA2+1</f>
        <v>2052</v>
      </c>
      <c r="BC2" s="7">
        <f t="shared" ref="BC2" si="18">+BB2+1</f>
        <v>2053</v>
      </c>
      <c r="BD2" s="7">
        <f t="shared" ref="BD2" si="19">+BC2+1</f>
        <v>2054</v>
      </c>
      <c r="BE2" s="7">
        <f t="shared" ref="BE2" si="20">+BD2+1</f>
        <v>2055</v>
      </c>
      <c r="BF2" s="7">
        <f t="shared" ref="BF2" si="21">+BE2+1</f>
        <v>2056</v>
      </c>
      <c r="BG2" s="7">
        <f t="shared" ref="BG2" si="22">+BF2+1</f>
        <v>2057</v>
      </c>
      <c r="BH2" s="7">
        <f t="shared" ref="BH2" si="23">+BG2+1</f>
        <v>2058</v>
      </c>
      <c r="BI2" s="7">
        <f t="shared" ref="BI2" si="24">+BH2+1</f>
        <v>2059</v>
      </c>
      <c r="BJ2" s="7">
        <f t="shared" ref="BJ2" si="25">+BI2+1</f>
        <v>2060</v>
      </c>
      <c r="BK2" s="7">
        <f t="shared" ref="BK2" si="26">+BJ2+1</f>
        <v>2061</v>
      </c>
      <c r="BL2" s="7">
        <f t="shared" ref="BL2" si="27">+BK2+1</f>
        <v>2062</v>
      </c>
      <c r="BM2" s="7">
        <f t="shared" ref="BM2" si="28">+BL2+1</f>
        <v>2063</v>
      </c>
      <c r="BN2" s="7">
        <f t="shared" ref="BN2" si="29">+BM2+1</f>
        <v>2064</v>
      </c>
      <c r="BO2" s="7">
        <f t="shared" ref="BO2" si="30">+BN2+1</f>
        <v>2065</v>
      </c>
      <c r="BP2" s="7">
        <f t="shared" ref="BP2" si="31">+BO2+1</f>
        <v>2066</v>
      </c>
      <c r="BQ2" s="7">
        <f t="shared" ref="BQ2" si="32">+BP2+1</f>
        <v>2067</v>
      </c>
      <c r="BR2" s="7">
        <f t="shared" ref="BR2" si="33">+BQ2+1</f>
        <v>2068</v>
      </c>
      <c r="BS2" s="7">
        <f t="shared" ref="BS2" si="34">+BR2+1</f>
        <v>2069</v>
      </c>
      <c r="BT2" s="7">
        <f t="shared" ref="BT2" si="35">+BS2+1</f>
        <v>2070</v>
      </c>
      <c r="BU2" s="7">
        <f t="shared" ref="BU2" si="36">+BT2+1</f>
        <v>2071</v>
      </c>
      <c r="BV2" s="7">
        <f t="shared" ref="BV2" si="37">+BU2+1</f>
        <v>2072</v>
      </c>
      <c r="BW2" s="7">
        <f t="shared" ref="BW2" si="38">+BV2+1</f>
        <v>2073</v>
      </c>
      <c r="BX2" s="7">
        <f t="shared" ref="BX2" si="39">+BW2+1</f>
        <v>2074</v>
      </c>
      <c r="BY2" s="7">
        <f t="shared" ref="BY2" si="40">+BX2+1</f>
        <v>2075</v>
      </c>
      <c r="BZ2" s="7">
        <f t="shared" ref="BZ2" si="41">+BY2+1</f>
        <v>2076</v>
      </c>
      <c r="CA2" s="7">
        <f t="shared" ref="CA2" si="42">+BZ2+1</f>
        <v>2077</v>
      </c>
      <c r="CB2" s="7">
        <f t="shared" ref="CB2" si="43">+CA2+1</f>
        <v>2078</v>
      </c>
      <c r="CC2" s="7">
        <f t="shared" ref="CC2" si="44">+CB2+1</f>
        <v>2079</v>
      </c>
      <c r="CD2" s="7">
        <f t="shared" ref="CD2" si="45">+CC2+1</f>
        <v>2080</v>
      </c>
      <c r="CE2" s="7">
        <f t="shared" ref="CE2" si="46">+CD2+1</f>
        <v>2081</v>
      </c>
      <c r="CF2" s="7">
        <f t="shared" ref="CF2" si="47">+CE2+1</f>
        <v>2082</v>
      </c>
      <c r="CG2" s="7">
        <f t="shared" ref="CG2" si="48">+CF2+1</f>
        <v>2083</v>
      </c>
      <c r="CH2" s="7">
        <f t="shared" ref="CH2" si="49">+CG2+1</f>
        <v>2084</v>
      </c>
      <c r="CI2" s="7">
        <f t="shared" ref="CI2" si="50">+CH2+1</f>
        <v>2085</v>
      </c>
      <c r="CJ2" s="7">
        <f t="shared" ref="CJ2" si="51">+CI2+1</f>
        <v>2086</v>
      </c>
      <c r="CK2" s="7">
        <f t="shared" ref="CK2" si="52">+CJ2+1</f>
        <v>2087</v>
      </c>
      <c r="CL2" s="7">
        <f t="shared" ref="CL2" si="53">+CK2+1</f>
        <v>2088</v>
      </c>
      <c r="CM2" s="7">
        <f t="shared" ref="CM2" si="54">+CL2+1</f>
        <v>2089</v>
      </c>
      <c r="CN2" s="7">
        <f t="shared" ref="CN2" si="55">+CM2+1</f>
        <v>2090</v>
      </c>
      <c r="CO2" s="7">
        <f t="shared" ref="CO2" si="56">+CN2+1</f>
        <v>2091</v>
      </c>
      <c r="CP2" s="7">
        <f t="shared" ref="CP2" si="57">+CO2+1</f>
        <v>2092</v>
      </c>
      <c r="CQ2" s="7">
        <f t="shared" ref="CQ2" si="58">+CP2+1</f>
        <v>2093</v>
      </c>
      <c r="CR2" s="7">
        <f t="shared" ref="CR2" si="59">+CQ2+1</f>
        <v>2094</v>
      </c>
      <c r="CS2" s="7">
        <f t="shared" ref="CS2" si="60">+CR2+1</f>
        <v>2095</v>
      </c>
      <c r="CT2" s="7">
        <f t="shared" ref="CT2" si="61">+CS2+1</f>
        <v>2096</v>
      </c>
      <c r="CU2" s="7">
        <f t="shared" ref="CU2" si="62">+CT2+1</f>
        <v>2097</v>
      </c>
      <c r="CV2" s="7">
        <f t="shared" ref="CV2" si="63">+CU2+1</f>
        <v>2098</v>
      </c>
      <c r="CW2" s="7">
        <f t="shared" ref="CW2" si="64">+CV2+1</f>
        <v>2099</v>
      </c>
      <c r="CX2" s="7">
        <f t="shared" ref="CX2" si="65">+CW2+1</f>
        <v>2100</v>
      </c>
      <c r="CY2" s="7">
        <f t="shared" ref="CY2" si="66">+CX2+1</f>
        <v>2101</v>
      </c>
      <c r="CZ2" s="7">
        <f t="shared" ref="CZ2" si="67">+CY2+1</f>
        <v>2102</v>
      </c>
      <c r="DA2" s="7">
        <f t="shared" ref="DA2" si="68">+CZ2+1</f>
        <v>2103</v>
      </c>
      <c r="DB2" s="7">
        <f t="shared" ref="DB2" si="69">+DA2+1</f>
        <v>2104</v>
      </c>
      <c r="DC2" s="7">
        <f t="shared" ref="DC2" si="70">+DB2+1</f>
        <v>2105</v>
      </c>
      <c r="DD2" s="7">
        <f t="shared" ref="DD2" si="71">+DC2+1</f>
        <v>2106</v>
      </c>
      <c r="DE2" s="7">
        <f t="shared" ref="DE2" si="72">+DD2+1</f>
        <v>2107</v>
      </c>
      <c r="DF2" s="7">
        <f t="shared" ref="DF2" si="73">+DE2+1</f>
        <v>2108</v>
      </c>
      <c r="DG2" s="7">
        <f t="shared" ref="DG2" si="74">+DF2+1</f>
        <v>2109</v>
      </c>
      <c r="DH2" s="7">
        <f t="shared" ref="DH2" si="75">+DG2+1</f>
        <v>2110</v>
      </c>
      <c r="DI2" s="7">
        <f t="shared" ref="DI2" si="76">+DH2+1</f>
        <v>2111</v>
      </c>
      <c r="DJ2" s="7">
        <f t="shared" ref="DJ2" si="77">+DI2+1</f>
        <v>2112</v>
      </c>
      <c r="DK2" s="7">
        <f t="shared" ref="DK2" si="78">+DJ2+1</f>
        <v>2113</v>
      </c>
      <c r="DL2" s="7">
        <f t="shared" ref="DL2" si="79">+DK2+1</f>
        <v>2114</v>
      </c>
      <c r="DM2" s="7">
        <f t="shared" ref="DM2" si="80">+DL2+1</f>
        <v>2115</v>
      </c>
      <c r="DN2" s="7">
        <f t="shared" ref="DN2" si="81">+DM2+1</f>
        <v>2116</v>
      </c>
      <c r="DO2" s="7">
        <f t="shared" ref="DO2" si="82">+DN2+1</f>
        <v>2117</v>
      </c>
      <c r="DP2" s="7">
        <f t="shared" ref="DP2" si="83">+DO2+1</f>
        <v>2118</v>
      </c>
      <c r="DQ2" s="7">
        <f t="shared" ref="DQ2" si="84">+DP2+1</f>
        <v>2119</v>
      </c>
      <c r="DR2" s="7">
        <f t="shared" ref="DR2" si="85">+DQ2+1</f>
        <v>2120</v>
      </c>
      <c r="DS2" s="7">
        <f t="shared" ref="DS2" si="86">+DR2+1</f>
        <v>2121</v>
      </c>
      <c r="DT2" s="7">
        <f t="shared" ref="DT2" si="87">+DS2+1</f>
        <v>2122</v>
      </c>
      <c r="DU2" s="7">
        <f t="shared" ref="DU2" si="88">+DT2+1</f>
        <v>2123</v>
      </c>
      <c r="DV2" s="7">
        <f t="shared" ref="DV2" si="89">+DU2+1</f>
        <v>2124</v>
      </c>
      <c r="DW2" s="7">
        <f t="shared" ref="DW2" si="90">+DV2+1</f>
        <v>2125</v>
      </c>
      <c r="DX2" s="7">
        <f t="shared" ref="DX2" si="91">+DW2+1</f>
        <v>2126</v>
      </c>
      <c r="DY2" s="7">
        <f t="shared" ref="DY2" si="92">+DX2+1</f>
        <v>2127</v>
      </c>
      <c r="DZ2" s="7">
        <f t="shared" ref="DZ2" si="93">+DY2+1</f>
        <v>2128</v>
      </c>
      <c r="EA2" s="7">
        <f t="shared" ref="EA2" si="94">+DZ2+1</f>
        <v>2129</v>
      </c>
      <c r="EB2" s="7">
        <f t="shared" ref="EB2" si="95">+EA2+1</f>
        <v>2130</v>
      </c>
      <c r="EC2" s="7">
        <f t="shared" ref="EC2" si="96">+EB2+1</f>
        <v>2131</v>
      </c>
      <c r="ED2" s="7">
        <f t="shared" ref="ED2" si="97">+EC2+1</f>
        <v>2132</v>
      </c>
      <c r="EE2" s="7">
        <f t="shared" ref="EE2" si="98">+ED2+1</f>
        <v>2133</v>
      </c>
      <c r="EF2" s="7">
        <f t="shared" ref="EF2" si="99">+EE2+1</f>
        <v>2134</v>
      </c>
      <c r="EG2" s="7">
        <f t="shared" ref="EG2" si="100">+EF2+1</f>
        <v>2135</v>
      </c>
      <c r="EH2" s="7">
        <f t="shared" ref="EH2" si="101">+EG2+1</f>
        <v>2136</v>
      </c>
      <c r="EI2" s="7">
        <f t="shared" ref="EI2" si="102">+EH2+1</f>
        <v>2137</v>
      </c>
      <c r="EJ2" s="7">
        <f t="shared" ref="EJ2" si="103">+EI2+1</f>
        <v>2138</v>
      </c>
      <c r="EK2" s="7">
        <f t="shared" ref="EK2" si="104">+EJ2+1</f>
        <v>2139</v>
      </c>
      <c r="EL2" s="7">
        <f t="shared" ref="EL2" si="105">+EK2+1</f>
        <v>2140</v>
      </c>
      <c r="EM2" s="7">
        <f t="shared" ref="EM2" si="106">+EL2+1</f>
        <v>2141</v>
      </c>
      <c r="EN2" s="7">
        <f t="shared" ref="EN2" si="107">+EM2+1</f>
        <v>2142</v>
      </c>
      <c r="EO2" s="7">
        <f t="shared" ref="EO2" si="108">+EN2+1</f>
        <v>2143</v>
      </c>
      <c r="EP2" s="7">
        <f t="shared" ref="EP2" si="109">+EO2+1</f>
        <v>2144</v>
      </c>
      <c r="EQ2" s="7">
        <f t="shared" ref="EQ2" si="110">+EP2+1</f>
        <v>2145</v>
      </c>
      <c r="ER2" s="7">
        <f t="shared" ref="ER2" si="111">+EQ2+1</f>
        <v>2146</v>
      </c>
      <c r="ES2" s="7">
        <f t="shared" ref="ES2" si="112">+ER2+1</f>
        <v>2147</v>
      </c>
      <c r="ET2" s="7">
        <f t="shared" ref="ET2" si="113">+ES2+1</f>
        <v>2148</v>
      </c>
      <c r="EU2" s="7">
        <f t="shared" ref="EU2" si="114">+ET2+1</f>
        <v>2149</v>
      </c>
      <c r="EV2" s="7">
        <f t="shared" ref="EV2" si="115">+EU2+1</f>
        <v>2150</v>
      </c>
      <c r="EW2" s="7">
        <f t="shared" ref="EW2" si="116">+EV2+1</f>
        <v>2151</v>
      </c>
      <c r="EX2" s="7">
        <f t="shared" ref="EX2" si="117">+EW2+1</f>
        <v>2152</v>
      </c>
      <c r="EY2" s="7">
        <f t="shared" ref="EY2" si="118">+EX2+1</f>
        <v>2153</v>
      </c>
      <c r="EZ2" s="7">
        <f t="shared" ref="EZ2" si="119">+EY2+1</f>
        <v>2154</v>
      </c>
      <c r="FA2" s="7">
        <f t="shared" ref="FA2" si="120">+EZ2+1</f>
        <v>2155</v>
      </c>
      <c r="FB2" s="7">
        <f t="shared" ref="FB2" si="121">+FA2+1</f>
        <v>2156</v>
      </c>
      <c r="FC2" s="7">
        <f t="shared" ref="FC2" si="122">+FB2+1</f>
        <v>2157</v>
      </c>
      <c r="FD2" s="7">
        <f t="shared" ref="FD2" si="123">+FC2+1</f>
        <v>2158</v>
      </c>
      <c r="FE2" s="7">
        <f t="shared" ref="FE2" si="124">+FD2+1</f>
        <v>2159</v>
      </c>
      <c r="FF2" s="7">
        <f t="shared" ref="FF2" si="125">+FE2+1</f>
        <v>2160</v>
      </c>
      <c r="FG2" s="7">
        <f t="shared" ref="FG2" si="126">+FF2+1</f>
        <v>2161</v>
      </c>
      <c r="FH2" s="7">
        <f t="shared" ref="FH2" si="127">+FG2+1</f>
        <v>2162</v>
      </c>
      <c r="FI2" s="7">
        <f t="shared" ref="FI2" si="128">+FH2+1</f>
        <v>2163</v>
      </c>
      <c r="FJ2" s="7">
        <f t="shared" ref="FJ2" si="129">+FI2+1</f>
        <v>2164</v>
      </c>
      <c r="FK2" s="7">
        <f t="shared" ref="FK2" si="130">+FJ2+1</f>
        <v>2165</v>
      </c>
      <c r="FL2" s="7">
        <f t="shared" ref="FL2" si="131">+FK2+1</f>
        <v>2166</v>
      </c>
      <c r="FM2" s="7">
        <f t="shared" ref="FM2" si="132">+FL2+1</f>
        <v>2167</v>
      </c>
      <c r="FN2" s="7">
        <f t="shared" ref="FN2" si="133">+FM2+1</f>
        <v>2168</v>
      </c>
      <c r="FO2" s="7">
        <f t="shared" ref="FO2" si="134">+FN2+1</f>
        <v>2169</v>
      </c>
      <c r="FP2" s="7">
        <f t="shared" ref="FP2" si="135">+FO2+1</f>
        <v>2170</v>
      </c>
      <c r="FQ2" s="7">
        <f t="shared" ref="FQ2" si="136">+FP2+1</f>
        <v>2171</v>
      </c>
      <c r="FR2" s="7">
        <f t="shared" ref="FR2" si="137">+FQ2+1</f>
        <v>2172</v>
      </c>
      <c r="FS2" s="7">
        <f t="shared" ref="FS2" si="138">+FR2+1</f>
        <v>2173</v>
      </c>
      <c r="FT2" s="7">
        <f t="shared" ref="FT2" si="139">+FS2+1</f>
        <v>2174</v>
      </c>
      <c r="FU2" s="7">
        <f t="shared" ref="FU2" si="140">+FT2+1</f>
        <v>2175</v>
      </c>
      <c r="FV2" s="7">
        <f t="shared" ref="FV2" si="141">+FU2+1</f>
        <v>2176</v>
      </c>
      <c r="FW2" s="7">
        <f t="shared" ref="FW2" si="142">+FV2+1</f>
        <v>2177</v>
      </c>
      <c r="FX2" s="7">
        <f t="shared" ref="FX2" si="143">+FW2+1</f>
        <v>2178</v>
      </c>
      <c r="FY2" s="7">
        <f t="shared" ref="FY2" si="144">+FX2+1</f>
        <v>2179</v>
      </c>
      <c r="FZ2" s="7">
        <f t="shared" ref="FZ2" si="145">+FY2+1</f>
        <v>2180</v>
      </c>
      <c r="GA2" s="7">
        <f t="shared" ref="GA2" si="146">+FZ2+1</f>
        <v>2181</v>
      </c>
      <c r="GB2" s="7">
        <f t="shared" ref="GB2" si="147">+GA2+1</f>
        <v>2182</v>
      </c>
      <c r="GC2" s="7">
        <f t="shared" ref="GC2" si="148">+GB2+1</f>
        <v>2183</v>
      </c>
      <c r="GD2" s="7">
        <f t="shared" ref="GD2" si="149">+GC2+1</f>
        <v>2184</v>
      </c>
      <c r="GE2" s="7">
        <f t="shared" ref="GE2" si="150">+GD2+1</f>
        <v>2185</v>
      </c>
      <c r="GF2" s="7">
        <f t="shared" ref="GF2" si="151">+GE2+1</f>
        <v>2186</v>
      </c>
      <c r="GG2" s="7">
        <f t="shared" ref="GG2" si="152">+GF2+1</f>
        <v>2187</v>
      </c>
      <c r="GH2" s="7">
        <f t="shared" ref="GH2" si="153">+GG2+1</f>
        <v>2188</v>
      </c>
      <c r="GI2" s="7">
        <f t="shared" ref="GI2" si="154">+GH2+1</f>
        <v>2189</v>
      </c>
      <c r="GJ2" s="7">
        <f t="shared" ref="GJ2" si="155">+GI2+1</f>
        <v>2190</v>
      </c>
      <c r="GK2" s="7">
        <f t="shared" ref="GK2" si="156">+GJ2+1</f>
        <v>2191</v>
      </c>
      <c r="GL2" s="7">
        <f t="shared" ref="GL2" si="157">+GK2+1</f>
        <v>2192</v>
      </c>
      <c r="GM2" s="7">
        <f t="shared" ref="GM2" si="158">+GL2+1</f>
        <v>2193</v>
      </c>
      <c r="GN2" s="7">
        <f t="shared" ref="GN2" si="159">+GM2+1</f>
        <v>2194</v>
      </c>
      <c r="GO2" s="7">
        <f t="shared" ref="GO2" si="160">+GN2+1</f>
        <v>2195</v>
      </c>
      <c r="GP2" s="7">
        <f t="shared" ref="GP2" si="161">+GO2+1</f>
        <v>2196</v>
      </c>
      <c r="GQ2" s="7">
        <f t="shared" ref="GQ2" si="162">+GP2+1</f>
        <v>2197</v>
      </c>
      <c r="GR2" s="7">
        <f t="shared" ref="GR2" si="163">+GQ2+1</f>
        <v>2198</v>
      </c>
      <c r="GS2" s="7">
        <f t="shared" ref="GS2" si="164">+GR2+1</f>
        <v>2199</v>
      </c>
      <c r="GT2" s="7">
        <f t="shared" ref="GT2" si="165">+GS2+1</f>
        <v>2200</v>
      </c>
      <c r="GU2" s="7">
        <f t="shared" ref="GU2" si="166">+GT2+1</f>
        <v>2201</v>
      </c>
      <c r="GV2" s="7">
        <f t="shared" ref="GV2" si="167">+GU2+1</f>
        <v>2202</v>
      </c>
      <c r="GW2" s="7">
        <f t="shared" ref="GW2" si="168">+GV2+1</f>
        <v>2203</v>
      </c>
      <c r="GX2" s="7">
        <f t="shared" ref="GX2" si="169">+GW2+1</f>
        <v>2204</v>
      </c>
      <c r="GY2" s="7">
        <f t="shared" ref="GY2" si="170">+GX2+1</f>
        <v>2205</v>
      </c>
      <c r="GZ2" s="7">
        <f t="shared" ref="GZ2" si="171">+GY2+1</f>
        <v>2206</v>
      </c>
      <c r="HA2" s="7">
        <f t="shared" ref="HA2" si="172">+GZ2+1</f>
        <v>2207</v>
      </c>
      <c r="HB2" s="7">
        <f t="shared" ref="HB2" si="173">+HA2+1</f>
        <v>2208</v>
      </c>
      <c r="HC2" s="7">
        <f t="shared" ref="HC2" si="174">+HB2+1</f>
        <v>2209</v>
      </c>
      <c r="HD2" s="7">
        <f t="shared" ref="HD2" si="175">+HC2+1</f>
        <v>2210</v>
      </c>
      <c r="HE2" s="7">
        <f t="shared" ref="HE2" si="176">+HD2+1</f>
        <v>2211</v>
      </c>
      <c r="HF2" s="7">
        <f t="shared" ref="HF2" si="177">+HE2+1</f>
        <v>2212</v>
      </c>
      <c r="HG2" s="7">
        <f t="shared" ref="HG2" si="178">+HF2+1</f>
        <v>2213</v>
      </c>
      <c r="HH2" s="7">
        <f t="shared" ref="HH2" si="179">+HG2+1</f>
        <v>2214</v>
      </c>
      <c r="HI2" s="7">
        <f t="shared" ref="HI2" si="180">+HH2+1</f>
        <v>2215</v>
      </c>
      <c r="HJ2" s="7">
        <f t="shared" ref="HJ2" si="181">+HI2+1</f>
        <v>2216</v>
      </c>
      <c r="HK2" s="7">
        <f t="shared" ref="HK2" si="182">+HJ2+1</f>
        <v>2217</v>
      </c>
      <c r="HL2" s="7">
        <f t="shared" ref="HL2" si="183">+HK2+1</f>
        <v>2218</v>
      </c>
      <c r="HM2" s="7">
        <f t="shared" ref="HM2" si="184">+HL2+1</f>
        <v>2219</v>
      </c>
      <c r="HN2" s="7">
        <f t="shared" ref="HN2" si="185">+HM2+1</f>
        <v>2220</v>
      </c>
      <c r="HO2" s="7">
        <f t="shared" ref="HO2" si="186">+HN2+1</f>
        <v>2221</v>
      </c>
      <c r="HP2" s="7">
        <f t="shared" ref="HP2" si="187">+HO2+1</f>
        <v>2222</v>
      </c>
      <c r="HQ2" s="7">
        <f t="shared" ref="HQ2" si="188">+HP2+1</f>
        <v>2223</v>
      </c>
      <c r="HR2" s="7">
        <f t="shared" ref="HR2" si="189">+HQ2+1</f>
        <v>2224</v>
      </c>
      <c r="HS2" s="7">
        <f t="shared" ref="HS2" si="190">+HR2+1</f>
        <v>2225</v>
      </c>
      <c r="HT2" s="7">
        <f t="shared" ref="HT2" si="191">+HS2+1</f>
        <v>2226</v>
      </c>
      <c r="HU2" s="7">
        <f t="shared" ref="HU2" si="192">+HT2+1</f>
        <v>2227</v>
      </c>
      <c r="HV2" s="7">
        <f t="shared" ref="HV2" si="193">+HU2+1</f>
        <v>2228</v>
      </c>
      <c r="HW2" s="7">
        <f t="shared" ref="HW2" si="194">+HV2+1</f>
        <v>2229</v>
      </c>
      <c r="HX2" s="7">
        <f t="shared" ref="HX2" si="195">+HW2+1</f>
        <v>2230</v>
      </c>
      <c r="HY2" s="7">
        <f t="shared" ref="HY2" si="196">+HX2+1</f>
        <v>2231</v>
      </c>
      <c r="HZ2" s="7">
        <f t="shared" ref="HZ2" si="197">+HY2+1</f>
        <v>2232</v>
      </c>
      <c r="IA2" s="7">
        <f t="shared" ref="IA2" si="198">+HZ2+1</f>
        <v>2233</v>
      </c>
      <c r="IB2" s="7">
        <f t="shared" ref="IB2" si="199">+IA2+1</f>
        <v>2234</v>
      </c>
      <c r="IC2" s="7">
        <f t="shared" ref="IC2" si="200">+IB2+1</f>
        <v>2235</v>
      </c>
      <c r="ID2" s="7"/>
    </row>
    <row r="3" spans="2:238" s="1" customFormat="1" x14ac:dyDescent="0.2">
      <c r="B3" s="1" t="s">
        <v>35</v>
      </c>
      <c r="C3" s="8"/>
      <c r="D3" s="8"/>
      <c r="E3" s="8"/>
      <c r="F3" s="8"/>
      <c r="G3" s="8">
        <v>501.3</v>
      </c>
      <c r="H3" s="8">
        <v>569.1</v>
      </c>
      <c r="I3" s="8">
        <v>647.9</v>
      </c>
      <c r="J3" s="8">
        <f>+Z3-SUM(G3:I3)</f>
        <v>659.59999999999991</v>
      </c>
      <c r="K3" s="8">
        <v>402.7</v>
      </c>
      <c r="L3" s="8">
        <v>525.29999999999995</v>
      </c>
      <c r="M3" s="8">
        <v>204.4</v>
      </c>
      <c r="N3" s="8"/>
      <c r="Q3" s="8"/>
      <c r="R3" s="8"/>
      <c r="S3" s="8"/>
      <c r="T3" s="8"/>
      <c r="U3" s="8"/>
      <c r="V3" s="8"/>
      <c r="W3" s="8"/>
      <c r="X3" s="8">
        <v>3346.6</v>
      </c>
      <c r="Y3" s="8">
        <v>2639.4</v>
      </c>
      <c r="Z3" s="8">
        <v>2377.9</v>
      </c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</row>
    <row r="4" spans="2:238" s="1" customFormat="1" x14ac:dyDescent="0.2">
      <c r="B4" s="1" t="s">
        <v>36</v>
      </c>
      <c r="C4" s="8"/>
      <c r="D4" s="8"/>
      <c r="E4" s="8"/>
      <c r="F4" s="8"/>
      <c r="G4" s="8">
        <v>294.89999999999998</v>
      </c>
      <c r="H4" s="8">
        <v>336.6</v>
      </c>
      <c r="I4" s="8">
        <v>275.60000000000002</v>
      </c>
      <c r="J4" s="8">
        <f>+Z4-SUM(G4:I4)</f>
        <v>373.4</v>
      </c>
      <c r="K4" s="8">
        <v>272.2</v>
      </c>
      <c r="L4" s="8">
        <v>376</v>
      </c>
      <c r="M4" s="8">
        <v>219.9</v>
      </c>
      <c r="N4" s="8"/>
      <c r="Q4" s="8"/>
      <c r="R4" s="8"/>
      <c r="S4" s="8"/>
      <c r="T4" s="8"/>
      <c r="U4" s="8"/>
      <c r="V4" s="8"/>
      <c r="W4" s="8"/>
      <c r="X4" s="8">
        <v>1651.6</v>
      </c>
      <c r="Y4" s="8">
        <v>1278.4000000000001</v>
      </c>
      <c r="Z4" s="8">
        <v>1280.5</v>
      </c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</row>
    <row r="5" spans="2:238" s="1" customFormat="1" x14ac:dyDescent="0.2">
      <c r="B5" s="1" t="s">
        <v>37</v>
      </c>
      <c r="C5" s="8"/>
      <c r="D5" s="8"/>
      <c r="E5" s="8"/>
      <c r="F5" s="8"/>
      <c r="G5" s="8">
        <v>70.400000000000006</v>
      </c>
      <c r="H5" s="8">
        <v>74.5</v>
      </c>
      <c r="I5" s="8">
        <v>84.8</v>
      </c>
      <c r="J5" s="8">
        <f>+Z5-SUM(G5:I5)</f>
        <v>122.80000000000001</v>
      </c>
      <c r="K5" s="8">
        <v>52.7</v>
      </c>
      <c r="L5" s="8">
        <v>80.400000000000006</v>
      </c>
      <c r="M5" s="8">
        <v>89.3</v>
      </c>
      <c r="N5" s="8"/>
      <c r="Q5" s="8"/>
      <c r="R5" s="8"/>
      <c r="S5" s="8"/>
      <c r="T5" s="8"/>
      <c r="U5" s="8"/>
      <c r="V5" s="8"/>
      <c r="W5" s="8"/>
      <c r="X5" s="8">
        <v>383.9</v>
      </c>
      <c r="Y5" s="8">
        <v>317.60000000000002</v>
      </c>
      <c r="Z5" s="8">
        <v>352.5</v>
      </c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  <c r="HZ5" s="8"/>
      <c r="IA5" s="8"/>
      <c r="IB5" s="8"/>
      <c r="IC5" s="8"/>
      <c r="ID5" s="8"/>
    </row>
    <row r="6" spans="2:238" s="1" customFormat="1" x14ac:dyDescent="0.2">
      <c r="B6" s="1" t="s">
        <v>38</v>
      </c>
      <c r="C6" s="8"/>
      <c r="D6" s="8"/>
      <c r="E6" s="8"/>
      <c r="F6" s="8"/>
      <c r="G6" s="8">
        <v>44.8</v>
      </c>
      <c r="H6" s="8">
        <v>43.5</v>
      </c>
      <c r="I6" s="8">
        <v>47.3</v>
      </c>
      <c r="J6" s="8">
        <f>+Z6-SUM(G6:I6)</f>
        <v>64.900000000000006</v>
      </c>
      <c r="K6" s="8">
        <v>45.2</v>
      </c>
      <c r="L6" s="8">
        <v>44.9</v>
      </c>
      <c r="M6" s="8">
        <v>35.200000000000003</v>
      </c>
      <c r="N6" s="8"/>
      <c r="Q6" s="8"/>
      <c r="R6" s="8"/>
      <c r="S6" s="8"/>
      <c r="T6" s="8"/>
      <c r="U6" s="8"/>
      <c r="V6" s="8"/>
      <c r="W6" s="8"/>
      <c r="X6" s="8">
        <v>234.1</v>
      </c>
      <c r="Y6" s="8">
        <v>186.9</v>
      </c>
      <c r="Z6" s="8">
        <v>200.5</v>
      </c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  <c r="HZ6" s="8"/>
      <c r="IA6" s="8"/>
      <c r="IB6" s="8"/>
      <c r="IC6" s="8"/>
      <c r="ID6" s="8"/>
    </row>
    <row r="7" spans="2:238" s="1" customFormat="1" x14ac:dyDescent="0.2">
      <c r="B7" s="1" t="s">
        <v>40</v>
      </c>
      <c r="C7" s="8"/>
      <c r="D7" s="8"/>
      <c r="E7" s="8"/>
      <c r="F7" s="8"/>
      <c r="G7" s="8">
        <v>6.6</v>
      </c>
      <c r="H7" s="8">
        <v>14.7</v>
      </c>
      <c r="I7" s="8">
        <v>9.8000000000000007</v>
      </c>
      <c r="J7" s="8">
        <f>+Z7-SUM(G7:I7)</f>
        <v>3.600000000000005</v>
      </c>
      <c r="K7" s="8">
        <v>18.600000000000001</v>
      </c>
      <c r="L7" s="8">
        <v>23.9</v>
      </c>
      <c r="M7" s="8">
        <v>-6.6</v>
      </c>
      <c r="N7" s="8"/>
      <c r="Q7" s="8"/>
      <c r="R7" s="8"/>
      <c r="S7" s="8"/>
      <c r="T7" s="8"/>
      <c r="U7" s="8"/>
      <c r="V7" s="8"/>
      <c r="W7" s="8"/>
      <c r="X7" s="8">
        <v>186.1</v>
      </c>
      <c r="Y7" s="8">
        <v>64.5</v>
      </c>
      <c r="Z7" s="8">
        <v>34.700000000000003</v>
      </c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  <c r="IC7" s="8"/>
      <c r="ID7" s="8"/>
    </row>
    <row r="8" spans="2:238" x14ac:dyDescent="0.2"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</row>
    <row r="9" spans="2:238" s="1" customFormat="1" x14ac:dyDescent="0.2">
      <c r="B9" s="1" t="s">
        <v>31</v>
      </c>
      <c r="C9" s="8">
        <v>497.3</v>
      </c>
      <c r="D9" s="8"/>
      <c r="E9" s="8"/>
      <c r="F9" s="8"/>
      <c r="G9" s="8">
        <v>259.10000000000002</v>
      </c>
      <c r="H9" s="8">
        <v>338.8</v>
      </c>
      <c r="I9" s="8">
        <v>235.5</v>
      </c>
      <c r="J9" s="8">
        <f t="shared" ref="J9:J16" si="201">+Z9-SUM(G9:I9)</f>
        <v>340</v>
      </c>
      <c r="K9" s="8">
        <v>186.4</v>
      </c>
      <c r="L9" s="8">
        <v>320.89999999999998</v>
      </c>
      <c r="M9" s="8">
        <v>244.4</v>
      </c>
      <c r="N9" s="8"/>
      <c r="Q9" s="8"/>
      <c r="R9" s="8"/>
      <c r="S9" s="8"/>
      <c r="T9" s="8"/>
      <c r="U9" s="8"/>
      <c r="V9" s="8"/>
      <c r="W9" s="8"/>
      <c r="X9" s="8">
        <v>1435.8</v>
      </c>
      <c r="Y9" s="8">
        <v>1204.8</v>
      </c>
      <c r="Z9" s="8">
        <v>1173.4000000000001</v>
      </c>
      <c r="AA9" s="8">
        <f>SUM(K9:N9)</f>
        <v>751.69999999999993</v>
      </c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  <c r="HZ9" s="8"/>
      <c r="IA9" s="8"/>
      <c r="IB9" s="8"/>
      <c r="IC9" s="8"/>
      <c r="ID9" s="8"/>
    </row>
    <row r="10" spans="2:238" s="1" customFormat="1" x14ac:dyDescent="0.2">
      <c r="B10" s="1" t="s">
        <v>32</v>
      </c>
      <c r="C10" s="8">
        <v>233.6</v>
      </c>
      <c r="D10" s="8"/>
      <c r="E10" s="8"/>
      <c r="F10" s="8"/>
      <c r="G10" s="8">
        <v>188</v>
      </c>
      <c r="H10" s="8">
        <v>307.2</v>
      </c>
      <c r="I10" s="8">
        <v>504.1</v>
      </c>
      <c r="J10" s="8">
        <f t="shared" si="201"/>
        <v>390.20000000000005</v>
      </c>
      <c r="K10" s="8">
        <v>206.8</v>
      </c>
      <c r="L10" s="8">
        <v>310.39999999999998</v>
      </c>
      <c r="M10" s="8">
        <v>463.1</v>
      </c>
      <c r="N10" s="8"/>
      <c r="Q10" s="8"/>
      <c r="R10" s="8"/>
      <c r="S10" s="8"/>
      <c r="T10" s="8"/>
      <c r="U10" s="8"/>
      <c r="V10" s="8"/>
      <c r="W10" s="8"/>
      <c r="X10" s="8">
        <v>2088.1999999999998</v>
      </c>
      <c r="Y10" s="8">
        <v>1401.1</v>
      </c>
      <c r="Z10" s="8">
        <v>1389.5</v>
      </c>
      <c r="AA10" s="8">
        <f t="shared" ref="AA10:AA22" si="202">SUM(K10:N10)</f>
        <v>980.30000000000007</v>
      </c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8"/>
      <c r="IA10" s="8"/>
      <c r="IB10" s="8"/>
      <c r="IC10" s="8"/>
      <c r="ID10" s="8"/>
    </row>
    <row r="11" spans="2:238" s="1" customFormat="1" x14ac:dyDescent="0.2">
      <c r="B11" s="1" t="s">
        <v>33</v>
      </c>
      <c r="C11" s="8">
        <v>383</v>
      </c>
      <c r="D11" s="8"/>
      <c r="E11" s="8"/>
      <c r="F11" s="8"/>
      <c r="G11" s="8">
        <v>306.8</v>
      </c>
      <c r="H11" s="8">
        <v>201.2</v>
      </c>
      <c r="I11" s="8">
        <v>139.30000000000001</v>
      </c>
      <c r="J11" s="8">
        <f t="shared" si="201"/>
        <v>187.5</v>
      </c>
      <c r="K11" s="8">
        <v>272.8</v>
      </c>
      <c r="L11" s="8">
        <v>260.39999999999998</v>
      </c>
      <c r="M11" s="8">
        <v>154.5</v>
      </c>
      <c r="N11" s="8"/>
      <c r="Q11" s="8"/>
      <c r="R11" s="8"/>
      <c r="S11" s="8"/>
      <c r="T11" s="8"/>
      <c r="U11" s="8"/>
      <c r="V11" s="8"/>
      <c r="W11" s="8"/>
      <c r="X11" s="8">
        <v>1039.7</v>
      </c>
      <c r="Y11" s="8">
        <v>899.2</v>
      </c>
      <c r="Z11" s="8">
        <v>834.8</v>
      </c>
      <c r="AA11" s="8">
        <f t="shared" si="202"/>
        <v>687.7</v>
      </c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</row>
    <row r="12" spans="2:238" s="1" customFormat="1" x14ac:dyDescent="0.2">
      <c r="B12" s="1" t="s">
        <v>34</v>
      </c>
      <c r="C12" s="8">
        <v>230.4</v>
      </c>
      <c r="D12" s="8"/>
      <c r="E12" s="8"/>
      <c r="F12" s="8"/>
      <c r="G12" s="8">
        <v>164.1</v>
      </c>
      <c r="H12" s="8">
        <v>191.2</v>
      </c>
      <c r="I12" s="8">
        <v>186.5</v>
      </c>
      <c r="J12" s="8">
        <f t="shared" si="201"/>
        <v>306.60000000000002</v>
      </c>
      <c r="K12" s="8">
        <v>125.4</v>
      </c>
      <c r="L12" s="8">
        <v>158.80000000000001</v>
      </c>
      <c r="M12" s="9">
        <v>-319.8</v>
      </c>
      <c r="N12" s="8"/>
      <c r="Q12" s="8"/>
      <c r="R12" s="8"/>
      <c r="S12" s="8"/>
      <c r="T12" s="8"/>
      <c r="U12" s="8"/>
      <c r="V12" s="8"/>
      <c r="W12" s="8"/>
      <c r="X12" s="8">
        <v>1238.5999999999999</v>
      </c>
      <c r="Y12" s="8">
        <v>981.7</v>
      </c>
      <c r="Z12" s="8">
        <v>848.4</v>
      </c>
      <c r="AA12" s="8">
        <f t="shared" si="202"/>
        <v>-35.599999999999966</v>
      </c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  <c r="IA12" s="8"/>
      <c r="IB12" s="8"/>
      <c r="IC12" s="8"/>
      <c r="ID12" s="8"/>
    </row>
    <row r="13" spans="2:238" s="14" customFormat="1" x14ac:dyDescent="0.2">
      <c r="B13" s="14" t="s">
        <v>18</v>
      </c>
      <c r="C13" s="15">
        <f>SUM(C9:C12)</f>
        <v>1344.3000000000002</v>
      </c>
      <c r="D13" s="15">
        <v>1014.5</v>
      </c>
      <c r="E13" s="15">
        <v>981.9</v>
      </c>
      <c r="F13" s="15">
        <f>+Y13-SUM(C13:E13)</f>
        <v>1146.099999999999</v>
      </c>
      <c r="G13" s="15">
        <f>SUM(G9:G12)</f>
        <v>918.00000000000011</v>
      </c>
      <c r="H13" s="15">
        <f>SUM(H9:H12)</f>
        <v>1038.4000000000001</v>
      </c>
      <c r="I13" s="16">
        <f>SUM(I9:I12)</f>
        <v>1065.4000000000001</v>
      </c>
      <c r="J13" s="15">
        <f t="shared" si="201"/>
        <v>1224.2999999999993</v>
      </c>
      <c r="K13" s="15">
        <f>SUM(K9:K12)</f>
        <v>791.4</v>
      </c>
      <c r="L13" s="15">
        <f>SUM(L9:L12)</f>
        <v>1050.5</v>
      </c>
      <c r="M13" s="16">
        <f>SUM(M9:M12)</f>
        <v>542.20000000000005</v>
      </c>
      <c r="N13" s="15">
        <v>1700</v>
      </c>
      <c r="Q13" s="15"/>
      <c r="R13" s="15"/>
      <c r="S13" s="15"/>
      <c r="T13" s="15"/>
      <c r="U13" s="15"/>
      <c r="V13" s="15"/>
      <c r="W13" s="15"/>
      <c r="X13" s="15">
        <v>5802.3</v>
      </c>
      <c r="Y13" s="15">
        <f>SUM(Y9:Y12)</f>
        <v>4486.7999999999993</v>
      </c>
      <c r="Z13" s="15">
        <f>SUM(Z9:Z12)</f>
        <v>4246.0999999999995</v>
      </c>
      <c r="AA13" s="15">
        <f t="shared" si="202"/>
        <v>4084.1000000000004</v>
      </c>
      <c r="AB13" s="15">
        <f>+AA13*0.96</f>
        <v>3920.7360000000003</v>
      </c>
      <c r="AC13" s="15">
        <f t="shared" ref="AC13:AJ13" si="203">+AB13*0.94</f>
        <v>3685.4918400000001</v>
      </c>
      <c r="AD13" s="15">
        <f t="shared" si="203"/>
        <v>3464.3623296000001</v>
      </c>
      <c r="AE13" s="15">
        <f t="shared" si="203"/>
        <v>3256.5005898239997</v>
      </c>
      <c r="AF13" s="15">
        <f t="shared" si="203"/>
        <v>3061.1105544345596</v>
      </c>
      <c r="AG13" s="15">
        <f t="shared" si="203"/>
        <v>2877.4439211684858</v>
      </c>
      <c r="AH13" s="15">
        <f t="shared" si="203"/>
        <v>2704.7972858983767</v>
      </c>
      <c r="AI13" s="15">
        <f t="shared" si="203"/>
        <v>2542.509448744474</v>
      </c>
      <c r="AJ13" s="15">
        <f t="shared" si="203"/>
        <v>2389.9588818198054</v>
      </c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  <c r="EX13" s="15"/>
      <c r="EY13" s="15"/>
      <c r="EZ13" s="15"/>
      <c r="FA13" s="15"/>
      <c r="FB13" s="15"/>
      <c r="FC13" s="15"/>
      <c r="FD13" s="15"/>
      <c r="FE13" s="15"/>
      <c r="FF13" s="15"/>
      <c r="FG13" s="15"/>
      <c r="FH13" s="15"/>
      <c r="FI13" s="15"/>
      <c r="FJ13" s="15"/>
      <c r="FK13" s="15"/>
      <c r="FL13" s="15"/>
      <c r="FM13" s="15"/>
      <c r="FN13" s="15"/>
      <c r="FO13" s="15"/>
      <c r="FP13" s="15"/>
      <c r="FQ13" s="15"/>
      <c r="FR13" s="15"/>
      <c r="FS13" s="15"/>
      <c r="FT13" s="15"/>
      <c r="FU13" s="15"/>
      <c r="FV13" s="15"/>
      <c r="FW13" s="15"/>
      <c r="FX13" s="15"/>
      <c r="FY13" s="15"/>
      <c r="FZ13" s="15"/>
      <c r="GA13" s="15"/>
      <c r="GB13" s="15"/>
      <c r="GC13" s="15"/>
      <c r="GD13" s="15"/>
      <c r="GE13" s="15"/>
      <c r="GF13" s="15"/>
      <c r="GG13" s="15"/>
      <c r="GH13" s="15"/>
      <c r="GI13" s="15"/>
      <c r="GJ13" s="15"/>
      <c r="GK13" s="15"/>
      <c r="GL13" s="15"/>
      <c r="GM13" s="15"/>
      <c r="GN13" s="15"/>
      <c r="GO13" s="15"/>
      <c r="GP13" s="15"/>
      <c r="GQ13" s="15"/>
      <c r="GR13" s="15"/>
      <c r="GS13" s="15"/>
      <c r="GT13" s="15"/>
      <c r="GU13" s="15"/>
      <c r="GV13" s="15"/>
      <c r="GW13" s="15"/>
      <c r="GX13" s="15"/>
      <c r="GY13" s="15"/>
      <c r="GZ13" s="15"/>
      <c r="HA13" s="15"/>
      <c r="HB13" s="15"/>
      <c r="HC13" s="15"/>
      <c r="HD13" s="15"/>
      <c r="HE13" s="15"/>
      <c r="HF13" s="15"/>
      <c r="HG13" s="15"/>
      <c r="HH13" s="15"/>
      <c r="HI13" s="15"/>
      <c r="HJ13" s="15"/>
      <c r="HK13" s="15"/>
      <c r="HL13" s="15"/>
      <c r="HM13" s="15"/>
      <c r="HN13" s="15"/>
      <c r="HO13" s="15"/>
      <c r="HP13" s="15"/>
      <c r="HQ13" s="15"/>
      <c r="HR13" s="15"/>
      <c r="HS13" s="15"/>
      <c r="HT13" s="15"/>
      <c r="HU13" s="15"/>
      <c r="HV13" s="15"/>
      <c r="HW13" s="15"/>
      <c r="HX13" s="15"/>
      <c r="HY13" s="15"/>
      <c r="HZ13" s="15"/>
      <c r="IA13" s="15"/>
      <c r="IB13" s="15"/>
      <c r="IC13" s="15"/>
      <c r="ID13" s="15"/>
    </row>
    <row r="14" spans="2:238" s="1" customFormat="1" x14ac:dyDescent="0.2">
      <c r="B14" s="1" t="s">
        <v>3</v>
      </c>
      <c r="C14" s="8">
        <v>763</v>
      </c>
      <c r="D14" s="8">
        <v>581.70000000000005</v>
      </c>
      <c r="E14" s="8">
        <v>600.70000000000005</v>
      </c>
      <c r="F14" s="8">
        <f>+Y14-SUM(C14:E14)</f>
        <v>710.40000000000009</v>
      </c>
      <c r="G14" s="8">
        <v>578.29999999999995</v>
      </c>
      <c r="H14" s="8">
        <v>640.29999999999995</v>
      </c>
      <c r="I14" s="8">
        <v>679</v>
      </c>
      <c r="J14" s="8">
        <f t="shared" si="201"/>
        <v>699.5</v>
      </c>
      <c r="K14" s="8">
        <v>474.7</v>
      </c>
      <c r="L14" s="8">
        <v>644.20000000000005</v>
      </c>
      <c r="M14" s="8">
        <v>413.3</v>
      </c>
      <c r="N14" s="8">
        <f>+N$13*(J14/J$13)</f>
        <v>971.28971657273598</v>
      </c>
      <c r="Q14" s="8"/>
      <c r="R14" s="8"/>
      <c r="S14" s="8"/>
      <c r="T14" s="8"/>
      <c r="U14" s="8"/>
      <c r="V14" s="8"/>
      <c r="W14" s="8"/>
      <c r="X14" s="8">
        <v>3475.3</v>
      </c>
      <c r="Y14" s="8">
        <v>2655.8</v>
      </c>
      <c r="Z14" s="8">
        <v>2597.1</v>
      </c>
      <c r="AA14" s="8">
        <f t="shared" si="202"/>
        <v>2503.4897165727361</v>
      </c>
      <c r="AB14" s="8">
        <f>+AB$13*(AA14/AA$13)</f>
        <v>2403.3501279098264</v>
      </c>
      <c r="AC14" s="8">
        <f t="shared" ref="AC14:AJ14" si="204">+AC$13*(AB14/AB$13)</f>
        <v>2259.1491202352368</v>
      </c>
      <c r="AD14" s="8">
        <f t="shared" si="204"/>
        <v>2123.6001730211224</v>
      </c>
      <c r="AE14" s="8">
        <f t="shared" si="204"/>
        <v>1996.184162639855</v>
      </c>
      <c r="AF14" s="8">
        <f t="shared" si="204"/>
        <v>1876.4131128814636</v>
      </c>
      <c r="AG14" s="8">
        <f t="shared" si="204"/>
        <v>1763.8283261085755</v>
      </c>
      <c r="AH14" s="8">
        <f t="shared" si="204"/>
        <v>1657.9986265420612</v>
      </c>
      <c r="AI14" s="8">
        <f t="shared" si="204"/>
        <v>1558.5187089495373</v>
      </c>
      <c r="AJ14" s="8">
        <f t="shared" si="204"/>
        <v>1465.0075864125649</v>
      </c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  <c r="IC14" s="8"/>
      <c r="ID14" s="8"/>
    </row>
    <row r="15" spans="2:238" s="1" customFormat="1" x14ac:dyDescent="0.2">
      <c r="B15" s="1" t="s">
        <v>20</v>
      </c>
      <c r="C15" s="8">
        <v>185.9</v>
      </c>
      <c r="D15" s="8">
        <v>205.6</v>
      </c>
      <c r="E15" s="8">
        <v>171.3</v>
      </c>
      <c r="F15" s="8">
        <f>+Y15-SUM(C15:E15)</f>
        <v>171.5</v>
      </c>
      <c r="G15" s="8">
        <v>163.9</v>
      </c>
      <c r="H15" s="8">
        <v>164.8</v>
      </c>
      <c r="I15" s="8">
        <v>159.19999999999999</v>
      </c>
      <c r="J15" s="8">
        <f t="shared" si="201"/>
        <v>156.69999999999999</v>
      </c>
      <c r="K15" s="8">
        <v>172</v>
      </c>
      <c r="L15" s="8">
        <v>176.8</v>
      </c>
      <c r="M15" s="8">
        <v>167.4</v>
      </c>
      <c r="N15" s="8">
        <f>+N$13*(J15/J$13)</f>
        <v>217.58555909499316</v>
      </c>
      <c r="Q15" s="8"/>
      <c r="R15" s="8"/>
      <c r="S15" s="8"/>
      <c r="T15" s="8"/>
      <c r="U15" s="8"/>
      <c r="V15" s="8"/>
      <c r="W15" s="8"/>
      <c r="X15" s="8">
        <v>775.2</v>
      </c>
      <c r="Y15" s="8">
        <v>734.3</v>
      </c>
      <c r="Z15" s="8">
        <v>644.6</v>
      </c>
      <c r="AA15" s="8">
        <f t="shared" si="202"/>
        <v>733.78555909499323</v>
      </c>
      <c r="AB15" s="8">
        <f t="shared" ref="AB15:AJ16" si="205">+AB$13*(AA15/AA$13)</f>
        <v>704.43413673119358</v>
      </c>
      <c r="AC15" s="8">
        <f t="shared" si="205"/>
        <v>662.16808852732186</v>
      </c>
      <c r="AD15" s="8">
        <f t="shared" si="205"/>
        <v>622.43800321568256</v>
      </c>
      <c r="AE15" s="8">
        <f t="shared" si="205"/>
        <v>585.09172302274158</v>
      </c>
      <c r="AF15" s="8">
        <f t="shared" si="205"/>
        <v>549.98621964137703</v>
      </c>
      <c r="AG15" s="8">
        <f t="shared" si="205"/>
        <v>516.98704646289434</v>
      </c>
      <c r="AH15" s="8">
        <f t="shared" si="205"/>
        <v>485.96782367512071</v>
      </c>
      <c r="AI15" s="8">
        <f t="shared" si="205"/>
        <v>456.80975425461344</v>
      </c>
      <c r="AJ15" s="8">
        <f t="shared" si="205"/>
        <v>429.40116899933662</v>
      </c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</row>
    <row r="16" spans="2:238" s="1" customFormat="1" x14ac:dyDescent="0.2">
      <c r="B16" s="1" t="s">
        <v>21</v>
      </c>
      <c r="C16" s="8">
        <v>78.400000000000006</v>
      </c>
      <c r="D16" s="8">
        <v>87.7</v>
      </c>
      <c r="E16" s="8">
        <v>80.900000000000006</v>
      </c>
      <c r="F16" s="8">
        <f>+Y16-SUM(C16:E16)</f>
        <v>81.799999999999983</v>
      </c>
      <c r="G16" s="8">
        <v>60.9</v>
      </c>
      <c r="H16" s="8">
        <v>75.900000000000006</v>
      </c>
      <c r="I16" s="8">
        <v>69</v>
      </c>
      <c r="J16" s="8">
        <f t="shared" si="201"/>
        <v>72.199999999999989</v>
      </c>
      <c r="K16" s="8">
        <v>68.7</v>
      </c>
      <c r="L16" s="8">
        <v>66.400000000000006</v>
      </c>
      <c r="M16" s="8">
        <v>63.3</v>
      </c>
      <c r="N16" s="8">
        <f>+N$13*(J16/J$13)</f>
        <v>100.25320591358332</v>
      </c>
      <c r="Q16" s="8"/>
      <c r="R16" s="8"/>
      <c r="S16" s="8"/>
      <c r="T16" s="8"/>
      <c r="U16" s="8"/>
      <c r="V16" s="8"/>
      <c r="W16" s="8"/>
      <c r="X16" s="8">
        <v>314.2</v>
      </c>
      <c r="Y16" s="8">
        <v>328.8</v>
      </c>
      <c r="Z16" s="8">
        <v>278</v>
      </c>
      <c r="AA16" s="8">
        <f t="shared" si="202"/>
        <v>298.65320591358335</v>
      </c>
      <c r="AB16" s="8">
        <f t="shared" si="205"/>
        <v>286.70707767703999</v>
      </c>
      <c r="AC16" s="8">
        <f t="shared" si="205"/>
        <v>269.50465301641759</v>
      </c>
      <c r="AD16" s="8">
        <f t="shared" si="205"/>
        <v>253.33437383543253</v>
      </c>
      <c r="AE16" s="8">
        <f t="shared" si="205"/>
        <v>238.13431140530653</v>
      </c>
      <c r="AF16" s="8">
        <f t="shared" si="205"/>
        <v>223.84625272098813</v>
      </c>
      <c r="AG16" s="8">
        <f t="shared" si="205"/>
        <v>210.41547755772885</v>
      </c>
      <c r="AH16" s="8">
        <f t="shared" si="205"/>
        <v>197.79054890426511</v>
      </c>
      <c r="AI16" s="8">
        <f t="shared" si="205"/>
        <v>185.92311597000921</v>
      </c>
      <c r="AJ16" s="8">
        <f t="shared" si="205"/>
        <v>174.76772901180863</v>
      </c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8"/>
    </row>
    <row r="17" spans="2:238" s="1" customFormat="1" x14ac:dyDescent="0.2">
      <c r="B17" s="1" t="s">
        <v>19</v>
      </c>
      <c r="C17" s="8">
        <f>+C13-SUM(C14:C16)</f>
        <v>317.00000000000023</v>
      </c>
      <c r="D17" s="8">
        <f>+D13-SUM(D14:D16)</f>
        <v>139.49999999999989</v>
      </c>
      <c r="E17" s="8">
        <f>+E13-SUM(E14:E16)</f>
        <v>129</v>
      </c>
      <c r="F17" s="8">
        <f t="shared" ref="F17" si="206">+F13-SUM(F14:F16)</f>
        <v>182.39999999999895</v>
      </c>
      <c r="G17" s="8">
        <f t="shared" ref="G17:N17" si="207">+G13-SUM(G14:G16)</f>
        <v>114.9000000000002</v>
      </c>
      <c r="H17" s="8">
        <f t="shared" si="207"/>
        <v>157.4000000000002</v>
      </c>
      <c r="I17" s="8">
        <f t="shared" si="207"/>
        <v>158.20000000000005</v>
      </c>
      <c r="J17" s="8">
        <f t="shared" si="207"/>
        <v>295.89999999999918</v>
      </c>
      <c r="K17" s="8">
        <f t="shared" si="207"/>
        <v>75.999999999999886</v>
      </c>
      <c r="L17" s="8">
        <f t="shared" si="207"/>
        <v>163.10000000000002</v>
      </c>
      <c r="M17" s="8">
        <f t="shared" si="207"/>
        <v>-101.79999999999995</v>
      </c>
      <c r="N17" s="8">
        <f t="shared" si="207"/>
        <v>410.87151841868763</v>
      </c>
      <c r="Q17" s="8"/>
      <c r="R17" s="8"/>
      <c r="S17" s="8"/>
      <c r="T17" s="8"/>
      <c r="U17" s="8"/>
      <c r="V17" s="8"/>
      <c r="W17" s="8"/>
      <c r="X17" s="8">
        <f>+X13-SUM(X14:X16)</f>
        <v>1237.6000000000004</v>
      </c>
      <c r="Y17" s="8">
        <f>+Y13-SUM(Y14:Y16)</f>
        <v>767.89999999999873</v>
      </c>
      <c r="Z17" s="8">
        <f>+Z13-SUM(Z14:Z16)</f>
        <v>726.39999999999964</v>
      </c>
      <c r="AA17" s="8">
        <f t="shared" si="202"/>
        <v>548.17151841868758</v>
      </c>
      <c r="AB17" s="8">
        <f>+AB13-SUM(AB14:AB16)</f>
        <v>526.24465768194023</v>
      </c>
      <c r="AC17" s="8">
        <f t="shared" ref="AC17:AJ17" si="208">+AC13-SUM(AC14:AC16)</f>
        <v>494.66997822102394</v>
      </c>
      <c r="AD17" s="8">
        <f t="shared" si="208"/>
        <v>464.98977952776249</v>
      </c>
      <c r="AE17" s="8">
        <f t="shared" si="208"/>
        <v>437.09039275609666</v>
      </c>
      <c r="AF17" s="8">
        <f t="shared" si="208"/>
        <v>410.86496919073079</v>
      </c>
      <c r="AG17" s="8">
        <f t="shared" si="208"/>
        <v>386.21307103928666</v>
      </c>
      <c r="AH17" s="8">
        <f t="shared" si="208"/>
        <v>363.04028677692986</v>
      </c>
      <c r="AI17" s="8">
        <f t="shared" si="208"/>
        <v>341.25786957031414</v>
      </c>
      <c r="AJ17" s="8">
        <f t="shared" si="208"/>
        <v>320.78239739609535</v>
      </c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</row>
    <row r="18" spans="2:238" s="1" customFormat="1" x14ac:dyDescent="0.2">
      <c r="B18" s="1" t="s">
        <v>22</v>
      </c>
      <c r="C18" s="8">
        <v>4.5999999999999996</v>
      </c>
      <c r="D18" s="8">
        <v>4.5999999999999996</v>
      </c>
      <c r="E18" s="8">
        <v>100.8</v>
      </c>
      <c r="F18" s="8">
        <f>+Y18-SUM(C18:E18)</f>
        <v>-91.8</v>
      </c>
      <c r="G18" s="8">
        <v>4.3</v>
      </c>
      <c r="H18" s="8">
        <v>4.2</v>
      </c>
      <c r="I18" s="8">
        <v>4.4000000000000004</v>
      </c>
      <c r="J18" s="8">
        <f>+Z18-SUM(G18:I18)</f>
        <v>5.2999999999999989</v>
      </c>
      <c r="K18" s="8">
        <v>3.2</v>
      </c>
      <c r="L18" s="8">
        <v>14.4</v>
      </c>
      <c r="M18" s="8">
        <v>5.6</v>
      </c>
      <c r="N18" s="8">
        <f>+M18</f>
        <v>5.6</v>
      </c>
      <c r="Q18" s="8"/>
      <c r="R18" s="8"/>
      <c r="S18" s="8"/>
      <c r="T18" s="8"/>
      <c r="U18" s="8"/>
      <c r="V18" s="8"/>
      <c r="W18" s="8"/>
      <c r="X18" s="8">
        <v>8.6</v>
      </c>
      <c r="Y18" s="8">
        <v>18.2</v>
      </c>
      <c r="Z18" s="8">
        <v>18.2</v>
      </c>
      <c r="AA18" s="8">
        <f t="shared" si="202"/>
        <v>28.800000000000004</v>
      </c>
      <c r="AB18" s="8">
        <f>+AA18</f>
        <v>28.800000000000004</v>
      </c>
      <c r="AC18" s="8">
        <f t="shared" ref="AC18:AJ18" si="209">+AB18</f>
        <v>28.800000000000004</v>
      </c>
      <c r="AD18" s="8">
        <f t="shared" si="209"/>
        <v>28.800000000000004</v>
      </c>
      <c r="AE18" s="8">
        <f t="shared" si="209"/>
        <v>28.800000000000004</v>
      </c>
      <c r="AF18" s="8">
        <f t="shared" si="209"/>
        <v>28.800000000000004</v>
      </c>
      <c r="AG18" s="8">
        <f t="shared" si="209"/>
        <v>28.800000000000004</v>
      </c>
      <c r="AH18" s="8">
        <f t="shared" si="209"/>
        <v>28.800000000000004</v>
      </c>
      <c r="AI18" s="8">
        <f t="shared" si="209"/>
        <v>28.800000000000004</v>
      </c>
      <c r="AJ18" s="8">
        <f t="shared" si="209"/>
        <v>28.800000000000004</v>
      </c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</row>
    <row r="19" spans="2:238" s="1" customFormat="1" x14ac:dyDescent="0.2">
      <c r="B19" s="1" t="s">
        <v>23</v>
      </c>
      <c r="C19" s="8">
        <v>51.4</v>
      </c>
      <c r="D19" s="8">
        <v>64.5</v>
      </c>
      <c r="E19" s="8">
        <v>64.599999999999994</v>
      </c>
      <c r="F19" s="8">
        <f>+Y19-SUM(C19:E19)</f>
        <v>56.699999999999989</v>
      </c>
      <c r="G19" s="8">
        <v>61.7</v>
      </c>
      <c r="H19" s="8">
        <v>63.6</v>
      </c>
      <c r="I19" s="8">
        <v>58.7</v>
      </c>
      <c r="J19" s="8">
        <f>+Z19-SUM(G19:I19)</f>
        <v>51.800000000000011</v>
      </c>
      <c r="K19" s="8">
        <v>50.12</v>
      </c>
      <c r="L19" s="8">
        <v>61</v>
      </c>
      <c r="M19" s="8">
        <v>64.099999999999994</v>
      </c>
      <c r="N19" s="8">
        <f>+M19</f>
        <v>64.099999999999994</v>
      </c>
      <c r="Q19" s="8"/>
      <c r="R19" s="8"/>
      <c r="S19" s="8"/>
      <c r="T19" s="8"/>
      <c r="U19" s="8"/>
      <c r="V19" s="8"/>
      <c r="W19" s="8"/>
      <c r="X19" s="8">
        <v>151.80000000000001</v>
      </c>
      <c r="Y19" s="8">
        <v>237.2</v>
      </c>
      <c r="Z19" s="8">
        <v>235.8</v>
      </c>
      <c r="AA19" s="8">
        <f t="shared" si="202"/>
        <v>239.32</v>
      </c>
      <c r="AB19" s="8">
        <f>+AA19</f>
        <v>239.32</v>
      </c>
      <c r="AC19" s="8">
        <f t="shared" ref="AC19:AJ19" si="210">+AB19</f>
        <v>239.32</v>
      </c>
      <c r="AD19" s="8">
        <f t="shared" si="210"/>
        <v>239.32</v>
      </c>
      <c r="AE19" s="8">
        <f t="shared" si="210"/>
        <v>239.32</v>
      </c>
      <c r="AF19" s="8">
        <f t="shared" si="210"/>
        <v>239.32</v>
      </c>
      <c r="AG19" s="8">
        <f t="shared" si="210"/>
        <v>239.32</v>
      </c>
      <c r="AH19" s="8">
        <f t="shared" si="210"/>
        <v>239.32</v>
      </c>
      <c r="AI19" s="8">
        <f t="shared" si="210"/>
        <v>239.32</v>
      </c>
      <c r="AJ19" s="8">
        <f t="shared" si="210"/>
        <v>239.32</v>
      </c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</row>
    <row r="20" spans="2:238" s="1" customFormat="1" x14ac:dyDescent="0.2">
      <c r="B20" s="1" t="s">
        <v>24</v>
      </c>
      <c r="C20" s="8">
        <f t="shared" ref="C20:N20" si="211">+C17-SUM(C18:C19)</f>
        <v>261.00000000000023</v>
      </c>
      <c r="D20" s="8">
        <f t="shared" si="211"/>
        <v>70.399999999999892</v>
      </c>
      <c r="E20" s="8">
        <f t="shared" si="211"/>
        <v>-36.399999999999977</v>
      </c>
      <c r="F20" s="8">
        <f t="shared" si="211"/>
        <v>217.49999999999898</v>
      </c>
      <c r="G20" s="8">
        <f t="shared" si="211"/>
        <v>48.900000000000205</v>
      </c>
      <c r="H20" s="8">
        <f t="shared" si="211"/>
        <v>89.600000000000207</v>
      </c>
      <c r="I20" s="8">
        <f t="shared" si="211"/>
        <v>95.100000000000051</v>
      </c>
      <c r="J20" s="8">
        <f t="shared" si="211"/>
        <v>238.79999999999916</v>
      </c>
      <c r="K20" s="8">
        <f t="shared" si="211"/>
        <v>22.679999999999886</v>
      </c>
      <c r="L20" s="8">
        <f t="shared" si="211"/>
        <v>87.700000000000017</v>
      </c>
      <c r="M20" s="8">
        <f t="shared" si="211"/>
        <v>-171.49999999999994</v>
      </c>
      <c r="N20" s="8">
        <f t="shared" si="211"/>
        <v>341.17151841868764</v>
      </c>
      <c r="Q20" s="8"/>
      <c r="R20" s="8"/>
      <c r="S20" s="8"/>
      <c r="T20" s="8"/>
      <c r="U20" s="8"/>
      <c r="V20" s="8"/>
      <c r="W20" s="8"/>
      <c r="X20" s="8">
        <f>+X17-SUM(X18:X19)</f>
        <v>1077.2000000000003</v>
      </c>
      <c r="Y20" s="8">
        <f>+Y17-SUM(Y18:Y19)</f>
        <v>512.49999999999875</v>
      </c>
      <c r="Z20" s="8">
        <f>+Z17-SUM(Z18:Z19)</f>
        <v>472.39999999999964</v>
      </c>
      <c r="AA20" s="8">
        <f t="shared" si="202"/>
        <v>280.05151841868758</v>
      </c>
      <c r="AB20" s="8">
        <f>+AB17-SUM(AB18:AB19)</f>
        <v>258.12465768194022</v>
      </c>
      <c r="AC20" s="8">
        <f t="shared" ref="AC20:AJ20" si="212">+AC17-SUM(AC18:AC19)</f>
        <v>226.54997822102393</v>
      </c>
      <c r="AD20" s="8">
        <f t="shared" si="212"/>
        <v>196.86977952776249</v>
      </c>
      <c r="AE20" s="8">
        <f t="shared" si="212"/>
        <v>168.97039275609666</v>
      </c>
      <c r="AF20" s="8">
        <f t="shared" si="212"/>
        <v>142.74496919073079</v>
      </c>
      <c r="AG20" s="8">
        <f t="shared" si="212"/>
        <v>118.09307103928666</v>
      </c>
      <c r="AH20" s="8">
        <f t="shared" si="212"/>
        <v>94.920286776929856</v>
      </c>
      <c r="AI20" s="8">
        <f t="shared" si="212"/>
        <v>73.137869570314137</v>
      </c>
      <c r="AJ20" s="8">
        <f t="shared" si="212"/>
        <v>52.662397396095344</v>
      </c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</row>
    <row r="21" spans="2:238" s="1" customFormat="1" x14ac:dyDescent="0.2">
      <c r="B21" s="1" t="s">
        <v>25</v>
      </c>
      <c r="C21" s="8">
        <v>41.1</v>
      </c>
      <c r="D21" s="8">
        <v>9.1999999999999993</v>
      </c>
      <c r="E21" s="8">
        <v>27.4</v>
      </c>
      <c r="F21" s="8">
        <f>+Y21-SUM(C21:E21)</f>
        <v>-1197</v>
      </c>
      <c r="G21" s="8">
        <v>-1.4</v>
      </c>
      <c r="H21" s="8">
        <v>-303.5</v>
      </c>
      <c r="I21" s="8">
        <v>6</v>
      </c>
      <c r="J21" s="8">
        <f>+Z21-SUM(G21:I21)</f>
        <v>147.99999999999997</v>
      </c>
      <c r="K21" s="8">
        <v>13.5</v>
      </c>
      <c r="L21" s="8">
        <v>14.4</v>
      </c>
      <c r="M21" s="8">
        <v>82.2</v>
      </c>
      <c r="N21" s="8">
        <f>+N20*(M21/M20)</f>
        <v>-163.52360824499203</v>
      </c>
      <c r="Q21" s="8"/>
      <c r="R21" s="8"/>
      <c r="S21" s="8"/>
      <c r="T21" s="8"/>
      <c r="U21" s="8"/>
      <c r="V21" s="8"/>
      <c r="W21" s="8"/>
      <c r="X21" s="8">
        <v>145.19999999999999</v>
      </c>
      <c r="Y21" s="8">
        <v>-1119.3</v>
      </c>
      <c r="Z21" s="8">
        <v>-150.9</v>
      </c>
      <c r="AA21" s="8">
        <f t="shared" si="202"/>
        <v>-53.423608244992039</v>
      </c>
      <c r="AB21" s="8">
        <f>+AB20*0.15</f>
        <v>38.718698652291032</v>
      </c>
      <c r="AC21" s="8">
        <f t="shared" ref="AC21:AJ21" si="213">+AC20*0.15</f>
        <v>33.982496733153589</v>
      </c>
      <c r="AD21" s="8">
        <f t="shared" si="213"/>
        <v>29.530466929164373</v>
      </c>
      <c r="AE21" s="8">
        <f t="shared" si="213"/>
        <v>25.345558913414497</v>
      </c>
      <c r="AF21" s="8">
        <f t="shared" si="213"/>
        <v>21.411745378609616</v>
      </c>
      <c r="AG21" s="8">
        <f t="shared" si="213"/>
        <v>17.713960655892997</v>
      </c>
      <c r="AH21" s="8">
        <f t="shared" si="213"/>
        <v>14.238043016539478</v>
      </c>
      <c r="AI21" s="8">
        <f t="shared" si="213"/>
        <v>10.97068043554712</v>
      </c>
      <c r="AJ21" s="8">
        <f t="shared" si="213"/>
        <v>7.8993596094143008</v>
      </c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</row>
    <row r="22" spans="2:238" s="1" customFormat="1" x14ac:dyDescent="0.2">
      <c r="B22" s="1" t="s">
        <v>26</v>
      </c>
      <c r="C22" s="8">
        <f t="shared" ref="C22:N22" si="214">+C20-C21</f>
        <v>219.90000000000023</v>
      </c>
      <c r="D22" s="8">
        <f t="shared" si="214"/>
        <v>61.199999999999889</v>
      </c>
      <c r="E22" s="8">
        <f t="shared" si="214"/>
        <v>-63.799999999999976</v>
      </c>
      <c r="F22" s="8">
        <f t="shared" si="214"/>
        <v>1414.4999999999991</v>
      </c>
      <c r="G22" s="8">
        <f t="shared" si="214"/>
        <v>50.300000000000203</v>
      </c>
      <c r="H22" s="8">
        <f t="shared" si="214"/>
        <v>393.10000000000019</v>
      </c>
      <c r="I22" s="8">
        <f t="shared" si="214"/>
        <v>89.100000000000051</v>
      </c>
      <c r="J22" s="8">
        <f t="shared" si="214"/>
        <v>90.799999999999187</v>
      </c>
      <c r="K22" s="8">
        <f t="shared" si="214"/>
        <v>9.179999999999886</v>
      </c>
      <c r="L22" s="8">
        <f t="shared" si="214"/>
        <v>73.300000000000011</v>
      </c>
      <c r="M22" s="8">
        <f t="shared" si="214"/>
        <v>-253.69999999999993</v>
      </c>
      <c r="N22" s="8">
        <f t="shared" si="214"/>
        <v>504.69512666367967</v>
      </c>
      <c r="Q22" s="8"/>
      <c r="R22" s="8"/>
      <c r="S22" s="8"/>
      <c r="T22" s="8"/>
      <c r="U22" s="8"/>
      <c r="V22" s="8"/>
      <c r="W22" s="8"/>
      <c r="X22" s="8">
        <f>+X20-X21</f>
        <v>932.00000000000023</v>
      </c>
      <c r="Y22" s="8">
        <f>+Y20-Y21</f>
        <v>1631.7999999999988</v>
      </c>
      <c r="Z22" s="8">
        <f>+Z20-Z21</f>
        <v>623.29999999999961</v>
      </c>
      <c r="AA22" s="8">
        <f t="shared" si="202"/>
        <v>333.47512666367965</v>
      </c>
      <c r="AB22" s="8">
        <f>+AB20-AB21</f>
        <v>219.40595902964918</v>
      </c>
      <c r="AC22" s="8">
        <f t="shared" ref="AC22:AJ22" si="215">+AC20-AC21</f>
        <v>192.56748148787034</v>
      </c>
      <c r="AD22" s="8">
        <f t="shared" si="215"/>
        <v>167.33931259859813</v>
      </c>
      <c r="AE22" s="8">
        <f t="shared" si="215"/>
        <v>143.62483384268216</v>
      </c>
      <c r="AF22" s="8">
        <f t="shared" si="215"/>
        <v>121.33322381212116</v>
      </c>
      <c r="AG22" s="8">
        <f t="shared" si="215"/>
        <v>100.37911038339365</v>
      </c>
      <c r="AH22" s="8">
        <f t="shared" si="215"/>
        <v>80.682243760390378</v>
      </c>
      <c r="AI22" s="8">
        <f t="shared" si="215"/>
        <v>62.167189134767014</v>
      </c>
      <c r="AJ22" s="8">
        <f t="shared" si="215"/>
        <v>44.763037786681039</v>
      </c>
      <c r="AK22" s="8">
        <f>+AJ22*(1+$AM$26)</f>
        <v>44.315407408814231</v>
      </c>
      <c r="AL22" s="8">
        <f t="shared" ref="AL22:CW22" si="216">+AK22*(1+$AM$26)</f>
        <v>43.872253334726089</v>
      </c>
      <c r="AM22" s="8">
        <f t="shared" si="216"/>
        <v>43.433530801378829</v>
      </c>
      <c r="AN22" s="8">
        <f t="shared" si="216"/>
        <v>42.999195493365043</v>
      </c>
      <c r="AO22" s="8">
        <f t="shared" si="216"/>
        <v>42.569203538431395</v>
      </c>
      <c r="AP22" s="8">
        <f t="shared" si="216"/>
        <v>42.14351150304708</v>
      </c>
      <c r="AQ22" s="8">
        <f t="shared" si="216"/>
        <v>41.72207638801661</v>
      </c>
      <c r="AR22" s="8">
        <f t="shared" si="216"/>
        <v>41.304855624136444</v>
      </c>
      <c r="AS22" s="8">
        <f t="shared" si="216"/>
        <v>40.89180706789508</v>
      </c>
      <c r="AT22" s="8">
        <f t="shared" si="216"/>
        <v>40.482888997216129</v>
      </c>
      <c r="AU22" s="8">
        <f t="shared" si="216"/>
        <v>40.078060107243971</v>
      </c>
      <c r="AV22" s="8">
        <f t="shared" si="216"/>
        <v>39.67727950617153</v>
      </c>
      <c r="AW22" s="8">
        <f t="shared" si="216"/>
        <v>39.280506711109815</v>
      </c>
      <c r="AX22" s="8">
        <f t="shared" si="216"/>
        <v>38.887701643998717</v>
      </c>
      <c r="AY22" s="8">
        <f t="shared" si="216"/>
        <v>38.498824627558733</v>
      </c>
      <c r="AZ22" s="8">
        <f t="shared" si="216"/>
        <v>38.113836381283143</v>
      </c>
      <c r="BA22" s="8">
        <f t="shared" si="216"/>
        <v>37.732698017470312</v>
      </c>
      <c r="BB22" s="8">
        <f t="shared" si="216"/>
        <v>37.355371037295612</v>
      </c>
      <c r="BC22" s="8">
        <f t="shared" si="216"/>
        <v>36.981817326922652</v>
      </c>
      <c r="BD22" s="8">
        <f t="shared" si="216"/>
        <v>36.611999153653429</v>
      </c>
      <c r="BE22" s="8">
        <f t="shared" si="216"/>
        <v>36.245879162116893</v>
      </c>
      <c r="BF22" s="8">
        <f t="shared" si="216"/>
        <v>35.88342037049572</v>
      </c>
      <c r="BG22" s="8">
        <f t="shared" si="216"/>
        <v>35.524586166790762</v>
      </c>
      <c r="BH22" s="8">
        <f t="shared" si="216"/>
        <v>35.169340305122851</v>
      </c>
      <c r="BI22" s="8">
        <f t="shared" si="216"/>
        <v>34.817646902071623</v>
      </c>
      <c r="BJ22" s="8">
        <f t="shared" si="216"/>
        <v>34.469470433050908</v>
      </c>
      <c r="BK22" s="8">
        <f t="shared" si="216"/>
        <v>34.124775728720401</v>
      </c>
      <c r="BL22" s="8">
        <f t="shared" si="216"/>
        <v>33.783527971433195</v>
      </c>
      <c r="BM22" s="8">
        <f t="shared" si="216"/>
        <v>33.445692691718861</v>
      </c>
      <c r="BN22" s="8">
        <f t="shared" si="216"/>
        <v>33.11123576480167</v>
      </c>
      <c r="BO22" s="8">
        <f t="shared" si="216"/>
        <v>32.780123407153653</v>
      </c>
      <c r="BP22" s="8">
        <f t="shared" si="216"/>
        <v>32.452322173082116</v>
      </c>
      <c r="BQ22" s="8">
        <f t="shared" si="216"/>
        <v>32.127798951351295</v>
      </c>
      <c r="BR22" s="8">
        <f t="shared" si="216"/>
        <v>31.80652096183778</v>
      </c>
      <c r="BS22" s="8">
        <f t="shared" si="216"/>
        <v>31.488455752219402</v>
      </c>
      <c r="BT22" s="8">
        <f t="shared" si="216"/>
        <v>31.173571194697207</v>
      </c>
      <c r="BU22" s="8">
        <f t="shared" si="216"/>
        <v>30.861835482750234</v>
      </c>
      <c r="BV22" s="8">
        <f t="shared" si="216"/>
        <v>30.553217127922732</v>
      </c>
      <c r="BW22" s="8">
        <f t="shared" si="216"/>
        <v>30.247684956643504</v>
      </c>
      <c r="BX22" s="8">
        <f t="shared" si="216"/>
        <v>29.945208107077068</v>
      </c>
      <c r="BY22" s="8">
        <f t="shared" si="216"/>
        <v>29.645756026006296</v>
      </c>
      <c r="BZ22" s="8">
        <f t="shared" si="216"/>
        <v>29.349298465746234</v>
      </c>
      <c r="CA22" s="8">
        <f t="shared" si="216"/>
        <v>29.055805481088772</v>
      </c>
      <c r="CB22" s="8">
        <f t="shared" si="216"/>
        <v>28.765247426277885</v>
      </c>
      <c r="CC22" s="8">
        <f t="shared" si="216"/>
        <v>28.477594952015107</v>
      </c>
      <c r="CD22" s="8">
        <f t="shared" si="216"/>
        <v>28.192819002494954</v>
      </c>
      <c r="CE22" s="8">
        <f t="shared" si="216"/>
        <v>27.910890812470004</v>
      </c>
      <c r="CF22" s="8">
        <f t="shared" si="216"/>
        <v>27.631781904345303</v>
      </c>
      <c r="CG22" s="8">
        <f t="shared" si="216"/>
        <v>27.35546408530185</v>
      </c>
      <c r="CH22" s="8">
        <f t="shared" si="216"/>
        <v>27.081909444448833</v>
      </c>
      <c r="CI22" s="8">
        <f t="shared" si="216"/>
        <v>26.811090350004346</v>
      </c>
      <c r="CJ22" s="8">
        <f t="shared" si="216"/>
        <v>26.542979446504301</v>
      </c>
      <c r="CK22" s="8">
        <f t="shared" si="216"/>
        <v>26.277549652039259</v>
      </c>
      <c r="CL22" s="8">
        <f t="shared" si="216"/>
        <v>26.014774155518865</v>
      </c>
      <c r="CM22" s="8">
        <f t="shared" si="216"/>
        <v>25.754626413963674</v>
      </c>
      <c r="CN22" s="8">
        <f t="shared" si="216"/>
        <v>25.497080149824036</v>
      </c>
      <c r="CO22" s="8">
        <f t="shared" si="216"/>
        <v>25.242109348325794</v>
      </c>
      <c r="CP22" s="8">
        <f t="shared" si="216"/>
        <v>24.989688254842537</v>
      </c>
      <c r="CQ22" s="8">
        <f t="shared" si="216"/>
        <v>24.739791372294111</v>
      </c>
      <c r="CR22" s="8">
        <f t="shared" si="216"/>
        <v>24.492393458571168</v>
      </c>
      <c r="CS22" s="8">
        <f t="shared" si="216"/>
        <v>24.247469523985458</v>
      </c>
      <c r="CT22" s="8">
        <f t="shared" si="216"/>
        <v>24.004994828745602</v>
      </c>
      <c r="CU22" s="8">
        <f t="shared" si="216"/>
        <v>23.764944880458145</v>
      </c>
      <c r="CV22" s="8">
        <f t="shared" si="216"/>
        <v>23.527295431653563</v>
      </c>
      <c r="CW22" s="8">
        <f t="shared" si="216"/>
        <v>23.292022477337028</v>
      </c>
      <c r="CX22" s="8">
        <f t="shared" ref="CX22:FI22" si="217">+CW22*(1+$AM$26)</f>
        <v>23.059102252563658</v>
      </c>
      <c r="CY22" s="8">
        <f t="shared" si="217"/>
        <v>22.828511230038021</v>
      </c>
      <c r="CZ22" s="8">
        <f t="shared" si="217"/>
        <v>22.600226117737641</v>
      </c>
      <c r="DA22" s="8">
        <f t="shared" si="217"/>
        <v>22.374223856560263</v>
      </c>
      <c r="DB22" s="8">
        <f t="shared" si="217"/>
        <v>22.150481617994661</v>
      </c>
      <c r="DC22" s="8">
        <f t="shared" si="217"/>
        <v>21.928976801814713</v>
      </c>
      <c r="DD22" s="8">
        <f t="shared" si="217"/>
        <v>21.709687033796566</v>
      </c>
      <c r="DE22" s="8">
        <f t="shared" si="217"/>
        <v>21.492590163458601</v>
      </c>
      <c r="DF22" s="8">
        <f t="shared" si="217"/>
        <v>21.277664261824015</v>
      </c>
      <c r="DG22" s="8">
        <f t="shared" si="217"/>
        <v>21.064887619205773</v>
      </c>
      <c r="DH22" s="8">
        <f t="shared" si="217"/>
        <v>20.854238743013717</v>
      </c>
      <c r="DI22" s="8">
        <f t="shared" si="217"/>
        <v>20.645696355583578</v>
      </c>
      <c r="DJ22" s="8">
        <f t="shared" si="217"/>
        <v>20.439239392027741</v>
      </c>
      <c r="DK22" s="8">
        <f t="shared" si="217"/>
        <v>20.234846998107464</v>
      </c>
      <c r="DL22" s="8">
        <f t="shared" si="217"/>
        <v>20.032498528126389</v>
      </c>
      <c r="DM22" s="8">
        <f t="shared" si="217"/>
        <v>19.832173542845126</v>
      </c>
      <c r="DN22" s="8">
        <f t="shared" si="217"/>
        <v>19.633851807416676</v>
      </c>
      <c r="DO22" s="8">
        <f t="shared" si="217"/>
        <v>19.437513289342508</v>
      </c>
      <c r="DP22" s="8">
        <f t="shared" si="217"/>
        <v>19.243138156449081</v>
      </c>
      <c r="DQ22" s="8">
        <f t="shared" si="217"/>
        <v>19.050706774884592</v>
      </c>
      <c r="DR22" s="8">
        <f t="shared" si="217"/>
        <v>18.860199707135745</v>
      </c>
      <c r="DS22" s="8">
        <f t="shared" si="217"/>
        <v>18.671597710064386</v>
      </c>
      <c r="DT22" s="8">
        <f t="shared" si="217"/>
        <v>18.484881732963743</v>
      </c>
      <c r="DU22" s="8">
        <f t="shared" si="217"/>
        <v>18.300032915634105</v>
      </c>
      <c r="DV22" s="8">
        <f t="shared" si="217"/>
        <v>18.117032586477762</v>
      </c>
      <c r="DW22" s="8">
        <f t="shared" si="217"/>
        <v>17.935862260612986</v>
      </c>
      <c r="DX22" s="8">
        <f t="shared" si="217"/>
        <v>17.756503638006855</v>
      </c>
      <c r="DY22" s="8">
        <f t="shared" si="217"/>
        <v>17.578938601626785</v>
      </c>
      <c r="DZ22" s="8">
        <f t="shared" si="217"/>
        <v>17.403149215610515</v>
      </c>
      <c r="EA22" s="8">
        <f t="shared" si="217"/>
        <v>17.229117723454412</v>
      </c>
      <c r="EB22" s="8">
        <f t="shared" si="217"/>
        <v>17.056826546219867</v>
      </c>
      <c r="EC22" s="8">
        <f t="shared" si="217"/>
        <v>16.886258280757669</v>
      </c>
      <c r="ED22" s="8">
        <f t="shared" si="217"/>
        <v>16.717395697950092</v>
      </c>
      <c r="EE22" s="8">
        <f t="shared" si="217"/>
        <v>16.550221740970592</v>
      </c>
      <c r="EF22" s="8">
        <f t="shared" si="217"/>
        <v>16.384719523560886</v>
      </c>
      <c r="EG22" s="8">
        <f t="shared" si="217"/>
        <v>16.220872328325278</v>
      </c>
      <c r="EH22" s="8">
        <f t="shared" si="217"/>
        <v>16.058663605042025</v>
      </c>
      <c r="EI22" s="8">
        <f t="shared" si="217"/>
        <v>15.898076968991605</v>
      </c>
      <c r="EJ22" s="8">
        <f t="shared" si="217"/>
        <v>15.739096199301688</v>
      </c>
      <c r="EK22" s="8">
        <f t="shared" si="217"/>
        <v>15.581705237308672</v>
      </c>
      <c r="EL22" s="8">
        <f t="shared" si="217"/>
        <v>15.425888184935586</v>
      </c>
      <c r="EM22" s="8">
        <f t="shared" si="217"/>
        <v>15.271629303086229</v>
      </c>
      <c r="EN22" s="8">
        <f t="shared" si="217"/>
        <v>15.118913010055367</v>
      </c>
      <c r="EO22" s="8">
        <f t="shared" si="217"/>
        <v>14.967723879954814</v>
      </c>
      <c r="EP22" s="8">
        <f t="shared" si="217"/>
        <v>14.818046641155266</v>
      </c>
      <c r="EQ22" s="8">
        <f t="shared" si="217"/>
        <v>14.669866174743714</v>
      </c>
      <c r="ER22" s="8">
        <f t="shared" si="217"/>
        <v>14.523167512996276</v>
      </c>
      <c r="ES22" s="8">
        <f t="shared" si="217"/>
        <v>14.377935837866312</v>
      </c>
      <c r="ET22" s="8">
        <f t="shared" si="217"/>
        <v>14.234156479487648</v>
      </c>
      <c r="EU22" s="8">
        <f t="shared" si="217"/>
        <v>14.091814914692772</v>
      </c>
      <c r="EV22" s="8">
        <f t="shared" si="217"/>
        <v>13.950896765545844</v>
      </c>
      <c r="EW22" s="8">
        <f t="shared" si="217"/>
        <v>13.811387797890385</v>
      </c>
      <c r="EX22" s="8">
        <f t="shared" si="217"/>
        <v>13.67327391991148</v>
      </c>
      <c r="EY22" s="8">
        <f t="shared" si="217"/>
        <v>13.536541180712366</v>
      </c>
      <c r="EZ22" s="8">
        <f t="shared" si="217"/>
        <v>13.401175768905242</v>
      </c>
      <c r="FA22" s="8">
        <f t="shared" si="217"/>
        <v>13.26716401121619</v>
      </c>
      <c r="FB22" s="8">
        <f t="shared" si="217"/>
        <v>13.134492371104027</v>
      </c>
      <c r="FC22" s="8">
        <f t="shared" si="217"/>
        <v>13.003147447392987</v>
      </c>
      <c r="FD22" s="8">
        <f t="shared" si="217"/>
        <v>12.873115972919058</v>
      </c>
      <c r="FE22" s="8">
        <f t="shared" si="217"/>
        <v>12.744384813189868</v>
      </c>
      <c r="FF22" s="8">
        <f t="shared" si="217"/>
        <v>12.616940965057969</v>
      </c>
      <c r="FG22" s="8">
        <f t="shared" si="217"/>
        <v>12.49077155540739</v>
      </c>
      <c r="FH22" s="8">
        <f t="shared" si="217"/>
        <v>12.365863839853317</v>
      </c>
      <c r="FI22" s="8">
        <f t="shared" si="217"/>
        <v>12.242205201454784</v>
      </c>
      <c r="FJ22" s="8">
        <f t="shared" ref="FJ22:HN22" si="218">+FI22*(1+$AM$26)</f>
        <v>12.119783149440236</v>
      </c>
      <c r="FK22" s="8">
        <f t="shared" si="218"/>
        <v>11.998585317945833</v>
      </c>
      <c r="FL22" s="8">
        <f t="shared" si="218"/>
        <v>11.878599464766374</v>
      </c>
      <c r="FM22" s="8">
        <f t="shared" si="218"/>
        <v>11.75981347011871</v>
      </c>
      <c r="FN22" s="8">
        <f t="shared" si="218"/>
        <v>11.642215335417522</v>
      </c>
      <c r="FO22" s="8">
        <f t="shared" si="218"/>
        <v>11.525793182063346</v>
      </c>
      <c r="FP22" s="8">
        <f t="shared" si="218"/>
        <v>11.410535250242713</v>
      </c>
      <c r="FQ22" s="8">
        <f t="shared" si="218"/>
        <v>11.296429897740285</v>
      </c>
      <c r="FR22" s="8">
        <f t="shared" si="218"/>
        <v>11.183465598762883</v>
      </c>
      <c r="FS22" s="8">
        <f t="shared" si="218"/>
        <v>11.071630942775254</v>
      </c>
      <c r="FT22" s="8">
        <f t="shared" si="218"/>
        <v>10.960914633347501</v>
      </c>
      <c r="FU22" s="8">
        <f t="shared" si="218"/>
        <v>10.851305487014026</v>
      </c>
      <c r="FV22" s="8">
        <f t="shared" si="218"/>
        <v>10.742792432143885</v>
      </c>
      <c r="FW22" s="8">
        <f t="shared" si="218"/>
        <v>10.635364507822446</v>
      </c>
      <c r="FX22" s="8">
        <f t="shared" si="218"/>
        <v>10.529010862744222</v>
      </c>
      <c r="FY22" s="8">
        <f t="shared" si="218"/>
        <v>10.423720754116779</v>
      </c>
      <c r="FZ22" s="8">
        <f t="shared" si="218"/>
        <v>10.319483546575611</v>
      </c>
      <c r="GA22" s="8">
        <f t="shared" si="218"/>
        <v>10.216288711109856</v>
      </c>
      <c r="GB22" s="8">
        <f t="shared" si="218"/>
        <v>10.114125823998757</v>
      </c>
      <c r="GC22" s="8">
        <f t="shared" si="218"/>
        <v>10.012984565758769</v>
      </c>
      <c r="GD22" s="8">
        <f t="shared" si="218"/>
        <v>9.9128547201011816</v>
      </c>
      <c r="GE22" s="8">
        <f t="shared" si="218"/>
        <v>9.8137261729001697</v>
      </c>
      <c r="GF22" s="8">
        <f t="shared" si="218"/>
        <v>9.7155889111711673</v>
      </c>
      <c r="GG22" s="8">
        <f t="shared" si="218"/>
        <v>9.6184330220594561</v>
      </c>
      <c r="GH22" s="8">
        <f t="shared" si="218"/>
        <v>9.5222486918388611</v>
      </c>
      <c r="GI22" s="8">
        <f t="shared" si="218"/>
        <v>9.4270262049204732</v>
      </c>
      <c r="GJ22" s="8">
        <f t="shared" si="218"/>
        <v>9.3327559428712679</v>
      </c>
      <c r="GK22" s="8">
        <f t="shared" si="218"/>
        <v>9.2394283834425543</v>
      </c>
      <c r="GL22" s="8">
        <f t="shared" si="218"/>
        <v>9.1470340996081294</v>
      </c>
      <c r="GM22" s="8">
        <f t="shared" si="218"/>
        <v>9.0555637586120472</v>
      </c>
      <c r="GN22" s="8">
        <f t="shared" si="218"/>
        <v>8.9650081210259263</v>
      </c>
      <c r="GO22" s="8">
        <f t="shared" si="218"/>
        <v>8.8753580398156675</v>
      </c>
      <c r="GP22" s="8">
        <f t="shared" si="218"/>
        <v>8.7866044594175108</v>
      </c>
      <c r="GQ22" s="8">
        <f t="shared" si="218"/>
        <v>8.6987384148233353</v>
      </c>
      <c r="GR22" s="8">
        <f t="shared" si="218"/>
        <v>8.6117510306751015</v>
      </c>
      <c r="GS22" s="8">
        <f t="shared" si="218"/>
        <v>8.5256335203683502</v>
      </c>
      <c r="GT22" s="8">
        <f t="shared" si="218"/>
        <v>8.4403771851646674</v>
      </c>
      <c r="GU22" s="8">
        <f t="shared" si="218"/>
        <v>8.3559734133130199</v>
      </c>
      <c r="GV22" s="8">
        <f t="shared" si="218"/>
        <v>8.2724136791798895</v>
      </c>
      <c r="GW22" s="8">
        <f t="shared" si="218"/>
        <v>8.1896895423880913</v>
      </c>
      <c r="GX22" s="8">
        <f t="shared" si="218"/>
        <v>8.1077926469642101</v>
      </c>
      <c r="GY22" s="8">
        <f t="shared" si="218"/>
        <v>8.0267147204945672</v>
      </c>
      <c r="GZ22" s="8">
        <f t="shared" si="218"/>
        <v>7.9464475732896211</v>
      </c>
      <c r="HA22" s="8">
        <f t="shared" si="218"/>
        <v>7.8669830975567248</v>
      </c>
      <c r="HB22" s="8">
        <f t="shared" si="218"/>
        <v>7.7883132665811576</v>
      </c>
      <c r="HC22" s="8">
        <f t="shared" si="218"/>
        <v>7.710430133915346</v>
      </c>
      <c r="HD22" s="8">
        <f t="shared" si="218"/>
        <v>7.6333258325761921</v>
      </c>
      <c r="HE22" s="8">
        <f t="shared" si="218"/>
        <v>7.5569925742504305</v>
      </c>
      <c r="HF22" s="8">
        <f t="shared" si="218"/>
        <v>7.4814226485079258</v>
      </c>
      <c r="HG22" s="8">
        <f t="shared" si="218"/>
        <v>7.4066084220228463</v>
      </c>
      <c r="HH22" s="8">
        <f t="shared" si="218"/>
        <v>7.332542337802618</v>
      </c>
      <c r="HI22" s="8">
        <f t="shared" si="218"/>
        <v>7.2592169144245915</v>
      </c>
      <c r="HJ22" s="8">
        <f t="shared" si="218"/>
        <v>7.1866247452803451</v>
      </c>
      <c r="HK22" s="8">
        <f t="shared" si="218"/>
        <v>7.114758497827542</v>
      </c>
      <c r="HL22" s="8">
        <f t="shared" si="218"/>
        <v>7.0436109128492665</v>
      </c>
      <c r="HM22" s="8">
        <f t="shared" si="218"/>
        <v>6.9731748037207737</v>
      </c>
      <c r="HN22" s="8">
        <f t="shared" si="218"/>
        <v>6.9034430556835655</v>
      </c>
      <c r="HO22" s="8">
        <f t="shared" ref="HO22:HX22" si="219">+HN22*(1+$AM$26)</f>
        <v>6.8344086251267298</v>
      </c>
      <c r="HP22" s="8">
        <f t="shared" si="219"/>
        <v>6.7660645388754626</v>
      </c>
      <c r="HQ22" s="8">
        <f t="shared" si="219"/>
        <v>6.6984038934867076</v>
      </c>
      <c r="HR22" s="8">
        <f t="shared" si="219"/>
        <v>6.6314198545518401</v>
      </c>
      <c r="HS22" s="8">
        <f t="shared" si="219"/>
        <v>6.5651056560063212</v>
      </c>
      <c r="HT22" s="8">
        <f t="shared" si="219"/>
        <v>6.499454599446258</v>
      </c>
      <c r="HU22" s="8">
        <f t="shared" si="219"/>
        <v>6.4344600534517955</v>
      </c>
      <c r="HV22" s="8">
        <f t="shared" si="219"/>
        <v>6.3701154529172772</v>
      </c>
      <c r="HW22" s="8">
        <f t="shared" si="219"/>
        <v>6.3064142983881046</v>
      </c>
      <c r="HX22" s="8">
        <f t="shared" si="219"/>
        <v>6.2433501554042232</v>
      </c>
      <c r="HY22" s="8">
        <f t="shared" ref="HY22:IC22" si="220">+HX22*(1+$AM$26)</f>
        <v>6.180916653850181</v>
      </c>
      <c r="HZ22" s="8">
        <f t="shared" si="220"/>
        <v>6.1191074873116795</v>
      </c>
      <c r="IA22" s="8">
        <f t="shared" si="220"/>
        <v>6.0579164124385629</v>
      </c>
      <c r="IB22" s="8">
        <f t="shared" si="220"/>
        <v>5.9973372483141771</v>
      </c>
      <c r="IC22" s="8">
        <f t="shared" si="220"/>
        <v>5.9373638758310356</v>
      </c>
      <c r="ID22" s="8"/>
    </row>
    <row r="24" spans="2:238" s="3" customFormat="1" x14ac:dyDescent="0.2">
      <c r="B24" s="3" t="s">
        <v>27</v>
      </c>
      <c r="C24" s="10"/>
      <c r="D24" s="10"/>
      <c r="E24" s="10"/>
      <c r="F24" s="10"/>
      <c r="G24" s="10">
        <f t="shared" ref="G24:M24" si="221">+G13/C13-1</f>
        <v>-0.31711671501896899</v>
      </c>
      <c r="H24" s="10">
        <f t="shared" si="221"/>
        <v>2.3558403154263274E-2</v>
      </c>
      <c r="I24" s="10">
        <f t="shared" si="221"/>
        <v>8.5039209695488394E-2</v>
      </c>
      <c r="J24" s="10">
        <f t="shared" si="221"/>
        <v>6.8231393421167796E-2</v>
      </c>
      <c r="K24" s="10">
        <f t="shared" si="221"/>
        <v>-0.13790849673202632</v>
      </c>
      <c r="L24" s="10">
        <f t="shared" si="221"/>
        <v>1.1652542372881269E-2</v>
      </c>
      <c r="M24" s="10">
        <f t="shared" si="221"/>
        <v>-0.4910831612539891</v>
      </c>
      <c r="N24" s="10"/>
      <c r="Q24" s="10"/>
      <c r="R24" s="10"/>
      <c r="S24" s="10"/>
      <c r="T24" s="10"/>
      <c r="U24" s="10"/>
      <c r="V24" s="10"/>
      <c r="W24" s="10"/>
      <c r="X24" s="10"/>
      <c r="Y24" s="10">
        <f>+Y13/X13-1</f>
        <v>-0.22672043844682299</v>
      </c>
      <c r="Z24" s="10">
        <f>+Z13/Y13-1</f>
        <v>-5.3646251225817898E-2</v>
      </c>
      <c r="AA24" s="10">
        <f>+AA13/Z13-1</f>
        <v>-3.8152657732978268E-2</v>
      </c>
      <c r="AB24" s="10">
        <f t="shared" ref="AB24:AJ24" si="222">+AB13/AA13-1</f>
        <v>-4.0000000000000036E-2</v>
      </c>
      <c r="AC24" s="10">
        <f t="shared" si="222"/>
        <v>-6.0000000000000053E-2</v>
      </c>
      <c r="AD24" s="10">
        <f t="shared" si="222"/>
        <v>-6.0000000000000053E-2</v>
      </c>
      <c r="AE24" s="10">
        <f t="shared" si="222"/>
        <v>-6.0000000000000053E-2</v>
      </c>
      <c r="AF24" s="10">
        <f t="shared" si="222"/>
        <v>-6.0000000000000053E-2</v>
      </c>
      <c r="AG24" s="10">
        <f t="shared" si="222"/>
        <v>-6.0000000000000053E-2</v>
      </c>
      <c r="AH24" s="10">
        <f t="shared" si="222"/>
        <v>-5.9999999999999942E-2</v>
      </c>
      <c r="AI24" s="10">
        <f t="shared" si="222"/>
        <v>-6.0000000000000053E-2</v>
      </c>
      <c r="AJ24" s="10">
        <f t="shared" si="222"/>
        <v>-6.0000000000000053E-2</v>
      </c>
      <c r="AK24" s="10"/>
      <c r="AL24" s="10"/>
      <c r="AM24" s="10"/>
    </row>
    <row r="25" spans="2:238" s="5" customFormat="1" x14ac:dyDescent="0.2">
      <c r="B25" s="6" t="s">
        <v>35</v>
      </c>
      <c r="C25" s="11"/>
      <c r="D25" s="11"/>
      <c r="E25" s="11"/>
      <c r="F25" s="11"/>
      <c r="G25" s="11"/>
      <c r="H25" s="11"/>
      <c r="I25" s="11"/>
      <c r="J25" s="11"/>
      <c r="K25" s="11"/>
      <c r="L25" s="12">
        <f>+L3/H3-1</f>
        <v>-7.6963626779125049E-2</v>
      </c>
      <c r="M25" s="12">
        <f>+M3/I3-1</f>
        <v>-0.68451921592838394</v>
      </c>
      <c r="N25" s="11"/>
      <c r="Q25" s="11"/>
      <c r="R25" s="11"/>
      <c r="S25" s="11"/>
      <c r="T25" s="11"/>
      <c r="U25" s="11"/>
      <c r="V25" s="11"/>
      <c r="W25" s="11"/>
      <c r="X25" s="11"/>
      <c r="Y25" s="12">
        <f>+Y3/X3-1</f>
        <v>-0.21131895057670469</v>
      </c>
      <c r="Z25" s="12">
        <f>+Z3/Y3-1</f>
        <v>-9.9075547472910475E-2</v>
      </c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7"/>
      <c r="AM25" s="11"/>
    </row>
    <row r="26" spans="2:238" s="5" customFormat="1" x14ac:dyDescent="0.2">
      <c r="B26" s="6" t="s">
        <v>36</v>
      </c>
      <c r="C26" s="11"/>
      <c r="D26" s="11"/>
      <c r="E26" s="11"/>
      <c r="F26" s="11"/>
      <c r="G26" s="11"/>
      <c r="H26" s="11"/>
      <c r="I26" s="11"/>
      <c r="J26" s="11"/>
      <c r="K26" s="11"/>
      <c r="L26" s="11">
        <f t="shared" ref="L26:M29" si="223">+L4/H4-1</f>
        <v>0.11705288175876394</v>
      </c>
      <c r="M26" s="12">
        <f t="shared" si="223"/>
        <v>-0.20210449927431062</v>
      </c>
      <c r="N26" s="11"/>
      <c r="Q26" s="11"/>
      <c r="R26" s="11"/>
      <c r="S26" s="11"/>
      <c r="T26" s="11"/>
      <c r="U26" s="11"/>
      <c r="V26" s="11"/>
      <c r="W26" s="11"/>
      <c r="X26" s="11"/>
      <c r="Y26" s="12">
        <f t="shared" ref="Y26:Z29" si="224">+Y4/X4-1</f>
        <v>-0.22596270283361575</v>
      </c>
      <c r="Z26" s="11">
        <f t="shared" si="224"/>
        <v>1.6426783479348561E-3</v>
      </c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7" t="s">
        <v>41</v>
      </c>
      <c r="AM26" s="19">
        <v>-0.01</v>
      </c>
    </row>
    <row r="27" spans="2:238" s="5" customFormat="1" x14ac:dyDescent="0.2">
      <c r="B27" s="6" t="s">
        <v>37</v>
      </c>
      <c r="C27" s="11"/>
      <c r="D27" s="11"/>
      <c r="E27" s="11"/>
      <c r="F27" s="11"/>
      <c r="G27" s="11"/>
      <c r="H27" s="11"/>
      <c r="I27" s="11"/>
      <c r="J27" s="11"/>
      <c r="K27" s="11"/>
      <c r="L27" s="11">
        <f t="shared" si="223"/>
        <v>7.9194630872483351E-2</v>
      </c>
      <c r="M27" s="11">
        <f t="shared" si="223"/>
        <v>5.3066037735848948E-2</v>
      </c>
      <c r="N27" s="11"/>
      <c r="Q27" s="11"/>
      <c r="R27" s="11"/>
      <c r="S27" s="11"/>
      <c r="T27" s="11"/>
      <c r="U27" s="11"/>
      <c r="V27" s="11"/>
      <c r="W27" s="11"/>
      <c r="X27" s="11"/>
      <c r="Y27" s="12">
        <f t="shared" si="224"/>
        <v>-0.1727012242771554</v>
      </c>
      <c r="Z27" s="11">
        <f t="shared" si="224"/>
        <v>0.10988664987405539</v>
      </c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7" t="s">
        <v>42</v>
      </c>
      <c r="AM27" s="19">
        <v>0.08</v>
      </c>
    </row>
    <row r="28" spans="2:238" s="5" customFormat="1" x14ac:dyDescent="0.2">
      <c r="B28" s="6" t="s">
        <v>38</v>
      </c>
      <c r="C28" s="11"/>
      <c r="D28" s="11"/>
      <c r="E28" s="11"/>
      <c r="F28" s="11"/>
      <c r="G28" s="11"/>
      <c r="H28" s="11"/>
      <c r="I28" s="11"/>
      <c r="J28" s="11"/>
      <c r="K28" s="11"/>
      <c r="L28" s="11">
        <f t="shared" si="223"/>
        <v>3.2183908045976928E-2</v>
      </c>
      <c r="M28" s="12">
        <f t="shared" si="223"/>
        <v>-0.25581395348837199</v>
      </c>
      <c r="N28" s="11"/>
      <c r="Q28" s="11"/>
      <c r="R28" s="11"/>
      <c r="S28" s="11"/>
      <c r="T28" s="11"/>
      <c r="U28" s="11"/>
      <c r="V28" s="11"/>
      <c r="W28" s="11"/>
      <c r="X28" s="11"/>
      <c r="Y28" s="12">
        <f t="shared" si="224"/>
        <v>-0.20162323793250747</v>
      </c>
      <c r="Z28" s="11">
        <f t="shared" si="224"/>
        <v>7.2766185125735738E-2</v>
      </c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7" t="s">
        <v>43</v>
      </c>
      <c r="AM28" s="20">
        <f>NPV(AM27,AA22:IC22)</f>
        <v>1329.0201284737182</v>
      </c>
    </row>
    <row r="29" spans="2:238" s="5" customFormat="1" x14ac:dyDescent="0.2">
      <c r="B29" s="6" t="s">
        <v>40</v>
      </c>
      <c r="C29" s="11"/>
      <c r="D29" s="11"/>
      <c r="E29" s="11"/>
      <c r="F29" s="11"/>
      <c r="G29" s="11"/>
      <c r="H29" s="11"/>
      <c r="I29" s="11"/>
      <c r="J29" s="11"/>
      <c r="K29" s="11"/>
      <c r="L29" s="12">
        <f t="shared" si="223"/>
        <v>0.62585034013605445</v>
      </c>
      <c r="M29" s="12">
        <f t="shared" si="223"/>
        <v>-1.6734693877551019</v>
      </c>
      <c r="N29" s="11"/>
      <c r="Q29" s="11"/>
      <c r="R29" s="11"/>
      <c r="S29" s="11"/>
      <c r="T29" s="11"/>
      <c r="U29" s="11"/>
      <c r="V29" s="11"/>
      <c r="W29" s="11"/>
      <c r="X29" s="11"/>
      <c r="Y29" s="12">
        <f t="shared" si="224"/>
        <v>-0.6534121440085976</v>
      </c>
      <c r="Z29" s="12">
        <f t="shared" si="224"/>
        <v>-0.4620155038759689</v>
      </c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7" t="s">
        <v>44</v>
      </c>
      <c r="AM29" s="21">
        <f>+Main!K4</f>
        <v>124.920067</v>
      </c>
    </row>
    <row r="30" spans="2:238" s="5" customFormat="1" x14ac:dyDescent="0.2">
      <c r="B30" s="6" t="s">
        <v>31</v>
      </c>
      <c r="C30" s="11"/>
      <c r="D30" s="11"/>
      <c r="E30" s="11"/>
      <c r="F30" s="11"/>
      <c r="G30" s="11">
        <f>+G9/C9-1</f>
        <v>-0.47898652724713453</v>
      </c>
      <c r="H30" s="11"/>
      <c r="I30" s="11"/>
      <c r="J30" s="11"/>
      <c r="K30" s="11"/>
      <c r="L30" s="11">
        <f>+L9/H9-1</f>
        <v>-5.2833530106257465E-2</v>
      </c>
      <c r="M30" s="11">
        <f>+M9/I9-1</f>
        <v>3.7791932059447975E-2</v>
      </c>
      <c r="N30" s="11"/>
      <c r="Q30" s="11"/>
      <c r="R30" s="11"/>
      <c r="S30" s="11"/>
      <c r="T30" s="11"/>
      <c r="U30" s="11"/>
      <c r="V30" s="11"/>
      <c r="W30" s="11"/>
      <c r="X30" s="11"/>
      <c r="Y30" s="12">
        <f>+Y9/X9-1</f>
        <v>-0.16088591725867107</v>
      </c>
      <c r="Z30" s="11">
        <f>+Z9/Y9-1</f>
        <v>-2.6062416998671845E-2</v>
      </c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7" t="s">
        <v>45</v>
      </c>
      <c r="AM30" s="21">
        <f>+AM28/AM29</f>
        <v>10.638964262432857</v>
      </c>
    </row>
    <row r="31" spans="2:238" s="5" customFormat="1" x14ac:dyDescent="0.2">
      <c r="B31" s="6" t="s">
        <v>32</v>
      </c>
      <c r="C31" s="11"/>
      <c r="D31" s="11"/>
      <c r="E31" s="11"/>
      <c r="F31" s="11"/>
      <c r="G31" s="11">
        <f>+G10/C10-1</f>
        <v>-0.1952054794520548</v>
      </c>
      <c r="H31" s="11"/>
      <c r="I31" s="11"/>
      <c r="J31" s="11"/>
      <c r="K31" s="11"/>
      <c r="L31" s="11">
        <f>+L10/H10-1</f>
        <v>1.0416666666666741E-2</v>
      </c>
      <c r="M31" s="11">
        <f t="shared" ref="M31:M33" si="225">+M10/I10-1</f>
        <v>-8.1333068835548472E-2</v>
      </c>
      <c r="N31" s="11"/>
      <c r="Q31" s="11"/>
      <c r="R31" s="11"/>
      <c r="S31" s="11"/>
      <c r="T31" s="11"/>
      <c r="U31" s="11"/>
      <c r="V31" s="11"/>
      <c r="W31" s="11"/>
      <c r="X31" s="11"/>
      <c r="Y31" s="12">
        <f t="shared" ref="Y31:Z33" si="226">+Y10/X10-1</f>
        <v>-0.32903936404558953</v>
      </c>
      <c r="Z31" s="11">
        <f t="shared" si="226"/>
        <v>-8.2792091927770262E-3</v>
      </c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7" t="s">
        <v>46</v>
      </c>
      <c r="AM31" s="22">
        <f>+Main!K3</f>
        <v>12.85</v>
      </c>
    </row>
    <row r="32" spans="2:238" s="5" customFormat="1" x14ac:dyDescent="0.2">
      <c r="B32" s="6" t="s">
        <v>33</v>
      </c>
      <c r="C32" s="11"/>
      <c r="D32" s="11"/>
      <c r="E32" s="11"/>
      <c r="F32" s="11"/>
      <c r="G32" s="11">
        <f>+G11/C11-1</f>
        <v>-0.19895561357702352</v>
      </c>
      <c r="H32" s="11"/>
      <c r="I32" s="11"/>
      <c r="J32" s="11"/>
      <c r="K32" s="11"/>
      <c r="L32" s="11">
        <f>+L11/H11-1</f>
        <v>0.29423459244532801</v>
      </c>
      <c r="M32" s="11">
        <f t="shared" si="225"/>
        <v>0.10911701363962667</v>
      </c>
      <c r="N32" s="11"/>
      <c r="Q32" s="11"/>
      <c r="R32" s="11"/>
      <c r="S32" s="11"/>
      <c r="T32" s="11"/>
      <c r="U32" s="11"/>
      <c r="V32" s="11"/>
      <c r="W32" s="11"/>
      <c r="X32" s="11"/>
      <c r="Y32" s="12">
        <f t="shared" si="226"/>
        <v>-0.13513513513513509</v>
      </c>
      <c r="Z32" s="11">
        <f t="shared" si="226"/>
        <v>-7.1619217081850595E-2</v>
      </c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8" t="s">
        <v>47</v>
      </c>
      <c r="AM32" s="23">
        <f>+AM30/AM31-1</f>
        <v>-0.17206503794296824</v>
      </c>
    </row>
    <row r="33" spans="2:39" s="5" customFormat="1" x14ac:dyDescent="0.2">
      <c r="B33" s="6" t="s">
        <v>34</v>
      </c>
      <c r="C33" s="11"/>
      <c r="D33" s="11"/>
      <c r="E33" s="11"/>
      <c r="F33" s="11"/>
      <c r="G33" s="11">
        <f>+G12/C12-1</f>
        <v>-0.28776041666666674</v>
      </c>
      <c r="H33" s="11"/>
      <c r="I33" s="11"/>
      <c r="J33" s="11"/>
      <c r="K33" s="11"/>
      <c r="L33" s="12">
        <f>+L12/H12-1</f>
        <v>-0.16945606694560655</v>
      </c>
      <c r="M33" s="11">
        <f t="shared" si="225"/>
        <v>-2.714745308310992</v>
      </c>
      <c r="N33" s="11"/>
      <c r="Q33" s="11"/>
      <c r="R33" s="11"/>
      <c r="S33" s="11"/>
      <c r="T33" s="11"/>
      <c r="U33" s="11"/>
      <c r="V33" s="11"/>
      <c r="W33" s="11"/>
      <c r="X33" s="11"/>
      <c r="Y33" s="12">
        <f t="shared" si="226"/>
        <v>-0.20741159373486184</v>
      </c>
      <c r="Z33" s="11">
        <f t="shared" si="226"/>
        <v>-0.13578486299276771</v>
      </c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7"/>
      <c r="AM33" s="11"/>
    </row>
    <row r="34" spans="2:39" s="3" customFormat="1" x14ac:dyDescent="0.2"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</row>
    <row r="35" spans="2:39" s="2" customFormat="1" x14ac:dyDescent="0.2">
      <c r="B35" s="2" t="s">
        <v>28</v>
      </c>
      <c r="C35" s="13">
        <f t="shared" ref="C35:M35" si="227">(C13-C14)/C13</f>
        <v>0.43241835899724773</v>
      </c>
      <c r="D35" s="13">
        <f t="shared" si="227"/>
        <v>0.4266140956136027</v>
      </c>
      <c r="E35" s="13">
        <f t="shared" si="227"/>
        <v>0.38822690701700779</v>
      </c>
      <c r="F35" s="13">
        <f t="shared" si="227"/>
        <v>0.3801587994066829</v>
      </c>
      <c r="G35" s="13">
        <f t="shared" si="227"/>
        <v>0.3700435729847496</v>
      </c>
      <c r="H35" s="13">
        <f t="shared" si="227"/>
        <v>0.38337827426810489</v>
      </c>
      <c r="I35" s="13">
        <f t="shared" si="227"/>
        <v>0.36268068331143238</v>
      </c>
      <c r="J35" s="13">
        <f t="shared" si="227"/>
        <v>0.42865310789839056</v>
      </c>
      <c r="K35" s="13">
        <f t="shared" si="227"/>
        <v>0.40017690169320191</v>
      </c>
      <c r="L35" s="13">
        <f t="shared" si="227"/>
        <v>0.3867682056163731</v>
      </c>
      <c r="M35" s="13">
        <f t="shared" si="227"/>
        <v>0.23773515308004431</v>
      </c>
      <c r="N35" s="13"/>
      <c r="Q35" s="13"/>
      <c r="R35" s="13"/>
      <c r="S35" s="13"/>
      <c r="T35" s="13"/>
      <c r="U35" s="13"/>
      <c r="V35" s="13"/>
      <c r="W35" s="13"/>
      <c r="X35" s="13">
        <f>(X13-X14)/X13</f>
        <v>0.40104786033124795</v>
      </c>
      <c r="Y35" s="13">
        <f>(Y13-Y14)/Y13</f>
        <v>0.40808594098243722</v>
      </c>
      <c r="Z35" s="13">
        <f>(Z13-Z14)/Z13</f>
        <v>0.38835637408445389</v>
      </c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</row>
    <row r="36" spans="2:39" s="2" customFormat="1" x14ac:dyDescent="0.2">
      <c r="B36" s="5" t="s">
        <v>39</v>
      </c>
      <c r="C36" s="13">
        <f t="shared" ref="C36:L36" si="228">+C17/C13</f>
        <v>0.23581045897493133</v>
      </c>
      <c r="D36" s="13">
        <f t="shared" si="228"/>
        <v>0.13750616067028082</v>
      </c>
      <c r="E36" s="13">
        <f t="shared" si="228"/>
        <v>0.13137794072716164</v>
      </c>
      <c r="F36" s="13">
        <f t="shared" si="228"/>
        <v>0.15914841636855345</v>
      </c>
      <c r="G36" s="13">
        <f t="shared" si="228"/>
        <v>0.12516339869281065</v>
      </c>
      <c r="H36" s="13">
        <f t="shared" si="228"/>
        <v>0.15157935285053947</v>
      </c>
      <c r="I36" s="13">
        <f t="shared" si="228"/>
        <v>0.1484888304862024</v>
      </c>
      <c r="J36" s="13">
        <f t="shared" si="228"/>
        <v>0.24168912848158078</v>
      </c>
      <c r="K36" s="13">
        <f t="shared" si="228"/>
        <v>9.603234773818535E-2</v>
      </c>
      <c r="L36" s="13">
        <f t="shared" si="228"/>
        <v>0.15525940028557833</v>
      </c>
      <c r="M36" s="13">
        <f>+M17/M13</f>
        <v>-0.18775359645887116</v>
      </c>
      <c r="N36" s="13"/>
      <c r="Q36" s="13"/>
      <c r="R36" s="13"/>
      <c r="S36" s="13"/>
      <c r="T36" s="13"/>
      <c r="U36" s="13"/>
      <c r="V36" s="13"/>
      <c r="W36" s="13"/>
      <c r="X36" s="13">
        <f>+X17/X13</f>
        <v>0.21329472795270846</v>
      </c>
      <c r="Y36" s="13">
        <f>+Y17/Y13</f>
        <v>0.1711464741018095</v>
      </c>
      <c r="Z36" s="13">
        <f>+Z17/Z13</f>
        <v>0.17107463319281216</v>
      </c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</row>
    <row r="38" spans="2:39" s="1" customFormat="1" x14ac:dyDescent="0.2">
      <c r="B38" s="1" t="s">
        <v>48</v>
      </c>
      <c r="C38" s="8"/>
      <c r="D38" s="8"/>
      <c r="E38" s="8"/>
      <c r="F38" s="8"/>
      <c r="G38" s="8"/>
      <c r="H38" s="8"/>
      <c r="I38" s="8"/>
      <c r="J38" s="8">
        <v>357.3</v>
      </c>
      <c r="K38" s="8">
        <v>315.3</v>
      </c>
      <c r="L38" s="8">
        <v>438.2</v>
      </c>
      <c r="M38" s="8">
        <v>497.7</v>
      </c>
      <c r="N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</row>
    <row r="39" spans="2:39" s="1" customFormat="1" x14ac:dyDescent="0.2">
      <c r="B39" s="1" t="s">
        <v>49</v>
      </c>
      <c r="C39" s="8"/>
      <c r="D39" s="8"/>
      <c r="E39" s="8"/>
      <c r="F39" s="8"/>
      <c r="G39" s="8"/>
      <c r="H39" s="8"/>
      <c r="I39" s="8"/>
      <c r="J39" s="8">
        <v>2903.2</v>
      </c>
      <c r="K39" s="8">
        <v>2900.1</v>
      </c>
      <c r="L39" s="8">
        <v>3076.3</v>
      </c>
      <c r="M39" s="8">
        <v>2330.1</v>
      </c>
      <c r="N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</row>
    <row r="40" spans="2:39" s="1" customFormat="1" x14ac:dyDescent="0.2">
      <c r="B40" s="1" t="s">
        <v>50</v>
      </c>
      <c r="C40" s="8"/>
      <c r="D40" s="8"/>
      <c r="E40" s="8"/>
      <c r="F40" s="8"/>
      <c r="G40" s="8"/>
      <c r="H40" s="8"/>
      <c r="I40" s="8"/>
      <c r="J40" s="8">
        <v>1201.5999999999999</v>
      </c>
      <c r="K40" s="8">
        <v>1374.4</v>
      </c>
      <c r="L40" s="8">
        <v>1395.7</v>
      </c>
      <c r="M40" s="8">
        <v>1375.9</v>
      </c>
      <c r="N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</row>
    <row r="41" spans="2:39" s="1" customFormat="1" x14ac:dyDescent="0.2">
      <c r="B41" s="1" t="s">
        <v>51</v>
      </c>
      <c r="C41" s="8"/>
      <c r="D41" s="8"/>
      <c r="E41" s="8"/>
      <c r="F41" s="8"/>
      <c r="G41" s="8"/>
      <c r="H41" s="8"/>
      <c r="I41" s="8"/>
      <c r="J41" s="8">
        <v>496.2</v>
      </c>
      <c r="K41" s="8">
        <v>487.8</v>
      </c>
      <c r="L41" s="8">
        <v>557.1</v>
      </c>
      <c r="M41" s="8">
        <v>537.1</v>
      </c>
      <c r="N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</row>
    <row r="42" spans="2:39" s="1" customFormat="1" x14ac:dyDescent="0.2">
      <c r="B42" s="1" t="s">
        <v>52</v>
      </c>
      <c r="C42" s="8"/>
      <c r="D42" s="8"/>
      <c r="E42" s="8"/>
      <c r="F42" s="8"/>
      <c r="G42" s="8"/>
      <c r="H42" s="8"/>
      <c r="I42" s="8"/>
      <c r="J42" s="8">
        <v>0</v>
      </c>
      <c r="K42" s="8">
        <v>0</v>
      </c>
      <c r="L42" s="8">
        <v>0</v>
      </c>
      <c r="M42" s="8">
        <v>826.5</v>
      </c>
      <c r="N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</row>
    <row r="43" spans="2:39" s="1" customFormat="1" x14ac:dyDescent="0.2">
      <c r="B43" s="1" t="s">
        <v>53</v>
      </c>
      <c r="C43" s="8"/>
      <c r="D43" s="8"/>
      <c r="E43" s="8"/>
      <c r="F43" s="8"/>
      <c r="G43" s="8"/>
      <c r="H43" s="8"/>
      <c r="I43" s="8"/>
      <c r="J43" s="8">
        <v>25.6</v>
      </c>
      <c r="K43" s="8">
        <v>26.1</v>
      </c>
      <c r="L43" s="8">
        <v>27.7</v>
      </c>
      <c r="M43" s="8">
        <v>22.7</v>
      </c>
      <c r="N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</row>
    <row r="44" spans="2:39" s="1" customFormat="1" x14ac:dyDescent="0.2">
      <c r="B44" s="1" t="s">
        <v>54</v>
      </c>
      <c r="C44" s="8"/>
      <c r="D44" s="8"/>
      <c r="E44" s="8"/>
      <c r="F44" s="8"/>
      <c r="G44" s="8"/>
      <c r="H44" s="8"/>
      <c r="I44" s="8"/>
      <c r="J44" s="8">
        <v>849.7</v>
      </c>
      <c r="K44" s="8">
        <v>858.7</v>
      </c>
      <c r="L44" s="8">
        <v>890.7</v>
      </c>
      <c r="M44" s="8">
        <v>855.4</v>
      </c>
      <c r="N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</row>
    <row r="45" spans="2:39" s="1" customFormat="1" x14ac:dyDescent="0.2">
      <c r="B45" s="1" t="s">
        <v>55</v>
      </c>
      <c r="C45" s="8"/>
      <c r="D45" s="8"/>
      <c r="E45" s="8"/>
      <c r="F45" s="8"/>
      <c r="G45" s="8"/>
      <c r="H45" s="8"/>
      <c r="I45" s="8"/>
      <c r="J45" s="8">
        <v>1507</v>
      </c>
      <c r="K45" s="8">
        <v>1515.1</v>
      </c>
      <c r="L45" s="8">
        <v>1527</v>
      </c>
      <c r="M45" s="8">
        <v>1359.3</v>
      </c>
      <c r="N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</row>
    <row r="46" spans="2:39" s="1" customFormat="1" x14ac:dyDescent="0.2">
      <c r="B46" s="1" t="s">
        <v>56</v>
      </c>
      <c r="C46" s="8"/>
      <c r="D46" s="8"/>
      <c r="E46" s="8"/>
      <c r="F46" s="8"/>
      <c r="G46" s="8"/>
      <c r="H46" s="8"/>
      <c r="I46" s="8"/>
      <c r="J46" s="8">
        <v>2360.6999999999998</v>
      </c>
      <c r="K46" s="8">
        <v>2366.6</v>
      </c>
      <c r="L46" s="8">
        <v>2401.4</v>
      </c>
      <c r="M46" s="8">
        <v>2379.8000000000002</v>
      </c>
      <c r="N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</row>
    <row r="47" spans="2:39" s="1" customFormat="1" x14ac:dyDescent="0.2">
      <c r="B47" s="1" t="s">
        <v>57</v>
      </c>
      <c r="C47" s="8"/>
      <c r="D47" s="8"/>
      <c r="E47" s="8"/>
      <c r="F47" s="8"/>
      <c r="G47" s="8"/>
      <c r="H47" s="8"/>
      <c r="I47" s="8"/>
      <c r="J47" s="8">
        <v>428.2</v>
      </c>
      <c r="K47" s="8">
        <v>429.6</v>
      </c>
      <c r="L47" s="8">
        <v>433.5</v>
      </c>
      <c r="M47" s="8">
        <v>437.6</v>
      </c>
      <c r="N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</row>
    <row r="48" spans="2:39" s="1" customFormat="1" x14ac:dyDescent="0.2">
      <c r="B48" s="1" t="s">
        <v>58</v>
      </c>
      <c r="C48" s="8"/>
      <c r="D48" s="8"/>
      <c r="E48" s="8"/>
      <c r="F48" s="8"/>
      <c r="G48" s="8"/>
      <c r="H48" s="8"/>
      <c r="I48" s="8"/>
      <c r="J48" s="8">
        <v>1523.8</v>
      </c>
      <c r="K48" s="8">
        <v>1527.2</v>
      </c>
      <c r="L48" s="8">
        <v>1549.5</v>
      </c>
      <c r="M48" s="8">
        <v>1456.7</v>
      </c>
      <c r="N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</row>
    <row r="49" spans="2:39" s="14" customFormat="1" x14ac:dyDescent="0.2">
      <c r="B49" s="14" t="s">
        <v>59</v>
      </c>
      <c r="C49" s="15"/>
      <c r="D49" s="15"/>
      <c r="E49" s="15"/>
      <c r="F49" s="15"/>
      <c r="G49" s="15"/>
      <c r="H49" s="15"/>
      <c r="I49" s="15"/>
      <c r="J49" s="15">
        <f>+SUM(J38:J48)</f>
        <v>11653.3</v>
      </c>
      <c r="K49" s="15">
        <f>+SUM(K38:K48)</f>
        <v>11800.900000000001</v>
      </c>
      <c r="L49" s="15">
        <f>+SUM(L38:L48)</f>
        <v>12297.1</v>
      </c>
      <c r="M49" s="15">
        <f>+SUM(M38:M48)</f>
        <v>12078.800000000001</v>
      </c>
      <c r="N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</row>
    <row r="51" spans="2:39" s="1" customFormat="1" x14ac:dyDescent="0.2">
      <c r="B51" s="1" t="s">
        <v>60</v>
      </c>
      <c r="C51" s="8"/>
      <c r="D51" s="8"/>
      <c r="E51" s="8"/>
      <c r="F51" s="8"/>
      <c r="G51" s="8"/>
      <c r="H51" s="8"/>
      <c r="I51" s="8"/>
      <c r="J51" s="8">
        <v>337.4</v>
      </c>
      <c r="K51" s="8">
        <v>975.8</v>
      </c>
      <c r="L51" s="8">
        <v>893.3</v>
      </c>
      <c r="M51" s="8">
        <v>1271.7</v>
      </c>
      <c r="N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</row>
    <row r="52" spans="2:39" s="1" customFormat="1" x14ac:dyDescent="0.2">
      <c r="B52" s="1" t="s">
        <v>61</v>
      </c>
      <c r="C52" s="8"/>
      <c r="D52" s="8"/>
      <c r="E52" s="8"/>
      <c r="F52" s="8"/>
      <c r="G52" s="8"/>
      <c r="H52" s="8"/>
      <c r="I52" s="8"/>
      <c r="J52" s="8">
        <v>768.5</v>
      </c>
      <c r="K52" s="8">
        <v>768.5</v>
      </c>
      <c r="L52" s="8">
        <v>906</v>
      </c>
      <c r="M52" s="8">
        <v>733.6</v>
      </c>
      <c r="N52" s="8"/>
      <c r="O52" s="1" t="s">
        <v>75</v>
      </c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</row>
    <row r="53" spans="2:39" s="1" customFormat="1" x14ac:dyDescent="0.2">
      <c r="B53" s="1" t="s">
        <v>62</v>
      </c>
      <c r="C53" s="8"/>
      <c r="D53" s="8"/>
      <c r="E53" s="8"/>
      <c r="F53" s="8"/>
      <c r="G53" s="8"/>
      <c r="H53" s="8"/>
      <c r="I53" s="8"/>
      <c r="J53" s="8">
        <v>453.8</v>
      </c>
      <c r="K53" s="8">
        <v>453.8</v>
      </c>
      <c r="L53" s="8">
        <v>0</v>
      </c>
      <c r="M53" s="8">
        <v>0</v>
      </c>
      <c r="N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</row>
    <row r="54" spans="2:39" s="1" customFormat="1" x14ac:dyDescent="0.2">
      <c r="B54" s="1" t="s">
        <v>63</v>
      </c>
      <c r="C54" s="8"/>
      <c r="D54" s="8"/>
      <c r="E54" s="8"/>
      <c r="F54" s="8"/>
      <c r="G54" s="8"/>
      <c r="H54" s="8"/>
      <c r="I54" s="8"/>
      <c r="J54" s="8">
        <v>755.2</v>
      </c>
      <c r="K54" s="8">
        <v>755.2</v>
      </c>
      <c r="L54" s="8">
        <v>819.8</v>
      </c>
      <c r="M54" s="8">
        <v>718.3</v>
      </c>
      <c r="N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</row>
    <row r="55" spans="2:39" s="1" customFormat="1" x14ac:dyDescent="0.2">
      <c r="B55" s="1" t="s">
        <v>64</v>
      </c>
      <c r="C55" s="8"/>
      <c r="D55" s="8"/>
      <c r="E55" s="8"/>
      <c r="F55" s="8"/>
      <c r="G55" s="8"/>
      <c r="H55" s="8"/>
      <c r="I55" s="8"/>
      <c r="J55" s="8">
        <v>489.9</v>
      </c>
      <c r="K55" s="8">
        <v>489.9</v>
      </c>
      <c r="L55" s="8">
        <v>812</v>
      </c>
      <c r="M55" s="8">
        <v>766.9</v>
      </c>
      <c r="N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</row>
    <row r="56" spans="2:39" s="1" customFormat="1" x14ac:dyDescent="0.2">
      <c r="B56" s="1" t="s">
        <v>65</v>
      </c>
      <c r="C56" s="8"/>
      <c r="D56" s="8"/>
      <c r="E56" s="8"/>
      <c r="F56" s="8"/>
      <c r="G56" s="8"/>
      <c r="H56" s="8"/>
      <c r="I56" s="8"/>
      <c r="J56" s="8">
        <v>85.5</v>
      </c>
      <c r="K56" s="8">
        <v>85.5</v>
      </c>
      <c r="L56" s="8">
        <v>61.5</v>
      </c>
      <c r="M56" s="8">
        <v>42.7</v>
      </c>
      <c r="N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</row>
    <row r="57" spans="2:39" s="1" customFormat="1" x14ac:dyDescent="0.2">
      <c r="B57" s="1" t="s">
        <v>66</v>
      </c>
      <c r="C57" s="8"/>
      <c r="D57" s="8"/>
      <c r="E57" s="8"/>
      <c r="F57" s="8"/>
      <c r="G57" s="8"/>
      <c r="H57" s="8"/>
      <c r="I57" s="8"/>
      <c r="J57" s="8">
        <v>6.4</v>
      </c>
      <c r="K57" s="8">
        <v>6.4</v>
      </c>
      <c r="L57" s="8">
        <v>3</v>
      </c>
      <c r="M57" s="8">
        <v>3</v>
      </c>
      <c r="N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</row>
    <row r="58" spans="2:39" s="1" customFormat="1" x14ac:dyDescent="0.2">
      <c r="B58" s="1" t="s">
        <v>67</v>
      </c>
      <c r="C58" s="8"/>
      <c r="D58" s="8"/>
      <c r="E58" s="8"/>
      <c r="F58" s="8"/>
      <c r="G58" s="8"/>
      <c r="H58" s="8"/>
      <c r="I58" s="8"/>
      <c r="J58" s="8">
        <v>122.5</v>
      </c>
      <c r="K58" s="8">
        <v>122.5</v>
      </c>
      <c r="L58" s="8">
        <v>77.5</v>
      </c>
      <c r="M58" s="8">
        <v>77.900000000000006</v>
      </c>
      <c r="N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</row>
    <row r="59" spans="2:39" s="1" customFormat="1" x14ac:dyDescent="0.2">
      <c r="B59" s="1" t="s">
        <v>68</v>
      </c>
      <c r="C59" s="8"/>
      <c r="D59" s="8"/>
      <c r="E59" s="8"/>
      <c r="F59" s="8"/>
      <c r="G59" s="8"/>
      <c r="H59" s="8"/>
      <c r="I59" s="8"/>
      <c r="J59" s="8">
        <v>0</v>
      </c>
      <c r="K59" s="8">
        <v>376.5</v>
      </c>
      <c r="L59" s="8">
        <v>0</v>
      </c>
      <c r="M59" s="8">
        <v>376.5</v>
      </c>
      <c r="N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</row>
    <row r="60" spans="2:39" s="1" customFormat="1" x14ac:dyDescent="0.2">
      <c r="B60" s="1" t="s">
        <v>69</v>
      </c>
      <c r="C60" s="8"/>
      <c r="D60" s="8"/>
      <c r="E60" s="8"/>
      <c r="F60" s="8"/>
      <c r="G60" s="8"/>
      <c r="H60" s="8"/>
      <c r="I60" s="8"/>
      <c r="J60" s="8">
        <v>3027.9</v>
      </c>
      <c r="K60" s="8">
        <v>3027.9</v>
      </c>
      <c r="L60" s="8">
        <v>3270</v>
      </c>
      <c r="M60" s="8">
        <v>3270.5</v>
      </c>
      <c r="N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</row>
    <row r="61" spans="2:39" s="1" customFormat="1" x14ac:dyDescent="0.2">
      <c r="B61" s="1" t="s">
        <v>66</v>
      </c>
      <c r="C61" s="8"/>
      <c r="D61" s="8"/>
      <c r="E61" s="8"/>
      <c r="F61" s="8"/>
      <c r="G61" s="8"/>
      <c r="H61" s="8"/>
      <c r="I61" s="8"/>
      <c r="J61" s="8">
        <v>19.399999999999999</v>
      </c>
      <c r="K61" s="8">
        <v>19.399999999999999</v>
      </c>
      <c r="L61" s="8">
        <v>22.2</v>
      </c>
      <c r="M61" s="8">
        <v>22</v>
      </c>
      <c r="N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</row>
    <row r="62" spans="2:39" s="1" customFormat="1" x14ac:dyDescent="0.2">
      <c r="B62" s="1" t="s">
        <v>70</v>
      </c>
      <c r="C62" s="8"/>
      <c r="D62" s="8"/>
      <c r="E62" s="8"/>
      <c r="F62" s="8"/>
      <c r="G62" s="8"/>
      <c r="H62" s="8"/>
      <c r="I62" s="8"/>
      <c r="J62" s="8">
        <v>521.29999999999995</v>
      </c>
      <c r="K62" s="8">
        <v>521.29999999999995</v>
      </c>
      <c r="L62" s="8">
        <v>522.9</v>
      </c>
      <c r="M62" s="8">
        <v>514.1</v>
      </c>
      <c r="N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</row>
    <row r="63" spans="2:39" s="1" customFormat="1" x14ac:dyDescent="0.2">
      <c r="B63" s="1" t="s">
        <v>71</v>
      </c>
      <c r="C63" s="8"/>
      <c r="D63" s="8"/>
      <c r="E63" s="8"/>
      <c r="F63" s="8"/>
      <c r="G63" s="8"/>
      <c r="H63" s="8"/>
      <c r="I63" s="8"/>
      <c r="J63" s="8">
        <v>86</v>
      </c>
      <c r="K63" s="8">
        <v>86</v>
      </c>
      <c r="L63" s="8">
        <v>94.1</v>
      </c>
      <c r="M63" s="8">
        <v>92.4</v>
      </c>
      <c r="N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</row>
    <row r="64" spans="2:39" s="1" customFormat="1" x14ac:dyDescent="0.2">
      <c r="B64" s="1" t="s">
        <v>72</v>
      </c>
      <c r="C64" s="8"/>
      <c r="D64" s="8"/>
      <c r="E64" s="8"/>
      <c r="F64" s="8"/>
      <c r="G64" s="8"/>
      <c r="H64" s="8"/>
      <c r="I64" s="8"/>
      <c r="J64" s="8">
        <v>470.7</v>
      </c>
      <c r="K64" s="8">
        <v>470.7</v>
      </c>
      <c r="L64" s="8">
        <v>386.7</v>
      </c>
      <c r="M64" s="8">
        <v>388.4</v>
      </c>
      <c r="N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</row>
    <row r="65" spans="2:39" s="1" customFormat="1" x14ac:dyDescent="0.2">
      <c r="B65" s="1" t="s">
        <v>73</v>
      </c>
      <c r="C65" s="8"/>
      <c r="D65" s="8"/>
      <c r="E65" s="8"/>
      <c r="F65" s="8"/>
      <c r="G65" s="8"/>
      <c r="H65" s="8"/>
      <c r="I65" s="8"/>
      <c r="J65" s="8">
        <v>4508.8</v>
      </c>
      <c r="K65" s="8">
        <v>4508.8</v>
      </c>
      <c r="L65" s="8">
        <v>4428.1000000000004</v>
      </c>
      <c r="M65" s="8">
        <v>3800.8</v>
      </c>
      <c r="N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</row>
    <row r="66" spans="2:39" s="14" customFormat="1" x14ac:dyDescent="0.2">
      <c r="B66" s="14" t="s">
        <v>74</v>
      </c>
      <c r="C66" s="15"/>
      <c r="D66" s="15"/>
      <c r="E66" s="15"/>
      <c r="F66" s="15"/>
      <c r="G66" s="15"/>
      <c r="H66" s="15"/>
      <c r="I66" s="15"/>
      <c r="J66" s="15">
        <f>SUM(J51:J65)</f>
        <v>11653.3</v>
      </c>
      <c r="K66" s="15">
        <f>SUM(K51:K65)</f>
        <v>12668.2</v>
      </c>
      <c r="L66" s="15">
        <f>SUM(L51:L65)</f>
        <v>12297.1</v>
      </c>
      <c r="M66" s="15">
        <f>SUM(M51:M65)</f>
        <v>12078.8</v>
      </c>
      <c r="N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</row>
    <row r="68" spans="2:39" x14ac:dyDescent="0.2">
      <c r="B68" s="1" t="s">
        <v>76</v>
      </c>
      <c r="J68" s="24">
        <f>J39/(SUM(G13:J13)/365)</f>
        <v>249.56265749746828</v>
      </c>
      <c r="K68" s="24">
        <f>K39/(SUM(H13:K13)/365)</f>
        <v>256.95751911639769</v>
      </c>
      <c r="L68" s="24">
        <f>L39/(SUM(I13:L13)/365)</f>
        <v>271.77110562493954</v>
      </c>
      <c r="M68" s="24">
        <f>M39/(SUM(J13:M13)/365)</f>
        <v>235.69629198536748</v>
      </c>
    </row>
    <row r="69" spans="2:39" x14ac:dyDescent="0.2">
      <c r="B69" s="1" t="s">
        <v>77</v>
      </c>
      <c r="J69" s="25">
        <f t="shared" ref="J69:L69" si="229">AVERAGE(I40:J40) / (SUM(G14:J14)/365)</f>
        <v>168.87451388086711</v>
      </c>
      <c r="K69" s="25">
        <f t="shared" si="229"/>
        <v>188.53819931822741</v>
      </c>
      <c r="L69" s="25">
        <f t="shared" si="229"/>
        <v>202.42782493793547</v>
      </c>
      <c r="M69" s="25">
        <f>AVERAGE(L40:M40) / (SUM(J14:M14)/365)</f>
        <v>226.65098355513734</v>
      </c>
    </row>
    <row r="70" spans="2:39" x14ac:dyDescent="0.2">
      <c r="B70" s="1" t="s">
        <v>78</v>
      </c>
      <c r="J70" s="24">
        <f>J52/(SUM(G14:J14)/365)</f>
        <v>108.0060452042663</v>
      </c>
      <c r="K70" s="24">
        <f>K52/(SUM(H14:K14)/365)</f>
        <v>112.49348305594546</v>
      </c>
      <c r="L70" s="24">
        <f>L52/(SUM(I14:L14)/365)</f>
        <v>132.41371025866903</v>
      </c>
      <c r="M70" s="24">
        <f>M52/(SUM(J14:M14)/365)</f>
        <v>119.98207644396646</v>
      </c>
    </row>
    <row r="71" spans="2:39" x14ac:dyDescent="0.2">
      <c r="B71" s="1" t="s">
        <v>79</v>
      </c>
      <c r="J71" s="24">
        <f>+SUM(J68:J69)-J70</f>
        <v>310.43112617406911</v>
      </c>
      <c r="K71" s="24">
        <f>+SUM(K68:K69)-K70</f>
        <v>333.00223537867964</v>
      </c>
      <c r="L71" s="24">
        <f>+SUM(L68:L69)-L70</f>
        <v>341.78522030420601</v>
      </c>
      <c r="M71" s="24">
        <f>+SUM(M68:M69)-M70</f>
        <v>342.36519909653839</v>
      </c>
    </row>
  </sheetData>
  <pageMargins left="0.7" right="0.7" top="0.75" bottom="0.75" header="0.3" footer="0.3"/>
  <ignoredErrors>
    <ignoredError sqref="D13:J30" formula="1"/>
    <ignoredError sqref="J69:O69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Jameel Brannon</dc:creator>
  <cp:lastModifiedBy>Jameel Brannon</cp:lastModifiedBy>
  <dcterms:created xsi:type="dcterms:W3CDTF">2025-06-10T00:58:41Z</dcterms:created>
  <dcterms:modified xsi:type="dcterms:W3CDTF">2025-11-24T04:46:15Z</dcterms:modified>
</cp:coreProperties>
</file>