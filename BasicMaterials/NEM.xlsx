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jameelbrannon/Library/CloudStorage/Dropbox/models/"/>
    </mc:Choice>
  </mc:AlternateContent>
  <xr:revisionPtr revIDLastSave="0" documentId="13_ncr:1_{AFAF1E53-D088-D145-92E4-65A19AE79298}" xr6:coauthVersionLast="47" xr6:coauthVersionMax="47" xr10:uidLastSave="{00000000-0000-0000-0000-000000000000}"/>
  <bookViews>
    <workbookView xWindow="3400" yWindow="620" windowWidth="45660" windowHeight="28000" xr2:uid="{B2EC2987-DCC0-5F4B-BB40-E197D267CD19}"/>
  </bookViews>
  <sheets>
    <sheet name="Main" sheetId="1" r:id="rId1"/>
    <sheet name="Model" sheetId="2" r:id="rId2"/>
    <sheet name="Definitions" sheetId="6" r:id="rId3"/>
    <sheet name="Key Questions" sheetId="7" r:id="rId4"/>
    <sheet name="Geology" sheetId="8" r:id="rId5"/>
    <sheet name="Opera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7" i="8" s="1"/>
  <c r="B8" i="8" s="1"/>
  <c r="B9" i="8" s="1"/>
  <c r="B10" i="8" s="1"/>
  <c r="B11" i="8" s="1"/>
  <c r="B12" i="8" s="1"/>
  <c r="B13" i="8" s="1"/>
  <c r="B5" i="8"/>
  <c r="AP138" i="2"/>
  <c r="AO138" i="2"/>
  <c r="AN138" i="2"/>
  <c r="AM138" i="2"/>
  <c r="AL138" i="2"/>
  <c r="AK138" i="2"/>
  <c r="AJ138" i="2"/>
  <c r="AI138" i="2"/>
  <c r="AH138" i="2"/>
  <c r="AG138" i="2"/>
  <c r="AF138" i="2"/>
  <c r="C20" i="7"/>
  <c r="C18" i="7"/>
  <c r="C12" i="7"/>
  <c r="C11" i="7"/>
  <c r="C8" i="7"/>
  <c r="K87" i="2"/>
  <c r="K86" i="2"/>
  <c r="K85" i="2"/>
  <c r="K84" i="2"/>
  <c r="K83" i="2"/>
  <c r="O87" i="2"/>
  <c r="O86" i="2"/>
  <c r="O85" i="2"/>
  <c r="O84" i="2"/>
  <c r="O83" i="2"/>
  <c r="L87" i="2"/>
  <c r="L86" i="2"/>
  <c r="L85" i="2"/>
  <c r="L84" i="2"/>
  <c r="L83" i="2"/>
  <c r="P87" i="2"/>
  <c r="P86" i="2"/>
  <c r="P85" i="2"/>
  <c r="P84" i="2"/>
  <c r="P83" i="2"/>
  <c r="M86" i="2"/>
  <c r="M85" i="2"/>
  <c r="M84" i="2"/>
  <c r="M83" i="2"/>
  <c r="M87" i="2"/>
  <c r="Q87" i="2"/>
  <c r="Q86" i="2"/>
  <c r="Q85" i="2"/>
  <c r="Q84" i="2"/>
  <c r="Q83" i="2"/>
  <c r="Q109" i="2"/>
  <c r="N109" i="2"/>
  <c r="M63" i="2"/>
  <c r="Q63" i="2"/>
  <c r="R34" i="2"/>
  <c r="AG32" i="2"/>
  <c r="AG31" i="2"/>
  <c r="AG30" i="2"/>
  <c r="AG29" i="2"/>
  <c r="AG28" i="2"/>
  <c r="N32" i="2"/>
  <c r="N31" i="2"/>
  <c r="N30" i="2"/>
  <c r="N29" i="2"/>
  <c r="N28" i="2"/>
  <c r="AF38" i="2"/>
  <c r="AF37" i="2"/>
  <c r="AF36" i="2"/>
  <c r="AF35" i="2"/>
  <c r="AF34" i="2"/>
  <c r="R32" i="2"/>
  <c r="R31" i="2"/>
  <c r="R30" i="2"/>
  <c r="R29" i="2"/>
  <c r="R70" i="2"/>
  <c r="R38" i="2"/>
  <c r="R37" i="2"/>
  <c r="R36" i="2"/>
  <c r="R35" i="2"/>
  <c r="O48" i="2"/>
  <c r="O47" i="2"/>
  <c r="O46" i="2"/>
  <c r="O45" i="2"/>
  <c r="O44" i="2"/>
  <c r="L48" i="2"/>
  <c r="L47" i="2"/>
  <c r="L46" i="2"/>
  <c r="L45" i="2"/>
  <c r="L44" i="2"/>
  <c r="M48" i="2"/>
  <c r="M47" i="2"/>
  <c r="M46" i="2"/>
  <c r="M45" i="2"/>
  <c r="M44" i="2"/>
  <c r="P48" i="2"/>
  <c r="P47" i="2"/>
  <c r="P46" i="2"/>
  <c r="P45" i="2"/>
  <c r="P44" i="2"/>
  <c r="Q48" i="2"/>
  <c r="Q47" i="2"/>
  <c r="Q46" i="2"/>
  <c r="Q45" i="2"/>
  <c r="Q44" i="2"/>
  <c r="X2" i="2"/>
  <c r="Y2" i="2" s="1"/>
  <c r="Z2" i="2" s="1"/>
  <c r="AG24" i="2"/>
  <c r="AG22" i="2"/>
  <c r="AG21" i="2"/>
  <c r="AG20" i="2"/>
  <c r="AG19" i="2"/>
  <c r="AG18" i="2"/>
  <c r="AG17" i="2"/>
  <c r="AG16" i="2"/>
  <c r="AG15" i="2"/>
  <c r="AG14" i="2"/>
  <c r="AG13" i="2"/>
  <c r="AG12" i="2"/>
  <c r="AG11" i="2"/>
  <c r="AG10" i="2"/>
  <c r="AG9" i="2"/>
  <c r="AG8" i="2"/>
  <c r="AF24" i="2"/>
  <c r="AF22" i="2"/>
  <c r="AF21" i="2"/>
  <c r="AF20" i="2"/>
  <c r="AF19" i="2"/>
  <c r="AF18" i="2"/>
  <c r="AF17" i="2"/>
  <c r="AF16" i="2"/>
  <c r="AF15" i="2"/>
  <c r="AF14" i="2"/>
  <c r="AF13" i="2"/>
  <c r="AF12" i="2"/>
  <c r="AF11" i="2"/>
  <c r="AF10" i="2"/>
  <c r="AF9" i="2"/>
  <c r="AF8" i="2"/>
  <c r="Q132" i="2"/>
  <c r="P132" i="2"/>
  <c r="O132" i="2"/>
  <c r="N132" i="2"/>
  <c r="M132" i="2"/>
  <c r="L132" i="2"/>
  <c r="K132" i="2"/>
  <c r="Q125" i="2"/>
  <c r="Q133" i="2" s="1"/>
  <c r="P109" i="2"/>
  <c r="Q23" i="2"/>
  <c r="Q25" i="2" s="1"/>
  <c r="P23" i="2"/>
  <c r="P25" i="2" s="1"/>
  <c r="P125" i="2"/>
  <c r="O125" i="2"/>
  <c r="N125" i="2"/>
  <c r="M125" i="2"/>
  <c r="L125" i="2"/>
  <c r="O109" i="2"/>
  <c r="M109" i="2"/>
  <c r="L109" i="2"/>
  <c r="K125" i="2"/>
  <c r="K109" i="2"/>
  <c r="C56" i="2"/>
  <c r="C66" i="2" s="1"/>
  <c r="C69" i="2" s="1"/>
  <c r="O23" i="2"/>
  <c r="N23" i="2"/>
  <c r="N25" i="2" s="1"/>
  <c r="M23" i="2"/>
  <c r="M25" i="2" s="1"/>
  <c r="L23" i="2"/>
  <c r="L25" i="2" s="1"/>
  <c r="K23" i="2"/>
  <c r="P78" i="2"/>
  <c r="O78" i="2"/>
  <c r="M78" i="2"/>
  <c r="L78" i="2"/>
  <c r="K78" i="2"/>
  <c r="I78" i="2"/>
  <c r="H78" i="2"/>
  <c r="G78" i="2"/>
  <c r="P77" i="2"/>
  <c r="O77" i="2"/>
  <c r="M77" i="2"/>
  <c r="L77" i="2"/>
  <c r="K77" i="2"/>
  <c r="I77" i="2"/>
  <c r="H77" i="2"/>
  <c r="G77" i="2"/>
  <c r="P76" i="2"/>
  <c r="O76" i="2"/>
  <c r="M76" i="2"/>
  <c r="L76" i="2"/>
  <c r="K76" i="2"/>
  <c r="I76" i="2"/>
  <c r="H76" i="2"/>
  <c r="G76" i="2"/>
  <c r="P75" i="2"/>
  <c r="O75" i="2"/>
  <c r="M75" i="2"/>
  <c r="L75" i="2"/>
  <c r="K75" i="2"/>
  <c r="I75" i="2"/>
  <c r="H75" i="2"/>
  <c r="G75" i="2"/>
  <c r="Q78" i="2"/>
  <c r="Q77" i="2"/>
  <c r="Q76" i="2"/>
  <c r="P74" i="2"/>
  <c r="O74" i="2"/>
  <c r="M74" i="2"/>
  <c r="L74" i="2"/>
  <c r="K74" i="2"/>
  <c r="I74" i="2"/>
  <c r="H74" i="2"/>
  <c r="G74" i="2"/>
  <c r="N55" i="2"/>
  <c r="N54" i="2"/>
  <c r="N53" i="2"/>
  <c r="N52" i="2"/>
  <c r="N51" i="2"/>
  <c r="P63" i="2"/>
  <c r="P64" i="2"/>
  <c r="P137" i="2"/>
  <c r="P136" i="2"/>
  <c r="O138" i="2"/>
  <c r="Q137" i="2"/>
  <c r="Q136" i="2"/>
  <c r="Q75" i="2"/>
  <c r="Q74" i="2"/>
  <c r="Q56" i="2"/>
  <c r="P56" i="2"/>
  <c r="O56" i="2"/>
  <c r="K7" i="1"/>
  <c r="AS77" i="2"/>
  <c r="AS75" i="2"/>
  <c r="AF2" i="2"/>
  <c r="AG2" i="2" s="1"/>
  <c r="AH2" i="2" s="1"/>
  <c r="AI2" i="2" s="1"/>
  <c r="AJ2" i="2" s="1"/>
  <c r="AK2" i="2" s="1"/>
  <c r="AL2" i="2" s="1"/>
  <c r="AM2" i="2" s="1"/>
  <c r="AN2" i="2" s="1"/>
  <c r="AO2" i="2" s="1"/>
  <c r="AP2" i="2" s="1"/>
  <c r="AQ2" i="2" s="1"/>
  <c r="AR2" i="2" s="1"/>
  <c r="AS2" i="2" s="1"/>
  <c r="AT2" i="2" s="1"/>
  <c r="AU2" i="2" s="1"/>
  <c r="AV2" i="2" s="1"/>
  <c r="AW2" i="2" s="1"/>
  <c r="AX2" i="2" s="1"/>
  <c r="AY2" i="2" s="1"/>
  <c r="AZ2" i="2" s="1"/>
  <c r="BA2" i="2" s="1"/>
  <c r="BB2" i="2" s="1"/>
  <c r="BC2" i="2" s="1"/>
  <c r="BD2" i="2" s="1"/>
  <c r="BE2" i="2" s="1"/>
  <c r="BF2" i="2" s="1"/>
  <c r="BG2" i="2" s="1"/>
  <c r="BH2" i="2" s="1"/>
  <c r="BI2" i="2" s="1"/>
  <c r="BJ2" i="2" s="1"/>
  <c r="BK2" i="2" s="1"/>
  <c r="BL2" i="2" s="1"/>
  <c r="BM2" i="2" s="1"/>
  <c r="BN2" i="2" s="1"/>
  <c r="BO2" i="2" s="1"/>
  <c r="BP2" i="2" s="1"/>
  <c r="BQ2" i="2" s="1"/>
  <c r="BR2" i="2" s="1"/>
  <c r="BS2" i="2" s="1"/>
  <c r="BT2" i="2" s="1"/>
  <c r="BU2" i="2" s="1"/>
  <c r="BV2" i="2" s="1"/>
  <c r="BW2" i="2" s="1"/>
  <c r="BX2" i="2" s="1"/>
  <c r="BY2" i="2" s="1"/>
  <c r="BZ2" i="2" s="1"/>
  <c r="CA2" i="2" s="1"/>
  <c r="CB2" i="2" s="1"/>
  <c r="CC2" i="2" s="1"/>
  <c r="CD2" i="2" s="1"/>
  <c r="CE2" i="2" s="1"/>
  <c r="CF2" i="2" s="1"/>
  <c r="CG2" i="2" s="1"/>
  <c r="CH2" i="2" s="1"/>
  <c r="CI2" i="2" s="1"/>
  <c r="CJ2" i="2" s="1"/>
  <c r="CK2" i="2" s="1"/>
  <c r="CL2" i="2" s="1"/>
  <c r="CM2" i="2" s="1"/>
  <c r="CN2" i="2" s="1"/>
  <c r="CO2" i="2" s="1"/>
  <c r="CP2" i="2" s="1"/>
  <c r="CQ2" i="2" s="1"/>
  <c r="CR2" i="2" s="1"/>
  <c r="CS2" i="2" s="1"/>
  <c r="CT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ED2" i="2" s="1"/>
  <c r="EE2" i="2" s="1"/>
  <c r="EF2" i="2" s="1"/>
  <c r="EG2" i="2" s="1"/>
  <c r="EH2" i="2" s="1"/>
  <c r="EI2" i="2" s="1"/>
  <c r="EJ2" i="2" s="1"/>
  <c r="EK2" i="2" s="1"/>
  <c r="EL2" i="2" s="1"/>
  <c r="EM2" i="2" s="1"/>
  <c r="EN2" i="2" s="1"/>
  <c r="EO2" i="2" s="1"/>
  <c r="EP2" i="2" s="1"/>
  <c r="EQ2" i="2" s="1"/>
  <c r="ER2" i="2" s="1"/>
  <c r="ES2" i="2" s="1"/>
  <c r="ET2" i="2" s="1"/>
  <c r="EU2" i="2" s="1"/>
  <c r="EV2" i="2" s="1"/>
  <c r="EW2" i="2" s="1"/>
  <c r="EX2" i="2" s="1"/>
  <c r="EY2" i="2" s="1"/>
  <c r="EZ2" i="2" s="1"/>
  <c r="FA2" i="2" s="1"/>
  <c r="FB2" i="2" s="1"/>
  <c r="FC2" i="2" s="1"/>
  <c r="FD2" i="2" s="1"/>
  <c r="FE2" i="2" s="1"/>
  <c r="FF2" i="2" s="1"/>
  <c r="FG2" i="2" s="1"/>
  <c r="FH2" i="2" s="1"/>
  <c r="FI2" i="2" s="1"/>
  <c r="FJ2" i="2" s="1"/>
  <c r="FK2" i="2" s="1"/>
  <c r="FL2" i="2" s="1"/>
  <c r="FM2" i="2" s="1"/>
  <c r="FN2" i="2" s="1"/>
  <c r="FO2" i="2" s="1"/>
  <c r="FP2" i="2" s="1"/>
  <c r="FQ2" i="2" s="1"/>
  <c r="FR2" i="2" s="1"/>
  <c r="FS2" i="2" s="1"/>
  <c r="FT2" i="2" s="1"/>
  <c r="FU2" i="2" s="1"/>
  <c r="FV2" i="2" s="1"/>
  <c r="FW2" i="2" s="1"/>
  <c r="FX2" i="2" s="1"/>
  <c r="FY2" i="2" s="1"/>
  <c r="FZ2" i="2" s="1"/>
  <c r="GA2" i="2" s="1"/>
  <c r="GB2" i="2" s="1"/>
  <c r="GC2" i="2" s="1"/>
  <c r="GD2" i="2" s="1"/>
  <c r="GE2" i="2" s="1"/>
  <c r="GF2" i="2" s="1"/>
  <c r="GG2" i="2" s="1"/>
  <c r="GH2" i="2" s="1"/>
  <c r="GI2" i="2" s="1"/>
  <c r="GJ2" i="2" s="1"/>
  <c r="GK2" i="2" s="1"/>
  <c r="GL2" i="2" s="1"/>
  <c r="GM2" i="2" s="1"/>
  <c r="GN2" i="2" s="1"/>
  <c r="GO2" i="2" s="1"/>
  <c r="GP2" i="2" s="1"/>
  <c r="GQ2" i="2" s="1"/>
  <c r="GR2" i="2" s="1"/>
  <c r="GS2" i="2" s="1"/>
  <c r="GT2" i="2" s="1"/>
  <c r="GU2" i="2" s="1"/>
  <c r="GV2" i="2" s="1"/>
  <c r="GW2" i="2" s="1"/>
  <c r="GX2" i="2" s="1"/>
  <c r="GY2" i="2" s="1"/>
  <c r="GZ2" i="2" s="1"/>
  <c r="HA2" i="2" s="1"/>
  <c r="HB2" i="2" s="1"/>
  <c r="HC2" i="2" s="1"/>
  <c r="HD2" i="2" s="1"/>
  <c r="HE2" i="2" s="1"/>
  <c r="HF2" i="2" s="1"/>
  <c r="HG2" i="2" s="1"/>
  <c r="HH2" i="2" s="1"/>
  <c r="HI2" i="2" s="1"/>
  <c r="HJ2" i="2" s="1"/>
  <c r="HK2" i="2" s="1"/>
  <c r="HL2" i="2" s="1"/>
  <c r="HM2" i="2" s="1"/>
  <c r="HN2" i="2" s="1"/>
  <c r="HO2" i="2" s="1"/>
  <c r="HP2" i="2" s="1"/>
  <c r="HQ2" i="2" s="1"/>
  <c r="HR2" i="2" s="1"/>
  <c r="HS2" i="2" s="1"/>
  <c r="HT2" i="2" s="1"/>
  <c r="HU2" i="2" s="1"/>
  <c r="HV2" i="2" s="1"/>
  <c r="HW2" i="2" s="1"/>
  <c r="HX2" i="2" s="1"/>
  <c r="HY2" i="2" s="1"/>
  <c r="HZ2" i="2" s="1"/>
  <c r="IA2" i="2" s="1"/>
  <c r="IB2" i="2" s="1"/>
  <c r="IC2" i="2" s="1"/>
  <c r="ID2" i="2" s="1"/>
  <c r="IE2" i="2" s="1"/>
  <c r="IF2" i="2" s="1"/>
  <c r="IG2" i="2" s="1"/>
  <c r="N70" i="2"/>
  <c r="AE138" i="2"/>
  <c r="AD138" i="2"/>
  <c r="AC138" i="2"/>
  <c r="C138" i="2"/>
  <c r="D137" i="2"/>
  <c r="E137" i="2" s="1"/>
  <c r="D136" i="2"/>
  <c r="G138" i="2"/>
  <c r="K138" i="2"/>
  <c r="H137" i="2"/>
  <c r="I137" i="2" s="1"/>
  <c r="H136" i="2"/>
  <c r="L137" i="2"/>
  <c r="L136" i="2"/>
  <c r="AB78" i="2"/>
  <c r="AB77" i="2"/>
  <c r="AB76" i="2"/>
  <c r="AB75" i="2"/>
  <c r="AB74" i="2"/>
  <c r="AA56" i="2"/>
  <c r="AA66" i="2" s="1"/>
  <c r="AA69" i="2" s="1"/>
  <c r="AA71" i="2" s="1"/>
  <c r="AB56" i="2"/>
  <c r="AC78" i="2"/>
  <c r="AC77" i="2"/>
  <c r="AC76" i="2"/>
  <c r="AC75" i="2"/>
  <c r="AC74" i="2"/>
  <c r="F68" i="2"/>
  <c r="F67" i="2"/>
  <c r="F65" i="2"/>
  <c r="F64" i="2"/>
  <c r="F63" i="2"/>
  <c r="F62" i="2"/>
  <c r="F61" i="2"/>
  <c r="F60" i="2"/>
  <c r="F59" i="2"/>
  <c r="F58" i="2"/>
  <c r="F57" i="2"/>
  <c r="J68" i="2"/>
  <c r="J67" i="2"/>
  <c r="J65" i="2"/>
  <c r="J64" i="2"/>
  <c r="J63" i="2"/>
  <c r="J62" i="2"/>
  <c r="J61" i="2"/>
  <c r="J60" i="2"/>
  <c r="J59" i="2"/>
  <c r="J58" i="2"/>
  <c r="J57" i="2"/>
  <c r="AD78" i="2"/>
  <c r="AD77" i="2"/>
  <c r="AD76" i="2"/>
  <c r="AD75" i="2"/>
  <c r="AD74" i="2"/>
  <c r="AE78" i="2"/>
  <c r="AE77" i="2"/>
  <c r="AE76" i="2"/>
  <c r="AE75" i="2"/>
  <c r="AE74" i="2"/>
  <c r="F55" i="2"/>
  <c r="F54" i="2"/>
  <c r="F53" i="2"/>
  <c r="F52" i="2"/>
  <c r="F51" i="2"/>
  <c r="J55" i="2"/>
  <c r="J54" i="2"/>
  <c r="J53" i="2"/>
  <c r="J52" i="2"/>
  <c r="J51" i="2"/>
  <c r="D56" i="2"/>
  <c r="D66" i="2" s="1"/>
  <c r="D69" i="2" s="1"/>
  <c r="E56" i="2"/>
  <c r="E66" i="2" s="1"/>
  <c r="E69" i="2" s="1"/>
  <c r="G56" i="2"/>
  <c r="K56" i="2"/>
  <c r="H56" i="2"/>
  <c r="L56" i="2"/>
  <c r="AC56" i="2"/>
  <c r="AD56" i="2"/>
  <c r="AD82" i="2" s="1"/>
  <c r="AE56" i="2"/>
  <c r="AE82" i="2" s="1"/>
  <c r="I56" i="2"/>
  <c r="M56" i="2"/>
  <c r="K6" i="1"/>
  <c r="C7" i="7" s="1"/>
  <c r="C9" i="7" s="1"/>
  <c r="C10" i="7" s="1"/>
  <c r="L7" i="1"/>
  <c r="L8" i="1" s="1"/>
  <c r="C22" i="7" l="1"/>
  <c r="C25" i="7" s="1"/>
  <c r="C27" i="7" s="1"/>
  <c r="C14" i="7"/>
  <c r="C16" i="7" s="1"/>
  <c r="AJ34" i="2" s="1"/>
  <c r="AK34" i="2" s="1"/>
  <c r="AL34" i="2" s="1"/>
  <c r="AM34" i="2" s="1"/>
  <c r="AN34" i="2" s="1"/>
  <c r="AO34" i="2" s="1"/>
  <c r="AP34" i="2" s="1"/>
  <c r="Q66" i="2"/>
  <c r="Q69" i="2" s="1"/>
  <c r="Q71" i="2" s="1"/>
  <c r="AG38" i="2"/>
  <c r="AH38" i="2" s="1"/>
  <c r="R48" i="2"/>
  <c r="AG37" i="2"/>
  <c r="AH37" i="2" s="1"/>
  <c r="R47" i="2"/>
  <c r="AG36" i="2"/>
  <c r="AH36" i="2" s="1"/>
  <c r="R46" i="2"/>
  <c r="AG35" i="2"/>
  <c r="AH35" i="2" s="1"/>
  <c r="R45" i="2"/>
  <c r="AG34" i="2"/>
  <c r="AH34" i="2" s="1"/>
  <c r="AH44" i="2" s="1"/>
  <c r="R44" i="2"/>
  <c r="AG44" i="2" s="1"/>
  <c r="J78" i="2"/>
  <c r="J77" i="2"/>
  <c r="J74" i="2"/>
  <c r="O25" i="2"/>
  <c r="AG25" i="2" s="1"/>
  <c r="AG23" i="2"/>
  <c r="K25" i="2"/>
  <c r="AF25" i="2" s="1"/>
  <c r="AF23" i="2"/>
  <c r="P133" i="2"/>
  <c r="O133" i="2"/>
  <c r="N133" i="2"/>
  <c r="M133" i="2"/>
  <c r="L133" i="2"/>
  <c r="K133" i="2"/>
  <c r="AB79" i="2"/>
  <c r="N78" i="2"/>
  <c r="N77" i="2"/>
  <c r="N74" i="2"/>
  <c r="M137" i="2"/>
  <c r="N137" i="2" s="1"/>
  <c r="M136" i="2"/>
  <c r="Q79" i="2"/>
  <c r="Q82" i="2"/>
  <c r="P66" i="2"/>
  <c r="P69" i="2" s="1"/>
  <c r="P71" i="2" s="1"/>
  <c r="P82" i="2"/>
  <c r="P79" i="2"/>
  <c r="O79" i="2"/>
  <c r="O66" i="2"/>
  <c r="O69" i="2" s="1"/>
  <c r="O71" i="2" s="1"/>
  <c r="O82" i="2"/>
  <c r="J76" i="2"/>
  <c r="N76" i="2"/>
  <c r="N75" i="2"/>
  <c r="J75" i="2"/>
  <c r="G82" i="2"/>
  <c r="G79" i="2"/>
  <c r="G66" i="2"/>
  <c r="G69" i="2" s="1"/>
  <c r="K82" i="2"/>
  <c r="K79" i="2"/>
  <c r="K66" i="2"/>
  <c r="K69" i="2" s="1"/>
  <c r="K71" i="2" s="1"/>
  <c r="H79" i="2"/>
  <c r="H66" i="2"/>
  <c r="H69" i="2" s="1"/>
  <c r="L79" i="2"/>
  <c r="L66" i="2"/>
  <c r="L69" i="2" s="1"/>
  <c r="L71" i="2" s="1"/>
  <c r="I79" i="2"/>
  <c r="I66" i="2"/>
  <c r="I69" i="2" s="1"/>
  <c r="I71" i="2" s="1"/>
  <c r="M82" i="2"/>
  <c r="M66" i="2"/>
  <c r="M69" i="2" s="1"/>
  <c r="M79" i="2"/>
  <c r="Q138" i="2"/>
  <c r="P138" i="2"/>
  <c r="AF77" i="2"/>
  <c r="F137" i="2"/>
  <c r="AF76" i="2"/>
  <c r="AC79" i="2"/>
  <c r="AE66" i="2"/>
  <c r="AE69" i="2" s="1"/>
  <c r="AE71" i="2" s="1"/>
  <c r="AF78" i="2"/>
  <c r="AF74" i="2"/>
  <c r="AF56" i="2"/>
  <c r="AF75" i="2"/>
  <c r="AE79" i="2"/>
  <c r="H138" i="2"/>
  <c r="N56" i="2"/>
  <c r="AC66" i="2"/>
  <c r="AC69" i="2" s="1"/>
  <c r="AC71" i="2" s="1"/>
  <c r="J137" i="2"/>
  <c r="C82" i="2"/>
  <c r="E136" i="2"/>
  <c r="F136" i="2" s="1"/>
  <c r="D138" i="2"/>
  <c r="L138" i="2"/>
  <c r="AB66" i="2"/>
  <c r="AB69" i="2" s="1"/>
  <c r="AB71" i="2" s="1"/>
  <c r="D82" i="2"/>
  <c r="L82" i="2"/>
  <c r="AD79" i="2"/>
  <c r="E82" i="2"/>
  <c r="AA82" i="2"/>
  <c r="AB82" i="2"/>
  <c r="AD66" i="2"/>
  <c r="H82" i="2"/>
  <c r="AC82" i="2"/>
  <c r="I82" i="2"/>
  <c r="J56" i="2"/>
  <c r="F56" i="2"/>
  <c r="E71" i="2"/>
  <c r="K9" i="1"/>
  <c r="AF79" i="2" l="1"/>
  <c r="AI38" i="2"/>
  <c r="AH48" i="2"/>
  <c r="AH55" i="2" s="1"/>
  <c r="AG48" i="2"/>
  <c r="R55" i="2"/>
  <c r="AI37" i="2"/>
  <c r="AH47" i="2"/>
  <c r="AH54" i="2" s="1"/>
  <c r="AG47" i="2"/>
  <c r="R54" i="2"/>
  <c r="AI36" i="2"/>
  <c r="AH46" i="2"/>
  <c r="AH53" i="2" s="1"/>
  <c r="AG46" i="2"/>
  <c r="R53" i="2"/>
  <c r="AI35" i="2"/>
  <c r="AH45" i="2"/>
  <c r="AH52" i="2" s="1"/>
  <c r="AG45" i="2"/>
  <c r="R52" i="2"/>
  <c r="AI34" i="2"/>
  <c r="AH51" i="2"/>
  <c r="R51" i="2"/>
  <c r="M138" i="2"/>
  <c r="N136" i="2"/>
  <c r="N138" i="2" s="1"/>
  <c r="N79" i="2"/>
  <c r="J82" i="2"/>
  <c r="J79" i="2"/>
  <c r="J66" i="2"/>
  <c r="J69" i="2" s="1"/>
  <c r="K141" i="2" s="1"/>
  <c r="F82" i="2"/>
  <c r="F66" i="2"/>
  <c r="F69" i="2" s="1"/>
  <c r="AD69" i="2"/>
  <c r="AD71" i="2" s="1"/>
  <c r="I136" i="2"/>
  <c r="F138" i="2"/>
  <c r="H71" i="2"/>
  <c r="G71" i="2"/>
  <c r="D71" i="2"/>
  <c r="C71" i="2"/>
  <c r="E138" i="2"/>
  <c r="N62" i="2"/>
  <c r="AF62" i="2" s="1"/>
  <c r="N58" i="2"/>
  <c r="AF58" i="2" s="1"/>
  <c r="N61" i="2"/>
  <c r="AF61" i="2" s="1"/>
  <c r="N60" i="2"/>
  <c r="AF60" i="2" s="1"/>
  <c r="N59" i="2"/>
  <c r="AF59" i="2" s="1"/>
  <c r="N65" i="2"/>
  <c r="AF65" i="2" s="1"/>
  <c r="N57" i="2"/>
  <c r="N64" i="2"/>
  <c r="AF64" i="2" s="1"/>
  <c r="N63" i="2"/>
  <c r="AF63" i="2" s="1"/>
  <c r="M71" i="2"/>
  <c r="AI48" i="2" l="1"/>
  <c r="AI55" i="2" s="1"/>
  <c r="AJ38" i="2"/>
  <c r="AG55" i="2"/>
  <c r="R78" i="2"/>
  <c r="AI47" i="2"/>
  <c r="AI54" i="2" s="1"/>
  <c r="AJ37" i="2"/>
  <c r="AG54" i="2"/>
  <c r="R77" i="2"/>
  <c r="AI46" i="2"/>
  <c r="AI53" i="2" s="1"/>
  <c r="AJ36" i="2"/>
  <c r="R76" i="2"/>
  <c r="AG53" i="2"/>
  <c r="AG76" i="2" s="1"/>
  <c r="AJ35" i="2"/>
  <c r="AI45" i="2"/>
  <c r="AI52" i="2" s="1"/>
  <c r="AI75" i="2" s="1"/>
  <c r="R75" i="2"/>
  <c r="AG52" i="2"/>
  <c r="AI44" i="2"/>
  <c r="AI51" i="2" s="1"/>
  <c r="AG51" i="2"/>
  <c r="R56" i="2"/>
  <c r="R74" i="2"/>
  <c r="P140" i="2"/>
  <c r="Q140" i="2"/>
  <c r="O140" i="2"/>
  <c r="N140" i="2"/>
  <c r="F71" i="2"/>
  <c r="F70" i="2" s="1"/>
  <c r="AF57" i="2"/>
  <c r="AF82" i="2" s="1"/>
  <c r="N82" i="2"/>
  <c r="N66" i="2"/>
  <c r="AH56" i="2"/>
  <c r="H141" i="2"/>
  <c r="I141" i="2"/>
  <c r="G141" i="2"/>
  <c r="F141" i="2"/>
  <c r="F140" i="2"/>
  <c r="G140" i="2"/>
  <c r="J141" i="2"/>
  <c r="J71" i="2"/>
  <c r="J70" i="2" s="1"/>
  <c r="H140" i="2"/>
  <c r="J136" i="2"/>
  <c r="J138" i="2" s="1"/>
  <c r="M140" i="2" s="1"/>
  <c r="I138" i="2"/>
  <c r="M141" i="2"/>
  <c r="L141" i="2"/>
  <c r="AG74" i="2" l="1"/>
  <c r="AH74" i="2"/>
  <c r="AG77" i="2"/>
  <c r="AH77" i="2"/>
  <c r="AJ48" i="2"/>
  <c r="AJ55" i="2" s="1"/>
  <c r="AK38" i="2"/>
  <c r="AJ47" i="2"/>
  <c r="AJ54" i="2" s="1"/>
  <c r="AK37" i="2"/>
  <c r="AJ46" i="2"/>
  <c r="AJ53" i="2" s="1"/>
  <c r="AK36" i="2"/>
  <c r="AJ45" i="2"/>
  <c r="AJ52" i="2" s="1"/>
  <c r="AJ75" i="2" s="1"/>
  <c r="AK35" i="2"/>
  <c r="AH75" i="2"/>
  <c r="AG75" i="2"/>
  <c r="AJ44" i="2"/>
  <c r="AJ51" i="2" s="1"/>
  <c r="R64" i="2"/>
  <c r="AG64" i="2" s="1"/>
  <c r="R63" i="2"/>
  <c r="AG63" i="2" s="1"/>
  <c r="R61" i="2"/>
  <c r="AG61" i="2" s="1"/>
  <c r="R59" i="2"/>
  <c r="AG59" i="2" s="1"/>
  <c r="R57" i="2"/>
  <c r="AG57" i="2" s="1"/>
  <c r="R65" i="2"/>
  <c r="AG65" i="2" s="1"/>
  <c r="R62" i="2"/>
  <c r="AG62" i="2" s="1"/>
  <c r="R60" i="2"/>
  <c r="AG60" i="2" s="1"/>
  <c r="R58" i="2"/>
  <c r="AG58" i="2" s="1"/>
  <c r="R79" i="2"/>
  <c r="AG78" i="2"/>
  <c r="AG56" i="2"/>
  <c r="AH78" i="2"/>
  <c r="AH76" i="2"/>
  <c r="AI77" i="2"/>
  <c r="AF66" i="2"/>
  <c r="N68" i="2"/>
  <c r="N67" i="2"/>
  <c r="L140" i="2"/>
  <c r="K140" i="2"/>
  <c r="J140" i="2"/>
  <c r="AI78" i="2"/>
  <c r="AI74" i="2"/>
  <c r="I140" i="2"/>
  <c r="AH63" i="2" l="1"/>
  <c r="AH64" i="2"/>
  <c r="AG82" i="2"/>
  <c r="AH65" i="2"/>
  <c r="AH62" i="2"/>
  <c r="AH60" i="2"/>
  <c r="AH58" i="2"/>
  <c r="AH59" i="2"/>
  <c r="AH61" i="2"/>
  <c r="AG79" i="2"/>
  <c r="AH79" i="2"/>
  <c r="AK48" i="2"/>
  <c r="AK55" i="2" s="1"/>
  <c r="AL38" i="2"/>
  <c r="AK47" i="2"/>
  <c r="AK54" i="2" s="1"/>
  <c r="AL37" i="2"/>
  <c r="AK46" i="2"/>
  <c r="AK53" i="2" s="1"/>
  <c r="AL36" i="2"/>
  <c r="AK45" i="2"/>
  <c r="AK52" i="2" s="1"/>
  <c r="AK75" i="2" s="1"/>
  <c r="AL35" i="2"/>
  <c r="AK44" i="2"/>
  <c r="AK51" i="2" s="1"/>
  <c r="R66" i="2"/>
  <c r="R82" i="2"/>
  <c r="N69" i="2"/>
  <c r="AF67" i="2"/>
  <c r="AG66" i="2"/>
  <c r="AH57" i="2"/>
  <c r="AI76" i="2"/>
  <c r="AJ56" i="2"/>
  <c r="AI56" i="2"/>
  <c r="AJ77" i="2"/>
  <c r="AF68" i="2"/>
  <c r="AJ78" i="2"/>
  <c r="AJ74" i="2"/>
  <c r="AH66" i="2" l="1"/>
  <c r="AH82" i="2"/>
  <c r="AL48" i="2"/>
  <c r="AL55" i="2" s="1"/>
  <c r="AM38" i="2"/>
  <c r="AL47" i="2"/>
  <c r="AL54" i="2" s="1"/>
  <c r="AM37" i="2"/>
  <c r="AL46" i="2"/>
  <c r="AL53" i="2" s="1"/>
  <c r="AM36" i="2"/>
  <c r="AL45" i="2"/>
  <c r="AL52" i="2" s="1"/>
  <c r="AL75" i="2" s="1"/>
  <c r="AM35" i="2"/>
  <c r="AL44" i="2"/>
  <c r="AL51" i="2" s="1"/>
  <c r="R68" i="2"/>
  <c r="AG68" i="2" s="1"/>
  <c r="R67" i="2"/>
  <c r="AJ76" i="2"/>
  <c r="AI60" i="2"/>
  <c r="AJ60" i="2" s="1"/>
  <c r="AI63" i="2"/>
  <c r="AJ63" i="2" s="1"/>
  <c r="AI79" i="2"/>
  <c r="AI58" i="2"/>
  <c r="AJ58" i="2" s="1"/>
  <c r="AI59" i="2"/>
  <c r="AJ59" i="2" s="1"/>
  <c r="AI62" i="2"/>
  <c r="AJ62" i="2" s="1"/>
  <c r="AI61" i="2"/>
  <c r="AJ61" i="2" s="1"/>
  <c r="AI64" i="2"/>
  <c r="AJ64" i="2" s="1"/>
  <c r="AI57" i="2"/>
  <c r="AI65" i="2"/>
  <c r="AJ65" i="2" s="1"/>
  <c r="AK77" i="2"/>
  <c r="N141" i="2"/>
  <c r="P141" i="2"/>
  <c r="Q141" i="2"/>
  <c r="O141" i="2"/>
  <c r="AJ79" i="2"/>
  <c r="AF69" i="2"/>
  <c r="N71" i="2"/>
  <c r="AF71" i="2" s="1"/>
  <c r="AK74" i="2"/>
  <c r="AK78" i="2"/>
  <c r="AH68" i="2" l="1"/>
  <c r="R69" i="2"/>
  <c r="R71" i="2" s="1"/>
  <c r="AG67" i="2"/>
  <c r="AJ57" i="2"/>
  <c r="AI82" i="2"/>
  <c r="AM48" i="2"/>
  <c r="AM55" i="2" s="1"/>
  <c r="AN38" i="2"/>
  <c r="AM47" i="2"/>
  <c r="AM54" i="2" s="1"/>
  <c r="AN37" i="2"/>
  <c r="AM46" i="2"/>
  <c r="AM53" i="2" s="1"/>
  <c r="AN36" i="2"/>
  <c r="AM45" i="2"/>
  <c r="AM52" i="2" s="1"/>
  <c r="AM75" i="2" s="1"/>
  <c r="AN35" i="2"/>
  <c r="AM44" i="2"/>
  <c r="AM51" i="2" s="1"/>
  <c r="AK76" i="2"/>
  <c r="AK56" i="2"/>
  <c r="AI66" i="2"/>
  <c r="AL77" i="2"/>
  <c r="AF70" i="2"/>
  <c r="AG70" i="2" s="1"/>
  <c r="AL74" i="2"/>
  <c r="AL78" i="2"/>
  <c r="AG69" i="2" l="1"/>
  <c r="AG71" i="2" s="1"/>
  <c r="AH67" i="2"/>
  <c r="AJ82" i="2"/>
  <c r="AJ66" i="2"/>
  <c r="AI68" i="2"/>
  <c r="AN48" i="2"/>
  <c r="AN55" i="2" s="1"/>
  <c r="AO38" i="2"/>
  <c r="AN47" i="2"/>
  <c r="AN54" i="2" s="1"/>
  <c r="AO37" i="2"/>
  <c r="AN46" i="2"/>
  <c r="AN53" i="2" s="1"/>
  <c r="AO36" i="2"/>
  <c r="AN45" i="2"/>
  <c r="AN52" i="2" s="1"/>
  <c r="AN75" i="2" s="1"/>
  <c r="AO35" i="2"/>
  <c r="AN44" i="2"/>
  <c r="AN51" i="2" s="1"/>
  <c r="AK63" i="2"/>
  <c r="AK61" i="2"/>
  <c r="AK62" i="2"/>
  <c r="AK57" i="2"/>
  <c r="AK82" i="2" s="1"/>
  <c r="AK79" i="2"/>
  <c r="AK64" i="2"/>
  <c r="AK58" i="2"/>
  <c r="AK60" i="2"/>
  <c r="AK65" i="2"/>
  <c r="AK59" i="2"/>
  <c r="AL76" i="2"/>
  <c r="AL56" i="2"/>
  <c r="AM77" i="2"/>
  <c r="AH70" i="2"/>
  <c r="AM74" i="2"/>
  <c r="AM78" i="2"/>
  <c r="AH69" i="2" l="1"/>
  <c r="AH71" i="2" s="1"/>
  <c r="AI67" i="2"/>
  <c r="AJ68" i="2"/>
  <c r="AO48" i="2"/>
  <c r="AO55" i="2" s="1"/>
  <c r="AP38" i="2"/>
  <c r="AP48" i="2" s="1"/>
  <c r="AP55" i="2" s="1"/>
  <c r="AO47" i="2"/>
  <c r="AO54" i="2" s="1"/>
  <c r="AP37" i="2"/>
  <c r="AP47" i="2" s="1"/>
  <c r="AP54" i="2" s="1"/>
  <c r="AO46" i="2"/>
  <c r="AO53" i="2" s="1"/>
  <c r="AP36" i="2"/>
  <c r="AP46" i="2" s="1"/>
  <c r="AP53" i="2" s="1"/>
  <c r="AO45" i="2"/>
  <c r="AO52" i="2" s="1"/>
  <c r="AO75" i="2" s="1"/>
  <c r="AP35" i="2"/>
  <c r="AP45" i="2" s="1"/>
  <c r="AP52" i="2" s="1"/>
  <c r="AO44" i="2"/>
  <c r="AO51" i="2" s="1"/>
  <c r="AP44" i="2"/>
  <c r="AP51" i="2" s="1"/>
  <c r="AM56" i="2"/>
  <c r="AM79" i="2" s="1"/>
  <c r="AM76" i="2"/>
  <c r="AK66" i="2"/>
  <c r="AL57" i="2"/>
  <c r="AL82" i="2" s="1"/>
  <c r="AL59" i="2"/>
  <c r="AL60" i="2"/>
  <c r="AL61" i="2"/>
  <c r="AL65" i="2"/>
  <c r="AL64" i="2"/>
  <c r="AL79" i="2"/>
  <c r="AL63" i="2"/>
  <c r="AL58" i="2"/>
  <c r="AL62" i="2"/>
  <c r="AN77" i="2"/>
  <c r="AI70" i="2"/>
  <c r="AN78" i="2"/>
  <c r="AN74" i="2"/>
  <c r="AP75" i="2" l="1"/>
  <c r="AI69" i="2"/>
  <c r="AI71" i="2" s="1"/>
  <c r="AJ67" i="2"/>
  <c r="AK68" i="2"/>
  <c r="AO78" i="2"/>
  <c r="AP78" i="2"/>
  <c r="AO77" i="2"/>
  <c r="AP77" i="2"/>
  <c r="AO74" i="2"/>
  <c r="AM57" i="2"/>
  <c r="AM82" i="2" s="1"/>
  <c r="AM60" i="2"/>
  <c r="AM61" i="2"/>
  <c r="AM65" i="2"/>
  <c r="AM64" i="2"/>
  <c r="AM63" i="2"/>
  <c r="AM58" i="2"/>
  <c r="AM62" i="2"/>
  <c r="AP76" i="2"/>
  <c r="AN76" i="2"/>
  <c r="AN56" i="2"/>
  <c r="AL66" i="2"/>
  <c r="AM59" i="2"/>
  <c r="AJ70" i="2"/>
  <c r="AJ69" i="2" l="1"/>
  <c r="AJ71" i="2" s="1"/>
  <c r="AK67" i="2"/>
  <c r="AL68" i="2"/>
  <c r="AP56" i="2"/>
  <c r="AP74" i="2"/>
  <c r="AN57" i="2"/>
  <c r="AN82" i="2" s="1"/>
  <c r="AN58" i="2"/>
  <c r="AN65" i="2"/>
  <c r="AO76" i="2"/>
  <c r="AO56" i="2"/>
  <c r="AN60" i="2"/>
  <c r="AN79" i="2"/>
  <c r="AN63" i="2"/>
  <c r="AN61" i="2"/>
  <c r="AN64" i="2"/>
  <c r="AN62" i="2"/>
  <c r="AM66" i="2"/>
  <c r="AN59" i="2"/>
  <c r="AK70" i="2"/>
  <c r="AK69" i="2" l="1"/>
  <c r="AK71" i="2" s="1"/>
  <c r="AL67" i="2"/>
  <c r="AM68" i="2"/>
  <c r="AP79" i="2"/>
  <c r="AO57" i="2"/>
  <c r="AO62" i="2"/>
  <c r="AP62" i="2" s="1"/>
  <c r="AO79" i="2"/>
  <c r="AO64" i="2"/>
  <c r="AP64" i="2" s="1"/>
  <c r="AO58" i="2"/>
  <c r="AP58" i="2" s="1"/>
  <c r="AO61" i="2"/>
  <c r="AP61" i="2" s="1"/>
  <c r="AO65" i="2"/>
  <c r="AP65" i="2" s="1"/>
  <c r="AO63" i="2"/>
  <c r="AP63" i="2" s="1"/>
  <c r="AO60" i="2"/>
  <c r="AP60" i="2" s="1"/>
  <c r="AO59" i="2"/>
  <c r="AP59" i="2" s="1"/>
  <c r="AN66" i="2"/>
  <c r="AL70" i="2"/>
  <c r="AL69" i="2" l="1"/>
  <c r="AL71" i="2" s="1"/>
  <c r="AM67" i="2"/>
  <c r="AN68" i="2"/>
  <c r="AP57" i="2"/>
  <c r="AO82" i="2"/>
  <c r="AO66" i="2"/>
  <c r="AM70" i="2"/>
  <c r="AM69" i="2" l="1"/>
  <c r="AM71" i="2" s="1"/>
  <c r="AN67" i="2"/>
  <c r="AP82" i="2"/>
  <c r="AP66" i="2"/>
  <c r="AP68" i="2" s="1"/>
  <c r="AO68" i="2"/>
  <c r="AN70" i="2"/>
  <c r="AO67" i="2" l="1"/>
  <c r="AN69" i="2"/>
  <c r="AN71" i="2" s="1"/>
  <c r="AO70" i="2"/>
  <c r="AP70" i="2" s="1"/>
  <c r="AO69" i="2" l="1"/>
  <c r="AO71" i="2" s="1"/>
  <c r="AP67" i="2"/>
  <c r="AP69" i="2" s="1"/>
  <c r="AP71" i="2" l="1"/>
  <c r="AQ69" i="2"/>
  <c r="AR69" i="2" s="1"/>
  <c r="AS69" i="2" s="1"/>
  <c r="AT69" i="2" s="1"/>
  <c r="AU69" i="2" s="1"/>
  <c r="AV69" i="2" s="1"/>
  <c r="AW69" i="2" s="1"/>
  <c r="AX69" i="2" s="1"/>
  <c r="AY69" i="2" s="1"/>
  <c r="AZ69" i="2" s="1"/>
  <c r="BA69" i="2" s="1"/>
  <c r="BB69" i="2" s="1"/>
  <c r="BC69" i="2" s="1"/>
  <c r="BD69" i="2" s="1"/>
  <c r="BE69" i="2" s="1"/>
  <c r="BF69" i="2" s="1"/>
  <c r="BG69" i="2" s="1"/>
  <c r="BH69" i="2" s="1"/>
  <c r="BI69" i="2" s="1"/>
  <c r="BJ69" i="2" s="1"/>
  <c r="BK69" i="2" s="1"/>
  <c r="BL69" i="2" s="1"/>
  <c r="BM69" i="2" s="1"/>
  <c r="BN69" i="2" s="1"/>
  <c r="BO69" i="2" s="1"/>
  <c r="BP69" i="2" s="1"/>
  <c r="BQ69" i="2" s="1"/>
  <c r="BR69" i="2" s="1"/>
  <c r="BS69" i="2" s="1"/>
  <c r="BT69" i="2" s="1"/>
  <c r="BU69" i="2" s="1"/>
  <c r="BV69" i="2" s="1"/>
  <c r="BW69" i="2" s="1"/>
  <c r="BX69" i="2" s="1"/>
  <c r="BY69" i="2" s="1"/>
  <c r="BZ69" i="2" s="1"/>
  <c r="CA69" i="2" s="1"/>
  <c r="CB69" i="2" s="1"/>
  <c r="CC69" i="2" s="1"/>
  <c r="CD69" i="2" s="1"/>
  <c r="CE69" i="2" s="1"/>
  <c r="CF69" i="2" s="1"/>
  <c r="CG69" i="2" s="1"/>
  <c r="CH69" i="2" s="1"/>
  <c r="CI69" i="2" s="1"/>
  <c r="CJ69" i="2" s="1"/>
  <c r="CK69" i="2" s="1"/>
  <c r="CL69" i="2" s="1"/>
  <c r="CM69" i="2" s="1"/>
  <c r="CN69" i="2" s="1"/>
  <c r="CO69" i="2" s="1"/>
  <c r="CP69" i="2" s="1"/>
  <c r="CQ69" i="2" s="1"/>
  <c r="CR69" i="2" s="1"/>
  <c r="CS69" i="2" s="1"/>
  <c r="CT69" i="2" s="1"/>
  <c r="CU69" i="2" s="1"/>
  <c r="CV69" i="2" s="1"/>
  <c r="CW69" i="2" s="1"/>
  <c r="CX69" i="2" s="1"/>
  <c r="CY69" i="2" s="1"/>
  <c r="CZ69" i="2" s="1"/>
  <c r="DA69" i="2" s="1"/>
  <c r="DB69" i="2" s="1"/>
  <c r="DC69" i="2" s="1"/>
  <c r="DD69" i="2" s="1"/>
  <c r="DE69" i="2" s="1"/>
  <c r="DF69" i="2" s="1"/>
  <c r="DG69" i="2" s="1"/>
  <c r="DH69" i="2" s="1"/>
  <c r="DI69" i="2" s="1"/>
  <c r="DJ69" i="2" s="1"/>
  <c r="DK69" i="2" s="1"/>
  <c r="DL69" i="2" s="1"/>
  <c r="DM69" i="2" s="1"/>
  <c r="DN69" i="2" s="1"/>
  <c r="DO69" i="2" s="1"/>
  <c r="DP69" i="2" s="1"/>
  <c r="DQ69" i="2" s="1"/>
  <c r="DR69" i="2" s="1"/>
  <c r="DS69" i="2" s="1"/>
  <c r="DT69" i="2" s="1"/>
  <c r="DU69" i="2" s="1"/>
  <c r="DV69" i="2" s="1"/>
  <c r="DW69" i="2" s="1"/>
  <c r="DX69" i="2" s="1"/>
  <c r="DY69" i="2" s="1"/>
  <c r="DZ69" i="2" s="1"/>
  <c r="EA69" i="2" s="1"/>
  <c r="EB69" i="2" s="1"/>
  <c r="EC69" i="2" s="1"/>
  <c r="ED69" i="2" s="1"/>
  <c r="EE69" i="2" s="1"/>
  <c r="EF69" i="2" s="1"/>
  <c r="EG69" i="2" s="1"/>
  <c r="EH69" i="2" s="1"/>
  <c r="EI69" i="2" s="1"/>
  <c r="EJ69" i="2" s="1"/>
  <c r="EK69" i="2" s="1"/>
  <c r="EL69" i="2" s="1"/>
  <c r="EM69" i="2" s="1"/>
  <c r="EN69" i="2" s="1"/>
  <c r="EO69" i="2" s="1"/>
  <c r="EP69" i="2" s="1"/>
  <c r="EQ69" i="2" s="1"/>
  <c r="ER69" i="2" s="1"/>
  <c r="ES69" i="2" s="1"/>
  <c r="ET69" i="2" s="1"/>
  <c r="EU69" i="2" l="1"/>
  <c r="EV69" i="2" s="1"/>
  <c r="EW69" i="2" s="1"/>
  <c r="EX69" i="2" s="1"/>
  <c r="EY69" i="2" s="1"/>
  <c r="EZ69" i="2" s="1"/>
  <c r="FA69" i="2" s="1"/>
  <c r="FB69" i="2" l="1"/>
  <c r="FC69" i="2" s="1"/>
  <c r="FD69" i="2" s="1"/>
  <c r="FE69" i="2" s="1"/>
  <c r="FF69" i="2" s="1"/>
  <c r="FG69" i="2" s="1"/>
  <c r="FH69" i="2" s="1"/>
  <c r="FI69" i="2" s="1"/>
  <c r="FJ69" i="2" s="1"/>
  <c r="FK69" i="2" s="1"/>
  <c r="FL69" i="2" s="1"/>
  <c r="FM69" i="2" s="1"/>
  <c r="FN69" i="2" s="1"/>
  <c r="FO69" i="2" s="1"/>
  <c r="FP69" i="2" s="1"/>
  <c r="FQ69" i="2" s="1"/>
  <c r="FR69" i="2" s="1"/>
  <c r="FS69" i="2" s="1"/>
  <c r="FT69" i="2" s="1"/>
  <c r="FU69" i="2" s="1"/>
  <c r="FV69" i="2" s="1"/>
  <c r="FW69" i="2" s="1"/>
  <c r="FX69" i="2" s="1"/>
  <c r="FY69" i="2" s="1"/>
  <c r="FZ69" i="2" s="1"/>
  <c r="GA69" i="2" s="1"/>
  <c r="GB69" i="2" s="1"/>
  <c r="GC69" i="2" s="1"/>
  <c r="GD69" i="2" s="1"/>
  <c r="GE69" i="2" s="1"/>
  <c r="GF69" i="2" s="1"/>
  <c r="GG69" i="2" l="1"/>
  <c r="GH69" i="2" s="1"/>
  <c r="GI69" i="2" s="1"/>
  <c r="GJ69" i="2" s="1"/>
  <c r="GK69" i="2" s="1"/>
  <c r="GL69" i="2" s="1"/>
  <c r="GM69" i="2" s="1"/>
  <c r="GN69" i="2" s="1"/>
  <c r="GO69" i="2" s="1"/>
  <c r="GP69" i="2" s="1"/>
  <c r="GQ69" i="2" s="1"/>
  <c r="GR69" i="2" s="1"/>
  <c r="GS69" i="2" s="1"/>
  <c r="GT69" i="2" s="1"/>
  <c r="GU69" i="2" s="1"/>
  <c r="GV69" i="2" s="1"/>
  <c r="GW69" i="2" s="1"/>
  <c r="GX69" i="2" s="1"/>
  <c r="GY69" i="2" s="1"/>
  <c r="GZ69" i="2" s="1"/>
  <c r="HA69" i="2" s="1"/>
  <c r="HB69" i="2" s="1"/>
  <c r="HC69" i="2" s="1"/>
  <c r="HD69" i="2" s="1"/>
  <c r="HE69" i="2" s="1"/>
  <c r="HF69" i="2" s="1"/>
  <c r="HG69" i="2" s="1"/>
  <c r="HH69" i="2" s="1"/>
  <c r="HI69" i="2" s="1"/>
  <c r="HJ69" i="2" s="1"/>
  <c r="HK69" i="2" s="1"/>
  <c r="HL69" i="2" l="1"/>
  <c r="HM69" i="2" s="1"/>
  <c r="HN69" i="2" s="1"/>
  <c r="HO69" i="2" l="1"/>
  <c r="HP69" i="2" l="1"/>
  <c r="HQ69" i="2" s="1"/>
  <c r="HR69" i="2" s="1"/>
  <c r="HS69" i="2" s="1"/>
  <c r="HT69" i="2" s="1"/>
  <c r="HU69" i="2" s="1"/>
  <c r="HV69" i="2" l="1"/>
  <c r="HW69" i="2" l="1"/>
  <c r="HX69" i="2" l="1"/>
  <c r="HY69" i="2" s="1"/>
  <c r="HZ69" i="2" s="1"/>
  <c r="IA69" i="2" s="1"/>
  <c r="IB69" i="2" s="1"/>
  <c r="IC69" i="2" l="1"/>
  <c r="ID69" i="2" s="1"/>
  <c r="IE69" i="2" s="1"/>
  <c r="IF69" i="2" s="1"/>
  <c r="IG69" i="2" l="1"/>
  <c r="AS74" i="2"/>
  <c r="AS76" i="2" s="1"/>
  <c r="AS7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Jameel</author>
  </authors>
  <commentList>
    <comment ref="M63" authorId="0" shapeId="0" xr:uid="{FFEDDB10-6BD3-6048-B967-864F859E44C6}">
      <text>
        <r>
          <rPr>
            <b/>
            <sz val="10"/>
            <color rgb="FF000000"/>
            <rFont val="Tahoma"/>
            <family val="2"/>
          </rPr>
          <t>Jameel:</t>
        </r>
        <r>
          <rPr>
            <sz val="10"/>
            <color rgb="FF000000"/>
            <rFont val="Tahoma"/>
            <family val="2"/>
          </rPr>
          <t xml:space="preserve">
</t>
        </r>
        <r>
          <rPr>
            <sz val="18"/>
            <color rgb="FF000000"/>
            <rFont val="ArialMT"/>
          </rPr>
          <t xml:space="preserve">removing non-reucrring </t>
        </r>
        <r>
          <rPr>
            <sz val="10"/>
            <color rgb="FF000000"/>
            <rFont val="ArialMT"/>
          </rPr>
          <t xml:space="preserve">
</t>
        </r>
        <r>
          <rPr>
            <sz val="18"/>
            <color rgb="FF000000"/>
            <rFont val="ArialMT"/>
          </rPr>
          <t xml:space="preserve"> restructuring, severance, and impairment charges </t>
        </r>
        <r>
          <rPr>
            <sz val="10"/>
            <color rgb="FF000000"/>
            <rFont val="ArialMT"/>
          </rPr>
          <t xml:space="preserve">
</t>
        </r>
      </text>
    </comment>
    <comment ref="Q63" authorId="0" shapeId="0" xr:uid="{4965B099-8CA9-3F48-9EC3-A1B389D40B52}">
      <text>
        <r>
          <rPr>
            <b/>
            <sz val="10"/>
            <color rgb="FF000000"/>
            <rFont val="Tahoma"/>
            <family val="2"/>
          </rPr>
          <t>Jameel:</t>
        </r>
        <r>
          <rPr>
            <sz val="10"/>
            <color rgb="FF000000"/>
            <rFont val="Tahoma"/>
            <family val="2"/>
          </rPr>
          <t xml:space="preserve">
</t>
        </r>
        <r>
          <rPr>
            <sz val="10"/>
            <color rgb="FF000000"/>
            <rFont val="Tahoma"/>
            <family val="2"/>
          </rPr>
          <t xml:space="preserve">removing non-reucrring 
</t>
        </r>
        <r>
          <rPr>
            <sz val="10"/>
            <color rgb="FF000000"/>
            <rFont val="Tahoma"/>
            <family val="2"/>
          </rPr>
          <t xml:space="preserve"> restructuring, severance, and impairment charges 
</t>
        </r>
        <r>
          <rPr>
            <sz val="10"/>
            <color rgb="FF000000"/>
            <rFont val="Tahoma"/>
            <family val="2"/>
          </rPr>
          <t xml:space="preserve">
</t>
        </r>
        <r>
          <rPr>
            <sz val="10"/>
            <color rgb="FF000000"/>
            <rFont val="Tahoma"/>
            <family val="2"/>
          </rPr>
          <t>impairment related to a full write down of the interest in the Namosi exploration stage ppty in Fiji</t>
        </r>
      </text>
    </comment>
  </commentList>
</comments>
</file>

<file path=xl/sharedStrings.xml><?xml version="1.0" encoding="utf-8"?>
<sst xmlns="http://schemas.openxmlformats.org/spreadsheetml/2006/main" count="359" uniqueCount="331">
  <si>
    <t>P</t>
  </si>
  <si>
    <t>S</t>
  </si>
  <si>
    <t>MC</t>
  </si>
  <si>
    <t>C</t>
  </si>
  <si>
    <t>D</t>
  </si>
  <si>
    <t>EV</t>
  </si>
  <si>
    <t>Q324</t>
  </si>
  <si>
    <t>Q122</t>
  </si>
  <si>
    <t>Q322</t>
  </si>
  <si>
    <t>Q422</t>
  </si>
  <si>
    <t>Q123</t>
  </si>
  <si>
    <t>Q323</t>
  </si>
  <si>
    <t>Q423</t>
  </si>
  <si>
    <t>Q124</t>
  </si>
  <si>
    <t>Q224</t>
  </si>
  <si>
    <t>Q424</t>
  </si>
  <si>
    <t>Sales</t>
  </si>
  <si>
    <t>Costs</t>
  </si>
  <si>
    <t>D&amp;A</t>
  </si>
  <si>
    <t>Reclamation &amp; Remediation</t>
  </si>
  <si>
    <t>Exploration</t>
  </si>
  <si>
    <t>Advanced projects, R&amp;D</t>
  </si>
  <si>
    <t>G&amp;A</t>
  </si>
  <si>
    <t xml:space="preserve">Other income </t>
  </si>
  <si>
    <t>Interest Expense</t>
  </si>
  <si>
    <t>Income Before Taxes</t>
  </si>
  <si>
    <t>Taxes</t>
  </si>
  <si>
    <t>Q222</t>
  </si>
  <si>
    <t>Equity Income</t>
  </si>
  <si>
    <t>Diluted</t>
  </si>
  <si>
    <t>EPS</t>
  </si>
  <si>
    <t>Other Expense</t>
  </si>
  <si>
    <t>S Y/Y</t>
  </si>
  <si>
    <t>Gold</t>
  </si>
  <si>
    <t>Copper</t>
  </si>
  <si>
    <t>Silver</t>
  </si>
  <si>
    <t>Lead</t>
  </si>
  <si>
    <t>Zinc</t>
  </si>
  <si>
    <t>HQ: Denver, CO</t>
  </si>
  <si>
    <t>A$</t>
  </si>
  <si>
    <t>C$</t>
  </si>
  <si>
    <t>tonne</t>
  </si>
  <si>
    <t>Net Income</t>
  </si>
  <si>
    <t xml:space="preserve">GM </t>
  </si>
  <si>
    <t>CFFO</t>
  </si>
  <si>
    <t>Capex</t>
  </si>
  <si>
    <t xml:space="preserve">Free Cash Flow </t>
  </si>
  <si>
    <t>4Q FCF</t>
  </si>
  <si>
    <t>4Q NI</t>
  </si>
  <si>
    <t xml:space="preserve">Terminal </t>
  </si>
  <si>
    <t>Discount</t>
  </si>
  <si>
    <t>NPV</t>
  </si>
  <si>
    <t xml:space="preserve">Net Cash </t>
  </si>
  <si>
    <t>Shares</t>
  </si>
  <si>
    <t>Estimate</t>
  </si>
  <si>
    <t>Current</t>
  </si>
  <si>
    <t>Upside</t>
  </si>
  <si>
    <t xml:space="preserve">CFO </t>
  </si>
  <si>
    <t xml:space="preserve">CEO </t>
  </si>
  <si>
    <t>News</t>
  </si>
  <si>
    <t xml:space="preserve">Contains </t>
  </si>
  <si>
    <t>selling Cripple Creek &amp; Victor operation in Colorado to SSR Mining  for up to $275m</t>
  </si>
  <si>
    <t xml:space="preserve">Tom Palmer </t>
  </si>
  <si>
    <t xml:space="preserve">selling Eleonore operation in Northern Quebec </t>
  </si>
  <si>
    <t>selling Musselwhite operation in Ontario, Canada</t>
  </si>
  <si>
    <t xml:space="preserve">1st battery ev large mining truck  deployed in cripple creek colorado </t>
  </si>
  <si>
    <t xml:space="preserve">announces Tom palmer as Internal council on Mining and Metald) ICMM chair </t>
  </si>
  <si>
    <t xml:space="preserve">selling Akyem operation in Repub of Ghana to Zijin Mining Group </t>
  </si>
  <si>
    <t xml:space="preserve">Q4 guidance: 1.8m oz of gold </t>
  </si>
  <si>
    <t xml:space="preserve">annual prod guide: 6.9m oz </t>
  </si>
  <si>
    <t>reaffirmed guide</t>
  </si>
  <si>
    <t>Q223</t>
  </si>
  <si>
    <t>Press Releases</t>
  </si>
  <si>
    <t>early redemption of 5.3% notes due 2026</t>
  </si>
  <si>
    <t>sale of porcupine operation for up $425m</t>
  </si>
  <si>
    <t>Boddington</t>
  </si>
  <si>
    <t>Q325</t>
  </si>
  <si>
    <t>Q125</t>
  </si>
  <si>
    <t>Q225</t>
  </si>
  <si>
    <t>Q425</t>
  </si>
  <si>
    <t>Gold CAS ($/oz)</t>
  </si>
  <si>
    <t>Gold AISC ($/oz)</t>
  </si>
  <si>
    <t>Gold Oz Sold (koz)</t>
  </si>
  <si>
    <t>Tanami</t>
  </si>
  <si>
    <t>Cadia</t>
  </si>
  <si>
    <t>Likir</t>
  </si>
  <si>
    <t>Ahafo</t>
  </si>
  <si>
    <t>Ahafo North</t>
  </si>
  <si>
    <t>Penasquito</t>
  </si>
  <si>
    <t>Cerro Negro</t>
  </si>
  <si>
    <t>Yanacocha</t>
  </si>
  <si>
    <t>Merian</t>
  </si>
  <si>
    <t>Nrucejack</t>
  </si>
  <si>
    <t>Red Chris</t>
  </si>
  <si>
    <t>Total Tier 1 Portfolio Production</t>
  </si>
  <si>
    <t xml:space="preserve">Non Core Assets </t>
  </si>
  <si>
    <t>Total Attributable Gold Production</t>
  </si>
  <si>
    <t xml:space="preserve">Portfolio </t>
  </si>
  <si>
    <t>Growth Analysis Y/Y</t>
  </si>
  <si>
    <t>I/S</t>
  </si>
  <si>
    <t>B/S</t>
  </si>
  <si>
    <t xml:space="preserve">Cash </t>
  </si>
  <si>
    <t xml:space="preserve">Trade Recievables </t>
  </si>
  <si>
    <t>Investments</t>
  </si>
  <si>
    <t>Inventories</t>
  </si>
  <si>
    <t>Stockpiles and ore on leach pads</t>
  </si>
  <si>
    <t>Derivative assets</t>
  </si>
  <si>
    <t>OCA</t>
  </si>
  <si>
    <t>Assets held forsale</t>
  </si>
  <si>
    <t>PPE</t>
  </si>
  <si>
    <t>Deferred I/T</t>
  </si>
  <si>
    <t>Goodwill</t>
  </si>
  <si>
    <t>Derivative Assets</t>
  </si>
  <si>
    <t>ONCA</t>
  </si>
  <si>
    <t xml:space="preserve">Total Assets </t>
  </si>
  <si>
    <t>A/P</t>
  </si>
  <si>
    <t>Valuation</t>
  </si>
  <si>
    <t>Employee - Related Benefits</t>
  </si>
  <si>
    <t>Income and mining taxes Payables</t>
  </si>
  <si>
    <t>Lease and Other Financing Obligations</t>
  </si>
  <si>
    <t>Debt</t>
  </si>
  <si>
    <t>OCL</t>
  </si>
  <si>
    <t>Liabilities Held for sale</t>
  </si>
  <si>
    <t>LTD</t>
  </si>
  <si>
    <t>Reclamation and remediation</t>
  </si>
  <si>
    <t>Deferred I/T Liab</t>
  </si>
  <si>
    <t>ONCL</t>
  </si>
  <si>
    <t>Silver Streaming Agreement</t>
  </si>
  <si>
    <t xml:space="preserve">TotalLiabilities </t>
  </si>
  <si>
    <t xml:space="preserve">Equity </t>
  </si>
  <si>
    <t>TL + E</t>
  </si>
  <si>
    <r>
      <t xml:space="preserve">Nevada Gold Mines </t>
    </r>
    <r>
      <rPr>
        <i/>
        <sz val="10"/>
        <color theme="1"/>
        <rFont val="Arial"/>
        <family val="2"/>
      </rPr>
      <t>(38.5%)</t>
    </r>
  </si>
  <si>
    <r>
      <t xml:space="preserve">Oueblo Viejo </t>
    </r>
    <r>
      <rPr>
        <i/>
        <sz val="10"/>
        <color theme="1"/>
        <rFont val="Arial"/>
        <family val="2"/>
      </rPr>
      <t>(40%)</t>
    </r>
  </si>
  <si>
    <r>
      <t xml:space="preserve">Fruta Del Norte </t>
    </r>
    <r>
      <rPr>
        <i/>
        <sz val="10"/>
        <color theme="1"/>
        <rFont val="Arial"/>
        <family val="2"/>
      </rPr>
      <t>(32%)</t>
    </r>
  </si>
  <si>
    <t>Q125 Results</t>
  </si>
  <si>
    <t>Q325 results</t>
  </si>
  <si>
    <t xml:space="preserve">Common Stock </t>
  </si>
  <si>
    <t xml:space="preserve">Treasury Stock </t>
  </si>
  <si>
    <t xml:space="preserve">Additional Paid in capital </t>
  </si>
  <si>
    <t>Acc other Comp Income</t>
  </si>
  <si>
    <t>Retained Earnings</t>
  </si>
  <si>
    <t xml:space="preserve">Noncontrolling Interests </t>
  </si>
  <si>
    <t xml:space="preserve">New CEO </t>
  </si>
  <si>
    <t>Natascha Viljoen's</t>
  </si>
  <si>
    <t>Low</t>
  </si>
  <si>
    <t xml:space="preserve">High </t>
  </si>
  <si>
    <t>Mean</t>
  </si>
  <si>
    <t xml:space="preserve">LBMA Gold Price </t>
  </si>
  <si>
    <t>Unit</t>
  </si>
  <si>
    <t>Unit of Measure</t>
  </si>
  <si>
    <t>$</t>
  </si>
  <si>
    <t>United States Dollar</t>
  </si>
  <si>
    <t>%</t>
  </si>
  <si>
    <t>Percent</t>
  </si>
  <si>
    <t>Australian Dollar</t>
  </si>
  <si>
    <t>Canadian Dollar</t>
  </si>
  <si>
    <t>gram</t>
  </si>
  <si>
    <t>Metric Gram</t>
  </si>
  <si>
    <t>ounce</t>
  </si>
  <si>
    <t>Troy Ounce</t>
  </si>
  <si>
    <t>pound</t>
  </si>
  <si>
    <t>United States Pound</t>
  </si>
  <si>
    <t>Metric Ton</t>
  </si>
  <si>
    <t>Abbreviation</t>
  </si>
  <si>
    <t>Description</t>
  </si>
  <si>
    <r>
      <t>AISC</t>
    </r>
    <r>
      <rPr>
        <b/>
        <sz val="4.8499999999999996"/>
        <color rgb="FF000000"/>
        <rFont val="Tahoma"/>
        <family val="2"/>
      </rPr>
      <t> (1)</t>
    </r>
  </si>
  <si>
    <t>All-In Sustaining Costs</t>
  </si>
  <si>
    <t>ARC</t>
  </si>
  <si>
    <t>Asset Retirement Cost</t>
  </si>
  <si>
    <t>ARS</t>
  </si>
  <si>
    <t>Argentine Peso</t>
  </si>
  <si>
    <t>ASC</t>
  </si>
  <si>
    <t>FASB Accounting Standard Codification</t>
  </si>
  <si>
    <t>ASU</t>
  </si>
  <si>
    <t>FASB Accounting Standard Update</t>
  </si>
  <si>
    <t>AUD</t>
  </si>
  <si>
    <t>CAD</t>
  </si>
  <si>
    <t>CAS</t>
  </si>
  <si>
    <t>Costs Applicable to Sales</t>
  </si>
  <si>
    <t>DTA</t>
  </si>
  <si>
    <t>Deferred tax asset</t>
  </si>
  <si>
    <t>DTL</t>
  </si>
  <si>
    <t>Deferred tax liability</t>
  </si>
  <si>
    <r>
      <t>EBITDA</t>
    </r>
    <r>
      <rPr>
        <b/>
        <sz val="4.8499999999999996"/>
        <color rgb="FF000000"/>
        <rFont val="Tahoma"/>
        <family val="2"/>
      </rPr>
      <t> (1)</t>
    </r>
  </si>
  <si>
    <t>Earnings Before Interest, Taxes, Depreciation and Amortization</t>
  </si>
  <si>
    <t>EIA</t>
  </si>
  <si>
    <t>Environmental Impact Assessment</t>
  </si>
  <si>
    <t>EPA</t>
  </si>
  <si>
    <t>U.S. Environmental Protection Agency</t>
  </si>
  <si>
    <t>ESG</t>
  </si>
  <si>
    <t>Environmental, Social and Governance</t>
  </si>
  <si>
    <t>Exchange Act</t>
  </si>
  <si>
    <t>U.S. Securities Exchange Act of 1934</t>
  </si>
  <si>
    <t>FASB</t>
  </si>
  <si>
    <t>Financial Accounting Standards Board</t>
  </si>
  <si>
    <t>GAAP</t>
  </si>
  <si>
    <t>U.S. Generally Accepted Accounting Principles</t>
  </si>
  <si>
    <r>
      <t>GEO</t>
    </r>
    <r>
      <rPr>
        <b/>
        <sz val="4.8499999999999996"/>
        <color rgb="FF000000"/>
        <rFont val="Tahoma"/>
        <family val="2"/>
      </rPr>
      <t> (2)</t>
    </r>
  </si>
  <si>
    <t>Gold Equivalent Ounces</t>
  </si>
  <si>
    <t>GHG</t>
  </si>
  <si>
    <t>Greenhouse Gases, which are defined by the EPA as gases that trap heat in the atmosphere</t>
  </si>
  <si>
    <t>GISTM</t>
  </si>
  <si>
    <t>Global Industry Standard on Tailings Management</t>
  </si>
  <si>
    <t>IASB</t>
  </si>
  <si>
    <t>International Accounting Standards Board</t>
  </si>
  <si>
    <t>IFRS</t>
  </si>
  <si>
    <t>International Financial Reporting Standards</t>
  </si>
  <si>
    <t>LIBOR</t>
  </si>
  <si>
    <t>London Interbank Offered Rate</t>
  </si>
  <si>
    <t>LBMA</t>
  </si>
  <si>
    <t>London Bullion Market Association</t>
  </si>
  <si>
    <t>LME</t>
  </si>
  <si>
    <t>London Metal Exchange</t>
  </si>
  <si>
    <t>MD&amp;A</t>
  </si>
  <si>
    <t>Management’s Discussion and Analysis of Consolidated Financial Condition and Results of Operations</t>
  </si>
  <si>
    <t>MINAM</t>
  </si>
  <si>
    <t>Ministry of the Environment of Peru</t>
  </si>
  <si>
    <t>Mine Act</t>
  </si>
  <si>
    <t>U.S. Federal Mine Safety and Health Act of 1977</t>
  </si>
  <si>
    <t>MINEM</t>
  </si>
  <si>
    <t>Ministry of Energy and Mines of Peru</t>
  </si>
  <si>
    <t>MSHA</t>
  </si>
  <si>
    <t>Federal Mine Safety and Health Administration</t>
  </si>
  <si>
    <t>MXN</t>
  </si>
  <si>
    <t>Mexican Peso</t>
  </si>
  <si>
    <t>NPDES</t>
  </si>
  <si>
    <t>National Pollutant Discharge Elimination System</t>
  </si>
  <si>
    <t>NSR</t>
  </si>
  <si>
    <t>Net Smelter Return</t>
  </si>
  <si>
    <t>PGK</t>
  </si>
  <si>
    <t>Papua New Guinea Kina</t>
  </si>
  <si>
    <t>PNG</t>
  </si>
  <si>
    <t>Papua New Guinea</t>
  </si>
  <si>
    <t>PSU</t>
  </si>
  <si>
    <t>Performance Leverage Stock Unit</t>
  </si>
  <si>
    <t>RSU</t>
  </si>
  <si>
    <t>Restricted Stock Unit</t>
  </si>
  <si>
    <t>SAG</t>
  </si>
  <si>
    <t>Semi-Autogenous Grinding</t>
  </si>
  <si>
    <t>SEC</t>
  </si>
  <si>
    <t>U.S. Securities and Exchange Commission</t>
  </si>
  <si>
    <t>Securities Act</t>
  </si>
  <si>
    <t>U.S. Securities Act of 1933</t>
  </si>
  <si>
    <t>SOFR</t>
  </si>
  <si>
    <t>Secured Overnight Financing Rate</t>
  </si>
  <si>
    <t>UN</t>
  </si>
  <si>
    <t>The United Nations</t>
  </si>
  <si>
    <t>UOP</t>
  </si>
  <si>
    <t>Units of Production</t>
  </si>
  <si>
    <t>U.S.</t>
  </si>
  <si>
    <t>The United States of America</t>
  </si>
  <si>
    <t>USD</t>
  </si>
  <si>
    <t>WTP</t>
  </si>
  <si>
    <t>Water Treatment Plant</t>
  </si>
  <si>
    <t xml:space="preserve">Heap Leaching </t>
  </si>
  <si>
    <t xml:space="preserve">Used when ore is low grade.  Process.  (1) Ore is crushed. </t>
  </si>
  <si>
    <t>Copper Sold ($/lb)</t>
  </si>
  <si>
    <t>Silver ($/moz)</t>
  </si>
  <si>
    <t>Lead ($/lb)</t>
  </si>
  <si>
    <t>Zinc ($/lb)</t>
  </si>
  <si>
    <t>Gold ($/oz)</t>
  </si>
  <si>
    <t>Copper ($/lb)</t>
  </si>
  <si>
    <t xml:space="preserve">Metal Sold </t>
  </si>
  <si>
    <t xml:space="preserve">Average Realized Price </t>
  </si>
  <si>
    <t xml:space="preserve">Modeled Revenue </t>
  </si>
  <si>
    <t>P * Q</t>
  </si>
  <si>
    <t>P: LBMA (Gold),LME (Cu), Timing</t>
  </si>
  <si>
    <t>Q: Production capability (mine capacity, mill throughput, weather), recovery (metallurgy/cil/heap effic, Ownership)</t>
  </si>
  <si>
    <t>Equity Method Investments</t>
  </si>
  <si>
    <t>Pueblo Viejo Mine (50%)</t>
  </si>
  <si>
    <t>NuevaUnion Project (50%)</t>
  </si>
  <si>
    <t>Lundin Gold (32%)</t>
  </si>
  <si>
    <t>Norte Abierto Project (50%)</t>
  </si>
  <si>
    <t>Greatland (10%)</t>
  </si>
  <si>
    <t>Materials and Supplies</t>
  </si>
  <si>
    <t>In-Process</t>
  </si>
  <si>
    <t>Concentrate</t>
  </si>
  <si>
    <t>Precious Metals</t>
  </si>
  <si>
    <t xml:space="preserve">Margin </t>
  </si>
  <si>
    <t>What gold price is implicitly required to justify current market cap at a mid cycle multiple?</t>
  </si>
  <si>
    <t xml:space="preserve">MC </t>
  </si>
  <si>
    <t xml:space="preserve">assumes ~7x fcf </t>
  </si>
  <si>
    <t xml:space="preserve">Needed FCF </t>
  </si>
  <si>
    <t>Sustaining AISC</t>
  </si>
  <si>
    <t>FCF Per Oz Needed</t>
  </si>
  <si>
    <t xml:space="preserve">Required Gold Price </t>
  </si>
  <si>
    <t>Gold price - $1.603/oz = $2,854/oz</t>
  </si>
  <si>
    <t xml:space="preserve">FY25 Gold Sold </t>
  </si>
  <si>
    <t>Average of current realized Godl Prices</t>
  </si>
  <si>
    <t xml:space="preserve">Current LBMA Price </t>
  </si>
  <si>
    <t xml:space="preserve">Revenue Price Lag </t>
  </si>
  <si>
    <t>Incremental Rev</t>
  </si>
  <si>
    <t>Incremental Margin</t>
  </si>
  <si>
    <t>After tax Conversion</t>
  </si>
  <si>
    <t>Incremental FCF</t>
  </si>
  <si>
    <t>Adjusted FCF</t>
  </si>
  <si>
    <t>Capex Normalization (Post Buildouts)</t>
  </si>
  <si>
    <t>overtime  4Q FCF should approach thise as Godl stays around $4k/oz</t>
  </si>
  <si>
    <t>Notes</t>
  </si>
  <si>
    <t>Model</t>
  </si>
  <si>
    <t>$M</t>
  </si>
  <si>
    <t xml:space="preserve">If gold can stay above $4,000, business will naturally strengthen </t>
  </si>
  <si>
    <t>IR</t>
  </si>
  <si>
    <t>Reserves and Resources</t>
  </si>
  <si>
    <t xml:space="preserve">Lifecycle of a Mine </t>
  </si>
  <si>
    <t xml:space="preserve">Reading Material </t>
  </si>
  <si>
    <t xml:space="preserve">Mining Process </t>
  </si>
  <si>
    <t xml:space="preserve">What we Mine </t>
  </si>
  <si>
    <t>Africa Asia Pacific</t>
  </si>
  <si>
    <t>Africa</t>
  </si>
  <si>
    <t>Ahafo North, Ghana</t>
  </si>
  <si>
    <t>Ahafo South, Ghana</t>
  </si>
  <si>
    <t>Australia</t>
  </si>
  <si>
    <t>Boddington, Australia</t>
  </si>
  <si>
    <t>Cadia, Australia</t>
  </si>
  <si>
    <t>Tanami, Australia</t>
  </si>
  <si>
    <t>Lihir, Papua New Guinea</t>
  </si>
  <si>
    <t>Americas</t>
  </si>
  <si>
    <t>Canada</t>
  </si>
  <si>
    <t>Brucejack, Canada</t>
  </si>
  <si>
    <t>Red Chris, Canada</t>
  </si>
  <si>
    <t>Latin America</t>
  </si>
  <si>
    <t>Cerro Negro, Argentina</t>
  </si>
  <si>
    <t>Merian, Suriname</t>
  </si>
  <si>
    <t>Peñasquito, Mexico</t>
  </si>
  <si>
    <t>Pueblo Viejo JV, Dominican Republic</t>
  </si>
  <si>
    <t>Yanacocha, Peru</t>
  </si>
  <si>
    <t>Nevada Gold Mines JV, United States</t>
  </si>
  <si>
    <t>Projects</t>
  </si>
  <si>
    <t>Reserves &amp; Resources</t>
  </si>
  <si>
    <t>Health and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</si>
</sst>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2" formatCode="_(&quot;$&quot;* #,##0_);_(&quot;$&quot;* \(#,##0\);_(&quot;$&quot;* &quot;-&quot;_);_(@_)"/>
    <numFmt numFmtId="44" formatCode="_(&quot;$&quot;* #,##0.00_);_(&quot;$&quot;* \(#,##0.00\);_(&quot;$&quot;* &quot;-&quot;??_);_(@_)"/>
    <numFmt numFmtId="164" formatCode="#,##0.0"/>
    <numFmt numFmtId="165" formatCode="&quot;$&quot;#,##0&quot;/oz&quot;"/>
  </numFmts>
  <fonts count="22">
    <font>
      <sz val="10"/>
      <color theme="1"/>
      <name val="ArialMT"/>
      <family val="2"/>
    </font>
    <font>
      <b/>
      <sz val="10"/>
      <color theme="1"/>
      <name val="ArialMT"/>
    </font>
    <font>
      <u/>
      <sz val="10"/>
      <color theme="1"/>
      <name val="ArialMT"/>
      <family val="2"/>
    </font>
    <font>
      <sz val="10"/>
      <color theme="1"/>
      <name val="ArialMT"/>
    </font>
    <font>
      <u/>
      <sz val="10"/>
      <color theme="10"/>
      <name val="ArialMT"/>
      <family val="2"/>
    </font>
    <font>
      <i/>
      <sz val="10"/>
      <color theme="1"/>
      <name val="ArialMT"/>
    </font>
    <font>
      <sz val="10"/>
      <color theme="1"/>
      <name val="Arial"/>
      <family val="2"/>
    </font>
    <font>
      <b/>
      <sz val="10"/>
      <color theme="1"/>
      <name val="Arial"/>
      <family val="2"/>
    </font>
    <font>
      <sz val="10"/>
      <color rgb="FF021FFD"/>
      <name val="Arial"/>
      <family val="2"/>
    </font>
    <font>
      <i/>
      <sz val="10"/>
      <color theme="1"/>
      <name val="Arial"/>
      <family val="2"/>
    </font>
    <font>
      <b/>
      <sz val="10"/>
      <name val="Arial"/>
      <family val="2"/>
    </font>
    <font>
      <b/>
      <sz val="10"/>
      <color theme="0"/>
      <name val="Arial"/>
      <family val="2"/>
    </font>
    <font>
      <sz val="10"/>
      <name val="Arial"/>
      <family val="2"/>
    </font>
    <font>
      <b/>
      <sz val="7.5"/>
      <color rgb="FF000000"/>
      <name val="Tahoma"/>
      <family val="2"/>
    </font>
    <font>
      <sz val="7.5"/>
      <color rgb="FF000000"/>
      <name val="Tahoma"/>
      <family val="2"/>
    </font>
    <font>
      <b/>
      <sz val="4.8499999999999996"/>
      <color rgb="FF000000"/>
      <name val="Tahoma"/>
      <family val="2"/>
    </font>
    <font>
      <b/>
      <sz val="10"/>
      <color rgb="FF021FFD"/>
      <name val="Arial"/>
      <family val="2"/>
    </font>
    <font>
      <sz val="10"/>
      <color rgb="FF000000"/>
      <name val="Tahoma"/>
      <family val="2"/>
    </font>
    <font>
      <b/>
      <sz val="10"/>
      <color rgb="FF000000"/>
      <name val="Tahoma"/>
      <family val="2"/>
    </font>
    <font>
      <sz val="18"/>
      <color rgb="FF000000"/>
      <name val="ArialMT"/>
    </font>
    <font>
      <sz val="10"/>
      <color rgb="FF000000"/>
      <name val="ArialMT"/>
    </font>
    <font>
      <u/>
      <sz val="19"/>
      <color rgb="FF003087"/>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7" tint="0.39997558519241921"/>
        <bgColor indexed="64"/>
      </patternFill>
    </fill>
    <fill>
      <patternFill patternType="solid">
        <fgColor theme="0"/>
        <bgColor indexed="64"/>
      </patternFill>
    </fill>
  </fills>
  <borders count="11">
    <border>
      <left/>
      <right/>
      <top/>
      <bottom/>
      <diagonal/>
    </border>
    <border>
      <left style="thin">
        <color indexed="64"/>
      </left>
      <right/>
      <top style="thin">
        <color indexed="64"/>
      </top>
      <bottom/>
      <diagonal/>
    </border>
    <border>
      <left style="thin">
        <color auto="1"/>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auto="1"/>
      </left>
      <right style="thin">
        <color theme="0"/>
      </right>
      <top/>
      <bottom style="thin">
        <color theme="0"/>
      </bottom>
      <diagonal/>
    </border>
    <border>
      <left/>
      <right style="thin">
        <color indexed="64"/>
      </right>
      <top style="thin">
        <color indexed="64"/>
      </top>
      <bottom style="thin">
        <color theme="0"/>
      </bottom>
      <diagonal/>
    </border>
  </borders>
  <cellStyleXfs count="2">
    <xf numFmtId="0" fontId="0" fillId="0" borderId="0"/>
    <xf numFmtId="0" fontId="4" fillId="0" borderId="0" applyNumberFormat="0" applyFill="0" applyBorder="0" applyAlignment="0" applyProtection="0"/>
  </cellStyleXfs>
  <cellXfs count="89">
    <xf numFmtId="0" fontId="0" fillId="0" borderId="0" xfId="0"/>
    <xf numFmtId="3" fontId="0" fillId="0" borderId="0" xfId="0" applyNumberFormat="1"/>
    <xf numFmtId="4" fontId="0" fillId="0" borderId="0" xfId="0" applyNumberFormat="1"/>
    <xf numFmtId="3" fontId="1" fillId="0" borderId="0" xfId="0" applyNumberFormat="1" applyFont="1"/>
    <xf numFmtId="1" fontId="0" fillId="0" borderId="0" xfId="0" applyNumberFormat="1"/>
    <xf numFmtId="14" fontId="0" fillId="0" borderId="0" xfId="0" applyNumberFormat="1"/>
    <xf numFmtId="14" fontId="4" fillId="0" borderId="0" xfId="1" applyNumberFormat="1"/>
    <xf numFmtId="14" fontId="2" fillId="0" borderId="0" xfId="0" applyNumberFormat="1" applyFont="1"/>
    <xf numFmtId="3" fontId="5" fillId="0" borderId="0" xfId="0" applyNumberFormat="1" applyFont="1"/>
    <xf numFmtId="3" fontId="4" fillId="0" borderId="0" xfId="1" applyNumberFormat="1"/>
    <xf numFmtId="1" fontId="0" fillId="0" borderId="0" xfId="0" applyNumberFormat="1" applyAlignment="1">
      <alignment horizontal="center"/>
    </xf>
    <xf numFmtId="1" fontId="6" fillId="0" borderId="0" xfId="0" applyNumberFormat="1" applyFont="1"/>
    <xf numFmtId="3" fontId="7" fillId="0" borderId="0" xfId="0" applyNumberFormat="1" applyFont="1"/>
    <xf numFmtId="3" fontId="6" fillId="0" borderId="0" xfId="0" applyNumberFormat="1" applyFont="1"/>
    <xf numFmtId="3" fontId="6" fillId="2" borderId="3" xfId="0" applyNumberFormat="1" applyFont="1" applyFill="1" applyBorder="1"/>
    <xf numFmtId="3" fontId="10" fillId="3" borderId="3" xfId="0" applyNumberFormat="1" applyFont="1" applyFill="1" applyBorder="1"/>
    <xf numFmtId="3" fontId="10" fillId="2" borderId="3" xfId="0" applyNumberFormat="1" applyFont="1" applyFill="1" applyBorder="1"/>
    <xf numFmtId="1" fontId="11" fillId="0" borderId="0" xfId="0" applyNumberFormat="1" applyFont="1"/>
    <xf numFmtId="9" fontId="6" fillId="0" borderId="0" xfId="0" applyNumberFormat="1" applyFont="1"/>
    <xf numFmtId="3" fontId="6" fillId="2" borderId="8" xfId="0" applyNumberFormat="1" applyFont="1" applyFill="1" applyBorder="1"/>
    <xf numFmtId="3" fontId="6" fillId="2" borderId="0" xfId="0" applyNumberFormat="1" applyFont="1" applyFill="1"/>
    <xf numFmtId="3" fontId="10" fillId="2" borderId="0" xfId="0" applyNumberFormat="1" applyFont="1" applyFill="1"/>
    <xf numFmtId="3" fontId="6" fillId="2" borderId="7" xfId="0" applyNumberFormat="1" applyFont="1" applyFill="1" applyBorder="1"/>
    <xf numFmtId="3" fontId="7" fillId="2" borderId="3" xfId="0" applyNumberFormat="1" applyFont="1" applyFill="1" applyBorder="1"/>
    <xf numFmtId="2" fontId="6" fillId="0" borderId="0" xfId="0" applyNumberFormat="1" applyFont="1"/>
    <xf numFmtId="9" fontId="7" fillId="2" borderId="1" xfId="0" applyNumberFormat="1" applyFont="1" applyFill="1" applyBorder="1"/>
    <xf numFmtId="9" fontId="6" fillId="2" borderId="10" xfId="0" applyNumberFormat="1" applyFont="1" applyFill="1" applyBorder="1"/>
    <xf numFmtId="9" fontId="6" fillId="2" borderId="9" xfId="0" applyNumberFormat="1" applyFont="1" applyFill="1" applyBorder="1"/>
    <xf numFmtId="9" fontId="8" fillId="2" borderId="4" xfId="0" applyNumberFormat="1" applyFont="1" applyFill="1" applyBorder="1"/>
    <xf numFmtId="9" fontId="6" fillId="2" borderId="2" xfId="0" applyNumberFormat="1" applyFont="1" applyFill="1" applyBorder="1"/>
    <xf numFmtId="9" fontId="6" fillId="2" borderId="3" xfId="0" applyNumberFormat="1" applyFont="1" applyFill="1" applyBorder="1"/>
    <xf numFmtId="9" fontId="7" fillId="0" borderId="0" xfId="0" applyNumberFormat="1" applyFont="1"/>
    <xf numFmtId="9" fontId="7" fillId="2" borderId="3" xfId="0" applyNumberFormat="1" applyFont="1" applyFill="1" applyBorder="1"/>
    <xf numFmtId="3" fontId="6" fillId="2" borderId="2" xfId="0" applyNumberFormat="1" applyFont="1" applyFill="1" applyBorder="1"/>
    <xf numFmtId="3" fontId="6" fillId="2" borderId="4" xfId="0" applyNumberFormat="1" applyFont="1" applyFill="1" applyBorder="1" applyAlignment="1">
      <alignment horizontal="right"/>
    </xf>
    <xf numFmtId="3" fontId="6" fillId="2" borderId="5" xfId="0" applyNumberFormat="1" applyFont="1" applyFill="1" applyBorder="1"/>
    <xf numFmtId="9" fontId="6" fillId="2" borderId="6" xfId="0" applyNumberFormat="1" applyFont="1" applyFill="1" applyBorder="1" applyAlignment="1">
      <alignment horizontal="right"/>
    </xf>
    <xf numFmtId="8" fontId="6" fillId="0" borderId="0" xfId="0" applyNumberFormat="1" applyFont="1"/>
    <xf numFmtId="0" fontId="13" fillId="0" borderId="0" xfId="0" applyFont="1"/>
    <xf numFmtId="0" fontId="14" fillId="0" borderId="0" xfId="0" applyFont="1"/>
    <xf numFmtId="0" fontId="1" fillId="0" borderId="0" xfId="0" applyFont="1"/>
    <xf numFmtId="1" fontId="2" fillId="0" borderId="0" xfId="0" applyNumberFormat="1" applyFont="1"/>
    <xf numFmtId="164" fontId="0" fillId="0" borderId="0" xfId="0" applyNumberFormat="1"/>
    <xf numFmtId="1" fontId="7" fillId="0" borderId="0" xfId="0" applyNumberFormat="1" applyFont="1"/>
    <xf numFmtId="3" fontId="7" fillId="4" borderId="3" xfId="0" applyNumberFormat="1" applyFont="1" applyFill="1" applyBorder="1"/>
    <xf numFmtId="3" fontId="6" fillId="4" borderId="0" xfId="0" applyNumberFormat="1" applyFont="1" applyFill="1"/>
    <xf numFmtId="1" fontId="6" fillId="0" borderId="0" xfId="0" applyNumberFormat="1" applyFont="1" applyAlignment="1">
      <alignment horizontal="center"/>
    </xf>
    <xf numFmtId="3" fontId="6" fillId="0" borderId="0" xfId="0" applyNumberFormat="1" applyFont="1" applyAlignment="1">
      <alignment horizontal="center"/>
    </xf>
    <xf numFmtId="3" fontId="8" fillId="2" borderId="3" xfId="0" applyNumberFormat="1" applyFont="1" applyFill="1" applyBorder="1" applyAlignment="1">
      <alignment horizontal="center"/>
    </xf>
    <xf numFmtId="3" fontId="10" fillId="3" borderId="3" xfId="0" applyNumberFormat="1" applyFont="1" applyFill="1" applyBorder="1" applyAlignment="1">
      <alignment horizontal="center"/>
    </xf>
    <xf numFmtId="3" fontId="10" fillId="2" borderId="3" xfId="0" applyNumberFormat="1" applyFont="1" applyFill="1" applyBorder="1" applyAlignment="1">
      <alignment horizontal="center"/>
    </xf>
    <xf numFmtId="3" fontId="8" fillId="4" borderId="3" xfId="0" applyNumberFormat="1" applyFont="1" applyFill="1" applyBorder="1" applyAlignment="1">
      <alignment horizontal="center"/>
    </xf>
    <xf numFmtId="42" fontId="8" fillId="2" borderId="3" xfId="0" applyNumberFormat="1" applyFont="1" applyFill="1" applyBorder="1" applyAlignment="1">
      <alignment horizontal="center"/>
    </xf>
    <xf numFmtId="3" fontId="6" fillId="2" borderId="3" xfId="0" applyNumberFormat="1" applyFont="1" applyFill="1" applyBorder="1" applyAlignment="1">
      <alignment horizontal="center"/>
    </xf>
    <xf numFmtId="3" fontId="8" fillId="2" borderId="8" xfId="0" applyNumberFormat="1" applyFont="1" applyFill="1" applyBorder="1" applyAlignment="1">
      <alignment horizontal="center"/>
    </xf>
    <xf numFmtId="3" fontId="8" fillId="2" borderId="0" xfId="0" applyNumberFormat="1" applyFont="1" applyFill="1" applyAlignment="1">
      <alignment horizontal="center"/>
    </xf>
    <xf numFmtId="3" fontId="10" fillId="2" borderId="0" xfId="0" applyNumberFormat="1" applyFont="1" applyFill="1" applyAlignment="1">
      <alignment horizontal="center"/>
    </xf>
    <xf numFmtId="3" fontId="8" fillId="2" borderId="7" xfId="0" applyNumberFormat="1" applyFont="1" applyFill="1" applyBorder="1" applyAlignment="1">
      <alignment horizontal="center"/>
    </xf>
    <xf numFmtId="3" fontId="7" fillId="2" borderId="3" xfId="0" applyNumberFormat="1" applyFont="1" applyFill="1" applyBorder="1" applyAlignment="1">
      <alignment horizontal="center"/>
    </xf>
    <xf numFmtId="9" fontId="7" fillId="2" borderId="3" xfId="0" applyNumberFormat="1" applyFont="1" applyFill="1" applyBorder="1" applyAlignment="1">
      <alignment horizontal="center"/>
    </xf>
    <xf numFmtId="9" fontId="6" fillId="2" borderId="3" xfId="0" applyNumberFormat="1" applyFont="1" applyFill="1" applyBorder="1" applyAlignment="1">
      <alignment horizontal="center"/>
    </xf>
    <xf numFmtId="9" fontId="6" fillId="0" borderId="0" xfId="0" applyNumberFormat="1" applyFont="1" applyAlignment="1">
      <alignment horizontal="center"/>
    </xf>
    <xf numFmtId="3" fontId="12" fillId="2" borderId="3" xfId="0" applyNumberFormat="1" applyFont="1" applyFill="1" applyBorder="1" applyAlignment="1">
      <alignment horizontal="center"/>
    </xf>
    <xf numFmtId="3" fontId="8" fillId="0" borderId="0" xfId="0" applyNumberFormat="1" applyFont="1" applyAlignment="1">
      <alignment horizontal="center"/>
    </xf>
    <xf numFmtId="3" fontId="10" fillId="0" borderId="0" xfId="0" applyNumberFormat="1" applyFont="1" applyAlignment="1">
      <alignment horizontal="center"/>
    </xf>
    <xf numFmtId="3" fontId="11" fillId="0" borderId="0" xfId="0" applyNumberFormat="1" applyFont="1" applyAlignment="1">
      <alignment horizontal="center"/>
    </xf>
    <xf numFmtId="3" fontId="6" fillId="4" borderId="0" xfId="0" applyNumberFormat="1" applyFont="1" applyFill="1" applyAlignment="1">
      <alignment horizontal="center"/>
    </xf>
    <xf numFmtId="44" fontId="8" fillId="2" borderId="3" xfId="0" applyNumberFormat="1" applyFont="1" applyFill="1" applyBorder="1" applyAlignment="1">
      <alignment horizontal="center"/>
    </xf>
    <xf numFmtId="44" fontId="8" fillId="0" borderId="0" xfId="0" applyNumberFormat="1" applyFont="1" applyAlignment="1">
      <alignment horizontal="center"/>
    </xf>
    <xf numFmtId="3" fontId="12" fillId="2" borderId="8" xfId="0" applyNumberFormat="1" applyFont="1" applyFill="1" applyBorder="1" applyAlignment="1">
      <alignment horizontal="center"/>
    </xf>
    <xf numFmtId="3" fontId="12" fillId="2" borderId="0" xfId="0" applyNumberFormat="1" applyFont="1" applyFill="1" applyAlignment="1">
      <alignment horizontal="center"/>
    </xf>
    <xf numFmtId="3" fontId="7" fillId="0" borderId="0" xfId="0" applyNumberFormat="1" applyFont="1" applyAlignment="1">
      <alignment horizontal="center"/>
    </xf>
    <xf numFmtId="2" fontId="6" fillId="0" borderId="0" xfId="0" applyNumberFormat="1" applyFont="1" applyAlignment="1">
      <alignment horizontal="center"/>
    </xf>
    <xf numFmtId="9" fontId="7" fillId="0" borderId="0" xfId="0" applyNumberFormat="1" applyFont="1" applyAlignment="1">
      <alignment horizontal="center"/>
    </xf>
    <xf numFmtId="3" fontId="12" fillId="0" borderId="0" xfId="0" applyNumberFormat="1" applyFont="1" applyAlignment="1">
      <alignment horizontal="center"/>
    </xf>
    <xf numFmtId="3" fontId="16" fillId="4" borderId="3" xfId="0" applyNumberFormat="1" applyFont="1" applyFill="1" applyBorder="1" applyAlignment="1">
      <alignment horizontal="center"/>
    </xf>
    <xf numFmtId="165" fontId="0" fillId="0" borderId="0" xfId="0" applyNumberFormat="1"/>
    <xf numFmtId="1" fontId="1" fillId="0" borderId="0" xfId="0" applyNumberFormat="1" applyFont="1"/>
    <xf numFmtId="0" fontId="5" fillId="0" borderId="0" xfId="0" applyFont="1"/>
    <xf numFmtId="14" fontId="5" fillId="0" borderId="0" xfId="0" applyNumberFormat="1" applyFont="1"/>
    <xf numFmtId="0" fontId="3" fillId="0" borderId="0" xfId="0" applyFont="1"/>
    <xf numFmtId="165" fontId="12" fillId="2" borderId="3" xfId="0" applyNumberFormat="1" applyFont="1" applyFill="1" applyBorder="1" applyAlignment="1">
      <alignment horizontal="center"/>
    </xf>
    <xf numFmtId="3" fontId="12" fillId="2" borderId="3" xfId="0" applyNumberFormat="1" applyFont="1" applyFill="1" applyBorder="1" applyAlignment="1">
      <alignment horizontal="left"/>
    </xf>
    <xf numFmtId="165" fontId="8" fillId="2" borderId="3" xfId="0" applyNumberFormat="1" applyFont="1" applyFill="1" applyBorder="1" applyAlignment="1">
      <alignment horizontal="center"/>
    </xf>
    <xf numFmtId="9" fontId="8" fillId="2" borderId="3" xfId="0" applyNumberFormat="1" applyFont="1" applyFill="1" applyBorder="1" applyAlignment="1">
      <alignment horizontal="center"/>
    </xf>
    <xf numFmtId="0" fontId="4" fillId="0" borderId="0" xfId="1"/>
    <xf numFmtId="0" fontId="21" fillId="0" borderId="0" xfId="0" applyFont="1"/>
    <xf numFmtId="0" fontId="0" fillId="0" borderId="0" xfId="0" applyAlignment="1">
      <alignment horizontal="left"/>
    </xf>
    <xf numFmtId="0" fontId="4" fillId="0" borderId="0" xfId="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021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17</xdr:col>
      <xdr:colOff>0</xdr:colOff>
      <xdr:row>0</xdr:row>
      <xdr:rowOff>0</xdr:rowOff>
    </xdr:from>
    <xdr:to>
      <xdr:col>17</xdr:col>
      <xdr:colOff>12699</xdr:colOff>
      <xdr:row>173</xdr:row>
      <xdr:rowOff>93134</xdr:rowOff>
    </xdr:to>
    <xdr:cxnSp macro="">
      <xdr:nvCxnSpPr>
        <xdr:cNvPr id="3" name="Straight Connector 2">
          <a:extLst>
            <a:ext uri="{FF2B5EF4-FFF2-40B4-BE49-F238E27FC236}">
              <a16:creationId xmlns:a16="http://schemas.microsoft.com/office/drawing/2014/main" id="{D9239BA7-28DB-18CE-DB7C-F67B76F62AF7}"/>
            </a:ext>
          </a:extLst>
        </xdr:cNvPr>
        <xdr:cNvCxnSpPr/>
      </xdr:nvCxnSpPr>
      <xdr:spPr>
        <a:xfrm flipH="1">
          <a:off x="9152467" y="0"/>
          <a:ext cx="12699" cy="1913466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31</xdr:col>
      <xdr:colOff>498122</xdr:colOff>
      <xdr:row>0</xdr:row>
      <xdr:rowOff>8467</xdr:rowOff>
    </xdr:from>
    <xdr:to>
      <xdr:col>32</xdr:col>
      <xdr:colOff>50800</xdr:colOff>
      <xdr:row>173</xdr:row>
      <xdr:rowOff>8467</xdr:rowOff>
    </xdr:to>
    <xdr:cxnSp macro="">
      <xdr:nvCxnSpPr>
        <xdr:cNvPr id="4" name="Straight Connector 3">
          <a:extLst>
            <a:ext uri="{FF2B5EF4-FFF2-40B4-BE49-F238E27FC236}">
              <a16:creationId xmlns:a16="http://schemas.microsoft.com/office/drawing/2014/main" id="{2B43AB2B-C83F-EB42-9938-FAB1D94A5AF8}"/>
            </a:ext>
          </a:extLst>
        </xdr:cNvPr>
        <xdr:cNvCxnSpPr/>
      </xdr:nvCxnSpPr>
      <xdr:spPr>
        <a:xfrm>
          <a:off x="13113455" y="8467"/>
          <a:ext cx="60678" cy="190415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ewmont.com/investors/news-release/news-details/2024/Newmont-Reports-Second-Quarter-2024-Results/default.aspx" TargetMode="External"/><Relationship Id="rId13" Type="http://schemas.openxmlformats.org/officeDocument/2006/relationships/hyperlink" Target="https://s24.q4cdn.com/382246808/files/doc_earnings/2025/q3/earnings-result/Newmont-Q3-2025-Earnings-Release_Final.pdf" TargetMode="External"/><Relationship Id="rId3" Type="http://schemas.openxmlformats.org/officeDocument/2006/relationships/hyperlink" Target="https://www.newmont.com/investors/news-release/news-details/2024/Newmont-Announces-Sale-of-Musselwhite-for-up-to-850-Million/default.aspx" TargetMode="External"/><Relationship Id="rId7" Type="http://schemas.openxmlformats.org/officeDocument/2006/relationships/hyperlink" Target="https://www.newmont.com/investors/news-release/news-details/2024/Newmont-Reports-Third-Quarter-2024-Results/default.aspx" TargetMode="External"/><Relationship Id="rId12" Type="http://schemas.openxmlformats.org/officeDocument/2006/relationships/hyperlink" Target="https://s24.q4cdn.com/382246808/files/doc_earnings/2025/q1/earnings-result/Newmont-Q1-2025-Earnings-Release_Final.pdf" TargetMode="External"/><Relationship Id="rId2" Type="http://schemas.openxmlformats.org/officeDocument/2006/relationships/hyperlink" Target="Announced%20Divestitures%20to%20Date%20Expected%20to%20Generate%20up%20to%20$3.6%20Billion%20in%20Gross%20Proceeds%20%20DENVER--(BUSINESS%20WIRE)--%20Newmont%20Corporation%20(NYSE:%20NEM,%20TSX:%20NGT,%20ASX:%20NEM,%20PNGX:%20NEM)%20(&#8220;Newmont&#8221;%20or%20the%20&#8220;Company&#8221;)%20announced%20today%20that%20it%20has%20agreed%20to%20sell%20its%20&#201;l&#233;onore%20operation%20in%20Northern%20Quebec,%20Canada,%20to%20Dhilmar%20Ltd%20(&#8220;Dhilmar&#8221;)%20for%20$795%20million%20in%20cash%20consideration.%20The%20transaction%20is%20expected%20to%20close%20in%20the%20first%20quarter%20of%202025,%20subject%20to%20certain%20conditions%20being%20satisfied.%201%20Upon%20closing%20the%20announced%20transactions,%20Newmont%20will%20have%20delivered%20up%20to%20$3.6%20billion%20in%20gross%20proceeds%20from%20non-core%20asset%20divestitures%20and%20investment%20sales.%202%20%20&#8220;Today&#8217;s%20announcement%20is%20another%20step%20forward%20in%20Newmont&#8217;s%20journey%20to%20create%20a%20go-forward%20portfolio%20of%20Tier%201%20gold%20and%20copper%20assets,%20each%20with%20the%20scale%20and%20mine%20life%20to%20generate%20strong%20free%20cash%20flows%20for%20several%20decades,&#8221;%20said%20Tom%20Palmer,%20Newmont's%20President%20and%20Chief%20Executive%20Officer%20.%20&#8220;When%20we%20announced%20the%20acquisition%20of%20Newcrest%20in%202023,%20we%20committed%20to%20generating%20at%20least%20$2%20billion%20in%20cash%20through%20portfolio%20optimization.%20With%20this%20announced%20sale,%20we%20have%20meaningfully%20exceeded%20our%20target%20by%20more%20than%20$1.5%20billion%20to%20date.%20Proceeds%20from%20this%20transaction%20will%20support%20Newmont&#8217;s%20comprehensive%20approach%20to%20capital%20allocation,%20which%20includes%20strengthening%20our%20investment-grade%20balance%20sheet%20and%20returning%20capital%20to%20shareholders.&#8221;%20%20&#8220;We%20are%20pleased%20to%20be%20selling%20this%20operation%20to%20Dhilmar,&#8221;%20Tom%20Palmer%20added.%20&#8220;They%20have%20a%20wealth%20of%20experience%20in%20gold%20and%20copper%20mining%20and%20we%20believe%20Dhilmar%20will%20be%20excellent%20stewards%20of%20this%20asset.&#8221;%252" TargetMode="External"/><Relationship Id="rId1" Type="http://schemas.openxmlformats.org/officeDocument/2006/relationships/hyperlink" Target="https://www.newmont.com/investors/news-release/news-details/2024/Newmont-Announces-Agreement-to-Divest-CCV-for-up-to-275-Million/default.aspx" TargetMode="External"/><Relationship Id="rId6" Type="http://schemas.openxmlformats.org/officeDocument/2006/relationships/hyperlink" Target="https://www.newmont.com/investors/news-release/news-details/2024/Newmont-Announces-Definitive-Agreement-to-Divest-Akyem-for-up-to-1-Billion/default.aspx" TargetMode="External"/><Relationship Id="rId11" Type="http://schemas.openxmlformats.org/officeDocument/2006/relationships/hyperlink" Target="https://www.newmont.com/investors/news-release/news-details/2025/Newmont-Announces-Sale-of-Porcupine-Operation-for-up-to-425-Million/default.aspx" TargetMode="External"/><Relationship Id="rId5" Type="http://schemas.openxmlformats.org/officeDocument/2006/relationships/hyperlink" Target="https://www.newmont.com/investors/news-release/news-details/2024/ICMM-Announces-Newmont-CEO-Tom-Palmer-as-New-Chair/default.aspx" TargetMode="External"/><Relationship Id="rId10" Type="http://schemas.openxmlformats.org/officeDocument/2006/relationships/hyperlink" Target="https://www.newmont.com/investors/news-release/news-details/2025/Newmont-Announces-Early-Redemption-of-its-5.30-Notes-Due-2026/default.aspx" TargetMode="External"/><Relationship Id="rId4" Type="http://schemas.openxmlformats.org/officeDocument/2006/relationships/hyperlink" Target="https://www.newmont.com/investors/news-release/news-details/2024/Newmont-Receives-First-Battery-Electric-Large-Mining-Truck/default.aspx" TargetMode="External"/><Relationship Id="rId9" Type="http://schemas.openxmlformats.org/officeDocument/2006/relationships/hyperlink" Target="https://www.newmont.com/investors/news-release/news-details/2024/Newmont-Reports-First-Quarter-2024-Results/default.aspx" TargetMode="External"/><Relationship Id="rId14" Type="http://schemas.openxmlformats.org/officeDocument/2006/relationships/hyperlink" Target="https://www.newmont.com/investors/reports-and-filings/default.asp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operations.newmont.com/_doc/Newmont-2017-Reserves-and-Resources-Release.pdf" TargetMode="External"/><Relationship Id="rId13" Type="http://schemas.openxmlformats.org/officeDocument/2006/relationships/hyperlink" Target="https://www.newmont.com/about-us/about-mining/Mining-at-Newmont/what-we-mine/default.aspx" TargetMode="External"/><Relationship Id="rId3" Type="http://schemas.openxmlformats.org/officeDocument/2006/relationships/hyperlink" Target="https://operations.newmont.com/_doc/Newmont-2022-Reserves-and-Resources-Release.pdf" TargetMode="External"/><Relationship Id="rId7" Type="http://schemas.openxmlformats.org/officeDocument/2006/relationships/hyperlink" Target="https://operations.newmont.com/_doc/Newmont-2018-Reserves-and-Resources-Release.pdf" TargetMode="External"/><Relationship Id="rId12" Type="http://schemas.openxmlformats.org/officeDocument/2006/relationships/hyperlink" Target="https://www.newmont.com/about-us/about-mining/Mining-at-Newmont/the-mining-process/default.aspx" TargetMode="External"/><Relationship Id="rId2" Type="http://schemas.openxmlformats.org/officeDocument/2006/relationships/hyperlink" Target="https://operations.newmont.com/_doc/Newmont-2023-Reserves-and-Resources-Release.pdf" TargetMode="External"/><Relationship Id="rId1" Type="http://schemas.openxmlformats.org/officeDocument/2006/relationships/hyperlink" Target="https://operations.newmont.com/_doc/Newmont-2024-Reserves-and-Resources-Release.pdf" TargetMode="External"/><Relationship Id="rId6" Type="http://schemas.openxmlformats.org/officeDocument/2006/relationships/hyperlink" Target="https://operations.newmont.com/_doc/Newmont-2019-Reserves-and-Resources-Release.pdf" TargetMode="External"/><Relationship Id="rId11" Type="http://schemas.openxmlformats.org/officeDocument/2006/relationships/hyperlink" Target="https://www.newmont.com/about-us/about-mining/Mining-at-Newmont/life-cycle-of-a-mine/default.aspx" TargetMode="External"/><Relationship Id="rId5" Type="http://schemas.openxmlformats.org/officeDocument/2006/relationships/hyperlink" Target="https://operations.newmont.com/_doc/Newmont-2020-Reserves-and-Resources-Release.pdf" TargetMode="External"/><Relationship Id="rId10" Type="http://schemas.openxmlformats.org/officeDocument/2006/relationships/hyperlink" Target="https://operations.newmont.com/_doc/Newmont-2015-Reserves-and-Resources-Release.pdf" TargetMode="External"/><Relationship Id="rId4" Type="http://schemas.openxmlformats.org/officeDocument/2006/relationships/hyperlink" Target="https://operations.newmont.com/_doc/Newmont-2021-Reserves-and-Resources-Release.pdf" TargetMode="External"/><Relationship Id="rId9" Type="http://schemas.openxmlformats.org/officeDocument/2006/relationships/hyperlink" Target="https://operations.newmont.com/_doc/Newmont-2016-Reserves-and-Resources-Release.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operations.newmont.com/papua-new-guinea" TargetMode="External"/><Relationship Id="rId13" Type="http://schemas.openxmlformats.org/officeDocument/2006/relationships/hyperlink" Target="https://operations.newmont.com/latac" TargetMode="External"/><Relationship Id="rId18" Type="http://schemas.openxmlformats.org/officeDocument/2006/relationships/hyperlink" Target="https://operations.newmont.com/latac/yanacocha-peru" TargetMode="External"/><Relationship Id="rId3" Type="http://schemas.openxmlformats.org/officeDocument/2006/relationships/hyperlink" Target="https://operations.newmont.com/africa/ahafo-south-ghana" TargetMode="External"/><Relationship Id="rId21" Type="http://schemas.openxmlformats.org/officeDocument/2006/relationships/hyperlink" Target="https://operations.newmont.com/reserves-and-resources" TargetMode="External"/><Relationship Id="rId7" Type="http://schemas.openxmlformats.org/officeDocument/2006/relationships/hyperlink" Target="https://operations.newmont.com/australia/tanami" TargetMode="External"/><Relationship Id="rId12" Type="http://schemas.openxmlformats.org/officeDocument/2006/relationships/hyperlink" Target="https://operations.newmont.com/north-america/red-chris-canada" TargetMode="External"/><Relationship Id="rId17" Type="http://schemas.openxmlformats.org/officeDocument/2006/relationships/hyperlink" Target="https://operations.newmont.com/latac/pueblo-viejo-dominican-replublic" TargetMode="External"/><Relationship Id="rId2" Type="http://schemas.openxmlformats.org/officeDocument/2006/relationships/hyperlink" Target="https://operations.newmont.com/africa/ahafo-north-ghana" TargetMode="External"/><Relationship Id="rId16" Type="http://schemas.openxmlformats.org/officeDocument/2006/relationships/hyperlink" Target="https://operations.newmont.com/latac/penasquito-mexico" TargetMode="External"/><Relationship Id="rId20" Type="http://schemas.openxmlformats.org/officeDocument/2006/relationships/hyperlink" Target="https://operations.newmont.com/exploration-and-projects" TargetMode="External"/><Relationship Id="rId1" Type="http://schemas.openxmlformats.org/officeDocument/2006/relationships/hyperlink" Target="https://operations.newmont.com/africa" TargetMode="External"/><Relationship Id="rId6" Type="http://schemas.openxmlformats.org/officeDocument/2006/relationships/hyperlink" Target="https://operations.newmont.com/australia/cadia" TargetMode="External"/><Relationship Id="rId11" Type="http://schemas.openxmlformats.org/officeDocument/2006/relationships/hyperlink" Target="https://operations.newmont.com/north-america/brucejack-canada" TargetMode="External"/><Relationship Id="rId5" Type="http://schemas.openxmlformats.org/officeDocument/2006/relationships/hyperlink" Target="https://operations.newmont.com/australia/boddington" TargetMode="External"/><Relationship Id="rId15" Type="http://schemas.openxmlformats.org/officeDocument/2006/relationships/hyperlink" Target="https://operations.newmont.com/latac/merian-suriname" TargetMode="External"/><Relationship Id="rId10" Type="http://schemas.openxmlformats.org/officeDocument/2006/relationships/hyperlink" Target="https://operations.newmont.com/north-america" TargetMode="External"/><Relationship Id="rId19" Type="http://schemas.openxmlformats.org/officeDocument/2006/relationships/hyperlink" Target="https://operations.newmont.com/north-america/nevada-usa" TargetMode="External"/><Relationship Id="rId4" Type="http://schemas.openxmlformats.org/officeDocument/2006/relationships/hyperlink" Target="https://operations.newmont.com/australia" TargetMode="External"/><Relationship Id="rId9" Type="http://schemas.openxmlformats.org/officeDocument/2006/relationships/hyperlink" Target="https://operations.newmont.com/papua-new-guinea/lihir" TargetMode="External"/><Relationship Id="rId14" Type="http://schemas.openxmlformats.org/officeDocument/2006/relationships/hyperlink" Target="https://operations.newmont.com/latac/cerro-negro-argentina" TargetMode="External"/><Relationship Id="rId22" Type="http://schemas.openxmlformats.org/officeDocument/2006/relationships/hyperlink" Target="https://operations.newmont.com/health-and-safe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6176-5046-B347-9799-FB3433A5174B}">
  <dimension ref="B1:O40"/>
  <sheetViews>
    <sheetView showGridLines="0" tabSelected="1" zoomScale="206" workbookViewId="0">
      <selection activeCell="K5" sqref="K5"/>
    </sheetView>
  </sheetViews>
  <sheetFormatPr baseColWidth="10" defaultRowHeight="13"/>
  <cols>
    <col min="1" max="1" width="1.6640625" style="1" customWidth="1"/>
    <col min="2" max="2" width="11.33203125" style="1" customWidth="1"/>
    <col min="3" max="3" width="5.6640625" style="1" bestFit="1" customWidth="1"/>
    <col min="4" max="4" width="11.1640625" style="1" bestFit="1" customWidth="1"/>
    <col min="5" max="5" width="13.6640625" style="1" bestFit="1" customWidth="1"/>
    <col min="6" max="8" width="10.83203125" style="1"/>
    <col min="9" max="9" width="10.83203125" style="5"/>
    <col min="10" max="10" width="3.6640625" style="1" bestFit="1" customWidth="1"/>
    <col min="11" max="11" width="7.6640625" style="1" bestFit="1" customWidth="1"/>
    <col min="12" max="12" width="5.5" style="1" bestFit="1" customWidth="1"/>
    <col min="13" max="13" width="10.83203125" style="1"/>
    <col min="14" max="14" width="10.83203125" style="5"/>
    <col min="15" max="16384" width="10.83203125" style="1"/>
  </cols>
  <sheetData>
    <row r="1" spans="2:15">
      <c r="B1" s="9" t="s">
        <v>302</v>
      </c>
    </row>
    <row r="2" spans="2:15">
      <c r="B2" s="9"/>
    </row>
    <row r="3" spans="2:15">
      <c r="B3" s="1" t="s">
        <v>38</v>
      </c>
    </row>
    <row r="4" spans="2:15">
      <c r="B4" s="1" t="s">
        <v>58</v>
      </c>
      <c r="C4" s="1" t="s">
        <v>62</v>
      </c>
      <c r="J4" s="1" t="s">
        <v>0</v>
      </c>
      <c r="K4" s="2">
        <v>105</v>
      </c>
      <c r="N4" s="5" t="s">
        <v>59</v>
      </c>
      <c r="O4" s="1" t="s">
        <v>60</v>
      </c>
    </row>
    <row r="5" spans="2:15">
      <c r="B5" s="1" t="s">
        <v>142</v>
      </c>
      <c r="C5" s="1" t="s">
        <v>143</v>
      </c>
      <c r="J5" s="1" t="s">
        <v>1</v>
      </c>
      <c r="K5" s="1">
        <v>1091.2629810000001</v>
      </c>
      <c r="L5" s="1" t="s">
        <v>76</v>
      </c>
      <c r="N5" s="6">
        <v>45632</v>
      </c>
      <c r="O5" s="1" t="s">
        <v>61</v>
      </c>
    </row>
    <row r="6" spans="2:15">
      <c r="B6" s="1" t="s">
        <v>57</v>
      </c>
      <c r="J6" s="1" t="s">
        <v>2</v>
      </c>
      <c r="K6" s="1">
        <f>+K4*K5</f>
        <v>114582.61300500001</v>
      </c>
      <c r="N6" s="6">
        <v>45621</v>
      </c>
      <c r="O6" s="1" t="s">
        <v>63</v>
      </c>
    </row>
    <row r="7" spans="2:15">
      <c r="B7" s="8"/>
      <c r="J7" s="1" t="s">
        <v>3</v>
      </c>
      <c r="K7" s="1">
        <f>5639+4103</f>
        <v>9742</v>
      </c>
      <c r="L7" s="1" t="str">
        <f>+L5</f>
        <v>Q325</v>
      </c>
      <c r="N7" s="6">
        <v>45614</v>
      </c>
      <c r="O7" s="1" t="s">
        <v>64</v>
      </c>
    </row>
    <row r="8" spans="2:15">
      <c r="B8" s="1" t="s">
        <v>265</v>
      </c>
      <c r="J8" s="1" t="s">
        <v>4</v>
      </c>
      <c r="K8" s="1">
        <v>5180</v>
      </c>
      <c r="L8" s="1" t="str">
        <f>+L7</f>
        <v>Q325</v>
      </c>
      <c r="N8" s="6">
        <v>45594</v>
      </c>
      <c r="O8" s="1" t="s">
        <v>65</v>
      </c>
    </row>
    <row r="9" spans="2:15">
      <c r="B9" s="4" t="s">
        <v>266</v>
      </c>
      <c r="C9" s="4"/>
      <c r="D9" s="4"/>
      <c r="E9" s="4"/>
      <c r="F9" s="4"/>
      <c r="G9" s="4"/>
      <c r="J9" s="1" t="s">
        <v>5</v>
      </c>
      <c r="K9" s="1">
        <f>+K6-K7+K8</f>
        <v>110020.61300500001</v>
      </c>
      <c r="N9" s="6">
        <v>45573</v>
      </c>
      <c r="O9" s="1" t="s">
        <v>67</v>
      </c>
    </row>
    <row r="10" spans="2:15">
      <c r="B10" s="4" t="s">
        <v>267</v>
      </c>
      <c r="C10" s="4"/>
      <c r="D10" s="4"/>
      <c r="E10" s="4"/>
      <c r="F10" s="4"/>
      <c r="G10" s="4"/>
      <c r="N10" s="6">
        <v>45568</v>
      </c>
      <c r="O10" s="1" t="s">
        <v>66</v>
      </c>
    </row>
    <row r="11" spans="2:15">
      <c r="B11" s="41"/>
      <c r="C11" s="4"/>
      <c r="D11" s="4"/>
      <c r="E11" s="4"/>
      <c r="F11" s="4"/>
      <c r="G11" s="4"/>
      <c r="N11" s="6">
        <v>45588</v>
      </c>
      <c r="O11" s="1" t="s">
        <v>68</v>
      </c>
    </row>
    <row r="12" spans="2:15">
      <c r="B12" s="3" t="s">
        <v>268</v>
      </c>
      <c r="C12" s="4"/>
      <c r="D12" s="4"/>
      <c r="E12" s="4"/>
      <c r="F12" s="4"/>
      <c r="G12" s="4"/>
      <c r="N12" s="6">
        <v>45497</v>
      </c>
      <c r="O12" s="1" t="s">
        <v>69</v>
      </c>
    </row>
    <row r="13" spans="2:15">
      <c r="B13" s="1" t="s">
        <v>269</v>
      </c>
      <c r="D13" s="42"/>
      <c r="N13" s="6">
        <v>45407</v>
      </c>
      <c r="O13" s="1" t="s">
        <v>70</v>
      </c>
    </row>
    <row r="14" spans="2:15">
      <c r="B14" s="1" t="s">
        <v>270</v>
      </c>
      <c r="D14" s="42"/>
    </row>
    <row r="15" spans="2:15">
      <c r="B15" s="1" t="s">
        <v>271</v>
      </c>
      <c r="D15" s="42"/>
    </row>
    <row r="16" spans="2:15">
      <c r="B16" s="1" t="s">
        <v>272</v>
      </c>
      <c r="D16" s="42"/>
      <c r="N16" s="7" t="s">
        <v>72</v>
      </c>
    </row>
    <row r="17" spans="2:15">
      <c r="B17" s="1" t="s">
        <v>273</v>
      </c>
      <c r="N17" s="6">
        <v>45953</v>
      </c>
      <c r="O17" s="1" t="s">
        <v>135</v>
      </c>
    </row>
    <row r="18" spans="2:15">
      <c r="N18" s="6">
        <v>45770</v>
      </c>
      <c r="O18" s="1" t="s">
        <v>134</v>
      </c>
    </row>
    <row r="19" spans="2:15">
      <c r="N19" s="6">
        <v>45684</v>
      </c>
      <c r="O19" s="1" t="s">
        <v>73</v>
      </c>
    </row>
    <row r="20" spans="2:15">
      <c r="B20" s="3"/>
      <c r="N20" s="6">
        <v>45684</v>
      </c>
      <c r="O20" s="1" t="s">
        <v>74</v>
      </c>
    </row>
    <row r="33" spans="4:4">
      <c r="D33" s="10"/>
    </row>
    <row r="34" spans="4:4">
      <c r="D34" s="10"/>
    </row>
    <row r="35" spans="4:4">
      <c r="D35" s="10"/>
    </row>
    <row r="36" spans="4:4">
      <c r="D36" s="10"/>
    </row>
    <row r="37" spans="4:4">
      <c r="D37" s="10"/>
    </row>
    <row r="38" spans="4:4">
      <c r="D38" s="10"/>
    </row>
    <row r="39" spans="4:4">
      <c r="D39" s="10"/>
    </row>
    <row r="40" spans="4:4">
      <c r="D40" s="4"/>
    </row>
  </sheetData>
  <hyperlinks>
    <hyperlink ref="N5" r:id="rId1" display="https://www.newmont.com/investors/news-release/news-details/2024/Newmont-Announces-Agreement-to-Divest-CCV-for-up-to-275-Million/default.aspx" xr:uid="{0EEE0FA4-6717-7E4A-9FEE-6E985C929F51}"/>
    <hyperlink ref="N6" r:id="rId2" display="Announced Divestitures to Date Expected to Generate up to $3.6 Billion in Gross Proceeds  DENVER--(BUSINESS WIRE)-- Newmont Corporation (NYSE: NEM, TSX: NGT, ASX: NEM, PNGX: NEM) (“Newmont” or the “Company”) announced today that it has agreed to sell its Éléonore operation in Northern Quebec, Canada, to Dhilmar Ltd (“Dhilmar”) for $795 million in cash consideration. The transaction is expected to close in the first quarter of 2025, subject to certain conditions being satisfied. 1 Upon closing the announced transactions, Newmont will have delivered up to $3.6 billion in gross proceeds from non-core asset divestitures and investment sales. 2  “Today’s announcement is another step forward in Newmont’s journey to create a go-forward portfolio of Tier 1 gold and copper assets, each with the scale and mine life to generate strong free cash flows for several decades,” said Tom Palmer, Newmont's President and Chief Executive Officer . “When we announced the acquisition of Newcrest in 2023, we committed to generating at least $2 billion in cash through portfolio optimization. With this announced sale, we have meaningfully exceeded our target by more than $1.5 billion to date. Proceeds from this transaction will support Newmont’s comprehensive approach to capital allocation, which includes strengthening our investment-grade balance sheet and returning capital to shareholders.”  “We are pleased to be selling this operation to Dhilmar,” Tom Palmer added. “They have a wealth of experience in gold and copper mining and we believe Dhilmar will be excellent stewards of this asset.”  Dhilmar is a newly incorporated, UK-based private mining company. The company is led by its CEO and Managing Director, Alexander Ramlie, and supported by board members with decades of mining experience across a range of commodities and with both surface and underground operations. Mr. Ramlie and his team worked closely with Newmont in 2016 to acquire the Batu Hijau copper and gold mine in Indonesia on behalf of PT Amman Mineral Internasional Tbk (“Amman”). Under Mr. Ramlie’s leadership" xr:uid="{3678E5E0-0E33-A84A-8525-5443776CA24C}"/>
    <hyperlink ref="N7" r:id="rId3" display="https://www.newmont.com/investors/news-release/news-details/2024/Newmont-Announces-Sale-of-Musselwhite-for-up-to-850-Million/default.aspx" xr:uid="{A2319C70-D986-7C4B-A073-80DC002C6211}"/>
    <hyperlink ref="N8" r:id="rId4" display="https://www.newmont.com/investors/news-release/news-details/2024/Newmont-Receives-First-Battery-Electric-Large-Mining-Truck/default.aspx" xr:uid="{C19ED3E4-079D-394B-A4D7-C7502CDF5F9E}"/>
    <hyperlink ref="N10" r:id="rId5" display="https://www.newmont.com/investors/news-release/news-details/2024/ICMM-Announces-Newmont-CEO-Tom-Palmer-as-New-Chair/default.aspx" xr:uid="{5D7FE4A5-C7B5-C149-9C20-EC22B906F268}"/>
    <hyperlink ref="N9" r:id="rId6" display="https://www.newmont.com/investors/news-release/news-details/2024/Newmont-Announces-Definitive-Agreement-to-Divest-Akyem-for-up-to-1-Billion/default.aspx" xr:uid="{02541908-76D0-D74C-8E0E-A28F6F2E4113}"/>
    <hyperlink ref="N11" r:id="rId7" display="https://www.newmont.com/investors/news-release/news-details/2024/Newmont-Reports-Third-Quarter-2024-Results/default.aspx" xr:uid="{EF55054F-D56C-CA42-9B1B-45239C1E0BC8}"/>
    <hyperlink ref="N12" r:id="rId8" display="https://www.newmont.com/investors/news-release/news-details/2024/Newmont-Reports-Second-Quarter-2024-Results/default.aspx" xr:uid="{971B3D71-D616-FC42-8233-B5615621450B}"/>
    <hyperlink ref="N13" r:id="rId9" display="https://www.newmont.com/investors/news-release/news-details/2024/Newmont-Reports-First-Quarter-2024-Results/default.aspx" xr:uid="{7309356A-003B-3743-ABFD-75D0012BE0E5}"/>
    <hyperlink ref="N19" r:id="rId10" display="https://www.newmont.com/investors/news-release/news-details/2025/Newmont-Announces-Early-Redemption-of-its-5.30-Notes-Due-2026/default.aspx" xr:uid="{91415562-D90D-9F41-919B-81F167525045}"/>
    <hyperlink ref="N20" r:id="rId11" display="https://www.newmont.com/investors/news-release/news-details/2025/Newmont-Announces-Sale-of-Porcupine-Operation-for-up-to-425-Million/default.aspx" xr:uid="{BCEE418D-02E6-F349-9DC3-A07160367451}"/>
    <hyperlink ref="N18" r:id="rId12" display="https://s24.q4cdn.com/382246808/files/doc_earnings/2025/q1/earnings-result/Newmont-Q1-2025-Earnings-Release_Final.pdf" xr:uid="{CFA51989-8EC3-8D4A-B928-38D26BA3A421}"/>
    <hyperlink ref="N17" r:id="rId13" display="https://s24.q4cdn.com/382246808/files/doc_earnings/2025/q3/earnings-result/Newmont-Q3-2025-Earnings-Release_Final.pdf" xr:uid="{063ECDDD-26A1-4340-886F-3661A8D4F1DA}"/>
    <hyperlink ref="B1" r:id="rId14" xr:uid="{E34D7CFB-04C3-3B44-AF20-CFF5266702D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9C18-0665-8544-9D72-75FA852EFC7A}">
  <dimension ref="B2:IG141"/>
  <sheetViews>
    <sheetView showGridLines="0" zoomScale="150" zoomScaleNormal="180" workbookViewId="0">
      <pane xSplit="2" ySplit="2" topLeftCell="K30" activePane="bottomRight" state="frozen"/>
      <selection pane="topRight" activeCell="C1" sqref="C1"/>
      <selection pane="bottomLeft" activeCell="A3" sqref="A3"/>
      <selection pane="bottomRight" activeCell="W29" sqref="W29"/>
    </sheetView>
  </sheetViews>
  <sheetFormatPr baseColWidth="10" defaultRowHeight="13" outlineLevelRow="1" outlineLevelCol="1"/>
  <cols>
    <col min="1" max="1" width="1.5" style="13" customWidth="1"/>
    <col min="2" max="2" width="32.1640625" style="13" bestFit="1" customWidth="1"/>
    <col min="3" max="5" width="5.6640625" style="47" hidden="1" customWidth="1" outlineLevel="1"/>
    <col min="6" max="6" width="6.1640625" style="47" hidden="1" customWidth="1" outlineLevel="1"/>
    <col min="7" max="10" width="10.1640625" style="47" hidden="1" customWidth="1" outlineLevel="1"/>
    <col min="11" max="11" width="7.6640625" style="47" bestFit="1" customWidth="1" collapsed="1"/>
    <col min="12" max="18" width="7.6640625" style="47" bestFit="1" customWidth="1"/>
    <col min="19" max="19" width="2" style="47" customWidth="1"/>
    <col min="20" max="21" width="2.33203125" style="47" customWidth="1"/>
    <col min="22" max="22" width="3.33203125" style="47" customWidth="1"/>
    <col min="23" max="27" width="5.6640625" style="47" bestFit="1" customWidth="1"/>
    <col min="28" max="42" width="6.6640625" style="47" bestFit="1" customWidth="1"/>
    <col min="43" max="43" width="10.5" style="13" bestFit="1" customWidth="1"/>
    <col min="44" max="44" width="6.6640625" style="13" bestFit="1" customWidth="1"/>
    <col min="45" max="45" width="9" style="13" bestFit="1" customWidth="1"/>
    <col min="46" max="46" width="7.6640625" style="13" bestFit="1" customWidth="1"/>
    <col min="47" max="58" width="5.6640625" style="13" bestFit="1" customWidth="1"/>
    <col min="59" max="241" width="6.6640625" style="13" bestFit="1" customWidth="1"/>
    <col min="242" max="16384" width="10.83203125" style="13"/>
  </cols>
  <sheetData>
    <row r="2" spans="2:241" s="11" customFormat="1">
      <c r="C2" s="46" t="s">
        <v>7</v>
      </c>
      <c r="D2" s="46" t="s">
        <v>27</v>
      </c>
      <c r="E2" s="46" t="s">
        <v>8</v>
      </c>
      <c r="F2" s="46" t="s">
        <v>9</v>
      </c>
      <c r="G2" s="46" t="s">
        <v>10</v>
      </c>
      <c r="H2" s="46" t="s">
        <v>71</v>
      </c>
      <c r="I2" s="46" t="s">
        <v>11</v>
      </c>
      <c r="J2" s="46" t="s">
        <v>12</v>
      </c>
      <c r="K2" s="46" t="s">
        <v>13</v>
      </c>
      <c r="L2" s="46" t="s">
        <v>14</v>
      </c>
      <c r="M2" s="46" t="s">
        <v>6</v>
      </c>
      <c r="N2" s="46" t="s">
        <v>15</v>
      </c>
      <c r="O2" s="46" t="s">
        <v>77</v>
      </c>
      <c r="P2" s="46" t="s">
        <v>78</v>
      </c>
      <c r="Q2" s="46" t="s">
        <v>76</v>
      </c>
      <c r="R2" s="46" t="s">
        <v>79</v>
      </c>
      <c r="S2" s="46"/>
      <c r="T2" s="46"/>
      <c r="U2" s="46"/>
      <c r="V2" s="46"/>
      <c r="W2" s="46">
        <v>2015</v>
      </c>
      <c r="X2" s="46">
        <f>+W2+1</f>
        <v>2016</v>
      </c>
      <c r="Y2" s="46">
        <f>+X2+1</f>
        <v>2017</v>
      </c>
      <c r="Z2" s="46">
        <f>+Y2+1</f>
        <v>2018</v>
      </c>
      <c r="AA2" s="46">
        <v>2019</v>
      </c>
      <c r="AB2" s="46">
        <v>2020</v>
      </c>
      <c r="AC2" s="46">
        <v>2021</v>
      </c>
      <c r="AD2" s="46">
        <v>2022</v>
      </c>
      <c r="AE2" s="46">
        <v>2023</v>
      </c>
      <c r="AF2" s="46">
        <f>+AE2+1</f>
        <v>2024</v>
      </c>
      <c r="AG2" s="46">
        <f t="shared" ref="AG2:AO2" si="0">+AF2+1</f>
        <v>2025</v>
      </c>
      <c r="AH2" s="46">
        <f t="shared" si="0"/>
        <v>2026</v>
      </c>
      <c r="AI2" s="46">
        <f t="shared" si="0"/>
        <v>2027</v>
      </c>
      <c r="AJ2" s="46">
        <f t="shared" si="0"/>
        <v>2028</v>
      </c>
      <c r="AK2" s="46">
        <f t="shared" si="0"/>
        <v>2029</v>
      </c>
      <c r="AL2" s="46">
        <f t="shared" si="0"/>
        <v>2030</v>
      </c>
      <c r="AM2" s="46">
        <f t="shared" si="0"/>
        <v>2031</v>
      </c>
      <c r="AN2" s="46">
        <f t="shared" si="0"/>
        <v>2032</v>
      </c>
      <c r="AO2" s="46">
        <f t="shared" si="0"/>
        <v>2033</v>
      </c>
      <c r="AP2" s="46">
        <f>+AO2+1</f>
        <v>2034</v>
      </c>
      <c r="AQ2" s="11">
        <f t="shared" ref="AQ2" si="1">+AP2+1</f>
        <v>2035</v>
      </c>
      <c r="AR2" s="11">
        <f t="shared" ref="AR2:DC2" si="2">+AQ2+1</f>
        <v>2036</v>
      </c>
      <c r="AS2" s="11">
        <f t="shared" si="2"/>
        <v>2037</v>
      </c>
      <c r="AT2" s="11">
        <f t="shared" si="2"/>
        <v>2038</v>
      </c>
      <c r="AU2" s="11">
        <f t="shared" si="2"/>
        <v>2039</v>
      </c>
      <c r="AV2" s="11">
        <f t="shared" si="2"/>
        <v>2040</v>
      </c>
      <c r="AW2" s="11">
        <f t="shared" si="2"/>
        <v>2041</v>
      </c>
      <c r="AX2" s="11">
        <f t="shared" si="2"/>
        <v>2042</v>
      </c>
      <c r="AY2" s="11">
        <f t="shared" si="2"/>
        <v>2043</v>
      </c>
      <c r="AZ2" s="11">
        <f t="shared" si="2"/>
        <v>2044</v>
      </c>
      <c r="BA2" s="11">
        <f t="shared" si="2"/>
        <v>2045</v>
      </c>
      <c r="BB2" s="11">
        <f t="shared" si="2"/>
        <v>2046</v>
      </c>
      <c r="BC2" s="11">
        <f t="shared" si="2"/>
        <v>2047</v>
      </c>
      <c r="BD2" s="11">
        <f t="shared" si="2"/>
        <v>2048</v>
      </c>
      <c r="BE2" s="11">
        <f t="shared" si="2"/>
        <v>2049</v>
      </c>
      <c r="BF2" s="11">
        <f t="shared" si="2"/>
        <v>2050</v>
      </c>
      <c r="BG2" s="11">
        <f t="shared" si="2"/>
        <v>2051</v>
      </c>
      <c r="BH2" s="11">
        <f t="shared" si="2"/>
        <v>2052</v>
      </c>
      <c r="BI2" s="11">
        <f t="shared" si="2"/>
        <v>2053</v>
      </c>
      <c r="BJ2" s="11">
        <f t="shared" si="2"/>
        <v>2054</v>
      </c>
      <c r="BK2" s="11">
        <f t="shared" si="2"/>
        <v>2055</v>
      </c>
      <c r="BL2" s="11">
        <f t="shared" si="2"/>
        <v>2056</v>
      </c>
      <c r="BM2" s="11">
        <f t="shared" si="2"/>
        <v>2057</v>
      </c>
      <c r="BN2" s="11">
        <f t="shared" si="2"/>
        <v>2058</v>
      </c>
      <c r="BO2" s="11">
        <f t="shared" si="2"/>
        <v>2059</v>
      </c>
      <c r="BP2" s="11">
        <f t="shared" si="2"/>
        <v>2060</v>
      </c>
      <c r="BQ2" s="11">
        <f t="shared" si="2"/>
        <v>2061</v>
      </c>
      <c r="BR2" s="11">
        <f t="shared" si="2"/>
        <v>2062</v>
      </c>
      <c r="BS2" s="11">
        <f t="shared" si="2"/>
        <v>2063</v>
      </c>
      <c r="BT2" s="11">
        <f t="shared" si="2"/>
        <v>2064</v>
      </c>
      <c r="BU2" s="11">
        <f t="shared" si="2"/>
        <v>2065</v>
      </c>
      <c r="BV2" s="11">
        <f t="shared" si="2"/>
        <v>2066</v>
      </c>
      <c r="BW2" s="11">
        <f t="shared" si="2"/>
        <v>2067</v>
      </c>
      <c r="BX2" s="11">
        <f t="shared" si="2"/>
        <v>2068</v>
      </c>
      <c r="BY2" s="11">
        <f t="shared" si="2"/>
        <v>2069</v>
      </c>
      <c r="BZ2" s="11">
        <f t="shared" si="2"/>
        <v>2070</v>
      </c>
      <c r="CA2" s="11">
        <f t="shared" si="2"/>
        <v>2071</v>
      </c>
      <c r="CB2" s="11">
        <f t="shared" si="2"/>
        <v>2072</v>
      </c>
      <c r="CC2" s="11">
        <f t="shared" si="2"/>
        <v>2073</v>
      </c>
      <c r="CD2" s="11">
        <f t="shared" si="2"/>
        <v>2074</v>
      </c>
      <c r="CE2" s="11">
        <f t="shared" si="2"/>
        <v>2075</v>
      </c>
      <c r="CF2" s="11">
        <f t="shared" si="2"/>
        <v>2076</v>
      </c>
      <c r="CG2" s="11">
        <f t="shared" si="2"/>
        <v>2077</v>
      </c>
      <c r="CH2" s="11">
        <f t="shared" si="2"/>
        <v>2078</v>
      </c>
      <c r="CI2" s="11">
        <f t="shared" si="2"/>
        <v>2079</v>
      </c>
      <c r="CJ2" s="11">
        <f t="shared" si="2"/>
        <v>2080</v>
      </c>
      <c r="CK2" s="11">
        <f t="shared" si="2"/>
        <v>2081</v>
      </c>
      <c r="CL2" s="11">
        <f t="shared" si="2"/>
        <v>2082</v>
      </c>
      <c r="CM2" s="11">
        <f t="shared" si="2"/>
        <v>2083</v>
      </c>
      <c r="CN2" s="11">
        <f t="shared" si="2"/>
        <v>2084</v>
      </c>
      <c r="CO2" s="11">
        <f t="shared" si="2"/>
        <v>2085</v>
      </c>
      <c r="CP2" s="11">
        <f t="shared" si="2"/>
        <v>2086</v>
      </c>
      <c r="CQ2" s="11">
        <f t="shared" si="2"/>
        <v>2087</v>
      </c>
      <c r="CR2" s="11">
        <f t="shared" si="2"/>
        <v>2088</v>
      </c>
      <c r="CS2" s="11">
        <f t="shared" si="2"/>
        <v>2089</v>
      </c>
      <c r="CT2" s="11">
        <f t="shared" si="2"/>
        <v>2090</v>
      </c>
      <c r="CU2" s="11">
        <f t="shared" si="2"/>
        <v>2091</v>
      </c>
      <c r="CV2" s="11">
        <f t="shared" si="2"/>
        <v>2092</v>
      </c>
      <c r="CW2" s="11">
        <f t="shared" si="2"/>
        <v>2093</v>
      </c>
      <c r="CX2" s="11">
        <f t="shared" si="2"/>
        <v>2094</v>
      </c>
      <c r="CY2" s="11">
        <f t="shared" si="2"/>
        <v>2095</v>
      </c>
      <c r="CZ2" s="11">
        <f t="shared" si="2"/>
        <v>2096</v>
      </c>
      <c r="DA2" s="11">
        <f t="shared" si="2"/>
        <v>2097</v>
      </c>
      <c r="DB2" s="11">
        <f t="shared" si="2"/>
        <v>2098</v>
      </c>
      <c r="DC2" s="11">
        <f t="shared" si="2"/>
        <v>2099</v>
      </c>
      <c r="DD2" s="11">
        <f t="shared" ref="DD2:FO2" si="3">+DC2+1</f>
        <v>2100</v>
      </c>
      <c r="DE2" s="11">
        <f t="shared" si="3"/>
        <v>2101</v>
      </c>
      <c r="DF2" s="11">
        <f t="shared" si="3"/>
        <v>2102</v>
      </c>
      <c r="DG2" s="11">
        <f t="shared" si="3"/>
        <v>2103</v>
      </c>
      <c r="DH2" s="11">
        <f t="shared" si="3"/>
        <v>2104</v>
      </c>
      <c r="DI2" s="11">
        <f t="shared" si="3"/>
        <v>2105</v>
      </c>
      <c r="DJ2" s="11">
        <f t="shared" si="3"/>
        <v>2106</v>
      </c>
      <c r="DK2" s="11">
        <f t="shared" si="3"/>
        <v>2107</v>
      </c>
      <c r="DL2" s="11">
        <f t="shared" si="3"/>
        <v>2108</v>
      </c>
      <c r="DM2" s="11">
        <f t="shared" si="3"/>
        <v>2109</v>
      </c>
      <c r="DN2" s="11">
        <f t="shared" si="3"/>
        <v>2110</v>
      </c>
      <c r="DO2" s="11">
        <f t="shared" si="3"/>
        <v>2111</v>
      </c>
      <c r="DP2" s="11">
        <f t="shared" si="3"/>
        <v>2112</v>
      </c>
      <c r="DQ2" s="11">
        <f t="shared" si="3"/>
        <v>2113</v>
      </c>
      <c r="DR2" s="11">
        <f t="shared" si="3"/>
        <v>2114</v>
      </c>
      <c r="DS2" s="11">
        <f t="shared" si="3"/>
        <v>2115</v>
      </c>
      <c r="DT2" s="11">
        <f t="shared" si="3"/>
        <v>2116</v>
      </c>
      <c r="DU2" s="11">
        <f t="shared" si="3"/>
        <v>2117</v>
      </c>
      <c r="DV2" s="11">
        <f t="shared" si="3"/>
        <v>2118</v>
      </c>
      <c r="DW2" s="11">
        <f t="shared" si="3"/>
        <v>2119</v>
      </c>
      <c r="DX2" s="11">
        <f t="shared" si="3"/>
        <v>2120</v>
      </c>
      <c r="DY2" s="11">
        <f t="shared" si="3"/>
        <v>2121</v>
      </c>
      <c r="DZ2" s="11">
        <f t="shared" si="3"/>
        <v>2122</v>
      </c>
      <c r="EA2" s="11">
        <f t="shared" si="3"/>
        <v>2123</v>
      </c>
      <c r="EB2" s="11">
        <f t="shared" si="3"/>
        <v>2124</v>
      </c>
      <c r="EC2" s="11">
        <f t="shared" si="3"/>
        <v>2125</v>
      </c>
      <c r="ED2" s="11">
        <f t="shared" si="3"/>
        <v>2126</v>
      </c>
      <c r="EE2" s="11">
        <f t="shared" si="3"/>
        <v>2127</v>
      </c>
      <c r="EF2" s="11">
        <f t="shared" si="3"/>
        <v>2128</v>
      </c>
      <c r="EG2" s="11">
        <f t="shared" si="3"/>
        <v>2129</v>
      </c>
      <c r="EH2" s="11">
        <f t="shared" si="3"/>
        <v>2130</v>
      </c>
      <c r="EI2" s="11">
        <f t="shared" si="3"/>
        <v>2131</v>
      </c>
      <c r="EJ2" s="11">
        <f t="shared" si="3"/>
        <v>2132</v>
      </c>
      <c r="EK2" s="11">
        <f t="shared" si="3"/>
        <v>2133</v>
      </c>
      <c r="EL2" s="11">
        <f t="shared" si="3"/>
        <v>2134</v>
      </c>
      <c r="EM2" s="11">
        <f t="shared" si="3"/>
        <v>2135</v>
      </c>
      <c r="EN2" s="11">
        <f t="shared" si="3"/>
        <v>2136</v>
      </c>
      <c r="EO2" s="11">
        <f t="shared" si="3"/>
        <v>2137</v>
      </c>
      <c r="EP2" s="11">
        <f t="shared" si="3"/>
        <v>2138</v>
      </c>
      <c r="EQ2" s="11">
        <f t="shared" si="3"/>
        <v>2139</v>
      </c>
      <c r="ER2" s="11">
        <f t="shared" si="3"/>
        <v>2140</v>
      </c>
      <c r="ES2" s="11">
        <f t="shared" si="3"/>
        <v>2141</v>
      </c>
      <c r="ET2" s="11">
        <f t="shared" si="3"/>
        <v>2142</v>
      </c>
      <c r="EU2" s="11">
        <f t="shared" si="3"/>
        <v>2143</v>
      </c>
      <c r="EV2" s="11">
        <f t="shared" si="3"/>
        <v>2144</v>
      </c>
      <c r="EW2" s="11">
        <f t="shared" si="3"/>
        <v>2145</v>
      </c>
      <c r="EX2" s="11">
        <f t="shared" si="3"/>
        <v>2146</v>
      </c>
      <c r="EY2" s="11">
        <f t="shared" si="3"/>
        <v>2147</v>
      </c>
      <c r="EZ2" s="11">
        <f t="shared" si="3"/>
        <v>2148</v>
      </c>
      <c r="FA2" s="11">
        <f t="shared" si="3"/>
        <v>2149</v>
      </c>
      <c r="FB2" s="11">
        <f t="shared" si="3"/>
        <v>2150</v>
      </c>
      <c r="FC2" s="11">
        <f t="shared" si="3"/>
        <v>2151</v>
      </c>
      <c r="FD2" s="11">
        <f t="shared" si="3"/>
        <v>2152</v>
      </c>
      <c r="FE2" s="11">
        <f t="shared" si="3"/>
        <v>2153</v>
      </c>
      <c r="FF2" s="11">
        <f t="shared" si="3"/>
        <v>2154</v>
      </c>
      <c r="FG2" s="11">
        <f t="shared" si="3"/>
        <v>2155</v>
      </c>
      <c r="FH2" s="11">
        <f t="shared" si="3"/>
        <v>2156</v>
      </c>
      <c r="FI2" s="11">
        <f t="shared" si="3"/>
        <v>2157</v>
      </c>
      <c r="FJ2" s="11">
        <f t="shared" si="3"/>
        <v>2158</v>
      </c>
      <c r="FK2" s="11">
        <f t="shared" si="3"/>
        <v>2159</v>
      </c>
      <c r="FL2" s="11">
        <f t="shared" si="3"/>
        <v>2160</v>
      </c>
      <c r="FM2" s="11">
        <f t="shared" si="3"/>
        <v>2161</v>
      </c>
      <c r="FN2" s="11">
        <f t="shared" si="3"/>
        <v>2162</v>
      </c>
      <c r="FO2" s="11">
        <f t="shared" si="3"/>
        <v>2163</v>
      </c>
      <c r="FP2" s="11">
        <f t="shared" ref="FP2:IA2" si="4">+FO2+1</f>
        <v>2164</v>
      </c>
      <c r="FQ2" s="11">
        <f t="shared" si="4"/>
        <v>2165</v>
      </c>
      <c r="FR2" s="11">
        <f t="shared" si="4"/>
        <v>2166</v>
      </c>
      <c r="FS2" s="11">
        <f t="shared" si="4"/>
        <v>2167</v>
      </c>
      <c r="FT2" s="11">
        <f t="shared" si="4"/>
        <v>2168</v>
      </c>
      <c r="FU2" s="11">
        <f t="shared" si="4"/>
        <v>2169</v>
      </c>
      <c r="FV2" s="11">
        <f t="shared" si="4"/>
        <v>2170</v>
      </c>
      <c r="FW2" s="11">
        <f t="shared" si="4"/>
        <v>2171</v>
      </c>
      <c r="FX2" s="11">
        <f t="shared" si="4"/>
        <v>2172</v>
      </c>
      <c r="FY2" s="11">
        <f t="shared" si="4"/>
        <v>2173</v>
      </c>
      <c r="FZ2" s="11">
        <f t="shared" si="4"/>
        <v>2174</v>
      </c>
      <c r="GA2" s="11">
        <f t="shared" si="4"/>
        <v>2175</v>
      </c>
      <c r="GB2" s="11">
        <f t="shared" si="4"/>
        <v>2176</v>
      </c>
      <c r="GC2" s="11">
        <f t="shared" si="4"/>
        <v>2177</v>
      </c>
      <c r="GD2" s="11">
        <f t="shared" si="4"/>
        <v>2178</v>
      </c>
      <c r="GE2" s="11">
        <f t="shared" si="4"/>
        <v>2179</v>
      </c>
      <c r="GF2" s="11">
        <f t="shared" si="4"/>
        <v>2180</v>
      </c>
      <c r="GG2" s="11">
        <f t="shared" si="4"/>
        <v>2181</v>
      </c>
      <c r="GH2" s="11">
        <f t="shared" si="4"/>
        <v>2182</v>
      </c>
      <c r="GI2" s="11">
        <f t="shared" si="4"/>
        <v>2183</v>
      </c>
      <c r="GJ2" s="11">
        <f t="shared" si="4"/>
        <v>2184</v>
      </c>
      <c r="GK2" s="11">
        <f t="shared" si="4"/>
        <v>2185</v>
      </c>
      <c r="GL2" s="11">
        <f t="shared" si="4"/>
        <v>2186</v>
      </c>
      <c r="GM2" s="11">
        <f t="shared" si="4"/>
        <v>2187</v>
      </c>
      <c r="GN2" s="11">
        <f t="shared" si="4"/>
        <v>2188</v>
      </c>
      <c r="GO2" s="11">
        <f t="shared" si="4"/>
        <v>2189</v>
      </c>
      <c r="GP2" s="11">
        <f t="shared" si="4"/>
        <v>2190</v>
      </c>
      <c r="GQ2" s="11">
        <f t="shared" si="4"/>
        <v>2191</v>
      </c>
      <c r="GR2" s="11">
        <f t="shared" si="4"/>
        <v>2192</v>
      </c>
      <c r="GS2" s="11">
        <f t="shared" si="4"/>
        <v>2193</v>
      </c>
      <c r="GT2" s="11">
        <f t="shared" si="4"/>
        <v>2194</v>
      </c>
      <c r="GU2" s="11">
        <f t="shared" si="4"/>
        <v>2195</v>
      </c>
      <c r="GV2" s="11">
        <f t="shared" si="4"/>
        <v>2196</v>
      </c>
      <c r="GW2" s="11">
        <f t="shared" si="4"/>
        <v>2197</v>
      </c>
      <c r="GX2" s="11">
        <f t="shared" si="4"/>
        <v>2198</v>
      </c>
      <c r="GY2" s="11">
        <f t="shared" si="4"/>
        <v>2199</v>
      </c>
      <c r="GZ2" s="11">
        <f t="shared" si="4"/>
        <v>2200</v>
      </c>
      <c r="HA2" s="11">
        <f t="shared" si="4"/>
        <v>2201</v>
      </c>
      <c r="HB2" s="11">
        <f t="shared" si="4"/>
        <v>2202</v>
      </c>
      <c r="HC2" s="11">
        <f t="shared" si="4"/>
        <v>2203</v>
      </c>
      <c r="HD2" s="11">
        <f t="shared" si="4"/>
        <v>2204</v>
      </c>
      <c r="HE2" s="11">
        <f t="shared" si="4"/>
        <v>2205</v>
      </c>
      <c r="HF2" s="11">
        <f t="shared" si="4"/>
        <v>2206</v>
      </c>
      <c r="HG2" s="11">
        <f t="shared" si="4"/>
        <v>2207</v>
      </c>
      <c r="HH2" s="11">
        <f t="shared" si="4"/>
        <v>2208</v>
      </c>
      <c r="HI2" s="11">
        <f t="shared" si="4"/>
        <v>2209</v>
      </c>
      <c r="HJ2" s="11">
        <f t="shared" si="4"/>
        <v>2210</v>
      </c>
      <c r="HK2" s="11">
        <f t="shared" si="4"/>
        <v>2211</v>
      </c>
      <c r="HL2" s="11">
        <f t="shared" si="4"/>
        <v>2212</v>
      </c>
      <c r="HM2" s="11">
        <f t="shared" si="4"/>
        <v>2213</v>
      </c>
      <c r="HN2" s="11">
        <f t="shared" si="4"/>
        <v>2214</v>
      </c>
      <c r="HO2" s="11">
        <f t="shared" si="4"/>
        <v>2215</v>
      </c>
      <c r="HP2" s="11">
        <f t="shared" si="4"/>
        <v>2216</v>
      </c>
      <c r="HQ2" s="11">
        <f t="shared" si="4"/>
        <v>2217</v>
      </c>
      <c r="HR2" s="11">
        <f t="shared" si="4"/>
        <v>2218</v>
      </c>
      <c r="HS2" s="11">
        <f t="shared" si="4"/>
        <v>2219</v>
      </c>
      <c r="HT2" s="11">
        <f t="shared" si="4"/>
        <v>2220</v>
      </c>
      <c r="HU2" s="11">
        <f t="shared" si="4"/>
        <v>2221</v>
      </c>
      <c r="HV2" s="11">
        <f t="shared" si="4"/>
        <v>2222</v>
      </c>
      <c r="HW2" s="11">
        <f t="shared" si="4"/>
        <v>2223</v>
      </c>
      <c r="HX2" s="11">
        <f t="shared" si="4"/>
        <v>2224</v>
      </c>
      <c r="HY2" s="11">
        <f t="shared" si="4"/>
        <v>2225</v>
      </c>
      <c r="HZ2" s="11">
        <f t="shared" si="4"/>
        <v>2226</v>
      </c>
      <c r="IA2" s="11">
        <f t="shared" si="4"/>
        <v>2227</v>
      </c>
      <c r="IB2" s="11">
        <f t="shared" ref="IB2:IG2" si="5">+IA2+1</f>
        <v>2228</v>
      </c>
      <c r="IC2" s="11">
        <f t="shared" si="5"/>
        <v>2229</v>
      </c>
      <c r="ID2" s="11">
        <f t="shared" si="5"/>
        <v>2230</v>
      </c>
      <c r="IE2" s="11">
        <f t="shared" si="5"/>
        <v>2231</v>
      </c>
      <c r="IF2" s="11">
        <f t="shared" si="5"/>
        <v>2232</v>
      </c>
      <c r="IG2" s="11">
        <f t="shared" si="5"/>
        <v>2233</v>
      </c>
    </row>
    <row r="3" spans="2:241" s="11" customFormat="1" hidden="1" outlineLevel="1">
      <c r="B3" s="11" t="s">
        <v>147</v>
      </c>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row>
    <row r="4" spans="2:241" s="11" customFormat="1" hidden="1" outlineLevel="1">
      <c r="B4" s="11" t="s">
        <v>144</v>
      </c>
      <c r="C4" s="46"/>
      <c r="D4" s="46"/>
      <c r="E4" s="46"/>
      <c r="F4" s="46"/>
      <c r="G4" s="46"/>
      <c r="H4" s="46"/>
      <c r="I4" s="46"/>
      <c r="J4" s="46"/>
      <c r="K4" s="46"/>
      <c r="L4" s="46"/>
      <c r="M4" s="46"/>
      <c r="N4" s="46"/>
      <c r="O4" s="46"/>
      <c r="P4" s="46"/>
      <c r="Q4" s="46"/>
      <c r="R4" s="46"/>
      <c r="S4" s="46"/>
      <c r="T4" s="46"/>
      <c r="U4" s="46"/>
      <c r="V4" s="46"/>
      <c r="W4" s="48">
        <v>1049</v>
      </c>
      <c r="X4" s="48">
        <v>1077</v>
      </c>
      <c r="Y4" s="48">
        <v>1151</v>
      </c>
      <c r="Z4" s="48">
        <v>1178</v>
      </c>
      <c r="AA4" s="48">
        <v>1270</v>
      </c>
      <c r="AB4" s="48">
        <v>1474</v>
      </c>
      <c r="AC4" s="48">
        <v>1684</v>
      </c>
      <c r="AD4" s="48">
        <v>1629</v>
      </c>
      <c r="AE4" s="48">
        <v>1811</v>
      </c>
      <c r="AF4" s="48">
        <v>1985</v>
      </c>
      <c r="AG4" s="48">
        <v>2636</v>
      </c>
      <c r="AH4" s="46"/>
      <c r="AI4" s="46"/>
      <c r="AJ4" s="46"/>
      <c r="AK4" s="46"/>
      <c r="AL4" s="46"/>
      <c r="AM4" s="46"/>
      <c r="AN4" s="46"/>
      <c r="AO4" s="46"/>
      <c r="AP4" s="46"/>
    </row>
    <row r="5" spans="2:241" s="11" customFormat="1" hidden="1" outlineLevel="1">
      <c r="B5" s="11" t="s">
        <v>145</v>
      </c>
      <c r="C5" s="46"/>
      <c r="D5" s="46"/>
      <c r="E5" s="46"/>
      <c r="F5" s="46"/>
      <c r="G5" s="46"/>
      <c r="H5" s="46"/>
      <c r="I5" s="46"/>
      <c r="J5" s="46"/>
      <c r="K5" s="46"/>
      <c r="L5" s="46"/>
      <c r="M5" s="46"/>
      <c r="N5" s="46"/>
      <c r="O5" s="46"/>
      <c r="P5" s="46"/>
      <c r="Q5" s="46"/>
      <c r="R5" s="46"/>
      <c r="S5" s="46"/>
      <c r="T5" s="46"/>
      <c r="U5" s="46"/>
      <c r="V5" s="46"/>
      <c r="W5" s="48">
        <v>1296</v>
      </c>
      <c r="X5" s="48">
        <v>166</v>
      </c>
      <c r="Y5" s="48">
        <v>1346</v>
      </c>
      <c r="Z5" s="48">
        <v>1355</v>
      </c>
      <c r="AA5" s="48">
        <v>1546</v>
      </c>
      <c r="AB5" s="48">
        <v>2067</v>
      </c>
      <c r="AC5" s="48">
        <v>1943</v>
      </c>
      <c r="AD5" s="48">
        <v>2039</v>
      </c>
      <c r="AE5" s="48">
        <v>2078</v>
      </c>
      <c r="AF5" s="48">
        <v>2778</v>
      </c>
      <c r="AG5" s="48">
        <v>2928</v>
      </c>
      <c r="AH5" s="46"/>
      <c r="AI5" s="46"/>
      <c r="AJ5" s="46"/>
      <c r="AK5" s="46"/>
      <c r="AL5" s="46"/>
      <c r="AM5" s="46"/>
      <c r="AN5" s="46"/>
      <c r="AO5" s="46"/>
      <c r="AP5" s="46"/>
    </row>
    <row r="6" spans="2:241" s="11" customFormat="1" hidden="1" outlineLevel="1">
      <c r="B6" s="11" t="s">
        <v>146</v>
      </c>
      <c r="C6" s="46"/>
      <c r="D6" s="46"/>
      <c r="E6" s="46"/>
      <c r="F6" s="46"/>
      <c r="G6" s="46"/>
      <c r="H6" s="46"/>
      <c r="I6" s="46"/>
      <c r="J6" s="46"/>
      <c r="K6" s="46"/>
      <c r="L6" s="46"/>
      <c r="M6" s="46"/>
      <c r="N6" s="46"/>
      <c r="O6" s="46"/>
      <c r="P6" s="46"/>
      <c r="Q6" s="46"/>
      <c r="R6" s="46"/>
      <c r="S6" s="46"/>
      <c r="T6" s="46"/>
      <c r="U6" s="46"/>
      <c r="V6" s="46"/>
      <c r="W6" s="48">
        <v>1160</v>
      </c>
      <c r="X6" s="48">
        <v>1251</v>
      </c>
      <c r="Y6" s="48">
        <v>1257</v>
      </c>
      <c r="Z6" s="48">
        <v>1268</v>
      </c>
      <c r="AA6" s="48">
        <v>1393</v>
      </c>
      <c r="AB6" s="48">
        <v>1770</v>
      </c>
      <c r="AC6" s="48">
        <v>1799</v>
      </c>
      <c r="AD6" s="48">
        <v>1800</v>
      </c>
      <c r="AE6" s="48">
        <v>1941</v>
      </c>
      <c r="AF6" s="48">
        <v>2386</v>
      </c>
      <c r="AG6" s="48">
        <v>2759</v>
      </c>
      <c r="AH6" s="46"/>
      <c r="AI6" s="46"/>
      <c r="AJ6" s="46"/>
      <c r="AK6" s="46"/>
      <c r="AL6" s="46"/>
      <c r="AM6" s="46"/>
      <c r="AN6" s="46"/>
      <c r="AO6" s="46"/>
      <c r="AP6" s="46"/>
    </row>
    <row r="7" spans="2:241" s="11" customFormat="1" hidden="1" outlineLevel="1">
      <c r="B7" s="12" t="s">
        <v>97</v>
      </c>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row>
    <row r="8" spans="2:241" s="11" customFormat="1" hidden="1" outlineLevel="1">
      <c r="B8" s="14" t="s">
        <v>75</v>
      </c>
      <c r="C8" s="48"/>
      <c r="D8" s="48"/>
      <c r="E8" s="48"/>
      <c r="F8" s="48"/>
      <c r="G8" s="48"/>
      <c r="H8" s="48"/>
      <c r="I8" s="48"/>
      <c r="J8" s="48"/>
      <c r="K8" s="48">
        <v>142</v>
      </c>
      <c r="L8" s="48">
        <v>147</v>
      </c>
      <c r="M8" s="48">
        <v>137</v>
      </c>
      <c r="N8" s="48">
        <v>164</v>
      </c>
      <c r="O8" s="48">
        <v>126</v>
      </c>
      <c r="P8" s="48">
        <v>147</v>
      </c>
      <c r="Q8" s="48">
        <v>146</v>
      </c>
      <c r="R8" s="48"/>
      <c r="S8" s="63"/>
      <c r="T8" s="63"/>
      <c r="U8" s="63"/>
      <c r="V8" s="47"/>
      <c r="W8" s="47"/>
      <c r="X8" s="47"/>
      <c r="Y8" s="47"/>
      <c r="Z8" s="47"/>
      <c r="AA8" s="48"/>
      <c r="AB8" s="48"/>
      <c r="AC8" s="48"/>
      <c r="AD8" s="48"/>
      <c r="AE8" s="48"/>
      <c r="AF8" s="62">
        <f>SUM(K8:N8)</f>
        <v>590</v>
      </c>
      <c r="AG8" s="62">
        <f>SUM(O8:R8)</f>
        <v>419</v>
      </c>
      <c r="AH8" s="48"/>
      <c r="AI8" s="48"/>
      <c r="AJ8" s="48"/>
      <c r="AK8" s="48"/>
      <c r="AL8" s="48"/>
      <c r="AM8" s="48"/>
      <c r="AN8" s="48"/>
      <c r="AO8" s="48"/>
      <c r="AP8" s="48"/>
    </row>
    <row r="9" spans="2:241" s="11" customFormat="1" hidden="1" outlineLevel="1">
      <c r="B9" s="14" t="s">
        <v>83</v>
      </c>
      <c r="C9" s="48"/>
      <c r="D9" s="48"/>
      <c r="E9" s="48"/>
      <c r="F9" s="48"/>
      <c r="G9" s="48"/>
      <c r="H9" s="48"/>
      <c r="I9" s="48"/>
      <c r="J9" s="48"/>
      <c r="K9" s="48">
        <v>90</v>
      </c>
      <c r="L9" s="48">
        <v>99</v>
      </c>
      <c r="M9" s="48">
        <v>102</v>
      </c>
      <c r="N9" s="48">
        <v>117</v>
      </c>
      <c r="O9" s="48">
        <v>78</v>
      </c>
      <c r="P9" s="48">
        <v>90</v>
      </c>
      <c r="Q9" s="48">
        <v>100</v>
      </c>
      <c r="R9" s="48"/>
      <c r="S9" s="63"/>
      <c r="T9" s="63"/>
      <c r="U9" s="63"/>
      <c r="V9" s="47"/>
      <c r="W9" s="47"/>
      <c r="X9" s="47"/>
      <c r="Y9" s="47"/>
      <c r="Z9" s="47"/>
      <c r="AA9" s="48"/>
      <c r="AB9" s="48"/>
      <c r="AC9" s="48"/>
      <c r="AD9" s="48"/>
      <c r="AE9" s="48"/>
      <c r="AF9" s="62">
        <f t="shared" ref="AF9:AF25" si="6">SUM(K9:N9)</f>
        <v>408</v>
      </c>
      <c r="AG9" s="62">
        <f t="shared" ref="AG9:AG25" si="7">SUM(O9:R9)</f>
        <v>268</v>
      </c>
      <c r="AH9" s="48"/>
      <c r="AI9" s="48"/>
      <c r="AJ9" s="48"/>
      <c r="AK9" s="48"/>
      <c r="AL9" s="48"/>
      <c r="AM9" s="48"/>
      <c r="AN9" s="48"/>
      <c r="AO9" s="48"/>
      <c r="AP9" s="48"/>
    </row>
    <row r="10" spans="2:241" s="11" customFormat="1" hidden="1" outlineLevel="1">
      <c r="B10" s="14" t="s">
        <v>84</v>
      </c>
      <c r="C10" s="48"/>
      <c r="D10" s="48"/>
      <c r="E10" s="48"/>
      <c r="F10" s="48"/>
      <c r="G10" s="48"/>
      <c r="H10" s="48"/>
      <c r="I10" s="48"/>
      <c r="J10" s="48"/>
      <c r="K10" s="48">
        <v>122</v>
      </c>
      <c r="L10" s="48">
        <v>117</v>
      </c>
      <c r="M10" s="48">
        <v>115</v>
      </c>
      <c r="N10" s="48">
        <v>110</v>
      </c>
      <c r="O10" s="48">
        <v>103</v>
      </c>
      <c r="P10" s="48">
        <v>104</v>
      </c>
      <c r="Q10" s="48">
        <v>97</v>
      </c>
      <c r="R10" s="48"/>
      <c r="S10" s="63"/>
      <c r="T10" s="63"/>
      <c r="U10" s="63"/>
      <c r="V10" s="47"/>
      <c r="W10" s="47"/>
      <c r="X10" s="47"/>
      <c r="Y10" s="47"/>
      <c r="Z10" s="47"/>
      <c r="AA10" s="48"/>
      <c r="AB10" s="48"/>
      <c r="AC10" s="48"/>
      <c r="AD10" s="48"/>
      <c r="AE10" s="48"/>
      <c r="AF10" s="62">
        <f t="shared" si="6"/>
        <v>464</v>
      </c>
      <c r="AG10" s="62">
        <f t="shared" si="7"/>
        <v>304</v>
      </c>
      <c r="AH10" s="48"/>
      <c r="AI10" s="48"/>
      <c r="AJ10" s="48"/>
      <c r="AK10" s="48"/>
      <c r="AL10" s="48"/>
      <c r="AM10" s="48"/>
      <c r="AN10" s="48"/>
      <c r="AO10" s="48"/>
      <c r="AP10" s="48"/>
    </row>
    <row r="11" spans="2:241" s="11" customFormat="1" hidden="1" outlineLevel="1">
      <c r="B11" s="14" t="s">
        <v>85</v>
      </c>
      <c r="C11" s="48"/>
      <c r="D11" s="48"/>
      <c r="E11" s="48"/>
      <c r="F11" s="48"/>
      <c r="G11" s="48"/>
      <c r="H11" s="48"/>
      <c r="I11" s="48"/>
      <c r="J11" s="48"/>
      <c r="K11" s="48">
        <v>181</v>
      </c>
      <c r="L11" s="48">
        <v>141</v>
      </c>
      <c r="M11" s="48">
        <v>129</v>
      </c>
      <c r="N11" s="48">
        <v>163</v>
      </c>
      <c r="O11" s="48">
        <v>164</v>
      </c>
      <c r="P11" s="48">
        <v>160</v>
      </c>
      <c r="Q11" s="48">
        <v>129</v>
      </c>
      <c r="R11" s="48"/>
      <c r="S11" s="63"/>
      <c r="T11" s="63"/>
      <c r="U11" s="63"/>
      <c r="V11" s="47"/>
      <c r="W11" s="47"/>
      <c r="X11" s="47"/>
      <c r="Y11" s="47"/>
      <c r="Z11" s="47"/>
      <c r="AA11" s="48"/>
      <c r="AB11" s="48"/>
      <c r="AC11" s="48"/>
      <c r="AD11" s="48"/>
      <c r="AE11" s="48"/>
      <c r="AF11" s="62">
        <f t="shared" si="6"/>
        <v>614</v>
      </c>
      <c r="AG11" s="62">
        <f t="shared" si="7"/>
        <v>453</v>
      </c>
      <c r="AH11" s="48"/>
      <c r="AI11" s="48"/>
      <c r="AJ11" s="48"/>
      <c r="AK11" s="48"/>
      <c r="AL11" s="48"/>
      <c r="AM11" s="48"/>
      <c r="AN11" s="48"/>
      <c r="AO11" s="48"/>
      <c r="AP11" s="48"/>
    </row>
    <row r="12" spans="2:241" s="11" customFormat="1" hidden="1" outlineLevel="1">
      <c r="B12" s="14" t="s">
        <v>86</v>
      </c>
      <c r="C12" s="48"/>
      <c r="D12" s="48"/>
      <c r="E12" s="48"/>
      <c r="F12" s="48"/>
      <c r="G12" s="48"/>
      <c r="H12" s="48"/>
      <c r="I12" s="48"/>
      <c r="J12" s="48"/>
      <c r="K12" s="48">
        <v>190</v>
      </c>
      <c r="L12" s="48">
        <v>184</v>
      </c>
      <c r="M12" s="48">
        <v>213</v>
      </c>
      <c r="N12" s="48">
        <v>211</v>
      </c>
      <c r="O12" s="48">
        <v>205</v>
      </c>
      <c r="P12" s="48">
        <v>197</v>
      </c>
      <c r="Q12" s="48">
        <v>145</v>
      </c>
      <c r="R12" s="48"/>
      <c r="S12" s="63"/>
      <c r="T12" s="63"/>
      <c r="U12" s="63"/>
      <c r="V12" s="47"/>
      <c r="W12" s="47"/>
      <c r="X12" s="47"/>
      <c r="Y12" s="47"/>
      <c r="Z12" s="47"/>
      <c r="AA12" s="48"/>
      <c r="AB12" s="48"/>
      <c r="AC12" s="48"/>
      <c r="AD12" s="48"/>
      <c r="AE12" s="48"/>
      <c r="AF12" s="62">
        <f t="shared" si="6"/>
        <v>798</v>
      </c>
      <c r="AG12" s="62">
        <f t="shared" si="7"/>
        <v>547</v>
      </c>
      <c r="AH12" s="48"/>
      <c r="AI12" s="48"/>
      <c r="AJ12" s="48"/>
      <c r="AK12" s="48"/>
      <c r="AL12" s="48"/>
      <c r="AM12" s="48"/>
      <c r="AN12" s="48"/>
      <c r="AO12" s="48"/>
      <c r="AP12" s="48"/>
    </row>
    <row r="13" spans="2:241" s="11" customFormat="1" hidden="1" outlineLevel="1">
      <c r="B13" s="14" t="s">
        <v>87</v>
      </c>
      <c r="C13" s="48"/>
      <c r="D13" s="48"/>
      <c r="E13" s="48"/>
      <c r="F13" s="48"/>
      <c r="G13" s="48"/>
      <c r="H13" s="48"/>
      <c r="I13" s="48"/>
      <c r="J13" s="48"/>
      <c r="K13" s="48"/>
      <c r="L13" s="48"/>
      <c r="M13" s="48"/>
      <c r="N13" s="48"/>
      <c r="O13" s="48"/>
      <c r="P13" s="48"/>
      <c r="Q13" s="48"/>
      <c r="R13" s="48"/>
      <c r="S13" s="63"/>
      <c r="T13" s="63"/>
      <c r="U13" s="63"/>
      <c r="V13" s="47"/>
      <c r="W13" s="47"/>
      <c r="X13" s="47"/>
      <c r="Y13" s="47"/>
      <c r="Z13" s="47"/>
      <c r="AA13" s="48"/>
      <c r="AB13" s="48"/>
      <c r="AC13" s="48"/>
      <c r="AD13" s="48"/>
      <c r="AE13" s="48"/>
      <c r="AF13" s="62">
        <f t="shared" si="6"/>
        <v>0</v>
      </c>
      <c r="AG13" s="62">
        <f t="shared" si="7"/>
        <v>0</v>
      </c>
      <c r="AH13" s="48"/>
      <c r="AI13" s="48"/>
      <c r="AJ13" s="48"/>
      <c r="AK13" s="48"/>
      <c r="AL13" s="48"/>
      <c r="AM13" s="48"/>
      <c r="AN13" s="48"/>
      <c r="AO13" s="48"/>
      <c r="AP13" s="48"/>
    </row>
    <row r="14" spans="2:241" s="11" customFormat="1" hidden="1" outlineLevel="1">
      <c r="B14" s="14" t="s">
        <v>88</v>
      </c>
      <c r="C14" s="48"/>
      <c r="D14" s="48"/>
      <c r="E14" s="48"/>
      <c r="F14" s="48"/>
      <c r="G14" s="48"/>
      <c r="H14" s="48"/>
      <c r="I14" s="48"/>
      <c r="J14" s="48"/>
      <c r="K14" s="48">
        <v>45</v>
      </c>
      <c r="L14" s="48">
        <v>64</v>
      </c>
      <c r="M14" s="48">
        <v>63</v>
      </c>
      <c r="N14" s="48">
        <v>127</v>
      </c>
      <c r="O14" s="48">
        <v>123</v>
      </c>
      <c r="P14" s="48">
        <v>148</v>
      </c>
      <c r="Q14" s="48">
        <v>88</v>
      </c>
      <c r="R14" s="48"/>
      <c r="S14" s="63"/>
      <c r="T14" s="63"/>
      <c r="U14" s="63"/>
      <c r="V14" s="47"/>
      <c r="W14" s="47"/>
      <c r="X14" s="47"/>
      <c r="Y14" s="47"/>
      <c r="Z14" s="47"/>
      <c r="AA14" s="48"/>
      <c r="AB14" s="48"/>
      <c r="AC14" s="48"/>
      <c r="AD14" s="48"/>
      <c r="AE14" s="48"/>
      <c r="AF14" s="62">
        <f t="shared" si="6"/>
        <v>299</v>
      </c>
      <c r="AG14" s="62">
        <f t="shared" si="7"/>
        <v>359</v>
      </c>
      <c r="AH14" s="48"/>
      <c r="AI14" s="48"/>
      <c r="AJ14" s="48"/>
      <c r="AK14" s="48"/>
      <c r="AL14" s="48"/>
      <c r="AM14" s="48"/>
      <c r="AN14" s="48"/>
      <c r="AO14" s="48"/>
      <c r="AP14" s="48"/>
    </row>
    <row r="15" spans="2:241" s="11" customFormat="1" hidden="1" outlineLevel="1">
      <c r="B15" s="14" t="s">
        <v>89</v>
      </c>
      <c r="C15" s="48"/>
      <c r="D15" s="48"/>
      <c r="E15" s="48"/>
      <c r="F15" s="48"/>
      <c r="G15" s="48"/>
      <c r="H15" s="48"/>
      <c r="I15" s="48"/>
      <c r="J15" s="48"/>
      <c r="K15" s="48">
        <v>81</v>
      </c>
      <c r="L15" s="48">
        <v>19</v>
      </c>
      <c r="M15" s="48">
        <v>60</v>
      </c>
      <c r="N15" s="48">
        <v>78</v>
      </c>
      <c r="O15" s="48">
        <v>28</v>
      </c>
      <c r="P15" s="48">
        <v>42</v>
      </c>
      <c r="Q15" s="48">
        <v>68</v>
      </c>
      <c r="R15" s="48"/>
      <c r="S15" s="63"/>
      <c r="T15" s="63"/>
      <c r="U15" s="63"/>
      <c r="V15" s="47"/>
      <c r="W15" s="47"/>
      <c r="X15" s="47"/>
      <c r="Y15" s="47"/>
      <c r="Z15" s="47"/>
      <c r="AA15" s="48"/>
      <c r="AB15" s="48"/>
      <c r="AC15" s="48"/>
      <c r="AD15" s="48"/>
      <c r="AE15" s="48"/>
      <c r="AF15" s="62">
        <f t="shared" si="6"/>
        <v>238</v>
      </c>
      <c r="AG15" s="62">
        <f t="shared" si="7"/>
        <v>138</v>
      </c>
      <c r="AH15" s="48"/>
      <c r="AI15" s="48"/>
      <c r="AJ15" s="48"/>
      <c r="AK15" s="48"/>
      <c r="AL15" s="48"/>
      <c r="AM15" s="48"/>
      <c r="AN15" s="48"/>
      <c r="AO15" s="48"/>
      <c r="AP15" s="48"/>
    </row>
    <row r="16" spans="2:241" s="11" customFormat="1" hidden="1" outlineLevel="1">
      <c r="B16" s="14" t="s">
        <v>90</v>
      </c>
      <c r="C16" s="48"/>
      <c r="D16" s="48"/>
      <c r="E16" s="48"/>
      <c r="F16" s="48"/>
      <c r="G16" s="48"/>
      <c r="H16" s="48"/>
      <c r="I16" s="48"/>
      <c r="J16" s="48"/>
      <c r="K16" s="48">
        <v>91</v>
      </c>
      <c r="L16" s="48">
        <v>78</v>
      </c>
      <c r="M16" s="48">
        <v>93</v>
      </c>
      <c r="N16" s="48">
        <v>92</v>
      </c>
      <c r="O16" s="48">
        <v>105</v>
      </c>
      <c r="P16" s="48">
        <v>131</v>
      </c>
      <c r="Q16" s="48">
        <v>152</v>
      </c>
      <c r="R16" s="48"/>
      <c r="S16" s="63"/>
      <c r="T16" s="63"/>
      <c r="U16" s="63"/>
      <c r="V16" s="47"/>
      <c r="W16" s="47"/>
      <c r="X16" s="47"/>
      <c r="Y16" s="47"/>
      <c r="Z16" s="47"/>
      <c r="AA16" s="48"/>
      <c r="AB16" s="48"/>
      <c r="AC16" s="48"/>
      <c r="AD16" s="48"/>
      <c r="AE16" s="48"/>
      <c r="AF16" s="62">
        <f t="shared" si="6"/>
        <v>354</v>
      </c>
      <c r="AG16" s="62">
        <f t="shared" si="7"/>
        <v>388</v>
      </c>
      <c r="AH16" s="48"/>
      <c r="AI16" s="48"/>
      <c r="AJ16" s="48"/>
      <c r="AK16" s="48"/>
      <c r="AL16" s="48"/>
      <c r="AM16" s="48"/>
      <c r="AN16" s="48"/>
      <c r="AO16" s="48"/>
      <c r="AP16" s="48"/>
    </row>
    <row r="17" spans="2:42" s="11" customFormat="1" hidden="1" outlineLevel="1">
      <c r="B17" s="14" t="s">
        <v>91</v>
      </c>
      <c r="C17" s="48"/>
      <c r="D17" s="48"/>
      <c r="E17" s="48"/>
      <c r="F17" s="48"/>
      <c r="G17" s="48"/>
      <c r="H17" s="48"/>
      <c r="I17" s="48"/>
      <c r="J17" s="48"/>
      <c r="K17" s="48">
        <v>57</v>
      </c>
      <c r="L17" s="48">
        <v>46</v>
      </c>
      <c r="M17" s="48">
        <v>43</v>
      </c>
      <c r="N17" s="48">
        <v>59</v>
      </c>
      <c r="O17" s="48">
        <v>47</v>
      </c>
      <c r="P17" s="48">
        <v>40</v>
      </c>
      <c r="Q17" s="48">
        <v>35</v>
      </c>
      <c r="R17" s="48"/>
      <c r="S17" s="63"/>
      <c r="T17" s="63"/>
      <c r="U17" s="63"/>
      <c r="V17" s="47"/>
      <c r="W17" s="47"/>
      <c r="X17" s="47"/>
      <c r="Y17" s="47"/>
      <c r="Z17" s="47"/>
      <c r="AA17" s="48"/>
      <c r="AB17" s="48"/>
      <c r="AC17" s="48"/>
      <c r="AD17" s="48"/>
      <c r="AE17" s="48"/>
      <c r="AF17" s="62">
        <f t="shared" si="6"/>
        <v>205</v>
      </c>
      <c r="AG17" s="62">
        <f t="shared" si="7"/>
        <v>122</v>
      </c>
      <c r="AH17" s="48"/>
      <c r="AI17" s="48"/>
      <c r="AJ17" s="48"/>
      <c r="AK17" s="48"/>
      <c r="AL17" s="48"/>
      <c r="AM17" s="48"/>
      <c r="AN17" s="48"/>
      <c r="AO17" s="48"/>
      <c r="AP17" s="48"/>
    </row>
    <row r="18" spans="2:42" s="11" customFormat="1" hidden="1" outlineLevel="1">
      <c r="B18" s="14" t="s">
        <v>92</v>
      </c>
      <c r="C18" s="48"/>
      <c r="D18" s="48"/>
      <c r="E18" s="48"/>
      <c r="F18" s="48"/>
      <c r="G18" s="48"/>
      <c r="H18" s="48"/>
      <c r="I18" s="48"/>
      <c r="J18" s="48"/>
      <c r="K18" s="48">
        <v>37</v>
      </c>
      <c r="L18" s="48">
        <v>60</v>
      </c>
      <c r="M18" s="48">
        <v>89</v>
      </c>
      <c r="N18" s="48">
        <v>72</v>
      </c>
      <c r="O18" s="48">
        <v>41</v>
      </c>
      <c r="P18" s="48">
        <v>50</v>
      </c>
      <c r="Q18" s="48">
        <v>79</v>
      </c>
      <c r="R18" s="48"/>
      <c r="S18" s="63"/>
      <c r="T18" s="63"/>
      <c r="U18" s="63"/>
      <c r="V18" s="47"/>
      <c r="W18" s="47"/>
      <c r="X18" s="47"/>
      <c r="Y18" s="47"/>
      <c r="Z18" s="47"/>
      <c r="AA18" s="48"/>
      <c r="AB18" s="48"/>
      <c r="AC18" s="48"/>
      <c r="AD18" s="48"/>
      <c r="AE18" s="48"/>
      <c r="AF18" s="62">
        <f t="shared" si="6"/>
        <v>258</v>
      </c>
      <c r="AG18" s="62">
        <f t="shared" si="7"/>
        <v>170</v>
      </c>
      <c r="AH18" s="48"/>
      <c r="AI18" s="48"/>
      <c r="AJ18" s="48"/>
      <c r="AK18" s="48"/>
      <c r="AL18" s="48"/>
      <c r="AM18" s="48"/>
      <c r="AN18" s="48"/>
      <c r="AO18" s="48"/>
      <c r="AP18" s="48"/>
    </row>
    <row r="19" spans="2:42" s="11" customFormat="1" hidden="1" outlineLevel="1">
      <c r="B19" s="14" t="s">
        <v>93</v>
      </c>
      <c r="C19" s="48"/>
      <c r="D19" s="48"/>
      <c r="E19" s="48"/>
      <c r="F19" s="48"/>
      <c r="G19" s="48"/>
      <c r="H19" s="48"/>
      <c r="I19" s="48"/>
      <c r="J19" s="48"/>
      <c r="K19" s="48">
        <v>6</v>
      </c>
      <c r="L19" s="48">
        <v>9</v>
      </c>
      <c r="M19" s="48">
        <v>9</v>
      </c>
      <c r="N19" s="48">
        <v>16</v>
      </c>
      <c r="O19" s="48">
        <v>14</v>
      </c>
      <c r="P19" s="48">
        <v>15</v>
      </c>
      <c r="Q19" s="48">
        <v>15</v>
      </c>
      <c r="R19" s="48"/>
      <c r="S19" s="63"/>
      <c r="T19" s="63"/>
      <c r="U19" s="63"/>
      <c r="V19" s="47"/>
      <c r="W19" s="47"/>
      <c r="X19" s="47"/>
      <c r="Y19" s="47"/>
      <c r="Z19" s="47"/>
      <c r="AA19" s="48"/>
      <c r="AB19" s="48"/>
      <c r="AC19" s="48"/>
      <c r="AD19" s="48"/>
      <c r="AE19" s="48"/>
      <c r="AF19" s="62">
        <f t="shared" si="6"/>
        <v>40</v>
      </c>
      <c r="AG19" s="62">
        <f t="shared" si="7"/>
        <v>44</v>
      </c>
      <c r="AH19" s="48"/>
      <c r="AI19" s="48"/>
      <c r="AJ19" s="48"/>
      <c r="AK19" s="48"/>
      <c r="AL19" s="48"/>
      <c r="AM19" s="48"/>
      <c r="AN19" s="48"/>
      <c r="AO19" s="48"/>
      <c r="AP19" s="48"/>
    </row>
    <row r="20" spans="2:42" s="11" customFormat="1" hidden="1" outlineLevel="1">
      <c r="B20" s="14" t="s">
        <v>131</v>
      </c>
      <c r="C20" s="48"/>
      <c r="D20" s="48"/>
      <c r="E20" s="48"/>
      <c r="F20" s="48"/>
      <c r="G20" s="48"/>
      <c r="H20" s="48"/>
      <c r="I20" s="48"/>
      <c r="J20" s="48"/>
      <c r="K20" s="48">
        <v>264</v>
      </c>
      <c r="L20" s="48">
        <v>253</v>
      </c>
      <c r="M20" s="48">
        <v>242</v>
      </c>
      <c r="N20" s="48">
        <v>280</v>
      </c>
      <c r="O20" s="48">
        <v>216</v>
      </c>
      <c r="P20" s="48">
        <v>239</v>
      </c>
      <c r="Q20" s="48">
        <v>251</v>
      </c>
      <c r="R20" s="48"/>
      <c r="S20" s="63"/>
      <c r="T20" s="63"/>
      <c r="U20" s="63"/>
      <c r="V20" s="47"/>
      <c r="W20" s="47"/>
      <c r="X20" s="47"/>
      <c r="Y20" s="47"/>
      <c r="Z20" s="47"/>
      <c r="AA20" s="48"/>
      <c r="AB20" s="48"/>
      <c r="AC20" s="48"/>
      <c r="AD20" s="48"/>
      <c r="AE20" s="48"/>
      <c r="AF20" s="62">
        <f t="shared" si="6"/>
        <v>1039</v>
      </c>
      <c r="AG20" s="62">
        <f t="shared" si="7"/>
        <v>706</v>
      </c>
      <c r="AH20" s="48"/>
      <c r="AI20" s="48"/>
      <c r="AJ20" s="48"/>
      <c r="AK20" s="48"/>
      <c r="AL20" s="48"/>
      <c r="AM20" s="48"/>
      <c r="AN20" s="48"/>
      <c r="AO20" s="48"/>
      <c r="AP20" s="48"/>
    </row>
    <row r="21" spans="2:42" s="11" customFormat="1" hidden="1" outlineLevel="1">
      <c r="B21" s="14" t="s">
        <v>132</v>
      </c>
      <c r="C21" s="48"/>
      <c r="D21" s="48"/>
      <c r="E21" s="48"/>
      <c r="F21" s="48"/>
      <c r="G21" s="48"/>
      <c r="H21" s="48"/>
      <c r="I21" s="48"/>
      <c r="J21" s="48"/>
      <c r="K21" s="48">
        <v>54</v>
      </c>
      <c r="L21" s="48">
        <v>53</v>
      </c>
      <c r="M21" s="48">
        <v>66</v>
      </c>
      <c r="N21" s="48">
        <v>62</v>
      </c>
      <c r="O21" s="48">
        <v>49</v>
      </c>
      <c r="P21" s="48">
        <v>63</v>
      </c>
      <c r="Q21" s="48">
        <v>72</v>
      </c>
      <c r="R21" s="48"/>
      <c r="S21" s="63"/>
      <c r="T21" s="63"/>
      <c r="U21" s="63"/>
      <c r="V21" s="47"/>
      <c r="W21" s="47"/>
      <c r="X21" s="47"/>
      <c r="Y21" s="47"/>
      <c r="Z21" s="47"/>
      <c r="AA21" s="48"/>
      <c r="AB21" s="48"/>
      <c r="AC21" s="48"/>
      <c r="AD21" s="48"/>
      <c r="AE21" s="48"/>
      <c r="AF21" s="62">
        <f t="shared" si="6"/>
        <v>235</v>
      </c>
      <c r="AG21" s="62">
        <f t="shared" si="7"/>
        <v>184</v>
      </c>
      <c r="AH21" s="48"/>
      <c r="AI21" s="48"/>
      <c r="AJ21" s="48"/>
      <c r="AK21" s="48"/>
      <c r="AL21" s="48"/>
      <c r="AM21" s="48"/>
      <c r="AN21" s="48"/>
      <c r="AO21" s="48"/>
      <c r="AP21" s="48"/>
    </row>
    <row r="22" spans="2:42" s="11" customFormat="1" hidden="1" outlineLevel="1">
      <c r="B22" s="14" t="s">
        <v>133</v>
      </c>
      <c r="C22" s="48"/>
      <c r="D22" s="48"/>
      <c r="E22" s="48"/>
      <c r="F22" s="48"/>
      <c r="G22" s="48"/>
      <c r="H22" s="48"/>
      <c r="I22" s="48"/>
      <c r="J22" s="48"/>
      <c r="K22" s="48">
        <v>21</v>
      </c>
      <c r="L22" s="48">
        <v>35</v>
      </c>
      <c r="M22" s="48">
        <v>43</v>
      </c>
      <c r="N22" s="48">
        <v>39</v>
      </c>
      <c r="O22" s="48">
        <v>43</v>
      </c>
      <c r="P22" s="48">
        <v>38</v>
      </c>
      <c r="Q22" s="48">
        <v>44</v>
      </c>
      <c r="R22" s="48"/>
      <c r="S22" s="63"/>
      <c r="T22" s="63"/>
      <c r="U22" s="63"/>
      <c r="V22" s="47"/>
      <c r="W22" s="47"/>
      <c r="X22" s="47"/>
      <c r="Y22" s="47"/>
      <c r="Z22" s="47"/>
      <c r="AA22" s="48"/>
      <c r="AB22" s="48"/>
      <c r="AC22" s="48"/>
      <c r="AD22" s="48"/>
      <c r="AE22" s="48"/>
      <c r="AF22" s="62">
        <f t="shared" si="6"/>
        <v>138</v>
      </c>
      <c r="AG22" s="62">
        <f t="shared" si="7"/>
        <v>125</v>
      </c>
      <c r="AH22" s="48"/>
      <c r="AI22" s="48"/>
      <c r="AJ22" s="48"/>
      <c r="AK22" s="48"/>
      <c r="AL22" s="48"/>
      <c r="AM22" s="48"/>
      <c r="AN22" s="48"/>
      <c r="AO22" s="48"/>
      <c r="AP22" s="48"/>
    </row>
    <row r="23" spans="2:42" s="17" customFormat="1" hidden="1" outlineLevel="1">
      <c r="B23" s="15" t="s">
        <v>94</v>
      </c>
      <c r="C23" s="49"/>
      <c r="D23" s="49"/>
      <c r="E23" s="49"/>
      <c r="F23" s="49"/>
      <c r="G23" s="49"/>
      <c r="H23" s="49"/>
      <c r="I23" s="49"/>
      <c r="J23" s="49"/>
      <c r="K23" s="49">
        <f t="shared" ref="K23:Q23" si="8">SUM(K8:K19,K20:K22)</f>
        <v>1381</v>
      </c>
      <c r="L23" s="49">
        <f t="shared" si="8"/>
        <v>1305</v>
      </c>
      <c r="M23" s="49">
        <f t="shared" si="8"/>
        <v>1404</v>
      </c>
      <c r="N23" s="49">
        <f t="shared" si="8"/>
        <v>1590</v>
      </c>
      <c r="O23" s="49">
        <f t="shared" si="8"/>
        <v>1342</v>
      </c>
      <c r="P23" s="49">
        <f t="shared" si="8"/>
        <v>1464</v>
      </c>
      <c r="Q23" s="49">
        <f t="shared" si="8"/>
        <v>1421</v>
      </c>
      <c r="R23" s="49"/>
      <c r="S23" s="64"/>
      <c r="T23" s="64"/>
      <c r="U23" s="64"/>
      <c r="V23" s="65"/>
      <c r="W23" s="65"/>
      <c r="X23" s="65"/>
      <c r="Y23" s="65"/>
      <c r="Z23" s="65"/>
      <c r="AA23" s="50"/>
      <c r="AB23" s="50"/>
      <c r="AC23" s="50"/>
      <c r="AD23" s="50"/>
      <c r="AE23" s="50"/>
      <c r="AF23" s="62">
        <f t="shared" si="6"/>
        <v>5680</v>
      </c>
      <c r="AG23" s="62">
        <f t="shared" si="7"/>
        <v>4227</v>
      </c>
      <c r="AH23" s="50"/>
      <c r="AI23" s="50"/>
      <c r="AJ23" s="50"/>
      <c r="AK23" s="50"/>
      <c r="AL23" s="50"/>
      <c r="AM23" s="50"/>
      <c r="AN23" s="50"/>
      <c r="AO23" s="50"/>
      <c r="AP23" s="50"/>
    </row>
    <row r="24" spans="2:42" s="11" customFormat="1" hidden="1" outlineLevel="1">
      <c r="B24" s="14" t="s">
        <v>95</v>
      </c>
      <c r="C24" s="48"/>
      <c r="D24" s="48"/>
      <c r="E24" s="48"/>
      <c r="F24" s="48"/>
      <c r="G24" s="48"/>
      <c r="H24" s="48"/>
      <c r="I24" s="48"/>
      <c r="J24" s="48"/>
      <c r="K24" s="48">
        <v>294</v>
      </c>
      <c r="L24" s="48">
        <v>302</v>
      </c>
      <c r="M24" s="48">
        <v>264</v>
      </c>
      <c r="N24" s="48">
        <v>309</v>
      </c>
      <c r="O24" s="48">
        <v>195</v>
      </c>
      <c r="P24" s="48">
        <v>14</v>
      </c>
      <c r="Q24" s="48">
        <v>0</v>
      </c>
      <c r="R24" s="48"/>
      <c r="S24" s="63"/>
      <c r="T24" s="63"/>
      <c r="U24" s="63"/>
      <c r="V24" s="47"/>
      <c r="W24" s="47"/>
      <c r="X24" s="47"/>
      <c r="Y24" s="47"/>
      <c r="Z24" s="47"/>
      <c r="AA24" s="53"/>
      <c r="AB24" s="53"/>
      <c r="AC24" s="53"/>
      <c r="AD24" s="53"/>
      <c r="AE24" s="53"/>
      <c r="AF24" s="62">
        <f t="shared" si="6"/>
        <v>1169</v>
      </c>
      <c r="AG24" s="62">
        <f t="shared" si="7"/>
        <v>209</v>
      </c>
      <c r="AH24" s="53"/>
      <c r="AI24" s="53"/>
      <c r="AJ24" s="53"/>
      <c r="AK24" s="53"/>
      <c r="AL24" s="53"/>
      <c r="AM24" s="53"/>
      <c r="AN24" s="53"/>
      <c r="AO24" s="53"/>
      <c r="AP24" s="53"/>
    </row>
    <row r="25" spans="2:42" s="17" customFormat="1" hidden="1" outlineLevel="1">
      <c r="B25" s="16" t="s">
        <v>96</v>
      </c>
      <c r="C25" s="50"/>
      <c r="D25" s="50"/>
      <c r="E25" s="50"/>
      <c r="F25" s="50"/>
      <c r="G25" s="50"/>
      <c r="H25" s="50"/>
      <c r="I25" s="50"/>
      <c r="J25" s="50"/>
      <c r="K25" s="50">
        <f>SUM(K23:K24)</f>
        <v>1675</v>
      </c>
      <c r="L25" s="50">
        <f t="shared" ref="L25:Q25" si="9">SUM(L23:L24)</f>
        <v>1607</v>
      </c>
      <c r="M25" s="50">
        <f t="shared" si="9"/>
        <v>1668</v>
      </c>
      <c r="N25" s="50">
        <f t="shared" si="9"/>
        <v>1899</v>
      </c>
      <c r="O25" s="50">
        <f t="shared" si="9"/>
        <v>1537</v>
      </c>
      <c r="P25" s="50">
        <f t="shared" si="9"/>
        <v>1478</v>
      </c>
      <c r="Q25" s="50">
        <f t="shared" si="9"/>
        <v>1421</v>
      </c>
      <c r="R25" s="50"/>
      <c r="S25" s="64"/>
      <c r="T25" s="64"/>
      <c r="U25" s="64"/>
      <c r="V25" s="65"/>
      <c r="W25" s="65"/>
      <c r="X25" s="65"/>
      <c r="Y25" s="65"/>
      <c r="Z25" s="65"/>
      <c r="AA25" s="50"/>
      <c r="AB25" s="50"/>
      <c r="AC25" s="50"/>
      <c r="AD25" s="50">
        <v>5956</v>
      </c>
      <c r="AE25" s="50">
        <v>5554</v>
      </c>
      <c r="AF25" s="62">
        <f t="shared" si="6"/>
        <v>6849</v>
      </c>
      <c r="AG25" s="62">
        <f t="shared" si="7"/>
        <v>4436</v>
      </c>
      <c r="AH25" s="50"/>
      <c r="AI25" s="50"/>
      <c r="AJ25" s="50"/>
      <c r="AK25" s="50"/>
      <c r="AL25" s="50"/>
      <c r="AM25" s="50"/>
      <c r="AN25" s="50"/>
      <c r="AO25" s="50"/>
      <c r="AP25" s="50"/>
    </row>
    <row r="26" spans="2:42" s="11" customFormat="1" collapsed="1">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row>
    <row r="27" spans="2:42" s="11" customFormat="1">
      <c r="B27" s="43" t="s">
        <v>262</v>
      </c>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row>
    <row r="28" spans="2:42">
      <c r="B28" s="14" t="s">
        <v>82</v>
      </c>
      <c r="C28" s="48"/>
      <c r="D28" s="48"/>
      <c r="E28" s="48"/>
      <c r="F28" s="48"/>
      <c r="G28" s="48">
        <v>1188</v>
      </c>
      <c r="H28" s="48">
        <v>1197</v>
      </c>
      <c r="I28" s="48">
        <v>1229</v>
      </c>
      <c r="J28" s="48">
        <v>1726</v>
      </c>
      <c r="K28" s="48">
        <v>1599</v>
      </c>
      <c r="L28" s="48">
        <v>1543</v>
      </c>
      <c r="M28" s="48">
        <v>1568</v>
      </c>
      <c r="N28" s="48">
        <f>+AF28-SUM(K28:M28)</f>
        <v>1829</v>
      </c>
      <c r="O28" s="48">
        <v>1442</v>
      </c>
      <c r="P28" s="48">
        <v>1380</v>
      </c>
      <c r="Q28" s="48">
        <v>1319</v>
      </c>
      <c r="R28" s="48">
        <v>1600</v>
      </c>
      <c r="S28" s="63"/>
      <c r="T28" s="63"/>
      <c r="U28" s="63"/>
      <c r="AA28" s="48"/>
      <c r="AB28" s="48"/>
      <c r="AC28" s="48"/>
      <c r="AD28" s="48">
        <v>5812</v>
      </c>
      <c r="AE28" s="48">
        <v>5420</v>
      </c>
      <c r="AF28" s="48">
        <v>6539</v>
      </c>
      <c r="AG28" s="48">
        <f>+AF28*1.05</f>
        <v>6865.9500000000007</v>
      </c>
      <c r="AH28" s="48">
        <v>6800</v>
      </c>
      <c r="AI28" s="48">
        <v>6800</v>
      </c>
      <c r="AJ28" s="48">
        <v>6800</v>
      </c>
      <c r="AK28" s="48">
        <v>6800</v>
      </c>
      <c r="AL28" s="48">
        <v>6800</v>
      </c>
      <c r="AM28" s="48">
        <v>6800</v>
      </c>
      <c r="AN28" s="48">
        <v>6800</v>
      </c>
      <c r="AO28" s="48">
        <v>6800</v>
      </c>
      <c r="AP28" s="48">
        <v>6800</v>
      </c>
    </row>
    <row r="29" spans="2:42">
      <c r="B29" s="14" t="s">
        <v>256</v>
      </c>
      <c r="C29" s="48"/>
      <c r="D29" s="48"/>
      <c r="E29" s="48"/>
      <c r="F29" s="48"/>
      <c r="G29" s="48"/>
      <c r="H29" s="48"/>
      <c r="I29" s="48"/>
      <c r="J29" s="48"/>
      <c r="K29" s="48">
        <v>80</v>
      </c>
      <c r="L29" s="48">
        <v>84</v>
      </c>
      <c r="M29" s="48">
        <v>77</v>
      </c>
      <c r="N29" s="48">
        <f>+AF29-SUM(K29:M29)</f>
        <v>91</v>
      </c>
      <c r="O29" s="48">
        <v>76</v>
      </c>
      <c r="P29" s="48">
        <v>83</v>
      </c>
      <c r="Q29" s="48">
        <v>68</v>
      </c>
      <c r="R29" s="48">
        <f>+Q29*1.05</f>
        <v>71.400000000000006</v>
      </c>
      <c r="S29" s="63"/>
      <c r="T29" s="63"/>
      <c r="U29" s="63"/>
      <c r="AA29" s="48"/>
      <c r="AB29" s="48"/>
      <c r="AC29" s="48"/>
      <c r="AD29" s="48">
        <v>85</v>
      </c>
      <c r="AE29" s="48">
        <v>155</v>
      </c>
      <c r="AF29" s="48">
        <v>332</v>
      </c>
      <c r="AG29" s="48">
        <f>+AF29*1.05</f>
        <v>348.6</v>
      </c>
      <c r="AH29" s="48">
        <v>400</v>
      </c>
      <c r="AI29" s="48">
        <v>400</v>
      </c>
      <c r="AJ29" s="48">
        <v>400</v>
      </c>
      <c r="AK29" s="48">
        <v>400</v>
      </c>
      <c r="AL29" s="48">
        <v>400</v>
      </c>
      <c r="AM29" s="48">
        <v>400</v>
      </c>
      <c r="AN29" s="48">
        <v>400</v>
      </c>
      <c r="AO29" s="48">
        <v>400</v>
      </c>
      <c r="AP29" s="48">
        <v>400</v>
      </c>
    </row>
    <row r="30" spans="2:42">
      <c r="B30" s="14" t="s">
        <v>257</v>
      </c>
      <c r="C30" s="48"/>
      <c r="D30" s="48"/>
      <c r="E30" s="48"/>
      <c r="F30" s="48"/>
      <c r="G30" s="48"/>
      <c r="H30" s="48"/>
      <c r="I30" s="48"/>
      <c r="J30" s="48"/>
      <c r="K30" s="48">
        <v>10</v>
      </c>
      <c r="L30" s="48">
        <v>8</v>
      </c>
      <c r="M30" s="48">
        <v>6</v>
      </c>
      <c r="N30" s="48">
        <f>+AF30-SUM(K30:M30)</f>
        <v>9</v>
      </c>
      <c r="O30" s="48">
        <v>6</v>
      </c>
      <c r="P30" s="48">
        <v>7</v>
      </c>
      <c r="Q30" s="48">
        <v>8</v>
      </c>
      <c r="R30" s="48">
        <f>+Q30*1.05</f>
        <v>8.4</v>
      </c>
      <c r="S30" s="63"/>
      <c r="T30" s="63"/>
      <c r="U30" s="63"/>
      <c r="AA30" s="48"/>
      <c r="AB30" s="48"/>
      <c r="AC30" s="48"/>
      <c r="AD30" s="48">
        <v>30</v>
      </c>
      <c r="AE30" s="48">
        <v>17</v>
      </c>
      <c r="AF30" s="48">
        <v>33</v>
      </c>
      <c r="AG30" s="48">
        <f>+AF30*1.05</f>
        <v>34.65</v>
      </c>
      <c r="AH30" s="48">
        <v>40</v>
      </c>
      <c r="AI30" s="48">
        <v>40</v>
      </c>
      <c r="AJ30" s="48">
        <v>40</v>
      </c>
      <c r="AK30" s="48">
        <v>40</v>
      </c>
      <c r="AL30" s="48">
        <v>40</v>
      </c>
      <c r="AM30" s="48">
        <v>40</v>
      </c>
      <c r="AN30" s="48">
        <v>40</v>
      </c>
      <c r="AO30" s="48">
        <v>40</v>
      </c>
      <c r="AP30" s="48">
        <v>40</v>
      </c>
    </row>
    <row r="31" spans="2:42">
      <c r="B31" s="14" t="s">
        <v>258</v>
      </c>
      <c r="C31" s="48"/>
      <c r="D31" s="48"/>
      <c r="E31" s="48"/>
      <c r="F31" s="48"/>
      <c r="G31" s="48"/>
      <c r="H31" s="48"/>
      <c r="I31" s="48"/>
      <c r="J31" s="48"/>
      <c r="K31" s="48">
        <v>65</v>
      </c>
      <c r="L31" s="48">
        <v>43</v>
      </c>
      <c r="M31" s="48">
        <v>36</v>
      </c>
      <c r="N31" s="48">
        <f>+AF31-SUM(K31:M31)</f>
        <v>69</v>
      </c>
      <c r="O31" s="48">
        <v>47</v>
      </c>
      <c r="P31" s="48">
        <v>50</v>
      </c>
      <c r="Q31" s="48">
        <v>60</v>
      </c>
      <c r="R31" s="48">
        <f>+Q31*1.05</f>
        <v>63</v>
      </c>
      <c r="S31" s="63"/>
      <c r="T31" s="63"/>
      <c r="U31" s="63"/>
      <c r="AA31" s="48"/>
      <c r="AB31" s="48"/>
      <c r="AC31" s="48"/>
      <c r="AD31" s="48">
        <v>147</v>
      </c>
      <c r="AE31" s="48">
        <v>107</v>
      </c>
      <c r="AF31" s="48">
        <v>213</v>
      </c>
      <c r="AG31" s="48">
        <f>+AF31*1.05</f>
        <v>223.65</v>
      </c>
      <c r="AH31" s="48">
        <v>200</v>
      </c>
      <c r="AI31" s="48">
        <v>200</v>
      </c>
      <c r="AJ31" s="48">
        <v>200</v>
      </c>
      <c r="AK31" s="48">
        <v>200</v>
      </c>
      <c r="AL31" s="48">
        <v>200</v>
      </c>
      <c r="AM31" s="48">
        <v>200</v>
      </c>
      <c r="AN31" s="48">
        <v>200</v>
      </c>
      <c r="AO31" s="48">
        <v>200</v>
      </c>
      <c r="AP31" s="48">
        <v>200</v>
      </c>
    </row>
    <row r="32" spans="2:42">
      <c r="B32" s="14" t="s">
        <v>259</v>
      </c>
      <c r="C32" s="48"/>
      <c r="D32" s="48"/>
      <c r="E32" s="48"/>
      <c r="F32" s="48"/>
      <c r="G32" s="48"/>
      <c r="H32" s="48"/>
      <c r="I32" s="48"/>
      <c r="J32" s="48"/>
      <c r="K32" s="48">
        <v>135</v>
      </c>
      <c r="L32" s="48">
        <v>113</v>
      </c>
      <c r="M32" s="48">
        <v>134</v>
      </c>
      <c r="N32" s="48">
        <f>+AF32-SUM(K32:M32)</f>
        <v>163</v>
      </c>
      <c r="O32" s="48">
        <v>161</v>
      </c>
      <c r="P32" s="48">
        <v>124</v>
      </c>
      <c r="Q32" s="48">
        <v>149</v>
      </c>
      <c r="R32" s="48">
        <f>+Q32*1.05</f>
        <v>156.45000000000002</v>
      </c>
      <c r="S32" s="63"/>
      <c r="T32" s="63"/>
      <c r="U32" s="63"/>
      <c r="AA32" s="48"/>
      <c r="AB32" s="48"/>
      <c r="AC32" s="48"/>
      <c r="AD32" s="48">
        <v>373</v>
      </c>
      <c r="AE32" s="48">
        <v>222</v>
      </c>
      <c r="AF32" s="48">
        <v>545</v>
      </c>
      <c r="AG32" s="48">
        <f>+AF32*1.05</f>
        <v>572.25</v>
      </c>
      <c r="AH32" s="48">
        <v>600</v>
      </c>
      <c r="AI32" s="48">
        <v>600</v>
      </c>
      <c r="AJ32" s="48">
        <v>600</v>
      </c>
      <c r="AK32" s="48">
        <v>600</v>
      </c>
      <c r="AL32" s="48">
        <v>600</v>
      </c>
      <c r="AM32" s="48">
        <v>600</v>
      </c>
      <c r="AN32" s="48">
        <v>600</v>
      </c>
      <c r="AO32" s="48">
        <v>600</v>
      </c>
      <c r="AP32" s="48">
        <v>600</v>
      </c>
    </row>
    <row r="33" spans="2:42" s="45" customFormat="1">
      <c r="B33" s="44" t="s">
        <v>263</v>
      </c>
      <c r="C33" s="51"/>
      <c r="D33" s="51"/>
      <c r="E33" s="51"/>
      <c r="F33" s="51"/>
      <c r="G33" s="51"/>
      <c r="H33" s="51"/>
      <c r="I33" s="51"/>
      <c r="J33" s="51"/>
      <c r="K33" s="51"/>
      <c r="L33" s="51"/>
      <c r="M33" s="51"/>
      <c r="N33" s="51"/>
      <c r="O33" s="51"/>
      <c r="P33" s="51"/>
      <c r="Q33" s="51"/>
      <c r="R33" s="75">
        <v>4325</v>
      </c>
      <c r="S33" s="63"/>
      <c r="T33" s="63"/>
      <c r="U33" s="63"/>
      <c r="V33" s="66"/>
      <c r="W33" s="66"/>
      <c r="X33" s="66"/>
      <c r="Y33" s="66"/>
      <c r="Z33" s="66"/>
      <c r="AA33" s="51"/>
      <c r="AB33" s="51"/>
      <c r="AC33" s="51"/>
      <c r="AD33" s="51"/>
      <c r="AE33" s="51"/>
      <c r="AF33" s="51"/>
      <c r="AG33" s="51"/>
      <c r="AH33" s="51"/>
      <c r="AI33" s="51"/>
      <c r="AJ33" s="51"/>
      <c r="AK33" s="51"/>
      <c r="AL33" s="51"/>
      <c r="AM33" s="51"/>
      <c r="AN33" s="51"/>
      <c r="AO33" s="51"/>
      <c r="AP33" s="51"/>
    </row>
    <row r="34" spans="2:42">
      <c r="B34" s="14" t="s">
        <v>260</v>
      </c>
      <c r="C34" s="67"/>
      <c r="D34" s="67"/>
      <c r="E34" s="67"/>
      <c r="F34" s="67"/>
      <c r="G34" s="67">
        <v>1906</v>
      </c>
      <c r="H34" s="67">
        <v>1965</v>
      </c>
      <c r="I34" s="67">
        <v>1920</v>
      </c>
      <c r="J34" s="67">
        <v>2004</v>
      </c>
      <c r="K34" s="52">
        <v>2090</v>
      </c>
      <c r="L34" s="52">
        <v>2347</v>
      </c>
      <c r="M34" s="52">
        <v>2518</v>
      </c>
      <c r="N34" s="52">
        <v>2643</v>
      </c>
      <c r="O34" s="52">
        <v>2944</v>
      </c>
      <c r="P34" s="52">
        <v>3320</v>
      </c>
      <c r="Q34" s="52">
        <v>3539</v>
      </c>
      <c r="R34" s="52">
        <f>+Q34</f>
        <v>3539</v>
      </c>
      <c r="S34" s="68"/>
      <c r="T34" s="68"/>
      <c r="U34" s="68"/>
      <c r="AA34" s="48"/>
      <c r="AB34" s="48"/>
      <c r="AC34" s="48"/>
      <c r="AD34" s="48"/>
      <c r="AE34" s="48">
        <v>1954</v>
      </c>
      <c r="AF34" s="48">
        <f>+N34</f>
        <v>2643</v>
      </c>
      <c r="AG34" s="48">
        <f>+R34</f>
        <v>3539</v>
      </c>
      <c r="AH34" s="48">
        <f t="shared" ref="AH34:AI38" si="10">+AG34*1.05</f>
        <v>3715.9500000000003</v>
      </c>
      <c r="AI34" s="48">
        <f t="shared" si="10"/>
        <v>3901.7475000000004</v>
      </c>
      <c r="AJ34" s="48">
        <f>+'Key Questions'!C16</f>
        <v>4341.0498338185653</v>
      </c>
      <c r="AK34" s="48">
        <f>+AJ34</f>
        <v>4341.0498338185653</v>
      </c>
      <c r="AL34" s="48">
        <f t="shared" ref="AL34:AP34" si="11">+AK34</f>
        <v>4341.0498338185653</v>
      </c>
      <c r="AM34" s="48">
        <f t="shared" si="11"/>
        <v>4341.0498338185653</v>
      </c>
      <c r="AN34" s="48">
        <f t="shared" si="11"/>
        <v>4341.0498338185653</v>
      </c>
      <c r="AO34" s="48">
        <f t="shared" si="11"/>
        <v>4341.0498338185653</v>
      </c>
      <c r="AP34" s="48">
        <f t="shared" si="11"/>
        <v>4341.0498338185653</v>
      </c>
    </row>
    <row r="35" spans="2:42">
      <c r="B35" s="14" t="s">
        <v>261</v>
      </c>
      <c r="C35" s="67"/>
      <c r="D35" s="67"/>
      <c r="E35" s="67"/>
      <c r="F35" s="67"/>
      <c r="G35" s="67"/>
      <c r="H35" s="67"/>
      <c r="I35" s="67"/>
      <c r="J35" s="67"/>
      <c r="K35" s="52">
        <v>3.72</v>
      </c>
      <c r="L35" s="52">
        <v>4.47</v>
      </c>
      <c r="M35" s="52">
        <v>4.3099999999999996</v>
      </c>
      <c r="N35" s="52">
        <v>3.57</v>
      </c>
      <c r="O35" s="52">
        <v>4.6500000000000004</v>
      </c>
      <c r="P35" s="52">
        <v>4.37</v>
      </c>
      <c r="Q35" s="52">
        <v>4.67</v>
      </c>
      <c r="R35" s="52">
        <f t="shared" ref="R35:R38" si="12">AVERAGE(O35:Q35)</f>
        <v>4.5633333333333335</v>
      </c>
      <c r="S35" s="68"/>
      <c r="T35" s="68"/>
      <c r="U35" s="68"/>
      <c r="AA35" s="48"/>
      <c r="AB35" s="48"/>
      <c r="AC35" s="48"/>
      <c r="AD35" s="48"/>
      <c r="AE35" s="48"/>
      <c r="AF35" s="48">
        <f>+N35</f>
        <v>3.57</v>
      </c>
      <c r="AG35" s="48">
        <f>+R35</f>
        <v>4.5633333333333335</v>
      </c>
      <c r="AH35" s="48">
        <f t="shared" si="10"/>
        <v>4.7915000000000001</v>
      </c>
      <c r="AI35" s="48">
        <f t="shared" si="10"/>
        <v>5.0310750000000004</v>
      </c>
      <c r="AJ35" s="48">
        <f t="shared" ref="AJ35:AL38" si="13">+AI35*1.05</f>
        <v>5.2826287500000007</v>
      </c>
      <c r="AK35" s="48">
        <f t="shared" si="13"/>
        <v>5.5467601875000012</v>
      </c>
      <c r="AL35" s="48">
        <f t="shared" si="13"/>
        <v>5.8240981968750019</v>
      </c>
      <c r="AM35" s="48">
        <f>+AL35</f>
        <v>5.8240981968750019</v>
      </c>
      <c r="AN35" s="48">
        <f t="shared" ref="AN35:AP35" si="14">+AM35</f>
        <v>5.8240981968750019</v>
      </c>
      <c r="AO35" s="48">
        <f t="shared" si="14"/>
        <v>5.8240981968750019</v>
      </c>
      <c r="AP35" s="48">
        <f t="shared" si="14"/>
        <v>5.8240981968750019</v>
      </c>
    </row>
    <row r="36" spans="2:42">
      <c r="B36" s="14" t="s">
        <v>257</v>
      </c>
      <c r="C36" s="67"/>
      <c r="D36" s="67"/>
      <c r="E36" s="67"/>
      <c r="F36" s="67"/>
      <c r="G36" s="67"/>
      <c r="H36" s="67"/>
      <c r="I36" s="67"/>
      <c r="J36" s="67"/>
      <c r="K36" s="52">
        <v>20.41</v>
      </c>
      <c r="L36" s="52">
        <v>26.2</v>
      </c>
      <c r="M36" s="52">
        <v>25.98</v>
      </c>
      <c r="N36" s="52">
        <v>25.15</v>
      </c>
      <c r="O36" s="52">
        <v>30.12</v>
      </c>
      <c r="P36" s="52">
        <v>29.5</v>
      </c>
      <c r="Q36" s="52">
        <v>37.020000000000003</v>
      </c>
      <c r="R36" s="52">
        <f t="shared" si="12"/>
        <v>32.213333333333338</v>
      </c>
      <c r="S36" s="68"/>
      <c r="T36" s="68"/>
      <c r="U36" s="68"/>
      <c r="AA36" s="48"/>
      <c r="AB36" s="48"/>
      <c r="AC36" s="48"/>
      <c r="AD36" s="48"/>
      <c r="AE36" s="48"/>
      <c r="AF36" s="48">
        <f>+N36</f>
        <v>25.15</v>
      </c>
      <c r="AG36" s="48">
        <f>+R36</f>
        <v>32.213333333333338</v>
      </c>
      <c r="AH36" s="48">
        <f t="shared" si="10"/>
        <v>33.824000000000005</v>
      </c>
      <c r="AI36" s="48">
        <f t="shared" si="10"/>
        <v>35.515200000000007</v>
      </c>
      <c r="AJ36" s="48">
        <f t="shared" si="13"/>
        <v>37.290960000000013</v>
      </c>
      <c r="AK36" s="48">
        <f t="shared" si="13"/>
        <v>39.155508000000012</v>
      </c>
      <c r="AL36" s="48">
        <f t="shared" si="13"/>
        <v>41.113283400000014</v>
      </c>
      <c r="AM36" s="48">
        <f>+AL36</f>
        <v>41.113283400000014</v>
      </c>
      <c r="AN36" s="48">
        <f t="shared" ref="AN36:AP36" si="15">+AM36</f>
        <v>41.113283400000014</v>
      </c>
      <c r="AO36" s="48">
        <f t="shared" si="15"/>
        <v>41.113283400000014</v>
      </c>
      <c r="AP36" s="48">
        <f t="shared" si="15"/>
        <v>41.113283400000014</v>
      </c>
    </row>
    <row r="37" spans="2:42">
      <c r="B37" s="14" t="s">
        <v>258</v>
      </c>
      <c r="C37" s="67"/>
      <c r="D37" s="67"/>
      <c r="E37" s="67"/>
      <c r="F37" s="67"/>
      <c r="G37" s="67"/>
      <c r="H37" s="67"/>
      <c r="I37" s="67"/>
      <c r="J37" s="67"/>
      <c r="K37" s="52">
        <v>0.92</v>
      </c>
      <c r="L37" s="52">
        <v>1.05</v>
      </c>
      <c r="M37" s="52">
        <v>0.86</v>
      </c>
      <c r="N37" s="52">
        <v>0.86</v>
      </c>
      <c r="O37" s="52">
        <v>0.89</v>
      </c>
      <c r="P37" s="52">
        <v>0.88</v>
      </c>
      <c r="Q37" s="52">
        <v>0.86</v>
      </c>
      <c r="R37" s="52">
        <f t="shared" si="12"/>
        <v>0.87666666666666659</v>
      </c>
      <c r="S37" s="68"/>
      <c r="T37" s="68"/>
      <c r="U37" s="68"/>
      <c r="AA37" s="48"/>
      <c r="AB37" s="48"/>
      <c r="AC37" s="48"/>
      <c r="AD37" s="48"/>
      <c r="AE37" s="48"/>
      <c r="AF37" s="48">
        <f>+N37</f>
        <v>0.86</v>
      </c>
      <c r="AG37" s="48">
        <f>+R37</f>
        <v>0.87666666666666659</v>
      </c>
      <c r="AH37" s="48">
        <f t="shared" si="10"/>
        <v>0.92049999999999998</v>
      </c>
      <c r="AI37" s="48">
        <f t="shared" si="10"/>
        <v>0.96652500000000008</v>
      </c>
      <c r="AJ37" s="48">
        <f t="shared" si="13"/>
        <v>1.0148512500000002</v>
      </c>
      <c r="AK37" s="48">
        <f t="shared" si="13"/>
        <v>1.0655938125000002</v>
      </c>
      <c r="AL37" s="48">
        <f t="shared" si="13"/>
        <v>1.1188735031250003</v>
      </c>
      <c r="AM37" s="48">
        <f>+AL37</f>
        <v>1.1188735031250003</v>
      </c>
      <c r="AN37" s="48">
        <f t="shared" ref="AN37:AP37" si="16">+AM37</f>
        <v>1.1188735031250003</v>
      </c>
      <c r="AO37" s="48">
        <f t="shared" si="16"/>
        <v>1.1188735031250003</v>
      </c>
      <c r="AP37" s="48">
        <f t="shared" si="16"/>
        <v>1.1188735031250003</v>
      </c>
    </row>
    <row r="38" spans="2:42">
      <c r="B38" s="14" t="s">
        <v>259</v>
      </c>
      <c r="C38" s="67"/>
      <c r="D38" s="67"/>
      <c r="E38" s="67"/>
      <c r="F38" s="67"/>
      <c r="G38" s="67"/>
      <c r="H38" s="67"/>
      <c r="I38" s="67"/>
      <c r="J38" s="67"/>
      <c r="K38" s="52">
        <v>0.92</v>
      </c>
      <c r="L38" s="52">
        <v>1.31</v>
      </c>
      <c r="M38" s="52">
        <v>1.1399999999999999</v>
      </c>
      <c r="N38" s="52">
        <v>1.21</v>
      </c>
      <c r="O38" s="52">
        <v>1.1299999999999999</v>
      </c>
      <c r="P38" s="52">
        <v>1.1299999999999999</v>
      </c>
      <c r="Q38" s="52">
        <v>1.29</v>
      </c>
      <c r="R38" s="52">
        <f t="shared" si="12"/>
        <v>1.1833333333333333</v>
      </c>
      <c r="S38" s="68"/>
      <c r="T38" s="68"/>
      <c r="U38" s="68"/>
      <c r="AA38" s="48"/>
      <c r="AB38" s="48"/>
      <c r="AC38" s="48"/>
      <c r="AD38" s="48"/>
      <c r="AE38" s="48"/>
      <c r="AF38" s="48">
        <f>+N38</f>
        <v>1.21</v>
      </c>
      <c r="AG38" s="48">
        <f>+R38</f>
        <v>1.1833333333333333</v>
      </c>
      <c r="AH38" s="48">
        <f t="shared" si="10"/>
        <v>1.2425000000000002</v>
      </c>
      <c r="AI38" s="48">
        <f t="shared" si="10"/>
        <v>1.3046250000000001</v>
      </c>
      <c r="AJ38" s="48">
        <f t="shared" si="13"/>
        <v>1.3698562500000002</v>
      </c>
      <c r="AK38" s="48">
        <f t="shared" si="13"/>
        <v>1.4383490625000004</v>
      </c>
      <c r="AL38" s="48">
        <f t="shared" si="13"/>
        <v>1.5102665156250004</v>
      </c>
      <c r="AM38" s="48">
        <f>+AL38</f>
        <v>1.5102665156250004</v>
      </c>
      <c r="AN38" s="48">
        <f t="shared" ref="AN38:AP38" si="17">+AM38</f>
        <v>1.5102665156250004</v>
      </c>
      <c r="AO38" s="48">
        <f t="shared" si="17"/>
        <v>1.5102665156250004</v>
      </c>
      <c r="AP38" s="48">
        <f t="shared" si="17"/>
        <v>1.5102665156250004</v>
      </c>
    </row>
    <row r="39" spans="2:42">
      <c r="B39" s="14"/>
      <c r="C39" s="48"/>
      <c r="D39" s="48"/>
      <c r="E39" s="48"/>
      <c r="F39" s="48"/>
      <c r="G39" s="48"/>
      <c r="H39" s="48"/>
      <c r="I39" s="48"/>
      <c r="J39" s="48"/>
      <c r="K39" s="48"/>
      <c r="L39" s="48"/>
      <c r="M39" s="48"/>
      <c r="N39" s="48"/>
      <c r="O39" s="48"/>
      <c r="P39" s="48"/>
      <c r="Q39" s="48"/>
      <c r="R39" s="48"/>
      <c r="S39" s="63"/>
      <c r="T39" s="63"/>
      <c r="U39" s="63"/>
      <c r="AA39" s="48"/>
      <c r="AB39" s="48"/>
      <c r="AC39" s="48"/>
      <c r="AD39" s="48"/>
      <c r="AE39" s="48"/>
      <c r="AF39" s="48"/>
      <c r="AG39" s="48"/>
      <c r="AH39" s="48"/>
      <c r="AI39" s="48"/>
      <c r="AJ39" s="48"/>
      <c r="AK39" s="48"/>
      <c r="AL39" s="48"/>
      <c r="AM39" s="48"/>
      <c r="AN39" s="48"/>
      <c r="AO39" s="48"/>
      <c r="AP39" s="48"/>
    </row>
    <row r="40" spans="2:42">
      <c r="B40" s="14" t="s">
        <v>80</v>
      </c>
      <c r="C40" s="48"/>
      <c r="D40" s="48"/>
      <c r="E40" s="48"/>
      <c r="F40" s="48"/>
      <c r="G40" s="48"/>
      <c r="H40" s="48"/>
      <c r="I40" s="48"/>
      <c r="J40" s="48"/>
      <c r="K40" s="48">
        <v>1057</v>
      </c>
      <c r="L40" s="48">
        <v>1152</v>
      </c>
      <c r="M40" s="48">
        <v>1207</v>
      </c>
      <c r="N40" s="48">
        <v>1096</v>
      </c>
      <c r="O40" s="48">
        <v>1227</v>
      </c>
      <c r="P40" s="48">
        <v>1215</v>
      </c>
      <c r="Q40" s="48">
        <v>1815</v>
      </c>
      <c r="R40" s="48"/>
      <c r="S40" s="63"/>
      <c r="T40" s="63"/>
      <c r="U40" s="63"/>
      <c r="AA40" s="48"/>
      <c r="AB40" s="48"/>
      <c r="AC40" s="48"/>
      <c r="AD40" s="48"/>
      <c r="AE40" s="48"/>
      <c r="AF40" s="48">
        <v>1126</v>
      </c>
      <c r="AG40" s="48"/>
      <c r="AH40" s="48"/>
      <c r="AI40" s="48"/>
      <c r="AJ40" s="48"/>
      <c r="AK40" s="48"/>
      <c r="AL40" s="48"/>
      <c r="AM40" s="48"/>
      <c r="AN40" s="48"/>
      <c r="AO40" s="48"/>
      <c r="AP40" s="48"/>
    </row>
    <row r="41" spans="2:42">
      <c r="B41" s="14" t="s">
        <v>81</v>
      </c>
      <c r="C41" s="48"/>
      <c r="D41" s="48"/>
      <c r="E41" s="48"/>
      <c r="F41" s="48"/>
      <c r="G41" s="48"/>
      <c r="H41" s="48"/>
      <c r="I41" s="48"/>
      <c r="J41" s="48"/>
      <c r="K41" s="48">
        <v>1439</v>
      </c>
      <c r="L41" s="48">
        <v>1562</v>
      </c>
      <c r="M41" s="48">
        <v>1611</v>
      </c>
      <c r="N41" s="48">
        <v>1463</v>
      </c>
      <c r="O41" s="48">
        <v>1651</v>
      </c>
      <c r="P41" s="48">
        <v>1593</v>
      </c>
      <c r="Q41" s="48">
        <v>1566</v>
      </c>
      <c r="R41" s="48"/>
      <c r="S41" s="63"/>
      <c r="T41" s="63"/>
      <c r="U41" s="63"/>
      <c r="AA41" s="48"/>
      <c r="AB41" s="48"/>
      <c r="AC41" s="48"/>
      <c r="AD41" s="48"/>
      <c r="AE41" s="48"/>
      <c r="AF41" s="48">
        <v>1516</v>
      </c>
      <c r="AG41" s="48"/>
      <c r="AH41" s="48"/>
      <c r="AI41" s="48"/>
      <c r="AJ41" s="48"/>
      <c r="AK41" s="48"/>
      <c r="AL41" s="48"/>
      <c r="AM41" s="48"/>
      <c r="AN41" s="48"/>
      <c r="AO41" s="48"/>
      <c r="AP41" s="48"/>
    </row>
    <row r="42" spans="2:42" s="11" customFormat="1" ht="8" customHeight="1">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row>
    <row r="43" spans="2:42" s="45" customFormat="1">
      <c r="B43" s="44" t="s">
        <v>264</v>
      </c>
      <c r="C43" s="51"/>
      <c r="D43" s="51"/>
      <c r="E43" s="51"/>
      <c r="F43" s="51"/>
      <c r="G43" s="51"/>
      <c r="H43" s="51"/>
      <c r="I43" s="51"/>
      <c r="J43" s="51"/>
      <c r="K43" s="51"/>
      <c r="L43" s="51"/>
      <c r="M43" s="51"/>
      <c r="N43" s="51"/>
      <c r="O43" s="51"/>
      <c r="P43" s="51"/>
      <c r="Q43" s="51"/>
      <c r="R43" s="75"/>
      <c r="S43" s="63"/>
      <c r="T43" s="63"/>
      <c r="U43" s="63"/>
      <c r="V43" s="66"/>
      <c r="W43" s="66"/>
      <c r="X43" s="66"/>
      <c r="Y43" s="66"/>
      <c r="Z43" s="66"/>
      <c r="AA43" s="51"/>
      <c r="AB43" s="51"/>
      <c r="AC43" s="51"/>
      <c r="AD43" s="51"/>
      <c r="AE43" s="51"/>
      <c r="AF43" s="51"/>
      <c r="AG43" s="51"/>
      <c r="AH43" s="51"/>
      <c r="AI43" s="51"/>
      <c r="AJ43" s="51"/>
      <c r="AK43" s="51"/>
      <c r="AL43" s="51"/>
      <c r="AM43" s="51"/>
      <c r="AN43" s="51"/>
      <c r="AO43" s="51"/>
      <c r="AP43" s="51"/>
    </row>
    <row r="44" spans="2:42" s="11" customFormat="1">
      <c r="B44" s="14" t="s">
        <v>33</v>
      </c>
      <c r="C44" s="46"/>
      <c r="D44" s="46"/>
      <c r="E44" s="46"/>
      <c r="F44" s="46"/>
      <c r="G44" s="46"/>
      <c r="H44" s="53"/>
      <c r="I44" s="53"/>
      <c r="J44" s="53"/>
      <c r="K44" s="53"/>
      <c r="L44" s="53">
        <f>+L28*L34/10^3</f>
        <v>3621.4209999999998</v>
      </c>
      <c r="M44" s="53">
        <f>+M28*M34/10^3</f>
        <v>3948.2240000000002</v>
      </c>
      <c r="N44" s="53"/>
      <c r="O44" s="53">
        <f>+O28*O34/10^3</f>
        <v>4245.2479999999996</v>
      </c>
      <c r="P44" s="53">
        <f>+P28*P34/10^3</f>
        <v>4581.6000000000004</v>
      </c>
      <c r="Q44" s="53">
        <f>+Q28*Q34/10^3</f>
        <v>4667.9409999999998</v>
      </c>
      <c r="R44" s="53">
        <f>+R28*R34/10^3</f>
        <v>5662.4</v>
      </c>
      <c r="S44" s="47"/>
      <c r="T44" s="47"/>
      <c r="U44" s="47"/>
      <c r="V44" s="46"/>
      <c r="W44" s="46"/>
      <c r="X44" s="46"/>
      <c r="Y44" s="46"/>
      <c r="Z44" s="46"/>
      <c r="AA44" s="53"/>
      <c r="AB44" s="53"/>
      <c r="AC44" s="53"/>
      <c r="AD44" s="53"/>
      <c r="AE44" s="53"/>
      <c r="AF44" s="53"/>
      <c r="AG44" s="53">
        <f>SUM(O44:R44)</f>
        <v>19157.188999999998</v>
      </c>
      <c r="AH44" s="53">
        <f>+AH28*AH34/10^3</f>
        <v>25268.46</v>
      </c>
      <c r="AI44" s="53">
        <f t="shared" ref="AI44:AP44" si="18">+AI28*AI34/10^3</f>
        <v>26531.883000000005</v>
      </c>
      <c r="AJ44" s="53">
        <f t="shared" si="18"/>
        <v>29519.138869966242</v>
      </c>
      <c r="AK44" s="53">
        <f t="shared" si="18"/>
        <v>29519.138869966242</v>
      </c>
      <c r="AL44" s="53">
        <f t="shared" si="18"/>
        <v>29519.138869966242</v>
      </c>
      <c r="AM44" s="53">
        <f t="shared" si="18"/>
        <v>29519.138869966242</v>
      </c>
      <c r="AN44" s="53">
        <f t="shared" si="18"/>
        <v>29519.138869966242</v>
      </c>
      <c r="AO44" s="53">
        <f t="shared" si="18"/>
        <v>29519.138869966242</v>
      </c>
      <c r="AP44" s="53">
        <f t="shared" si="18"/>
        <v>29519.138869966242</v>
      </c>
    </row>
    <row r="45" spans="2:42" s="11" customFormat="1">
      <c r="B45" s="14" t="s">
        <v>34</v>
      </c>
      <c r="C45" s="46"/>
      <c r="D45" s="46"/>
      <c r="E45" s="46"/>
      <c r="F45" s="46"/>
      <c r="G45" s="46"/>
      <c r="H45" s="53"/>
      <c r="I45" s="53"/>
      <c r="J45" s="53"/>
      <c r="K45" s="53"/>
      <c r="L45" s="53">
        <f t="shared" ref="L45:M48" si="19">+L29*L35</f>
        <v>375.47999999999996</v>
      </c>
      <c r="M45" s="53">
        <f t="shared" si="19"/>
        <v>331.86999999999995</v>
      </c>
      <c r="N45" s="53"/>
      <c r="O45" s="53">
        <f t="shared" ref="O45:R48" si="20">+O29*O35</f>
        <v>353.40000000000003</v>
      </c>
      <c r="P45" s="53">
        <f t="shared" si="20"/>
        <v>362.71000000000004</v>
      </c>
      <c r="Q45" s="53">
        <f t="shared" si="20"/>
        <v>317.56</v>
      </c>
      <c r="R45" s="53">
        <f t="shared" si="20"/>
        <v>325.82200000000006</v>
      </c>
      <c r="S45" s="47"/>
      <c r="T45" s="47"/>
      <c r="U45" s="47"/>
      <c r="V45" s="46"/>
      <c r="W45" s="46"/>
      <c r="X45" s="46"/>
      <c r="Y45" s="46"/>
      <c r="Z45" s="46"/>
      <c r="AA45" s="53"/>
      <c r="AB45" s="53"/>
      <c r="AC45" s="53"/>
      <c r="AD45" s="53"/>
      <c r="AE45" s="53"/>
      <c r="AF45" s="53"/>
      <c r="AG45" s="53">
        <f>SUM(O45:R45)</f>
        <v>1359.4920000000002</v>
      </c>
      <c r="AH45" s="53">
        <f t="shared" ref="AH45:AP45" si="21">+AH29*AH35</f>
        <v>1916.6000000000001</v>
      </c>
      <c r="AI45" s="53">
        <f t="shared" si="21"/>
        <v>2012.43</v>
      </c>
      <c r="AJ45" s="53">
        <f t="shared" si="21"/>
        <v>2113.0515000000005</v>
      </c>
      <c r="AK45" s="53">
        <f t="shared" si="21"/>
        <v>2218.7040750000006</v>
      </c>
      <c r="AL45" s="53">
        <f t="shared" si="21"/>
        <v>2329.6392787500008</v>
      </c>
      <c r="AM45" s="53">
        <f t="shared" si="21"/>
        <v>2329.6392787500008</v>
      </c>
      <c r="AN45" s="53">
        <f t="shared" si="21"/>
        <v>2329.6392787500008</v>
      </c>
      <c r="AO45" s="53">
        <f t="shared" si="21"/>
        <v>2329.6392787500008</v>
      </c>
      <c r="AP45" s="53">
        <f t="shared" si="21"/>
        <v>2329.6392787500008</v>
      </c>
    </row>
    <row r="46" spans="2:42" s="11" customFormat="1">
      <c r="B46" s="19" t="s">
        <v>35</v>
      </c>
      <c r="C46" s="46"/>
      <c r="D46" s="46"/>
      <c r="E46" s="46"/>
      <c r="F46" s="46"/>
      <c r="G46" s="46"/>
      <c r="H46" s="53"/>
      <c r="I46" s="53"/>
      <c r="J46" s="53"/>
      <c r="K46" s="53"/>
      <c r="L46" s="53">
        <f t="shared" si="19"/>
        <v>209.6</v>
      </c>
      <c r="M46" s="53">
        <f t="shared" si="19"/>
        <v>155.88</v>
      </c>
      <c r="N46" s="53"/>
      <c r="O46" s="53">
        <f t="shared" si="20"/>
        <v>180.72</v>
      </c>
      <c r="P46" s="53">
        <f t="shared" si="20"/>
        <v>206.5</v>
      </c>
      <c r="Q46" s="53">
        <f t="shared" si="20"/>
        <v>296.16000000000003</v>
      </c>
      <c r="R46" s="53">
        <f t="shared" si="20"/>
        <v>270.59200000000004</v>
      </c>
      <c r="S46" s="47"/>
      <c r="T46" s="47"/>
      <c r="U46" s="47"/>
      <c r="V46" s="46"/>
      <c r="W46" s="46"/>
      <c r="X46" s="46"/>
      <c r="Y46" s="46"/>
      <c r="Z46" s="46"/>
      <c r="AA46" s="53"/>
      <c r="AB46" s="53"/>
      <c r="AC46" s="53"/>
      <c r="AD46" s="53"/>
      <c r="AE46" s="53"/>
      <c r="AF46" s="53"/>
      <c r="AG46" s="53">
        <f>SUM(O46:R46)</f>
        <v>953.97200000000021</v>
      </c>
      <c r="AH46" s="53">
        <f t="shared" ref="AH46:AP46" si="22">+AH30*AH36</f>
        <v>1352.9600000000003</v>
      </c>
      <c r="AI46" s="53">
        <f t="shared" si="22"/>
        <v>1420.6080000000002</v>
      </c>
      <c r="AJ46" s="53">
        <f t="shared" si="22"/>
        <v>1491.6384000000005</v>
      </c>
      <c r="AK46" s="53">
        <f t="shared" si="22"/>
        <v>1566.2203200000004</v>
      </c>
      <c r="AL46" s="53">
        <f t="shared" si="22"/>
        <v>1644.5313360000005</v>
      </c>
      <c r="AM46" s="53">
        <f t="shared" si="22"/>
        <v>1644.5313360000005</v>
      </c>
      <c r="AN46" s="53">
        <f t="shared" si="22"/>
        <v>1644.5313360000005</v>
      </c>
      <c r="AO46" s="53">
        <f t="shared" si="22"/>
        <v>1644.5313360000005</v>
      </c>
      <c r="AP46" s="53">
        <f t="shared" si="22"/>
        <v>1644.5313360000005</v>
      </c>
    </row>
    <row r="47" spans="2:42" s="11" customFormat="1">
      <c r="B47" s="20" t="s">
        <v>36</v>
      </c>
      <c r="C47" s="46"/>
      <c r="D47" s="46"/>
      <c r="E47" s="46"/>
      <c r="F47" s="46"/>
      <c r="G47" s="46"/>
      <c r="H47" s="53"/>
      <c r="I47" s="53"/>
      <c r="J47" s="53"/>
      <c r="K47" s="53"/>
      <c r="L47" s="53">
        <f t="shared" si="19"/>
        <v>45.15</v>
      </c>
      <c r="M47" s="53">
        <f t="shared" si="19"/>
        <v>30.96</v>
      </c>
      <c r="N47" s="53"/>
      <c r="O47" s="53">
        <f t="shared" si="20"/>
        <v>41.83</v>
      </c>
      <c r="P47" s="53">
        <f t="shared" si="20"/>
        <v>44</v>
      </c>
      <c r="Q47" s="53">
        <f t="shared" si="20"/>
        <v>51.6</v>
      </c>
      <c r="R47" s="53">
        <f t="shared" si="20"/>
        <v>55.23</v>
      </c>
      <c r="S47" s="47"/>
      <c r="T47" s="47"/>
      <c r="U47" s="47"/>
      <c r="V47" s="46"/>
      <c r="W47" s="46"/>
      <c r="X47" s="46"/>
      <c r="Y47" s="46"/>
      <c r="Z47" s="46"/>
      <c r="AA47" s="53"/>
      <c r="AB47" s="53"/>
      <c r="AC47" s="53"/>
      <c r="AD47" s="53"/>
      <c r="AE47" s="53"/>
      <c r="AF47" s="53"/>
      <c r="AG47" s="53">
        <f>SUM(O47:R47)</f>
        <v>192.66</v>
      </c>
      <c r="AH47" s="53">
        <f t="shared" ref="AH47:AP47" si="23">+AH31*AH37</f>
        <v>184.1</v>
      </c>
      <c r="AI47" s="53">
        <f t="shared" si="23"/>
        <v>193.30500000000001</v>
      </c>
      <c r="AJ47" s="53">
        <f t="shared" si="23"/>
        <v>202.97025000000005</v>
      </c>
      <c r="AK47" s="53">
        <f t="shared" si="23"/>
        <v>213.11876250000003</v>
      </c>
      <c r="AL47" s="53">
        <f t="shared" si="23"/>
        <v>223.77470062500007</v>
      </c>
      <c r="AM47" s="53">
        <f t="shared" si="23"/>
        <v>223.77470062500007</v>
      </c>
      <c r="AN47" s="53">
        <f t="shared" si="23"/>
        <v>223.77470062500007</v>
      </c>
      <c r="AO47" s="53">
        <f t="shared" si="23"/>
        <v>223.77470062500007</v>
      </c>
      <c r="AP47" s="53">
        <f t="shared" si="23"/>
        <v>223.77470062500007</v>
      </c>
    </row>
    <row r="48" spans="2:42" s="11" customFormat="1">
      <c r="B48" s="20" t="s">
        <v>37</v>
      </c>
      <c r="C48" s="46"/>
      <c r="D48" s="46"/>
      <c r="E48" s="46"/>
      <c r="F48" s="46"/>
      <c r="G48" s="46"/>
      <c r="H48" s="53"/>
      <c r="I48" s="53"/>
      <c r="J48" s="53"/>
      <c r="K48" s="53"/>
      <c r="L48" s="53">
        <f t="shared" si="19"/>
        <v>148.03</v>
      </c>
      <c r="M48" s="53">
        <f t="shared" si="19"/>
        <v>152.76</v>
      </c>
      <c r="N48" s="53"/>
      <c r="O48" s="53">
        <f t="shared" si="20"/>
        <v>181.92999999999998</v>
      </c>
      <c r="P48" s="53">
        <f t="shared" si="20"/>
        <v>140.11999999999998</v>
      </c>
      <c r="Q48" s="53">
        <f t="shared" si="20"/>
        <v>192.21</v>
      </c>
      <c r="R48" s="53">
        <f t="shared" si="20"/>
        <v>185.13250000000002</v>
      </c>
      <c r="S48" s="47"/>
      <c r="T48" s="47"/>
      <c r="U48" s="47"/>
      <c r="V48" s="46"/>
      <c r="W48" s="46"/>
      <c r="X48" s="46"/>
      <c r="Y48" s="46"/>
      <c r="Z48" s="46"/>
      <c r="AA48" s="53"/>
      <c r="AB48" s="53"/>
      <c r="AC48" s="53"/>
      <c r="AD48" s="53"/>
      <c r="AE48" s="53"/>
      <c r="AF48" s="53"/>
      <c r="AG48" s="53">
        <f>SUM(O48:R48)</f>
        <v>699.39250000000004</v>
      </c>
      <c r="AH48" s="53">
        <f t="shared" ref="AH48:AP48" si="24">+AH32*AH38</f>
        <v>745.50000000000011</v>
      </c>
      <c r="AI48" s="53">
        <f t="shared" si="24"/>
        <v>782.77500000000009</v>
      </c>
      <c r="AJ48" s="53">
        <f t="shared" si="24"/>
        <v>821.91375000000016</v>
      </c>
      <c r="AK48" s="53">
        <f t="shared" si="24"/>
        <v>863.00943750000022</v>
      </c>
      <c r="AL48" s="53">
        <f t="shared" si="24"/>
        <v>906.15990937500021</v>
      </c>
      <c r="AM48" s="53">
        <f t="shared" si="24"/>
        <v>906.15990937500021</v>
      </c>
      <c r="AN48" s="53">
        <f t="shared" si="24"/>
        <v>906.15990937500021</v>
      </c>
      <c r="AO48" s="53">
        <f t="shared" si="24"/>
        <v>906.15990937500021</v>
      </c>
      <c r="AP48" s="53">
        <f t="shared" si="24"/>
        <v>906.15990937500021</v>
      </c>
    </row>
    <row r="49" spans="2:42" s="11" customFormat="1" ht="8" customHeight="1">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row>
    <row r="50" spans="2:42">
      <c r="B50" s="12" t="s">
        <v>99</v>
      </c>
    </row>
    <row r="51" spans="2:42">
      <c r="B51" s="14" t="s">
        <v>33</v>
      </c>
      <c r="C51" s="48">
        <v>2514</v>
      </c>
      <c r="D51" s="48">
        <v>2722</v>
      </c>
      <c r="E51" s="48">
        <v>2350</v>
      </c>
      <c r="F51" s="48">
        <f>+AD51-SUM(C51:E51)</f>
        <v>2830</v>
      </c>
      <c r="G51" s="48">
        <v>2303</v>
      </c>
      <c r="H51" s="48">
        <v>2380</v>
      </c>
      <c r="I51" s="48">
        <v>2400</v>
      </c>
      <c r="J51" s="48">
        <f>+AE51-SUM(G51:I51)</f>
        <v>3510</v>
      </c>
      <c r="K51" s="48">
        <v>3341</v>
      </c>
      <c r="L51" s="48">
        <v>3623</v>
      </c>
      <c r="M51" s="48">
        <v>3945</v>
      </c>
      <c r="N51" s="48">
        <f>+AF51-SUM(K51:M51)</f>
        <v>4837</v>
      </c>
      <c r="O51" s="48">
        <v>4245</v>
      </c>
      <c r="P51" s="48">
        <v>4582</v>
      </c>
      <c r="Q51" s="48">
        <v>4669</v>
      </c>
      <c r="R51" s="48">
        <f>+R44</f>
        <v>5662.4</v>
      </c>
      <c r="S51" s="63"/>
      <c r="T51" s="63"/>
      <c r="U51" s="63"/>
      <c r="V51" s="61"/>
      <c r="W51" s="61"/>
      <c r="X51" s="61"/>
      <c r="Y51" s="61"/>
      <c r="Z51" s="61"/>
      <c r="AA51" s="62">
        <v>9049</v>
      </c>
      <c r="AB51" s="62">
        <v>10350</v>
      </c>
      <c r="AC51" s="62">
        <v>10543</v>
      </c>
      <c r="AD51" s="62">
        <v>10416</v>
      </c>
      <c r="AE51" s="62">
        <v>10593</v>
      </c>
      <c r="AF51" s="62">
        <v>15746</v>
      </c>
      <c r="AG51" s="62">
        <f>SUM(O51:R51)</f>
        <v>19158.400000000001</v>
      </c>
      <c r="AH51" s="48">
        <f>+AH44</f>
        <v>25268.46</v>
      </c>
      <c r="AI51" s="48">
        <f t="shared" ref="AI51:AP51" si="25">+AI44</f>
        <v>26531.883000000005</v>
      </c>
      <c r="AJ51" s="48">
        <f t="shared" si="25"/>
        <v>29519.138869966242</v>
      </c>
      <c r="AK51" s="48">
        <f t="shared" si="25"/>
        <v>29519.138869966242</v>
      </c>
      <c r="AL51" s="48">
        <f t="shared" si="25"/>
        <v>29519.138869966242</v>
      </c>
      <c r="AM51" s="48">
        <f t="shared" si="25"/>
        <v>29519.138869966242</v>
      </c>
      <c r="AN51" s="48">
        <f t="shared" si="25"/>
        <v>29519.138869966242</v>
      </c>
      <c r="AO51" s="48">
        <f t="shared" si="25"/>
        <v>29519.138869966242</v>
      </c>
      <c r="AP51" s="48">
        <f t="shared" si="25"/>
        <v>29519.138869966242</v>
      </c>
    </row>
    <row r="52" spans="2:42">
      <c r="B52" s="14" t="s">
        <v>34</v>
      </c>
      <c r="C52" s="48">
        <v>99</v>
      </c>
      <c r="D52" s="48">
        <v>76</v>
      </c>
      <c r="E52" s="48">
        <v>48</v>
      </c>
      <c r="F52" s="48">
        <f>+AD52-SUM(C52:E52)</f>
        <v>93</v>
      </c>
      <c r="G52" s="48">
        <v>110</v>
      </c>
      <c r="H52" s="48">
        <v>82</v>
      </c>
      <c r="I52" s="48">
        <v>90</v>
      </c>
      <c r="J52" s="48">
        <f>+AE52-SUM(G52:I52)</f>
        <v>293</v>
      </c>
      <c r="K52" s="48">
        <v>297</v>
      </c>
      <c r="L52" s="48">
        <v>377</v>
      </c>
      <c r="M52" s="48">
        <v>329</v>
      </c>
      <c r="N52" s="48">
        <f>+AF52-SUM(K52:M52)</f>
        <v>324</v>
      </c>
      <c r="O52" s="48">
        <v>354</v>
      </c>
      <c r="P52" s="48">
        <v>360</v>
      </c>
      <c r="Q52" s="48">
        <v>319</v>
      </c>
      <c r="R52" s="48">
        <f t="shared" ref="R52:R55" si="26">+R45</f>
        <v>325.82200000000006</v>
      </c>
      <c r="S52" s="63"/>
      <c r="T52" s="63"/>
      <c r="U52" s="63"/>
      <c r="V52" s="61"/>
      <c r="W52" s="61"/>
      <c r="X52" s="61"/>
      <c r="Y52" s="61"/>
      <c r="Z52" s="61"/>
      <c r="AA52" s="62">
        <v>210</v>
      </c>
      <c r="AB52" s="62">
        <v>155</v>
      </c>
      <c r="AC52" s="62">
        <v>295</v>
      </c>
      <c r="AD52" s="62">
        <v>316</v>
      </c>
      <c r="AE52" s="62">
        <v>575</v>
      </c>
      <c r="AF52" s="62">
        <v>1327</v>
      </c>
      <c r="AG52" s="62">
        <f>SUM(O52:R52)</f>
        <v>1358.8220000000001</v>
      </c>
      <c r="AH52" s="48">
        <f>+AH45</f>
        <v>1916.6000000000001</v>
      </c>
      <c r="AI52" s="48">
        <f t="shared" ref="AI52:AP52" si="27">+AI45</f>
        <v>2012.43</v>
      </c>
      <c r="AJ52" s="48">
        <f t="shared" si="27"/>
        <v>2113.0515000000005</v>
      </c>
      <c r="AK52" s="48">
        <f t="shared" si="27"/>
        <v>2218.7040750000006</v>
      </c>
      <c r="AL52" s="48">
        <f t="shared" si="27"/>
        <v>2329.6392787500008</v>
      </c>
      <c r="AM52" s="48">
        <f t="shared" si="27"/>
        <v>2329.6392787500008</v>
      </c>
      <c r="AN52" s="48">
        <f t="shared" si="27"/>
        <v>2329.6392787500008</v>
      </c>
      <c r="AO52" s="48">
        <f t="shared" si="27"/>
        <v>2329.6392787500008</v>
      </c>
      <c r="AP52" s="48">
        <f t="shared" si="27"/>
        <v>2329.6392787500008</v>
      </c>
    </row>
    <row r="53" spans="2:42">
      <c r="B53" s="19" t="s">
        <v>35</v>
      </c>
      <c r="C53" s="54">
        <v>156</v>
      </c>
      <c r="D53" s="54">
        <v>140</v>
      </c>
      <c r="E53" s="54">
        <v>105</v>
      </c>
      <c r="F53" s="54">
        <f>+AD53-SUM(C53:E53)</f>
        <v>148</v>
      </c>
      <c r="G53" s="54">
        <v>117</v>
      </c>
      <c r="H53" s="54">
        <v>124</v>
      </c>
      <c r="I53" s="54">
        <v>5</v>
      </c>
      <c r="J53" s="54">
        <f>+AE53-SUM(G53:I53)</f>
        <v>89</v>
      </c>
      <c r="K53" s="54">
        <v>201</v>
      </c>
      <c r="L53" s="54">
        <v>209</v>
      </c>
      <c r="M53" s="54">
        <v>147</v>
      </c>
      <c r="N53" s="54">
        <f>+AF53-SUM(K53:M53)</f>
        <v>238</v>
      </c>
      <c r="O53" s="54">
        <v>188</v>
      </c>
      <c r="P53" s="54">
        <v>191</v>
      </c>
      <c r="Q53" s="54">
        <v>293</v>
      </c>
      <c r="R53" s="48">
        <f t="shared" si="26"/>
        <v>270.59200000000004</v>
      </c>
      <c r="S53" s="63"/>
      <c r="T53" s="63"/>
      <c r="U53" s="63"/>
      <c r="V53" s="61"/>
      <c r="W53" s="61"/>
      <c r="X53" s="61"/>
      <c r="Y53" s="61"/>
      <c r="Z53" s="61"/>
      <c r="AA53" s="69">
        <v>253</v>
      </c>
      <c r="AB53" s="69">
        <v>510</v>
      </c>
      <c r="AC53" s="69">
        <v>651</v>
      </c>
      <c r="AD53" s="69">
        <v>549</v>
      </c>
      <c r="AE53" s="69">
        <v>335</v>
      </c>
      <c r="AF53" s="69">
        <v>795</v>
      </c>
      <c r="AG53" s="62">
        <f>SUM(O53:R53)</f>
        <v>942.5920000000001</v>
      </c>
      <c r="AH53" s="48">
        <f>+AH46</f>
        <v>1352.9600000000003</v>
      </c>
      <c r="AI53" s="48">
        <f t="shared" ref="AI53:AP53" si="28">+AI46</f>
        <v>1420.6080000000002</v>
      </c>
      <c r="AJ53" s="48">
        <f t="shared" si="28"/>
        <v>1491.6384000000005</v>
      </c>
      <c r="AK53" s="48">
        <f t="shared" si="28"/>
        <v>1566.2203200000004</v>
      </c>
      <c r="AL53" s="48">
        <f t="shared" si="28"/>
        <v>1644.5313360000005</v>
      </c>
      <c r="AM53" s="48">
        <f t="shared" si="28"/>
        <v>1644.5313360000005</v>
      </c>
      <c r="AN53" s="48">
        <f t="shared" si="28"/>
        <v>1644.5313360000005</v>
      </c>
      <c r="AO53" s="48">
        <f t="shared" si="28"/>
        <v>1644.5313360000005</v>
      </c>
      <c r="AP53" s="48">
        <f t="shared" si="28"/>
        <v>1644.5313360000005</v>
      </c>
    </row>
    <row r="54" spans="2:42">
      <c r="B54" s="20" t="s">
        <v>36</v>
      </c>
      <c r="C54" s="55">
        <v>44</v>
      </c>
      <c r="D54" s="55">
        <v>28</v>
      </c>
      <c r="E54" s="55">
        <v>26</v>
      </c>
      <c r="F54" s="55">
        <f>+AD54-SUM(C54:E54)</f>
        <v>35</v>
      </c>
      <c r="G54" s="55">
        <v>32</v>
      </c>
      <c r="H54" s="55">
        <v>32</v>
      </c>
      <c r="I54" s="55">
        <v>0</v>
      </c>
      <c r="J54" s="55">
        <f>+AE54-SUM(G54:I54)</f>
        <v>32</v>
      </c>
      <c r="K54" s="55">
        <v>60</v>
      </c>
      <c r="L54" s="55">
        <v>44</v>
      </c>
      <c r="M54" s="55">
        <v>32</v>
      </c>
      <c r="N54" s="55">
        <f>+AF54-SUM(K54:M54)</f>
        <v>59</v>
      </c>
      <c r="O54" s="55">
        <v>42</v>
      </c>
      <c r="P54" s="55">
        <v>43</v>
      </c>
      <c r="Q54" s="55">
        <v>52</v>
      </c>
      <c r="R54" s="48">
        <f t="shared" si="26"/>
        <v>55.23</v>
      </c>
      <c r="S54" s="63"/>
      <c r="T54" s="63"/>
      <c r="U54" s="63"/>
      <c r="V54" s="61"/>
      <c r="W54" s="61"/>
      <c r="X54" s="61"/>
      <c r="Y54" s="61"/>
      <c r="Z54" s="61"/>
      <c r="AA54" s="70">
        <v>85</v>
      </c>
      <c r="AB54" s="70">
        <v>134</v>
      </c>
      <c r="AC54" s="70">
        <v>172</v>
      </c>
      <c r="AD54" s="70">
        <v>133</v>
      </c>
      <c r="AE54" s="70">
        <v>96</v>
      </c>
      <c r="AF54" s="70">
        <v>195</v>
      </c>
      <c r="AG54" s="62">
        <f>SUM(O54:R54)</f>
        <v>192.23</v>
      </c>
      <c r="AH54" s="48">
        <f>+AH47</f>
        <v>184.1</v>
      </c>
      <c r="AI54" s="48">
        <f t="shared" ref="AI54:AP54" si="29">+AI47</f>
        <v>193.30500000000001</v>
      </c>
      <c r="AJ54" s="48">
        <f t="shared" si="29"/>
        <v>202.97025000000005</v>
      </c>
      <c r="AK54" s="48">
        <f t="shared" si="29"/>
        <v>213.11876250000003</v>
      </c>
      <c r="AL54" s="48">
        <f t="shared" si="29"/>
        <v>223.77470062500007</v>
      </c>
      <c r="AM54" s="48">
        <f t="shared" si="29"/>
        <v>223.77470062500007</v>
      </c>
      <c r="AN54" s="48">
        <f t="shared" si="29"/>
        <v>223.77470062500007</v>
      </c>
      <c r="AO54" s="48">
        <f t="shared" si="29"/>
        <v>223.77470062500007</v>
      </c>
      <c r="AP54" s="48">
        <f t="shared" si="29"/>
        <v>223.77470062500007</v>
      </c>
    </row>
    <row r="55" spans="2:42">
      <c r="B55" s="20" t="s">
        <v>37</v>
      </c>
      <c r="C55" s="55">
        <v>210</v>
      </c>
      <c r="D55" s="55">
        <v>92</v>
      </c>
      <c r="E55" s="55">
        <v>105</v>
      </c>
      <c r="F55" s="55">
        <f>+AD55-SUM(C55:E55)</f>
        <v>94</v>
      </c>
      <c r="G55" s="55">
        <v>117</v>
      </c>
      <c r="H55" s="55">
        <v>65</v>
      </c>
      <c r="I55" s="55">
        <v>-2</v>
      </c>
      <c r="J55" s="55">
        <f>+AE55-SUM(G55:I55)</f>
        <v>33</v>
      </c>
      <c r="K55" s="55">
        <v>124</v>
      </c>
      <c r="L55" s="55">
        <v>149</v>
      </c>
      <c r="M55" s="55">
        <v>152</v>
      </c>
      <c r="N55" s="55">
        <f>+AF55-SUM(K55:M55)</f>
        <v>197</v>
      </c>
      <c r="O55" s="55">
        <v>181</v>
      </c>
      <c r="P55" s="55">
        <v>141</v>
      </c>
      <c r="Q55" s="55">
        <v>191</v>
      </c>
      <c r="R55" s="48">
        <f t="shared" si="26"/>
        <v>185.13250000000002</v>
      </c>
      <c r="S55" s="63"/>
      <c r="T55" s="63"/>
      <c r="U55" s="63"/>
      <c r="AA55" s="70">
        <v>143</v>
      </c>
      <c r="AB55" s="70">
        <v>348</v>
      </c>
      <c r="AC55" s="70">
        <v>561</v>
      </c>
      <c r="AD55" s="70">
        <v>501</v>
      </c>
      <c r="AE55" s="70">
        <v>213</v>
      </c>
      <c r="AF55" s="70">
        <v>622</v>
      </c>
      <c r="AG55" s="62">
        <f>SUM(O55:R55)</f>
        <v>698.13250000000005</v>
      </c>
      <c r="AH55" s="48">
        <f>+AH48</f>
        <v>745.50000000000011</v>
      </c>
      <c r="AI55" s="48">
        <f t="shared" ref="AI55:AP55" si="30">+AI48</f>
        <v>782.77500000000009</v>
      </c>
      <c r="AJ55" s="48">
        <f t="shared" si="30"/>
        <v>821.91375000000016</v>
      </c>
      <c r="AK55" s="48">
        <f t="shared" si="30"/>
        <v>863.00943750000022</v>
      </c>
      <c r="AL55" s="48">
        <f t="shared" si="30"/>
        <v>906.15990937500021</v>
      </c>
      <c r="AM55" s="48">
        <f t="shared" si="30"/>
        <v>906.15990937500021</v>
      </c>
      <c r="AN55" s="48">
        <f t="shared" si="30"/>
        <v>906.15990937500021</v>
      </c>
      <c r="AO55" s="48">
        <f t="shared" si="30"/>
        <v>906.15990937500021</v>
      </c>
      <c r="AP55" s="48">
        <f t="shared" si="30"/>
        <v>906.15990937500021</v>
      </c>
    </row>
    <row r="56" spans="2:42" s="17" customFormat="1">
      <c r="B56" s="21" t="s">
        <v>16</v>
      </c>
      <c r="C56" s="56">
        <f>SUM(C51:C55)</f>
        <v>3023</v>
      </c>
      <c r="D56" s="56">
        <f>SUM(D51:D55)</f>
        <v>3058</v>
      </c>
      <c r="E56" s="56">
        <f>+SUM(E51:E55)</f>
        <v>2634</v>
      </c>
      <c r="F56" s="56">
        <f t="shared" ref="F56:R56" si="31">SUM(F51:F55)</f>
        <v>3200</v>
      </c>
      <c r="G56" s="56">
        <f t="shared" si="31"/>
        <v>2679</v>
      </c>
      <c r="H56" s="56">
        <f t="shared" si="31"/>
        <v>2683</v>
      </c>
      <c r="I56" s="56">
        <f t="shared" si="31"/>
        <v>2493</v>
      </c>
      <c r="J56" s="56">
        <f t="shared" si="31"/>
        <v>3957</v>
      </c>
      <c r="K56" s="56">
        <f t="shared" si="31"/>
        <v>4023</v>
      </c>
      <c r="L56" s="56">
        <f t="shared" si="31"/>
        <v>4402</v>
      </c>
      <c r="M56" s="56">
        <f t="shared" si="31"/>
        <v>4605</v>
      </c>
      <c r="N56" s="56">
        <f t="shared" si="31"/>
        <v>5655</v>
      </c>
      <c r="O56" s="56">
        <f t="shared" si="31"/>
        <v>5010</v>
      </c>
      <c r="P56" s="56">
        <f t="shared" si="31"/>
        <v>5317</v>
      </c>
      <c r="Q56" s="56">
        <f t="shared" si="31"/>
        <v>5524</v>
      </c>
      <c r="R56" s="56">
        <f t="shared" si="31"/>
        <v>6499.1764999999987</v>
      </c>
      <c r="S56" s="64"/>
      <c r="T56" s="64"/>
      <c r="U56" s="64"/>
      <c r="V56" s="65"/>
      <c r="W56" s="65"/>
      <c r="X56" s="65"/>
      <c r="Y56" s="65"/>
      <c r="Z56" s="65"/>
      <c r="AA56" s="56">
        <f>SUM(AA51:AA55)</f>
        <v>9740</v>
      </c>
      <c r="AB56" s="56">
        <f>SUM(AB51:AB55)</f>
        <v>11497</v>
      </c>
      <c r="AC56" s="56">
        <f>SUM(AC51:AC55)</f>
        <v>12222</v>
      </c>
      <c r="AD56" s="56">
        <f>SUM(AD51:AD55)</f>
        <v>11915</v>
      </c>
      <c r="AE56" s="56">
        <f>SUM(AE51:AE55)</f>
        <v>11812</v>
      </c>
      <c r="AF56" s="56">
        <f>+SUM(AF51:AF55)</f>
        <v>18685</v>
      </c>
      <c r="AG56" s="56">
        <f>+SUM(AG51:AG55)</f>
        <v>22350.176500000001</v>
      </c>
      <c r="AH56" s="56">
        <f t="shared" ref="AH56:AO56" si="32">+SUM(AH51:AH55)</f>
        <v>29467.619999999995</v>
      </c>
      <c r="AI56" s="56">
        <f t="shared" si="32"/>
        <v>30941.001000000007</v>
      </c>
      <c r="AJ56" s="56">
        <f t="shared" si="32"/>
        <v>34148.712769966245</v>
      </c>
      <c r="AK56" s="56">
        <f t="shared" si="32"/>
        <v>34380.191464966243</v>
      </c>
      <c r="AL56" s="56">
        <f t="shared" si="32"/>
        <v>34623.244094716239</v>
      </c>
      <c r="AM56" s="56">
        <f t="shared" si="32"/>
        <v>34623.244094716239</v>
      </c>
      <c r="AN56" s="56">
        <f t="shared" si="32"/>
        <v>34623.244094716239</v>
      </c>
      <c r="AO56" s="56">
        <f t="shared" si="32"/>
        <v>34623.244094716239</v>
      </c>
      <c r="AP56" s="56">
        <f t="shared" ref="AP56" si="33">+SUM(AP51:AP55)</f>
        <v>34623.244094716239</v>
      </c>
    </row>
    <row r="57" spans="2:42">
      <c r="B57" s="20" t="s">
        <v>17</v>
      </c>
      <c r="C57" s="55">
        <v>1435</v>
      </c>
      <c r="D57" s="55">
        <v>1708</v>
      </c>
      <c r="E57" s="55">
        <v>1545</v>
      </c>
      <c r="F57" s="55">
        <f t="shared" ref="F57:F65" si="34">+AD57-SUM(C57:E57)</f>
        <v>1780</v>
      </c>
      <c r="G57" s="55">
        <v>1482</v>
      </c>
      <c r="H57" s="55">
        <v>1543</v>
      </c>
      <c r="I57" s="55">
        <v>1371</v>
      </c>
      <c r="J57" s="55">
        <f t="shared" ref="J57:J65" si="35">+AE57-SUM(G57:I57)</f>
        <v>2303</v>
      </c>
      <c r="K57" s="55">
        <v>2106</v>
      </c>
      <c r="L57" s="55">
        <v>2156</v>
      </c>
      <c r="M57" s="55">
        <v>2310</v>
      </c>
      <c r="N57" s="55">
        <f t="shared" ref="N57:N65" si="36">+N$56*(M57/M$56)</f>
        <v>2836.7100977198697</v>
      </c>
      <c r="O57" s="55">
        <v>2106</v>
      </c>
      <c r="P57" s="55">
        <v>2001</v>
      </c>
      <c r="Q57" s="55">
        <v>1951</v>
      </c>
      <c r="R57" s="55">
        <f>+R$56*(Q57/Q$56)</f>
        <v>2295.4187819514841</v>
      </c>
      <c r="S57" s="63"/>
      <c r="T57" s="63"/>
      <c r="U57" s="63"/>
      <c r="AA57" s="55">
        <v>5195</v>
      </c>
      <c r="AB57" s="55">
        <v>5014</v>
      </c>
      <c r="AC57" s="55">
        <v>5435</v>
      </c>
      <c r="AD57" s="55">
        <v>6468</v>
      </c>
      <c r="AE57" s="55">
        <v>6699</v>
      </c>
      <c r="AF57" s="55">
        <f t="shared" ref="AF57:AF69" si="37">+SUM(K57:N57)</f>
        <v>9408.7100977198697</v>
      </c>
      <c r="AG57" s="55">
        <f>SUM(O57:R57)</f>
        <v>8353.4187819514846</v>
      </c>
      <c r="AH57" s="55">
        <f t="shared" ref="AH57:AP57" si="38">+AH$56*(AG57/AG$56)</f>
        <v>11013.576128466329</v>
      </c>
      <c r="AI57" s="55">
        <f t="shared" si="38"/>
        <v>11564.254934889652</v>
      </c>
      <c r="AJ57" s="55">
        <f t="shared" si="38"/>
        <v>12763.142994960353</v>
      </c>
      <c r="AK57" s="55">
        <f t="shared" si="38"/>
        <v>12849.658574756093</v>
      </c>
      <c r="AL57" s="55">
        <f t="shared" si="38"/>
        <v>12940.499933541618</v>
      </c>
      <c r="AM57" s="55">
        <f t="shared" si="38"/>
        <v>12940.499933541618</v>
      </c>
      <c r="AN57" s="55">
        <f t="shared" si="38"/>
        <v>12940.499933541618</v>
      </c>
      <c r="AO57" s="55">
        <f t="shared" si="38"/>
        <v>12940.499933541618</v>
      </c>
      <c r="AP57" s="55">
        <f t="shared" si="38"/>
        <v>12940.499933541618</v>
      </c>
    </row>
    <row r="58" spans="2:42">
      <c r="B58" s="22" t="s">
        <v>18</v>
      </c>
      <c r="C58" s="57">
        <v>547</v>
      </c>
      <c r="D58" s="57">
        <v>559</v>
      </c>
      <c r="E58" s="57">
        <v>508</v>
      </c>
      <c r="F58" s="57">
        <f t="shared" si="34"/>
        <v>571</v>
      </c>
      <c r="G58" s="57">
        <v>461</v>
      </c>
      <c r="H58" s="57">
        <v>486</v>
      </c>
      <c r="I58" s="57">
        <v>480</v>
      </c>
      <c r="J58" s="57">
        <f t="shared" si="35"/>
        <v>681</v>
      </c>
      <c r="K58" s="57">
        <v>654</v>
      </c>
      <c r="L58" s="57">
        <v>602</v>
      </c>
      <c r="M58" s="57">
        <v>631</v>
      </c>
      <c r="N58" s="57">
        <f t="shared" si="36"/>
        <v>774.87622149837136</v>
      </c>
      <c r="O58" s="57">
        <v>593</v>
      </c>
      <c r="P58" s="57">
        <v>620</v>
      </c>
      <c r="Q58" s="57">
        <v>643</v>
      </c>
      <c r="R58" s="55">
        <f t="shared" ref="R58:R65" si="39">+R$56*(Q58/Q$56)</f>
        <v>756.51167442070948</v>
      </c>
      <c r="S58" s="63"/>
      <c r="T58" s="63"/>
      <c r="U58" s="63"/>
      <c r="AA58" s="57">
        <v>1960</v>
      </c>
      <c r="AB58" s="57">
        <v>2300</v>
      </c>
      <c r="AC58" s="57">
        <v>2323</v>
      </c>
      <c r="AD58" s="57">
        <v>2185</v>
      </c>
      <c r="AE58" s="57">
        <v>2108</v>
      </c>
      <c r="AF58" s="57">
        <f t="shared" si="37"/>
        <v>2661.8762214983713</v>
      </c>
      <c r="AG58" s="55">
        <f t="shared" ref="AG58:AG65" si="40">SUM(O58:R58)</f>
        <v>2612.5116744207094</v>
      </c>
      <c r="AH58" s="57">
        <f t="shared" ref="AH58:AP65" si="41">+AH$56*(AG58/AG$56)</f>
        <v>3444.4694997103566</v>
      </c>
      <c r="AI58" s="57">
        <f t="shared" si="41"/>
        <v>3616.6929746958758</v>
      </c>
      <c r="AJ58" s="57">
        <f t="shared" si="41"/>
        <v>3991.6423379464754</v>
      </c>
      <c r="AK58" s="57">
        <f t="shared" si="41"/>
        <v>4018.6998778753955</v>
      </c>
      <c r="AL58" s="57">
        <f t="shared" si="41"/>
        <v>4047.1102948007619</v>
      </c>
      <c r="AM58" s="57">
        <f t="shared" si="41"/>
        <v>4047.1102948007619</v>
      </c>
      <c r="AN58" s="57">
        <f t="shared" si="41"/>
        <v>4047.1102948007619</v>
      </c>
      <c r="AO58" s="57">
        <f t="shared" si="41"/>
        <v>4047.1102948007619</v>
      </c>
      <c r="AP58" s="57">
        <f t="shared" si="41"/>
        <v>4047.1102948007619</v>
      </c>
    </row>
    <row r="59" spans="2:42">
      <c r="B59" s="14" t="s">
        <v>19</v>
      </c>
      <c r="C59" s="48">
        <v>61</v>
      </c>
      <c r="D59" s="48">
        <v>49</v>
      </c>
      <c r="E59" s="48">
        <v>53</v>
      </c>
      <c r="F59" s="48">
        <f t="shared" si="34"/>
        <v>758</v>
      </c>
      <c r="G59" s="48">
        <v>66</v>
      </c>
      <c r="H59" s="48">
        <v>66</v>
      </c>
      <c r="I59" s="48">
        <v>166</v>
      </c>
      <c r="J59" s="48">
        <f t="shared" si="35"/>
        <v>1235</v>
      </c>
      <c r="K59" s="48">
        <v>98</v>
      </c>
      <c r="L59" s="48">
        <v>94</v>
      </c>
      <c r="M59" s="48">
        <v>132</v>
      </c>
      <c r="N59" s="48">
        <f t="shared" si="36"/>
        <v>162.09771986970685</v>
      </c>
      <c r="O59" s="48">
        <v>93</v>
      </c>
      <c r="P59" s="48">
        <v>83</v>
      </c>
      <c r="Q59" s="48">
        <v>123</v>
      </c>
      <c r="R59" s="55">
        <f t="shared" si="39"/>
        <v>144.71374176321504</v>
      </c>
      <c r="S59" s="63"/>
      <c r="T59" s="63"/>
      <c r="U59" s="63"/>
      <c r="AA59" s="48">
        <v>280</v>
      </c>
      <c r="AB59" s="48">
        <v>366</v>
      </c>
      <c r="AC59" s="48">
        <v>1846</v>
      </c>
      <c r="AD59" s="48">
        <v>921</v>
      </c>
      <c r="AE59" s="48">
        <v>1533</v>
      </c>
      <c r="AF59" s="48">
        <f t="shared" si="37"/>
        <v>486.09771986970685</v>
      </c>
      <c r="AG59" s="55">
        <f t="shared" si="40"/>
        <v>443.71374176321501</v>
      </c>
      <c r="AH59" s="48">
        <f t="shared" si="41"/>
        <v>585.01497431380676</v>
      </c>
      <c r="AI59" s="48">
        <f t="shared" si="41"/>
        <v>614.26572302949739</v>
      </c>
      <c r="AJ59" s="48">
        <f t="shared" si="41"/>
        <v>677.94780589580603</v>
      </c>
      <c r="AK59" s="48">
        <f t="shared" si="41"/>
        <v>682.543307765642</v>
      </c>
      <c r="AL59" s="48">
        <f t="shared" si="41"/>
        <v>687.36858472896984</v>
      </c>
      <c r="AM59" s="48">
        <f t="shared" si="41"/>
        <v>687.36858472896984</v>
      </c>
      <c r="AN59" s="48">
        <f t="shared" si="41"/>
        <v>687.36858472896984</v>
      </c>
      <c r="AO59" s="48">
        <f t="shared" si="41"/>
        <v>687.36858472896984</v>
      </c>
      <c r="AP59" s="48">
        <f t="shared" si="41"/>
        <v>687.36858472896984</v>
      </c>
    </row>
    <row r="60" spans="2:42">
      <c r="B60" s="14" t="s">
        <v>20</v>
      </c>
      <c r="C60" s="48">
        <v>38</v>
      </c>
      <c r="D60" s="48">
        <v>62</v>
      </c>
      <c r="E60" s="48">
        <v>69</v>
      </c>
      <c r="F60" s="48">
        <f t="shared" si="34"/>
        <v>62</v>
      </c>
      <c r="G60" s="48">
        <v>48</v>
      </c>
      <c r="H60" s="48">
        <v>66</v>
      </c>
      <c r="I60" s="48">
        <v>78</v>
      </c>
      <c r="J60" s="48">
        <f t="shared" si="35"/>
        <v>73</v>
      </c>
      <c r="K60" s="48">
        <v>53</v>
      </c>
      <c r="L60" s="48">
        <v>57</v>
      </c>
      <c r="M60" s="48">
        <v>74</v>
      </c>
      <c r="N60" s="48">
        <f t="shared" si="36"/>
        <v>90.87296416938112</v>
      </c>
      <c r="O60" s="48">
        <v>49</v>
      </c>
      <c r="P60" s="48">
        <v>61</v>
      </c>
      <c r="Q60" s="48">
        <v>65</v>
      </c>
      <c r="R60" s="55">
        <f t="shared" si="39"/>
        <v>76.474741582186809</v>
      </c>
      <c r="S60" s="63"/>
      <c r="T60" s="63"/>
      <c r="U60" s="63"/>
      <c r="AA60" s="48">
        <v>265</v>
      </c>
      <c r="AB60" s="48">
        <v>187</v>
      </c>
      <c r="AC60" s="48">
        <v>209</v>
      </c>
      <c r="AD60" s="48">
        <v>231</v>
      </c>
      <c r="AE60" s="48">
        <v>265</v>
      </c>
      <c r="AF60" s="48">
        <f t="shared" si="37"/>
        <v>274.87296416938113</v>
      </c>
      <c r="AG60" s="55">
        <f t="shared" si="40"/>
        <v>251.47474158218682</v>
      </c>
      <c r="AH60" s="48">
        <f t="shared" si="41"/>
        <v>331.55720826375034</v>
      </c>
      <c r="AI60" s="48">
        <f t="shared" si="41"/>
        <v>348.13506867693798</v>
      </c>
      <c r="AJ60" s="48">
        <f t="shared" si="41"/>
        <v>384.22688604680968</v>
      </c>
      <c r="AK60" s="48">
        <f t="shared" si="41"/>
        <v>386.83138650822247</v>
      </c>
      <c r="AL60" s="48">
        <f t="shared" si="41"/>
        <v>389.56611199270583</v>
      </c>
      <c r="AM60" s="48">
        <f t="shared" si="41"/>
        <v>389.56611199270583</v>
      </c>
      <c r="AN60" s="48">
        <f t="shared" si="41"/>
        <v>389.56611199270583</v>
      </c>
      <c r="AO60" s="48">
        <f t="shared" si="41"/>
        <v>389.56611199270583</v>
      </c>
      <c r="AP60" s="48">
        <f t="shared" si="41"/>
        <v>389.56611199270583</v>
      </c>
    </row>
    <row r="61" spans="2:42">
      <c r="B61" s="14" t="s">
        <v>21</v>
      </c>
      <c r="C61" s="48">
        <v>44</v>
      </c>
      <c r="D61" s="48">
        <v>45</v>
      </c>
      <c r="E61" s="48">
        <v>80</v>
      </c>
      <c r="F61" s="48">
        <f t="shared" si="34"/>
        <v>60</v>
      </c>
      <c r="G61" s="48">
        <v>35</v>
      </c>
      <c r="H61" s="48">
        <v>44</v>
      </c>
      <c r="I61" s="48">
        <v>53</v>
      </c>
      <c r="J61" s="48">
        <f t="shared" si="35"/>
        <v>68</v>
      </c>
      <c r="K61" s="48">
        <v>53</v>
      </c>
      <c r="L61" s="48">
        <v>49</v>
      </c>
      <c r="M61" s="48">
        <v>47</v>
      </c>
      <c r="N61" s="48">
        <f t="shared" si="36"/>
        <v>57.716612377850161</v>
      </c>
      <c r="O61" s="48">
        <v>43</v>
      </c>
      <c r="P61" s="48">
        <v>40</v>
      </c>
      <c r="Q61" s="48">
        <v>40</v>
      </c>
      <c r="R61" s="55">
        <f t="shared" si="39"/>
        <v>47.061379435191881</v>
      </c>
      <c r="S61" s="63"/>
      <c r="T61" s="63"/>
      <c r="U61" s="63"/>
      <c r="AA61" s="48">
        <v>150</v>
      </c>
      <c r="AB61" s="48">
        <v>122</v>
      </c>
      <c r="AC61" s="48">
        <v>154</v>
      </c>
      <c r="AD61" s="48">
        <v>229</v>
      </c>
      <c r="AE61" s="48">
        <v>200</v>
      </c>
      <c r="AF61" s="48">
        <f t="shared" si="37"/>
        <v>206.71661237785017</v>
      </c>
      <c r="AG61" s="55">
        <f t="shared" si="40"/>
        <v>170.0613794351919</v>
      </c>
      <c r="AH61" s="48">
        <f t="shared" si="41"/>
        <v>224.21765241415648</v>
      </c>
      <c r="AI61" s="48">
        <f t="shared" si="41"/>
        <v>235.42853503486438</v>
      </c>
      <c r="AJ61" s="48">
        <f t="shared" si="41"/>
        <v>259.83585407464733</v>
      </c>
      <c r="AK61" s="48">
        <f t="shared" si="41"/>
        <v>261.59716393193446</v>
      </c>
      <c r="AL61" s="48">
        <f t="shared" si="41"/>
        <v>263.44653928208595</v>
      </c>
      <c r="AM61" s="48">
        <f t="shared" si="41"/>
        <v>263.44653928208595</v>
      </c>
      <c r="AN61" s="48">
        <f t="shared" si="41"/>
        <v>263.44653928208595</v>
      </c>
      <c r="AO61" s="48">
        <f t="shared" si="41"/>
        <v>263.44653928208595</v>
      </c>
      <c r="AP61" s="48">
        <f t="shared" si="41"/>
        <v>263.44653928208595</v>
      </c>
    </row>
    <row r="62" spans="2:42">
      <c r="B62" s="14" t="s">
        <v>22</v>
      </c>
      <c r="C62" s="48">
        <v>64</v>
      </c>
      <c r="D62" s="48">
        <v>73</v>
      </c>
      <c r="E62" s="48">
        <v>73</v>
      </c>
      <c r="F62" s="48">
        <f t="shared" si="34"/>
        <v>66</v>
      </c>
      <c r="G62" s="48">
        <v>74</v>
      </c>
      <c r="H62" s="48">
        <v>71</v>
      </c>
      <c r="I62" s="48">
        <v>70</v>
      </c>
      <c r="J62" s="48">
        <f t="shared" si="35"/>
        <v>84</v>
      </c>
      <c r="K62" s="48">
        <v>101</v>
      </c>
      <c r="L62" s="48">
        <v>100</v>
      </c>
      <c r="M62" s="48">
        <v>113</v>
      </c>
      <c r="N62" s="48">
        <f t="shared" si="36"/>
        <v>138.76547231270359</v>
      </c>
      <c r="O62" s="48">
        <v>110</v>
      </c>
      <c r="P62" s="48">
        <v>95</v>
      </c>
      <c r="Q62" s="48">
        <v>86</v>
      </c>
      <c r="R62" s="55">
        <f t="shared" si="39"/>
        <v>101.18196578566254</v>
      </c>
      <c r="S62" s="63"/>
      <c r="T62" s="63"/>
      <c r="U62" s="63"/>
      <c r="AA62" s="48">
        <v>313</v>
      </c>
      <c r="AB62" s="48">
        <v>269</v>
      </c>
      <c r="AC62" s="48">
        <v>259</v>
      </c>
      <c r="AD62" s="48">
        <v>276</v>
      </c>
      <c r="AE62" s="48">
        <v>299</v>
      </c>
      <c r="AF62" s="48">
        <f t="shared" si="37"/>
        <v>452.76547231270359</v>
      </c>
      <c r="AG62" s="55">
        <f t="shared" si="40"/>
        <v>392.18196578566256</v>
      </c>
      <c r="AH62" s="48">
        <f t="shared" si="41"/>
        <v>517.07283558252459</v>
      </c>
      <c r="AI62" s="48">
        <f t="shared" si="41"/>
        <v>542.926477361651</v>
      </c>
      <c r="AJ62" s="48">
        <f t="shared" si="41"/>
        <v>599.21268644904524</v>
      </c>
      <c r="AK62" s="48">
        <f t="shared" si="41"/>
        <v>603.27447851778345</v>
      </c>
      <c r="AL62" s="48">
        <f t="shared" si="41"/>
        <v>607.53936018995853</v>
      </c>
      <c r="AM62" s="48">
        <f t="shared" si="41"/>
        <v>607.53936018995853</v>
      </c>
      <c r="AN62" s="48">
        <f t="shared" si="41"/>
        <v>607.53936018995853</v>
      </c>
      <c r="AO62" s="48">
        <f t="shared" si="41"/>
        <v>607.53936018995853</v>
      </c>
      <c r="AP62" s="48">
        <f t="shared" si="41"/>
        <v>607.53936018995853</v>
      </c>
    </row>
    <row r="63" spans="2:42">
      <c r="B63" s="14" t="s">
        <v>31</v>
      </c>
      <c r="C63" s="48">
        <v>35</v>
      </c>
      <c r="D63" s="48">
        <v>22</v>
      </c>
      <c r="E63" s="48">
        <v>11</v>
      </c>
      <c r="F63" s="48">
        <f t="shared" si="34"/>
        <v>14</v>
      </c>
      <c r="G63" s="48">
        <v>8</v>
      </c>
      <c r="H63" s="48">
        <v>41</v>
      </c>
      <c r="I63" s="48">
        <v>37</v>
      </c>
      <c r="J63" s="48">
        <f t="shared" si="35"/>
        <v>431</v>
      </c>
      <c r="K63" s="48">
        <v>73</v>
      </c>
      <c r="L63" s="48">
        <v>59</v>
      </c>
      <c r="M63" s="48">
        <f>55-5-18</f>
        <v>32</v>
      </c>
      <c r="N63" s="48">
        <f t="shared" si="36"/>
        <v>39.296416938110752</v>
      </c>
      <c r="O63" s="48">
        <v>43</v>
      </c>
      <c r="P63" s="48">
        <f>48</f>
        <v>48</v>
      </c>
      <c r="Q63" s="48">
        <f>139-87-39</f>
        <v>13</v>
      </c>
      <c r="R63" s="55">
        <f t="shared" si="39"/>
        <v>15.294948316437363</v>
      </c>
      <c r="S63" s="63"/>
      <c r="T63" s="63"/>
      <c r="U63" s="63"/>
      <c r="AA63" s="48">
        <v>300</v>
      </c>
      <c r="AB63" s="48">
        <v>384</v>
      </c>
      <c r="AC63" s="48">
        <v>143</v>
      </c>
      <c r="AD63" s="48">
        <v>82</v>
      </c>
      <c r="AE63" s="48">
        <v>517</v>
      </c>
      <c r="AF63" s="48">
        <f t="shared" si="37"/>
        <v>203.29641693811075</v>
      </c>
      <c r="AG63" s="55">
        <f t="shared" si="40"/>
        <v>119.29494831643737</v>
      </c>
      <c r="AH63" s="48">
        <f t="shared" si="41"/>
        <v>157.28458363218812</v>
      </c>
      <c r="AI63" s="48">
        <f t="shared" si="41"/>
        <v>165.14881281379758</v>
      </c>
      <c r="AJ63" s="48">
        <f t="shared" si="41"/>
        <v>182.27010086322977</v>
      </c>
      <c r="AK63" s="48">
        <f t="shared" si="41"/>
        <v>183.50562752479243</v>
      </c>
      <c r="AL63" s="48">
        <f t="shared" si="41"/>
        <v>184.8029305194332</v>
      </c>
      <c r="AM63" s="48">
        <f t="shared" si="41"/>
        <v>184.8029305194332</v>
      </c>
      <c r="AN63" s="48">
        <f t="shared" si="41"/>
        <v>184.8029305194332</v>
      </c>
      <c r="AO63" s="48">
        <f t="shared" si="41"/>
        <v>184.8029305194332</v>
      </c>
      <c r="AP63" s="48">
        <f t="shared" si="41"/>
        <v>184.8029305194332</v>
      </c>
    </row>
    <row r="64" spans="2:42">
      <c r="B64" s="14" t="s">
        <v>23</v>
      </c>
      <c r="C64" s="48">
        <v>-109</v>
      </c>
      <c r="D64" s="48">
        <v>-75</v>
      </c>
      <c r="E64" s="48">
        <v>56</v>
      </c>
      <c r="F64" s="48">
        <f t="shared" si="34"/>
        <v>101</v>
      </c>
      <c r="G64" s="48">
        <v>99</v>
      </c>
      <c r="H64" s="48">
        <v>-17</v>
      </c>
      <c r="I64" s="48">
        <v>42</v>
      </c>
      <c r="J64" s="48">
        <f t="shared" si="35"/>
        <v>-212</v>
      </c>
      <c r="K64" s="48">
        <v>121</v>
      </c>
      <c r="L64" s="48">
        <v>100</v>
      </c>
      <c r="M64" s="48">
        <v>17</v>
      </c>
      <c r="N64" s="48">
        <f t="shared" si="36"/>
        <v>20.876221498371336</v>
      </c>
      <c r="O64" s="48">
        <v>10</v>
      </c>
      <c r="P64" s="48">
        <f>+-36</f>
        <v>-36</v>
      </c>
      <c r="Q64" s="48">
        <v>-55</v>
      </c>
      <c r="R64" s="55">
        <f t="shared" si="39"/>
        <v>-64.709396723388835</v>
      </c>
      <c r="S64" s="63"/>
      <c r="T64" s="63"/>
      <c r="U64" s="63"/>
      <c r="AA64" s="48">
        <v>297</v>
      </c>
      <c r="AB64" s="48">
        <v>-32</v>
      </c>
      <c r="AC64" s="48">
        <v>125</v>
      </c>
      <c r="AD64" s="48">
        <v>-27</v>
      </c>
      <c r="AE64" s="48">
        <v>-88</v>
      </c>
      <c r="AF64" s="48">
        <f t="shared" si="37"/>
        <v>258.87622149837136</v>
      </c>
      <c r="AG64" s="55">
        <f t="shared" si="40"/>
        <v>-145.70939672338883</v>
      </c>
      <c r="AH64" s="48">
        <f t="shared" si="41"/>
        <v>-192.11074834572634</v>
      </c>
      <c r="AI64" s="48">
        <f t="shared" si="41"/>
        <v>-201.71628576301273</v>
      </c>
      <c r="AJ64" s="48">
        <f t="shared" si="41"/>
        <v>-222.62859251210236</v>
      </c>
      <c r="AK64" s="48">
        <f t="shared" si="41"/>
        <v>-224.13769115401988</v>
      </c>
      <c r="AL64" s="48">
        <f t="shared" si="41"/>
        <v>-225.72224472803327</v>
      </c>
      <c r="AM64" s="48">
        <f t="shared" si="41"/>
        <v>-225.72224472803327</v>
      </c>
      <c r="AN64" s="48">
        <f t="shared" si="41"/>
        <v>-225.72224472803327</v>
      </c>
      <c r="AO64" s="48">
        <f t="shared" si="41"/>
        <v>-225.72224472803327</v>
      </c>
      <c r="AP64" s="48">
        <f t="shared" si="41"/>
        <v>-225.72224472803327</v>
      </c>
    </row>
    <row r="65" spans="2:241">
      <c r="B65" s="14" t="s">
        <v>24</v>
      </c>
      <c r="C65" s="48">
        <v>-62</v>
      </c>
      <c r="D65" s="48">
        <v>-57</v>
      </c>
      <c r="E65" s="48">
        <v>-55</v>
      </c>
      <c r="F65" s="48">
        <f t="shared" si="34"/>
        <v>-53</v>
      </c>
      <c r="G65" s="48">
        <v>-65</v>
      </c>
      <c r="H65" s="48">
        <v>-49</v>
      </c>
      <c r="I65" s="48">
        <v>-48</v>
      </c>
      <c r="J65" s="48">
        <f t="shared" si="35"/>
        <v>-81</v>
      </c>
      <c r="K65" s="48">
        <v>-93</v>
      </c>
      <c r="L65" s="48">
        <v>-103</v>
      </c>
      <c r="M65" s="48">
        <v>-86</v>
      </c>
      <c r="N65" s="48">
        <f t="shared" si="36"/>
        <v>-105.60912052117264</v>
      </c>
      <c r="O65" s="48">
        <v>-79</v>
      </c>
      <c r="P65" s="48">
        <v>-65</v>
      </c>
      <c r="Q65" s="48">
        <v>-52</v>
      </c>
      <c r="R65" s="55">
        <f t="shared" si="39"/>
        <v>-61.179793265749453</v>
      </c>
      <c r="S65" s="63"/>
      <c r="T65" s="63"/>
      <c r="U65" s="63"/>
      <c r="AA65" s="48">
        <v>-301</v>
      </c>
      <c r="AB65" s="48">
        <v>-308</v>
      </c>
      <c r="AC65" s="48">
        <v>-274</v>
      </c>
      <c r="AD65" s="48">
        <v>-227</v>
      </c>
      <c r="AE65" s="48">
        <v>-243</v>
      </c>
      <c r="AF65" s="48">
        <f t="shared" si="37"/>
        <v>-387.60912052117266</v>
      </c>
      <c r="AG65" s="55">
        <f t="shared" si="40"/>
        <v>-257.17979326574948</v>
      </c>
      <c r="AH65" s="48">
        <f t="shared" si="41"/>
        <v>-339.07904126097901</v>
      </c>
      <c r="AI65" s="48">
        <f t="shared" si="41"/>
        <v>-356.0329933240281</v>
      </c>
      <c r="AJ65" s="48">
        <f t="shared" si="41"/>
        <v>-392.94360339710863</v>
      </c>
      <c r="AK65" s="48">
        <f t="shared" si="41"/>
        <v>-395.60719054710387</v>
      </c>
      <c r="AL65" s="48">
        <f t="shared" si="41"/>
        <v>-398.40395705459878</v>
      </c>
      <c r="AM65" s="48">
        <f t="shared" si="41"/>
        <v>-398.40395705459878</v>
      </c>
      <c r="AN65" s="48">
        <f t="shared" si="41"/>
        <v>-398.40395705459878</v>
      </c>
      <c r="AO65" s="48">
        <f t="shared" si="41"/>
        <v>-398.40395705459878</v>
      </c>
      <c r="AP65" s="48">
        <f t="shared" si="41"/>
        <v>-398.40395705459878</v>
      </c>
    </row>
    <row r="66" spans="2:241" s="12" customFormat="1">
      <c r="B66" s="23" t="s">
        <v>25</v>
      </c>
      <c r="C66" s="58">
        <f t="shared" ref="C66:R66" si="42">+C56-SUM(C57:C63) + SUM(C64:C65)</f>
        <v>628</v>
      </c>
      <c r="D66" s="58">
        <f t="shared" si="42"/>
        <v>408</v>
      </c>
      <c r="E66" s="58">
        <f t="shared" si="42"/>
        <v>296</v>
      </c>
      <c r="F66" s="58">
        <f t="shared" si="42"/>
        <v>-63</v>
      </c>
      <c r="G66" s="58">
        <f t="shared" si="42"/>
        <v>539</v>
      </c>
      <c r="H66" s="58">
        <f t="shared" si="42"/>
        <v>300</v>
      </c>
      <c r="I66" s="58">
        <f t="shared" si="42"/>
        <v>232</v>
      </c>
      <c r="J66" s="58">
        <f t="shared" si="42"/>
        <v>-1211</v>
      </c>
      <c r="K66" s="58">
        <f t="shared" si="42"/>
        <v>913</v>
      </c>
      <c r="L66" s="58">
        <f t="shared" si="42"/>
        <v>1282</v>
      </c>
      <c r="M66" s="58">
        <f t="shared" si="42"/>
        <v>1197</v>
      </c>
      <c r="N66" s="58">
        <f t="shared" si="42"/>
        <v>1469.9315960912047</v>
      </c>
      <c r="O66" s="58">
        <f t="shared" si="42"/>
        <v>1904</v>
      </c>
      <c r="P66" s="58">
        <f t="shared" si="42"/>
        <v>2268</v>
      </c>
      <c r="Q66" s="58">
        <f t="shared" si="42"/>
        <v>2496</v>
      </c>
      <c r="R66" s="58">
        <f t="shared" si="42"/>
        <v>2936.6300767559728</v>
      </c>
      <c r="S66" s="71"/>
      <c r="T66" s="71"/>
      <c r="U66" s="71"/>
      <c r="V66" s="71"/>
      <c r="W66" s="71"/>
      <c r="X66" s="71"/>
      <c r="Y66" s="71"/>
      <c r="Z66" s="71"/>
      <c r="AA66" s="58">
        <f>+AA56-SUM(AA57:AA65)</f>
        <v>1281</v>
      </c>
      <c r="AB66" s="58">
        <f>+AB56-SUM(AB57:AB65)</f>
        <v>3195</v>
      </c>
      <c r="AC66" s="58">
        <f>+AC56-SUM(AC57:AC65)</f>
        <v>2002</v>
      </c>
      <c r="AD66" s="58">
        <f>+AD56-SUM(AD57:AD65)</f>
        <v>1777</v>
      </c>
      <c r="AE66" s="58">
        <f>+AE56-SUM(AE57:AE65)</f>
        <v>522</v>
      </c>
      <c r="AF66" s="58">
        <f t="shared" si="37"/>
        <v>4861.9315960912045</v>
      </c>
      <c r="AG66" s="58">
        <f>+AG56-SUM(AG57:AG65)</f>
        <v>10410.408456734251</v>
      </c>
      <c r="AH66" s="58">
        <f t="shared" ref="AH66:AO66" si="43">+AH56-SUM(AH57:AH65)</f>
        <v>13725.61690722359</v>
      </c>
      <c r="AI66" s="58">
        <f t="shared" si="43"/>
        <v>14411.897752584773</v>
      </c>
      <c r="AJ66" s="58">
        <f t="shared" si="43"/>
        <v>15906.006299639088</v>
      </c>
      <c r="AK66" s="58">
        <f t="shared" si="43"/>
        <v>16013.825929787505</v>
      </c>
      <c r="AL66" s="58">
        <f t="shared" si="43"/>
        <v>16127.036541443336</v>
      </c>
      <c r="AM66" s="58">
        <f t="shared" si="43"/>
        <v>16127.036541443336</v>
      </c>
      <c r="AN66" s="58">
        <f t="shared" si="43"/>
        <v>16127.036541443336</v>
      </c>
      <c r="AO66" s="58">
        <f t="shared" si="43"/>
        <v>16127.036541443336</v>
      </c>
      <c r="AP66" s="58">
        <f t="shared" ref="AP66" si="44">+AP56-SUM(AP57:AP65)</f>
        <v>16127.036541443336</v>
      </c>
    </row>
    <row r="67" spans="2:241">
      <c r="B67" s="14" t="s">
        <v>26</v>
      </c>
      <c r="C67" s="48">
        <v>-214</v>
      </c>
      <c r="D67" s="48">
        <v>-33</v>
      </c>
      <c r="E67" s="48">
        <v>-96</v>
      </c>
      <c r="F67" s="48">
        <f>+AD67-SUM(C67:E67)</f>
        <v>-112</v>
      </c>
      <c r="G67" s="48">
        <v>-213</v>
      </c>
      <c r="H67" s="48">
        <v>-163</v>
      </c>
      <c r="I67" s="48">
        <v>-73</v>
      </c>
      <c r="J67" s="48">
        <f>+AE67-SUM(G67:I67)</f>
        <v>-77</v>
      </c>
      <c r="K67" s="48">
        <v>-260</v>
      </c>
      <c r="L67" s="48">
        <v>-191</v>
      </c>
      <c r="M67" s="48">
        <v>-244</v>
      </c>
      <c r="N67" s="48">
        <f>+N$66*(M67/M$66)</f>
        <v>-299.63517915309433</v>
      </c>
      <c r="O67" s="48">
        <v>-647</v>
      </c>
      <c r="P67" s="48">
        <v>-1092</v>
      </c>
      <c r="Q67" s="48">
        <v>-787</v>
      </c>
      <c r="R67" s="48">
        <f>+R$66*(Q67/Q$66)</f>
        <v>-925.93264038740006</v>
      </c>
      <c r="S67" s="63"/>
      <c r="T67" s="63"/>
      <c r="U67" s="63"/>
      <c r="AA67" s="48">
        <v>-832</v>
      </c>
      <c r="AB67" s="48">
        <v>-704</v>
      </c>
      <c r="AC67" s="48">
        <v>-1098</v>
      </c>
      <c r="AD67" s="48">
        <v>-455</v>
      </c>
      <c r="AE67" s="48">
        <v>-526</v>
      </c>
      <c r="AF67" s="48">
        <f t="shared" si="37"/>
        <v>-994.63517915309433</v>
      </c>
      <c r="AG67" s="48">
        <f>SUM(O67:R67)</f>
        <v>-3451.9326403874002</v>
      </c>
      <c r="AH67" s="48">
        <f t="shared" ref="AH67:AP67" si="45">+AH66*(AG67/AG66)</f>
        <v>-4551.2051912669485</v>
      </c>
      <c r="AI67" s="48">
        <f t="shared" si="45"/>
        <v>-4778.7654508302976</v>
      </c>
      <c r="AJ67" s="48">
        <f t="shared" si="45"/>
        <v>-5274.1890534001159</v>
      </c>
      <c r="AK67" s="48">
        <f t="shared" si="45"/>
        <v>-5309.9403980404941</v>
      </c>
      <c r="AL67" s="48">
        <f t="shared" si="45"/>
        <v>-5347.4793099128892</v>
      </c>
      <c r="AM67" s="48">
        <f t="shared" si="45"/>
        <v>-5347.4793099128892</v>
      </c>
      <c r="AN67" s="48">
        <f t="shared" si="45"/>
        <v>-5347.4793099128892</v>
      </c>
      <c r="AO67" s="48">
        <f t="shared" si="45"/>
        <v>-5347.4793099128892</v>
      </c>
      <c r="AP67" s="48">
        <f t="shared" si="45"/>
        <v>-5347.4793099128892</v>
      </c>
    </row>
    <row r="68" spans="2:241">
      <c r="B68" s="14" t="s">
        <v>28</v>
      </c>
      <c r="C68" s="48">
        <v>39</v>
      </c>
      <c r="D68" s="48">
        <v>17</v>
      </c>
      <c r="E68" s="48">
        <v>25</v>
      </c>
      <c r="F68" s="48">
        <f>+AD68-SUM(C68:E68)</f>
        <v>26</v>
      </c>
      <c r="G68" s="48">
        <v>25</v>
      </c>
      <c r="H68" s="48">
        <v>16</v>
      </c>
      <c r="I68" s="48">
        <v>3</v>
      </c>
      <c r="J68" s="48">
        <f>+AE68-SUM(G68:I68)</f>
        <v>19</v>
      </c>
      <c r="K68" s="48">
        <v>7</v>
      </c>
      <c r="L68" s="48">
        <v>-3</v>
      </c>
      <c r="M68" s="48">
        <v>60</v>
      </c>
      <c r="N68" s="48">
        <f>+N$66*(M68/M$66)</f>
        <v>73.680781758957622</v>
      </c>
      <c r="O68" s="48">
        <v>78</v>
      </c>
      <c r="P68" s="48">
        <v>49</v>
      </c>
      <c r="Q68" s="48">
        <v>123</v>
      </c>
      <c r="R68" s="48">
        <f>+R$66*(Q68/Q$66)</f>
        <v>144.71374176321501</v>
      </c>
      <c r="S68" s="63"/>
      <c r="T68" s="63"/>
      <c r="U68" s="63"/>
      <c r="AA68" s="48">
        <v>95</v>
      </c>
      <c r="AB68" s="48">
        <v>189</v>
      </c>
      <c r="AC68" s="48">
        <v>166</v>
      </c>
      <c r="AD68" s="48">
        <v>107</v>
      </c>
      <c r="AE68" s="48">
        <v>63</v>
      </c>
      <c r="AF68" s="48">
        <f t="shared" si="37"/>
        <v>137.68078175895761</v>
      </c>
      <c r="AG68" s="48">
        <f>SUM(O68:R68)</f>
        <v>394.71374176321501</v>
      </c>
      <c r="AH68" s="48">
        <f t="shared" ref="AH68:AP68" si="46">+AH66*(AF68/AF66)</f>
        <v>388.68372138962116</v>
      </c>
      <c r="AI68" s="48">
        <f t="shared" si="46"/>
        <v>546.43140194482942</v>
      </c>
      <c r="AJ68" s="48">
        <f t="shared" si="46"/>
        <v>450.4282585460162</v>
      </c>
      <c r="AK68" s="48">
        <f t="shared" si="46"/>
        <v>607.16898659268202</v>
      </c>
      <c r="AL68" s="48">
        <f t="shared" si="46"/>
        <v>456.68742033851157</v>
      </c>
      <c r="AM68" s="48">
        <f t="shared" si="46"/>
        <v>611.46140070108993</v>
      </c>
      <c r="AN68" s="48">
        <f t="shared" si="46"/>
        <v>456.68742033851157</v>
      </c>
      <c r="AO68" s="48">
        <f t="shared" si="46"/>
        <v>611.46140070108993</v>
      </c>
      <c r="AP68" s="48">
        <f t="shared" si="46"/>
        <v>456.68742033851157</v>
      </c>
    </row>
    <row r="69" spans="2:241" s="12" customFormat="1">
      <c r="B69" s="23" t="s">
        <v>42</v>
      </c>
      <c r="C69" s="58">
        <f t="shared" ref="C69:R69" si="47">SUM(C66:C68)</f>
        <v>453</v>
      </c>
      <c r="D69" s="58">
        <f t="shared" si="47"/>
        <v>392</v>
      </c>
      <c r="E69" s="58">
        <f t="shared" si="47"/>
        <v>225</v>
      </c>
      <c r="F69" s="58">
        <f t="shared" si="47"/>
        <v>-149</v>
      </c>
      <c r="G69" s="58">
        <f t="shared" si="47"/>
        <v>351</v>
      </c>
      <c r="H69" s="58">
        <f t="shared" si="47"/>
        <v>153</v>
      </c>
      <c r="I69" s="58">
        <f t="shared" si="47"/>
        <v>162</v>
      </c>
      <c r="J69" s="58">
        <f t="shared" si="47"/>
        <v>-1269</v>
      </c>
      <c r="K69" s="58">
        <f t="shared" si="47"/>
        <v>660</v>
      </c>
      <c r="L69" s="58">
        <f t="shared" si="47"/>
        <v>1088</v>
      </c>
      <c r="M69" s="58">
        <f t="shared" si="47"/>
        <v>1013</v>
      </c>
      <c r="N69" s="58">
        <f t="shared" si="47"/>
        <v>1243.9771986970679</v>
      </c>
      <c r="O69" s="58">
        <f t="shared" si="47"/>
        <v>1335</v>
      </c>
      <c r="P69" s="58">
        <f t="shared" si="47"/>
        <v>1225</v>
      </c>
      <c r="Q69" s="58">
        <f t="shared" si="47"/>
        <v>1832</v>
      </c>
      <c r="R69" s="58">
        <f t="shared" si="47"/>
        <v>2155.4111781317879</v>
      </c>
      <c r="S69" s="71"/>
      <c r="T69" s="71"/>
      <c r="U69" s="71"/>
      <c r="V69" s="71"/>
      <c r="W69" s="71"/>
      <c r="X69" s="71"/>
      <c r="Y69" s="71"/>
      <c r="Z69" s="71"/>
      <c r="AA69" s="58">
        <f>+AA66-SUM(AA67:AA68)</f>
        <v>2018</v>
      </c>
      <c r="AB69" s="58">
        <f>+AB66-SUM(AB67:AB68)</f>
        <v>3710</v>
      </c>
      <c r="AC69" s="58">
        <f>+AC66-SUM(AC67:AC68)</f>
        <v>2934</v>
      </c>
      <c r="AD69" s="58">
        <f>+AD66-SUM(AD67:AD68)</f>
        <v>2125</v>
      </c>
      <c r="AE69" s="58">
        <f>+AE66-SUM(AE67:AE68)</f>
        <v>985</v>
      </c>
      <c r="AF69" s="58">
        <f t="shared" si="37"/>
        <v>4004.9771986970682</v>
      </c>
      <c r="AG69" s="58">
        <f>SUM(AG66:AG68)</f>
        <v>7353.1895581100653</v>
      </c>
      <c r="AH69" s="58">
        <f t="shared" ref="AH69:AP69" si="48">SUM(AH66:AH68)</f>
        <v>9563.0954373462628</v>
      </c>
      <c r="AI69" s="58">
        <f t="shared" si="48"/>
        <v>10179.563703699305</v>
      </c>
      <c r="AJ69" s="58">
        <f t="shared" si="48"/>
        <v>11082.245504784989</v>
      </c>
      <c r="AK69" s="58">
        <f t="shared" si="48"/>
        <v>11311.054518339693</v>
      </c>
      <c r="AL69" s="58">
        <f t="shared" si="48"/>
        <v>11236.244651868959</v>
      </c>
      <c r="AM69" s="58">
        <f t="shared" si="48"/>
        <v>11391.018632231537</v>
      </c>
      <c r="AN69" s="58">
        <f t="shared" si="48"/>
        <v>11236.244651868959</v>
      </c>
      <c r="AO69" s="58">
        <f t="shared" si="48"/>
        <v>11391.018632231537</v>
      </c>
      <c r="AP69" s="58">
        <f t="shared" si="48"/>
        <v>11236.244651868959</v>
      </c>
      <c r="AQ69" s="23">
        <f t="shared" ref="AQ69:BV69" si="49">+AP69*(1+$AS$72)</f>
        <v>11348.607098387649</v>
      </c>
      <c r="AR69" s="23">
        <f t="shared" si="49"/>
        <v>11462.093169371525</v>
      </c>
      <c r="AS69" s="23">
        <f t="shared" si="49"/>
        <v>11576.714101065239</v>
      </c>
      <c r="AT69" s="23">
        <f t="shared" si="49"/>
        <v>11692.481242075892</v>
      </c>
      <c r="AU69" s="23">
        <f t="shared" si="49"/>
        <v>11809.406054496651</v>
      </c>
      <c r="AV69" s="23">
        <f t="shared" si="49"/>
        <v>11927.500115041617</v>
      </c>
      <c r="AW69" s="23">
        <f t="shared" si="49"/>
        <v>12046.775116192033</v>
      </c>
      <c r="AX69" s="23">
        <f t="shared" si="49"/>
        <v>12167.242867353954</v>
      </c>
      <c r="AY69" s="23">
        <f t="shared" si="49"/>
        <v>12288.915296027493</v>
      </c>
      <c r="AZ69" s="23">
        <f t="shared" si="49"/>
        <v>12411.804448987768</v>
      </c>
      <c r="BA69" s="23">
        <f t="shared" si="49"/>
        <v>12535.922493477647</v>
      </c>
      <c r="BB69" s="23">
        <f t="shared" si="49"/>
        <v>12661.281718412423</v>
      </c>
      <c r="BC69" s="23">
        <f t="shared" si="49"/>
        <v>12787.894535596548</v>
      </c>
      <c r="BD69" s="23">
        <f t="shared" si="49"/>
        <v>12915.773480952514</v>
      </c>
      <c r="BE69" s="23">
        <f t="shared" si="49"/>
        <v>13044.931215762039</v>
      </c>
      <c r="BF69" s="23">
        <f t="shared" si="49"/>
        <v>13175.380527919659</v>
      </c>
      <c r="BG69" s="23">
        <f t="shared" si="49"/>
        <v>13307.134333198856</v>
      </c>
      <c r="BH69" s="23">
        <f t="shared" si="49"/>
        <v>13440.205676530844</v>
      </c>
      <c r="BI69" s="23">
        <f t="shared" si="49"/>
        <v>13574.607733296152</v>
      </c>
      <c r="BJ69" s="23">
        <f t="shared" si="49"/>
        <v>13710.353810629114</v>
      </c>
      <c r="BK69" s="23">
        <f t="shared" si="49"/>
        <v>13847.457348735406</v>
      </c>
      <c r="BL69" s="23">
        <f t="shared" si="49"/>
        <v>13985.93192222276</v>
      </c>
      <c r="BM69" s="23">
        <f t="shared" si="49"/>
        <v>14125.791241444987</v>
      </c>
      <c r="BN69" s="23">
        <f t="shared" si="49"/>
        <v>14267.049153859438</v>
      </c>
      <c r="BO69" s="23">
        <f t="shared" si="49"/>
        <v>14409.719645398032</v>
      </c>
      <c r="BP69" s="23">
        <f t="shared" si="49"/>
        <v>14553.816841852013</v>
      </c>
      <c r="BQ69" s="23">
        <f t="shared" si="49"/>
        <v>14699.355010270532</v>
      </c>
      <c r="BR69" s="23">
        <f t="shared" si="49"/>
        <v>14846.348560373237</v>
      </c>
      <c r="BS69" s="23">
        <f t="shared" si="49"/>
        <v>14994.812045976969</v>
      </c>
      <c r="BT69" s="23">
        <f t="shared" si="49"/>
        <v>15144.760166436739</v>
      </c>
      <c r="BU69" s="23">
        <f t="shared" si="49"/>
        <v>15296.207768101107</v>
      </c>
      <c r="BV69" s="23">
        <f t="shared" si="49"/>
        <v>15449.169845782119</v>
      </c>
      <c r="BW69" s="23">
        <f t="shared" ref="BW69:DB69" si="50">+BV69*(1+$AS$72)</f>
        <v>15603.66154423994</v>
      </c>
      <c r="BX69" s="23">
        <f t="shared" si="50"/>
        <v>15759.698159682339</v>
      </c>
      <c r="BY69" s="23">
        <f t="shared" si="50"/>
        <v>15917.295141279163</v>
      </c>
      <c r="BZ69" s="23">
        <f t="shared" si="50"/>
        <v>16076.468092691954</v>
      </c>
      <c r="CA69" s="23">
        <f t="shared" si="50"/>
        <v>16237.232773618873</v>
      </c>
      <c r="CB69" s="23">
        <f t="shared" si="50"/>
        <v>16399.60510135506</v>
      </c>
      <c r="CC69" s="23">
        <f t="shared" si="50"/>
        <v>16563.60115236861</v>
      </c>
      <c r="CD69" s="23">
        <f t="shared" si="50"/>
        <v>16729.237163892296</v>
      </c>
      <c r="CE69" s="23">
        <f t="shared" si="50"/>
        <v>16896.529535531219</v>
      </c>
      <c r="CF69" s="23">
        <f t="shared" si="50"/>
        <v>17065.494830886531</v>
      </c>
      <c r="CG69" s="23">
        <f t="shared" si="50"/>
        <v>17236.149779195395</v>
      </c>
      <c r="CH69" s="23">
        <f t="shared" si="50"/>
        <v>17408.511276987349</v>
      </c>
      <c r="CI69" s="23">
        <f t="shared" si="50"/>
        <v>17582.596389757222</v>
      </c>
      <c r="CJ69" s="23">
        <f t="shared" si="50"/>
        <v>17758.422353654794</v>
      </c>
      <c r="CK69" s="23">
        <f t="shared" si="50"/>
        <v>17936.006577191343</v>
      </c>
      <c r="CL69" s="23">
        <f t="shared" si="50"/>
        <v>18115.366642963258</v>
      </c>
      <c r="CM69" s="23">
        <f t="shared" si="50"/>
        <v>18296.52030939289</v>
      </c>
      <c r="CN69" s="23">
        <f t="shared" si="50"/>
        <v>18479.485512486819</v>
      </c>
      <c r="CO69" s="23">
        <f t="shared" si="50"/>
        <v>18664.280367611689</v>
      </c>
      <c r="CP69" s="23">
        <f t="shared" si="50"/>
        <v>18850.923171287806</v>
      </c>
      <c r="CQ69" s="23">
        <f t="shared" si="50"/>
        <v>19039.432403000683</v>
      </c>
      <c r="CR69" s="23">
        <f t="shared" si="50"/>
        <v>19229.82672703069</v>
      </c>
      <c r="CS69" s="23">
        <f t="shared" si="50"/>
        <v>19422.124994300997</v>
      </c>
      <c r="CT69" s="23">
        <f t="shared" si="50"/>
        <v>19616.346244244007</v>
      </c>
      <c r="CU69" s="23">
        <f t="shared" si="50"/>
        <v>19812.509706686447</v>
      </c>
      <c r="CV69" s="23">
        <f t="shared" si="50"/>
        <v>20010.634803753313</v>
      </c>
      <c r="CW69" s="23">
        <f t="shared" si="50"/>
        <v>20210.741151790848</v>
      </c>
      <c r="CX69" s="23">
        <f t="shared" si="50"/>
        <v>20412.848563308755</v>
      </c>
      <c r="CY69" s="23">
        <f t="shared" si="50"/>
        <v>20616.977048941844</v>
      </c>
      <c r="CZ69" s="23">
        <f t="shared" si="50"/>
        <v>20823.146819431262</v>
      </c>
      <c r="DA69" s="23">
        <f t="shared" si="50"/>
        <v>21031.378287625575</v>
      </c>
      <c r="DB69" s="23">
        <f t="shared" si="50"/>
        <v>21241.692070501831</v>
      </c>
      <c r="DC69" s="23">
        <f t="shared" ref="DC69:EH69" si="51">+DB69*(1+$AS$72)</f>
        <v>21454.108991206849</v>
      </c>
      <c r="DD69" s="23">
        <f t="shared" si="51"/>
        <v>21668.650081118918</v>
      </c>
      <c r="DE69" s="23">
        <f t="shared" si="51"/>
        <v>21885.336581930107</v>
      </c>
      <c r="DF69" s="23">
        <f t="shared" si="51"/>
        <v>22104.189947749408</v>
      </c>
      <c r="DG69" s="23">
        <f t="shared" si="51"/>
        <v>22325.231847226903</v>
      </c>
      <c r="DH69" s="23">
        <f t="shared" si="51"/>
        <v>22548.484165699174</v>
      </c>
      <c r="DI69" s="23">
        <f t="shared" si="51"/>
        <v>22773.969007356165</v>
      </c>
      <c r="DJ69" s="23">
        <f t="shared" si="51"/>
        <v>23001.708697429727</v>
      </c>
      <c r="DK69" s="23">
        <f t="shared" si="51"/>
        <v>23231.725784404025</v>
      </c>
      <c r="DL69" s="23">
        <f t="shared" si="51"/>
        <v>23464.043042248064</v>
      </c>
      <c r="DM69" s="23">
        <f t="shared" si="51"/>
        <v>23698.683472670546</v>
      </c>
      <c r="DN69" s="23">
        <f t="shared" si="51"/>
        <v>23935.670307397253</v>
      </c>
      <c r="DO69" s="23">
        <f t="shared" si="51"/>
        <v>24175.027010471225</v>
      </c>
      <c r="DP69" s="23">
        <f t="shared" si="51"/>
        <v>24416.777280575938</v>
      </c>
      <c r="DQ69" s="23">
        <f t="shared" si="51"/>
        <v>24660.945053381696</v>
      </c>
      <c r="DR69" s="23">
        <f t="shared" si="51"/>
        <v>24907.554503915515</v>
      </c>
      <c r="DS69" s="23">
        <f t="shared" si="51"/>
        <v>25156.63004895467</v>
      </c>
      <c r="DT69" s="23">
        <f t="shared" si="51"/>
        <v>25408.196349444217</v>
      </c>
      <c r="DU69" s="23">
        <f t="shared" si="51"/>
        <v>25662.278312938659</v>
      </c>
      <c r="DV69" s="23">
        <f t="shared" si="51"/>
        <v>25918.901096068046</v>
      </c>
      <c r="DW69" s="23">
        <f t="shared" si="51"/>
        <v>26178.090107028725</v>
      </c>
      <c r="DX69" s="23">
        <f t="shared" si="51"/>
        <v>26439.871008099013</v>
      </c>
      <c r="DY69" s="23">
        <f t="shared" si="51"/>
        <v>26704.269718180003</v>
      </c>
      <c r="DZ69" s="23">
        <f t="shared" si="51"/>
        <v>26971.312415361805</v>
      </c>
      <c r="EA69" s="23">
        <f t="shared" si="51"/>
        <v>27241.025539515424</v>
      </c>
      <c r="EB69" s="23">
        <f t="shared" si="51"/>
        <v>27513.43579491058</v>
      </c>
      <c r="EC69" s="23">
        <f t="shared" si="51"/>
        <v>27788.570152859687</v>
      </c>
      <c r="ED69" s="23">
        <f t="shared" si="51"/>
        <v>28066.455854388285</v>
      </c>
      <c r="EE69" s="23">
        <f t="shared" si="51"/>
        <v>28347.120412932167</v>
      </c>
      <c r="EF69" s="23">
        <f t="shared" si="51"/>
        <v>28630.591617061487</v>
      </c>
      <c r="EG69" s="23">
        <f t="shared" si="51"/>
        <v>28916.897533232102</v>
      </c>
      <c r="EH69" s="23">
        <f t="shared" si="51"/>
        <v>29206.066508564425</v>
      </c>
      <c r="EI69" s="23">
        <f t="shared" ref="EI69:FN69" si="52">+EH69*(1+$AS$72)</f>
        <v>29498.127173650071</v>
      </c>
      <c r="EJ69" s="23">
        <f t="shared" si="52"/>
        <v>29793.108445386573</v>
      </c>
      <c r="EK69" s="23">
        <f t="shared" si="52"/>
        <v>30091.03952984044</v>
      </c>
      <c r="EL69" s="23">
        <f t="shared" si="52"/>
        <v>30391.949925138844</v>
      </c>
      <c r="EM69" s="23">
        <f t="shared" si="52"/>
        <v>30695.869424390232</v>
      </c>
      <c r="EN69" s="23">
        <f t="shared" si="52"/>
        <v>31002.828118634134</v>
      </c>
      <c r="EO69" s="23">
        <f t="shared" si="52"/>
        <v>31312.856399820474</v>
      </c>
      <c r="EP69" s="23">
        <f t="shared" si="52"/>
        <v>31625.984963818679</v>
      </c>
      <c r="EQ69" s="23">
        <f t="shared" si="52"/>
        <v>31942.244813456866</v>
      </c>
      <c r="ER69" s="23">
        <f t="shared" si="52"/>
        <v>32261.667261591436</v>
      </c>
      <c r="ES69" s="23">
        <f t="shared" si="52"/>
        <v>32584.283934207349</v>
      </c>
      <c r="ET69" s="23">
        <f t="shared" si="52"/>
        <v>32910.126773549426</v>
      </c>
      <c r="EU69" s="23">
        <f t="shared" si="52"/>
        <v>33239.228041284921</v>
      </c>
      <c r="EV69" s="23">
        <f t="shared" si="52"/>
        <v>33571.620321697774</v>
      </c>
      <c r="EW69" s="23">
        <f t="shared" si="52"/>
        <v>33907.336524914754</v>
      </c>
      <c r="EX69" s="23">
        <f t="shared" si="52"/>
        <v>34246.409890163901</v>
      </c>
      <c r="EY69" s="23">
        <f t="shared" si="52"/>
        <v>34588.873989065542</v>
      </c>
      <c r="EZ69" s="23">
        <f t="shared" si="52"/>
        <v>34934.762728956201</v>
      </c>
      <c r="FA69" s="23">
        <f t="shared" si="52"/>
        <v>35284.110356245765</v>
      </c>
      <c r="FB69" s="23">
        <f t="shared" si="52"/>
        <v>35636.951459808224</v>
      </c>
      <c r="FC69" s="23">
        <f t="shared" si="52"/>
        <v>35993.320974406306</v>
      </c>
      <c r="FD69" s="23">
        <f t="shared" si="52"/>
        <v>36353.25418415037</v>
      </c>
      <c r="FE69" s="23">
        <f t="shared" si="52"/>
        <v>36716.786725991871</v>
      </c>
      <c r="FF69" s="23">
        <f t="shared" si="52"/>
        <v>37083.954593251787</v>
      </c>
      <c r="FG69" s="23">
        <f t="shared" si="52"/>
        <v>37454.794139184305</v>
      </c>
      <c r="FH69" s="23">
        <f t="shared" si="52"/>
        <v>37829.342080576149</v>
      </c>
      <c r="FI69" s="23">
        <f t="shared" si="52"/>
        <v>38207.635501381912</v>
      </c>
      <c r="FJ69" s="23">
        <f t="shared" si="52"/>
        <v>38589.711856395734</v>
      </c>
      <c r="FK69" s="23">
        <f t="shared" si="52"/>
        <v>38975.608974959694</v>
      </c>
      <c r="FL69" s="23">
        <f t="shared" si="52"/>
        <v>39365.365064709295</v>
      </c>
      <c r="FM69" s="23">
        <f t="shared" si="52"/>
        <v>39759.018715356389</v>
      </c>
      <c r="FN69" s="23">
        <f t="shared" si="52"/>
        <v>40156.60890250995</v>
      </c>
      <c r="FO69" s="23">
        <f t="shared" ref="FO69:GT69" si="53">+FN69*(1+$AS$72)</f>
        <v>40558.174991535052</v>
      </c>
      <c r="FP69" s="23">
        <f t="shared" si="53"/>
        <v>40963.756741450401</v>
      </c>
      <c r="FQ69" s="23">
        <f t="shared" si="53"/>
        <v>41373.394308864903</v>
      </c>
      <c r="FR69" s="23">
        <f t="shared" si="53"/>
        <v>41787.128251953553</v>
      </c>
      <c r="FS69" s="23">
        <f t="shared" si="53"/>
        <v>42204.999534473085</v>
      </c>
      <c r="FT69" s="23">
        <f t="shared" si="53"/>
        <v>42627.049529817814</v>
      </c>
      <c r="FU69" s="23">
        <f t="shared" si="53"/>
        <v>43053.320025115994</v>
      </c>
      <c r="FV69" s="23">
        <f t="shared" si="53"/>
        <v>43483.853225367151</v>
      </c>
      <c r="FW69" s="23">
        <f t="shared" si="53"/>
        <v>43918.691757620822</v>
      </c>
      <c r="FX69" s="23">
        <f t="shared" si="53"/>
        <v>44357.878675197033</v>
      </c>
      <c r="FY69" s="23">
        <f t="shared" si="53"/>
        <v>44801.457461949001</v>
      </c>
      <c r="FZ69" s="23">
        <f t="shared" si="53"/>
        <v>45249.472036568492</v>
      </c>
      <c r="GA69" s="23">
        <f t="shared" si="53"/>
        <v>45701.966756934176</v>
      </c>
      <c r="GB69" s="23">
        <f t="shared" si="53"/>
        <v>46158.986424503521</v>
      </c>
      <c r="GC69" s="23">
        <f t="shared" si="53"/>
        <v>46620.576288748554</v>
      </c>
      <c r="GD69" s="23">
        <f t="shared" si="53"/>
        <v>47086.782051636037</v>
      </c>
      <c r="GE69" s="23">
        <f t="shared" si="53"/>
        <v>47557.649872152397</v>
      </c>
      <c r="GF69" s="23">
        <f t="shared" si="53"/>
        <v>48033.226370873919</v>
      </c>
      <c r="GG69" s="23">
        <f t="shared" si="53"/>
        <v>48513.55863458266</v>
      </c>
      <c r="GH69" s="23">
        <f t="shared" si="53"/>
        <v>48998.69422092849</v>
      </c>
      <c r="GI69" s="23">
        <f t="shared" si="53"/>
        <v>49488.681163137779</v>
      </c>
      <c r="GJ69" s="23">
        <f t="shared" si="53"/>
        <v>49983.567974769154</v>
      </c>
      <c r="GK69" s="23">
        <f t="shared" si="53"/>
        <v>50483.403654516849</v>
      </c>
      <c r="GL69" s="23">
        <f t="shared" si="53"/>
        <v>50988.237691062015</v>
      </c>
      <c r="GM69" s="23">
        <f t="shared" si="53"/>
        <v>51498.120067972639</v>
      </c>
      <c r="GN69" s="23">
        <f t="shared" si="53"/>
        <v>52013.101268652368</v>
      </c>
      <c r="GO69" s="23">
        <f t="shared" si="53"/>
        <v>52533.232281338889</v>
      </c>
      <c r="GP69" s="23">
        <f t="shared" si="53"/>
        <v>53058.564604152278</v>
      </c>
      <c r="GQ69" s="23">
        <f t="shared" si="53"/>
        <v>53589.150250193801</v>
      </c>
      <c r="GR69" s="23">
        <f t="shared" si="53"/>
        <v>54125.041752695739</v>
      </c>
      <c r="GS69" s="23">
        <f t="shared" si="53"/>
        <v>54666.292170222696</v>
      </c>
      <c r="GT69" s="23">
        <f t="shared" si="53"/>
        <v>55212.955091924923</v>
      </c>
      <c r="GU69" s="23">
        <f t="shared" ref="GU69:HZ69" si="54">+GT69*(1+$AS$72)</f>
        <v>55765.084642844173</v>
      </c>
      <c r="GV69" s="23">
        <f t="shared" si="54"/>
        <v>56322.735489272614</v>
      </c>
      <c r="GW69" s="23">
        <f t="shared" si="54"/>
        <v>56885.96284416534</v>
      </c>
      <c r="GX69" s="23">
        <f t="shared" si="54"/>
        <v>57454.822472606997</v>
      </c>
      <c r="GY69" s="23">
        <f t="shared" si="54"/>
        <v>58029.37069733307</v>
      </c>
      <c r="GZ69" s="23">
        <f t="shared" si="54"/>
        <v>58609.664404306401</v>
      </c>
      <c r="HA69" s="23">
        <f t="shared" si="54"/>
        <v>59195.761048349465</v>
      </c>
      <c r="HB69" s="23">
        <f t="shared" si="54"/>
        <v>59787.718658832957</v>
      </c>
      <c r="HC69" s="23">
        <f t="shared" si="54"/>
        <v>60385.595845421289</v>
      </c>
      <c r="HD69" s="23">
        <f t="shared" si="54"/>
        <v>60989.451803875505</v>
      </c>
      <c r="HE69" s="23">
        <f t="shared" si="54"/>
        <v>61599.346321914258</v>
      </c>
      <c r="HF69" s="23">
        <f t="shared" si="54"/>
        <v>62215.339785133401</v>
      </c>
      <c r="HG69" s="23">
        <f t="shared" si="54"/>
        <v>62837.493182984734</v>
      </c>
      <c r="HH69" s="23">
        <f t="shared" si="54"/>
        <v>63465.868114814584</v>
      </c>
      <c r="HI69" s="23">
        <f t="shared" si="54"/>
        <v>64100.526795962731</v>
      </c>
      <c r="HJ69" s="23">
        <f t="shared" si="54"/>
        <v>64741.532063922357</v>
      </c>
      <c r="HK69" s="23">
        <f t="shared" si="54"/>
        <v>65388.947384561579</v>
      </c>
      <c r="HL69" s="23">
        <f t="shared" si="54"/>
        <v>66042.836858407201</v>
      </c>
      <c r="HM69" s="23">
        <f t="shared" si="54"/>
        <v>66703.26522699128</v>
      </c>
      <c r="HN69" s="23">
        <f t="shared" si="54"/>
        <v>67370.297879261198</v>
      </c>
      <c r="HO69" s="23">
        <f t="shared" si="54"/>
        <v>68044.000858053812</v>
      </c>
      <c r="HP69" s="23">
        <f t="shared" si="54"/>
        <v>68724.440866634352</v>
      </c>
      <c r="HQ69" s="23">
        <f t="shared" si="54"/>
        <v>69411.685275300697</v>
      </c>
      <c r="HR69" s="23">
        <f t="shared" si="54"/>
        <v>70105.802128053707</v>
      </c>
      <c r="HS69" s="23">
        <f t="shared" si="54"/>
        <v>70806.860149334243</v>
      </c>
      <c r="HT69" s="23">
        <f t="shared" si="54"/>
        <v>71514.928750827588</v>
      </c>
      <c r="HU69" s="23">
        <f t="shared" si="54"/>
        <v>72230.078038335865</v>
      </c>
      <c r="HV69" s="23">
        <f t="shared" si="54"/>
        <v>72952.378818719226</v>
      </c>
      <c r="HW69" s="23">
        <f t="shared" si="54"/>
        <v>73681.902606906413</v>
      </c>
      <c r="HX69" s="23">
        <f t="shared" si="54"/>
        <v>74418.721632975474</v>
      </c>
      <c r="HY69" s="23">
        <f t="shared" si="54"/>
        <v>75162.908849305226</v>
      </c>
      <c r="HZ69" s="23">
        <f t="shared" si="54"/>
        <v>75914.537937798275</v>
      </c>
      <c r="IA69" s="23">
        <f t="shared" ref="IA69:IG69" si="55">+HZ69*(1+$AS$72)</f>
        <v>76673.683317176256</v>
      </c>
      <c r="IB69" s="23">
        <f t="shared" si="55"/>
        <v>77440.420150348014</v>
      </c>
      <c r="IC69" s="23">
        <f t="shared" si="55"/>
        <v>78214.824351851494</v>
      </c>
      <c r="ID69" s="23">
        <f t="shared" si="55"/>
        <v>78996.972595370011</v>
      </c>
      <c r="IE69" s="23">
        <f t="shared" si="55"/>
        <v>79786.942321323717</v>
      </c>
      <c r="IF69" s="23">
        <f t="shared" si="55"/>
        <v>80584.811744536957</v>
      </c>
      <c r="IG69" s="23">
        <f t="shared" si="55"/>
        <v>81390.659861982334</v>
      </c>
    </row>
    <row r="70" spans="2:241">
      <c r="B70" s="14" t="s">
        <v>29</v>
      </c>
      <c r="C70" s="48">
        <v>795</v>
      </c>
      <c r="D70" s="48">
        <v>495</v>
      </c>
      <c r="E70" s="48">
        <v>795</v>
      </c>
      <c r="F70" s="48">
        <f>+F69/F71</f>
        <v>-144.91251158480071</v>
      </c>
      <c r="G70" s="48">
        <v>795</v>
      </c>
      <c r="H70" s="48">
        <v>853</v>
      </c>
      <c r="I70" s="48">
        <v>796</v>
      </c>
      <c r="J70" s="48">
        <f>+J69/J71</f>
        <v>-3658.8449136890508</v>
      </c>
      <c r="K70" s="48">
        <v>1153</v>
      </c>
      <c r="L70" s="48">
        <v>853</v>
      </c>
      <c r="M70" s="48">
        <v>1149</v>
      </c>
      <c r="N70" s="48">
        <f>+M70</f>
        <v>1149</v>
      </c>
      <c r="O70" s="48">
        <v>1127</v>
      </c>
      <c r="P70" s="48">
        <v>1112</v>
      </c>
      <c r="Q70" s="48">
        <v>1832</v>
      </c>
      <c r="R70" s="48">
        <f>+Q70</f>
        <v>1832</v>
      </c>
      <c r="S70" s="63"/>
      <c r="T70" s="63"/>
      <c r="U70" s="63"/>
      <c r="AA70" s="48">
        <v>737</v>
      </c>
      <c r="AB70" s="48">
        <v>806</v>
      </c>
      <c r="AC70" s="48">
        <v>801</v>
      </c>
      <c r="AD70" s="48">
        <v>795</v>
      </c>
      <c r="AE70" s="48">
        <v>841</v>
      </c>
      <c r="AF70" s="48">
        <f>+AF69/AF71</f>
        <v>1050.5643652146632</v>
      </c>
      <c r="AG70" s="48">
        <f>+AF70</f>
        <v>1050.5643652146632</v>
      </c>
      <c r="AH70" s="48">
        <f t="shared" ref="AH70:AP70" si="56">+AG70</f>
        <v>1050.5643652146632</v>
      </c>
      <c r="AI70" s="48">
        <f t="shared" si="56"/>
        <v>1050.5643652146632</v>
      </c>
      <c r="AJ70" s="48">
        <f t="shared" si="56"/>
        <v>1050.5643652146632</v>
      </c>
      <c r="AK70" s="48">
        <f t="shared" si="56"/>
        <v>1050.5643652146632</v>
      </c>
      <c r="AL70" s="48">
        <f t="shared" si="56"/>
        <v>1050.5643652146632</v>
      </c>
      <c r="AM70" s="48">
        <f t="shared" si="56"/>
        <v>1050.5643652146632</v>
      </c>
      <c r="AN70" s="48">
        <f t="shared" si="56"/>
        <v>1050.5643652146632</v>
      </c>
      <c r="AO70" s="48">
        <f t="shared" si="56"/>
        <v>1050.5643652146632</v>
      </c>
      <c r="AP70" s="48">
        <f t="shared" si="56"/>
        <v>1050.5643652146632</v>
      </c>
    </row>
    <row r="71" spans="2:241" s="24" customFormat="1">
      <c r="B71" s="14" t="s">
        <v>30</v>
      </c>
      <c r="C71" s="53">
        <f>+C69/C70</f>
        <v>0.56981132075471697</v>
      </c>
      <c r="D71" s="53">
        <f>+D69/D70</f>
        <v>0.79191919191919191</v>
      </c>
      <c r="E71" s="53">
        <f>+E69/E70</f>
        <v>0.28301886792452829</v>
      </c>
      <c r="F71" s="53">
        <f>+AD71-SUM(C71:E71)</f>
        <v>1.0282065942443304</v>
      </c>
      <c r="G71" s="53">
        <f>+G69/G70</f>
        <v>0.44150943396226416</v>
      </c>
      <c r="H71" s="53">
        <f>+H69/H70</f>
        <v>0.17936694021101993</v>
      </c>
      <c r="I71" s="53">
        <f>+I69/I70</f>
        <v>0.20351758793969849</v>
      </c>
      <c r="J71" s="53">
        <f>+AE71-SUM(G71:I71)</f>
        <v>0.34683077034837306</v>
      </c>
      <c r="K71" s="53">
        <f t="shared" ref="K71:R71" si="57">+K69/K70</f>
        <v>0.57241977450130099</v>
      </c>
      <c r="L71" s="53">
        <f t="shared" si="57"/>
        <v>1.2754982415005862</v>
      </c>
      <c r="M71" s="53">
        <f t="shared" si="57"/>
        <v>0.88163620539599652</v>
      </c>
      <c r="N71" s="53">
        <f t="shared" si="57"/>
        <v>1.0826607473429659</v>
      </c>
      <c r="O71" s="53">
        <f t="shared" si="57"/>
        <v>1.1845607808340728</v>
      </c>
      <c r="P71" s="53">
        <f t="shared" si="57"/>
        <v>1.1016187050359711</v>
      </c>
      <c r="Q71" s="53">
        <f t="shared" si="57"/>
        <v>1</v>
      </c>
      <c r="R71" s="53">
        <f t="shared" si="57"/>
        <v>1.1765344858797968</v>
      </c>
      <c r="S71" s="47"/>
      <c r="T71" s="47"/>
      <c r="U71" s="47"/>
      <c r="V71" s="72"/>
      <c r="W71" s="72"/>
      <c r="X71" s="72"/>
      <c r="Y71" s="72"/>
      <c r="Z71" s="72"/>
      <c r="AA71" s="53">
        <f>+AA69/AA70</f>
        <v>2.7381275440976935</v>
      </c>
      <c r="AB71" s="53">
        <f>+AB69/AB70</f>
        <v>4.6029776674937963</v>
      </c>
      <c r="AC71" s="53">
        <f>+AC69/AC70</f>
        <v>3.6629213483146068</v>
      </c>
      <c r="AD71" s="53">
        <f>+AD69/AD70</f>
        <v>2.6729559748427674</v>
      </c>
      <c r="AE71" s="53">
        <f>+AE69/AE70</f>
        <v>1.1712247324613556</v>
      </c>
      <c r="AF71" s="53">
        <f>+SUM(K71:N71)</f>
        <v>3.8122149687408498</v>
      </c>
      <c r="AG71" s="53">
        <f>+AG69/AG70</f>
        <v>6.9992756289687952</v>
      </c>
      <c r="AH71" s="53">
        <f t="shared" ref="AH71:AO71" si="58">+AH69/AH70</f>
        <v>9.1028172608845566</v>
      </c>
      <c r="AI71" s="53">
        <f t="shared" si="58"/>
        <v>9.6896144974604201</v>
      </c>
      <c r="AJ71" s="53">
        <f t="shared" si="58"/>
        <v>10.548849620004519</v>
      </c>
      <c r="AK71" s="53">
        <f t="shared" si="58"/>
        <v>10.76664590277483</v>
      </c>
      <c r="AL71" s="53">
        <f t="shared" si="58"/>
        <v>10.695436685188767</v>
      </c>
      <c r="AM71" s="53">
        <f t="shared" si="58"/>
        <v>10.842761290407937</v>
      </c>
      <c r="AN71" s="53">
        <f t="shared" si="58"/>
        <v>10.695436685188767</v>
      </c>
      <c r="AO71" s="53">
        <f t="shared" si="58"/>
        <v>10.842761290407937</v>
      </c>
      <c r="AP71" s="53">
        <f t="shared" ref="AP71" si="59">+AP69/AP70</f>
        <v>10.695436685188767</v>
      </c>
      <c r="AR71" s="25" t="s">
        <v>116</v>
      </c>
      <c r="AS71" s="26"/>
    </row>
    <row r="72" spans="2:241">
      <c r="AR72" s="27" t="s">
        <v>49</v>
      </c>
      <c r="AS72" s="28">
        <v>0.01</v>
      </c>
    </row>
    <row r="73" spans="2:241">
      <c r="B73" s="12" t="s">
        <v>98</v>
      </c>
      <c r="AR73" s="29" t="s">
        <v>50</v>
      </c>
      <c r="AS73" s="28">
        <v>0.08</v>
      </c>
    </row>
    <row r="74" spans="2:241" s="31" customFormat="1">
      <c r="B74" s="30" t="s">
        <v>33</v>
      </c>
      <c r="C74" s="59"/>
      <c r="D74" s="59"/>
      <c r="E74" s="59"/>
      <c r="F74" s="59"/>
      <c r="G74" s="59">
        <f t="shared" ref="G74:R79" si="60">+IFERROR(G51/C51-1,0)</f>
        <v>-8.3929992044550539E-2</v>
      </c>
      <c r="H74" s="59">
        <f t="shared" si="60"/>
        <v>-0.12564290962527558</v>
      </c>
      <c r="I74" s="59">
        <f t="shared" si="60"/>
        <v>2.1276595744680771E-2</v>
      </c>
      <c r="J74" s="59">
        <f t="shared" si="60"/>
        <v>0.24028268551236742</v>
      </c>
      <c r="K74" s="59">
        <f t="shared" si="60"/>
        <v>0.45071645679548422</v>
      </c>
      <c r="L74" s="59">
        <f t="shared" si="60"/>
        <v>0.52226890756302513</v>
      </c>
      <c r="M74" s="59">
        <f t="shared" si="60"/>
        <v>0.64375000000000004</v>
      </c>
      <c r="N74" s="59">
        <f t="shared" si="60"/>
        <v>0.37806267806267813</v>
      </c>
      <c r="O74" s="59">
        <f t="shared" si="60"/>
        <v>0.2705776713558814</v>
      </c>
      <c r="P74" s="59">
        <f t="shared" si="60"/>
        <v>0.2646977642837427</v>
      </c>
      <c r="Q74" s="59">
        <f t="shared" si="60"/>
        <v>0.1835234474017744</v>
      </c>
      <c r="R74" s="59">
        <f t="shared" si="60"/>
        <v>0.17064296051271444</v>
      </c>
      <c r="S74" s="73"/>
      <c r="T74" s="73"/>
      <c r="U74" s="73"/>
      <c r="V74" s="73"/>
      <c r="W74" s="73"/>
      <c r="X74" s="73"/>
      <c r="Y74" s="73"/>
      <c r="Z74" s="73"/>
      <c r="AA74" s="59"/>
      <c r="AB74" s="59">
        <f>+AB51/AA51-1</f>
        <v>0.14377279257376507</v>
      </c>
      <c r="AC74" s="59">
        <f>+AC51/AB51-1</f>
        <v>1.8647342995169014E-2</v>
      </c>
      <c r="AD74" s="59">
        <f>+AD51/AC51-1</f>
        <v>-1.2045907237029363E-2</v>
      </c>
      <c r="AE74" s="59">
        <f>+AE51/AD51-1</f>
        <v>1.6993087557603648E-2</v>
      </c>
      <c r="AF74" s="59">
        <f>+AF51/AE51-1</f>
        <v>0.48645331822901916</v>
      </c>
      <c r="AG74" s="59">
        <f t="shared" ref="AG74:AP74" si="61">+AG51/AF51-1</f>
        <v>0.21671535628096028</v>
      </c>
      <c r="AH74" s="59">
        <f t="shared" si="61"/>
        <v>0.31892329213295456</v>
      </c>
      <c r="AI74" s="59">
        <f t="shared" si="61"/>
        <v>5.0000000000000266E-2</v>
      </c>
      <c r="AJ74" s="59">
        <f t="shared" si="61"/>
        <v>0.11259117454898449</v>
      </c>
      <c r="AK74" s="59">
        <f t="shared" si="61"/>
        <v>0</v>
      </c>
      <c r="AL74" s="59">
        <f t="shared" si="61"/>
        <v>0</v>
      </c>
      <c r="AM74" s="59">
        <f t="shared" si="61"/>
        <v>0</v>
      </c>
      <c r="AN74" s="59">
        <f t="shared" si="61"/>
        <v>0</v>
      </c>
      <c r="AO74" s="59">
        <f t="shared" si="61"/>
        <v>0</v>
      </c>
      <c r="AP74" s="59">
        <f t="shared" si="61"/>
        <v>0</v>
      </c>
      <c r="AR74" s="33" t="s">
        <v>51</v>
      </c>
      <c r="AS74" s="34">
        <f>NPV(AS73,AG69:IH69)</f>
        <v>144727.04395756483</v>
      </c>
    </row>
    <row r="75" spans="2:241" s="31" customFormat="1">
      <c r="B75" s="30" t="s">
        <v>34</v>
      </c>
      <c r="C75" s="59"/>
      <c r="D75" s="59"/>
      <c r="E75" s="59"/>
      <c r="F75" s="59"/>
      <c r="G75" s="60">
        <f t="shared" si="60"/>
        <v>0.11111111111111116</v>
      </c>
      <c r="H75" s="60">
        <f t="shared" si="60"/>
        <v>7.8947368421052655E-2</v>
      </c>
      <c r="I75" s="60">
        <f t="shared" si="60"/>
        <v>0.875</v>
      </c>
      <c r="J75" s="60">
        <f t="shared" si="60"/>
        <v>2.150537634408602</v>
      </c>
      <c r="K75" s="60">
        <f t="shared" si="60"/>
        <v>1.7000000000000002</v>
      </c>
      <c r="L75" s="60">
        <f t="shared" si="60"/>
        <v>3.5975609756097562</v>
      </c>
      <c r="M75" s="60">
        <f t="shared" si="60"/>
        <v>2.6555555555555554</v>
      </c>
      <c r="N75" s="60">
        <f t="shared" si="60"/>
        <v>0.10580204778156999</v>
      </c>
      <c r="O75" s="60">
        <f t="shared" si="60"/>
        <v>0.19191919191919182</v>
      </c>
      <c r="P75" s="60">
        <f t="shared" si="60"/>
        <v>-4.5092838196286511E-2</v>
      </c>
      <c r="Q75" s="60">
        <f t="shared" si="60"/>
        <v>-3.039513677811545E-2</v>
      </c>
      <c r="R75" s="60">
        <f t="shared" si="60"/>
        <v>5.6234567901236598E-3</v>
      </c>
      <c r="S75" s="61"/>
      <c r="T75" s="61"/>
      <c r="U75" s="61"/>
      <c r="V75" s="73"/>
      <c r="W75" s="73"/>
      <c r="X75" s="73"/>
      <c r="Y75" s="73"/>
      <c r="Z75" s="73"/>
      <c r="AA75" s="60"/>
      <c r="AB75" s="60">
        <f t="shared" ref="AB75:AC75" si="62">+AB52/AA52-1</f>
        <v>-0.26190476190476186</v>
      </c>
      <c r="AC75" s="60">
        <f t="shared" si="62"/>
        <v>0.90322580645161299</v>
      </c>
      <c r="AD75" s="60">
        <f t="shared" ref="AD75:AE79" si="63">+AD52/AC52-1</f>
        <v>7.118644067796609E-2</v>
      </c>
      <c r="AE75" s="60">
        <f t="shared" si="63"/>
        <v>0.81962025316455689</v>
      </c>
      <c r="AF75" s="60">
        <f t="shared" ref="AF75:AP75" si="64">+AF52/AE52-1</f>
        <v>1.3078260869565219</v>
      </c>
      <c r="AG75" s="60">
        <f t="shared" si="64"/>
        <v>2.3980406932931464E-2</v>
      </c>
      <c r="AH75" s="60">
        <f t="shared" si="64"/>
        <v>0.4104864360453393</v>
      </c>
      <c r="AI75" s="60">
        <f t="shared" si="64"/>
        <v>5.0000000000000044E-2</v>
      </c>
      <c r="AJ75" s="60">
        <f t="shared" si="64"/>
        <v>5.0000000000000266E-2</v>
      </c>
      <c r="AK75" s="60">
        <f t="shared" si="64"/>
        <v>5.0000000000000044E-2</v>
      </c>
      <c r="AL75" s="60">
        <f t="shared" si="64"/>
        <v>5.0000000000000044E-2</v>
      </c>
      <c r="AM75" s="60">
        <f t="shared" si="64"/>
        <v>0</v>
      </c>
      <c r="AN75" s="60">
        <f t="shared" si="64"/>
        <v>0</v>
      </c>
      <c r="AO75" s="60">
        <f t="shared" si="64"/>
        <v>0</v>
      </c>
      <c r="AP75" s="60">
        <f t="shared" si="64"/>
        <v>0</v>
      </c>
      <c r="AR75" s="33" t="s">
        <v>53</v>
      </c>
      <c r="AS75" s="34">
        <f>+Main!K5</f>
        <v>1091.2629810000001</v>
      </c>
    </row>
    <row r="76" spans="2:241" s="18" customFormat="1">
      <c r="B76" s="30" t="s">
        <v>35</v>
      </c>
      <c r="C76" s="60"/>
      <c r="D76" s="60"/>
      <c r="E76" s="60"/>
      <c r="F76" s="60"/>
      <c r="G76" s="60">
        <f t="shared" si="60"/>
        <v>-0.25</v>
      </c>
      <c r="H76" s="60">
        <f t="shared" si="60"/>
        <v>-0.11428571428571432</v>
      </c>
      <c r="I76" s="60">
        <f t="shared" si="60"/>
        <v>-0.95238095238095233</v>
      </c>
      <c r="J76" s="60">
        <f t="shared" si="60"/>
        <v>-0.39864864864864868</v>
      </c>
      <c r="K76" s="60">
        <f t="shared" si="60"/>
        <v>0.71794871794871784</v>
      </c>
      <c r="L76" s="60">
        <f t="shared" si="60"/>
        <v>0.68548387096774199</v>
      </c>
      <c r="M76" s="60">
        <f t="shared" si="60"/>
        <v>28.4</v>
      </c>
      <c r="N76" s="60">
        <f t="shared" si="60"/>
        <v>1.6741573033707864</v>
      </c>
      <c r="O76" s="60">
        <f t="shared" si="60"/>
        <v>-6.4676616915422924E-2</v>
      </c>
      <c r="P76" s="60">
        <f t="shared" si="60"/>
        <v>-8.6124401913875603E-2</v>
      </c>
      <c r="Q76" s="60">
        <f t="shared" si="60"/>
        <v>0.99319727891156462</v>
      </c>
      <c r="R76" s="60">
        <f t="shared" si="60"/>
        <v>0.13694117647058834</v>
      </c>
      <c r="S76" s="61"/>
      <c r="T76" s="61"/>
      <c r="U76" s="61"/>
      <c r="V76" s="61"/>
      <c r="W76" s="61"/>
      <c r="X76" s="61"/>
      <c r="Y76" s="61"/>
      <c r="Z76" s="61"/>
      <c r="AA76" s="60"/>
      <c r="AB76" s="60">
        <f t="shared" ref="AB76:AC76" si="65">+AB53/AA53-1</f>
        <v>1.0158102766798418</v>
      </c>
      <c r="AC76" s="60">
        <f t="shared" si="65"/>
        <v>0.27647058823529402</v>
      </c>
      <c r="AD76" s="60">
        <f t="shared" si="63"/>
        <v>-0.15668202764976957</v>
      </c>
      <c r="AE76" s="60">
        <f t="shared" si="63"/>
        <v>-0.38979963570127507</v>
      </c>
      <c r="AF76" s="60">
        <f t="shared" ref="AF76:AP76" si="66">+AF53/AE53-1</f>
        <v>1.3731343283582089</v>
      </c>
      <c r="AG76" s="60">
        <f t="shared" si="66"/>
        <v>0.18565031446540892</v>
      </c>
      <c r="AH76" s="60">
        <f t="shared" si="66"/>
        <v>0.43536121673003825</v>
      </c>
      <c r="AI76" s="60">
        <f t="shared" si="66"/>
        <v>4.9999999999999822E-2</v>
      </c>
      <c r="AJ76" s="60">
        <f t="shared" si="66"/>
        <v>5.0000000000000266E-2</v>
      </c>
      <c r="AK76" s="60">
        <f t="shared" si="66"/>
        <v>4.9999999999999822E-2</v>
      </c>
      <c r="AL76" s="60">
        <f t="shared" si="66"/>
        <v>5.0000000000000044E-2</v>
      </c>
      <c r="AM76" s="60">
        <f t="shared" si="66"/>
        <v>0</v>
      </c>
      <c r="AN76" s="60">
        <f t="shared" si="66"/>
        <v>0</v>
      </c>
      <c r="AO76" s="60">
        <f t="shared" si="66"/>
        <v>0</v>
      </c>
      <c r="AP76" s="60">
        <f t="shared" si="66"/>
        <v>0</v>
      </c>
      <c r="AR76" s="33" t="s">
        <v>54</v>
      </c>
      <c r="AS76" s="34">
        <f>+AS74/AS75</f>
        <v>132.62343401857305</v>
      </c>
    </row>
    <row r="77" spans="2:241" s="18" customFormat="1">
      <c r="B77" s="30" t="s">
        <v>36</v>
      </c>
      <c r="C77" s="60"/>
      <c r="D77" s="60"/>
      <c r="E77" s="60"/>
      <c r="F77" s="60"/>
      <c r="G77" s="60">
        <f t="shared" si="60"/>
        <v>-0.27272727272727271</v>
      </c>
      <c r="H77" s="60">
        <f t="shared" si="60"/>
        <v>0.14285714285714279</v>
      </c>
      <c r="I77" s="60">
        <f t="shared" si="60"/>
        <v>-1</v>
      </c>
      <c r="J77" s="60">
        <f t="shared" si="60"/>
        <v>-8.5714285714285743E-2</v>
      </c>
      <c r="K77" s="60">
        <f t="shared" si="60"/>
        <v>0.875</v>
      </c>
      <c r="L77" s="60">
        <f t="shared" si="60"/>
        <v>0.375</v>
      </c>
      <c r="M77" s="60">
        <f t="shared" si="60"/>
        <v>0</v>
      </c>
      <c r="N77" s="60">
        <f t="shared" si="60"/>
        <v>0.84375</v>
      </c>
      <c r="O77" s="60">
        <f t="shared" si="60"/>
        <v>-0.30000000000000004</v>
      </c>
      <c r="P77" s="60">
        <f t="shared" si="60"/>
        <v>-2.2727272727272707E-2</v>
      </c>
      <c r="Q77" s="60">
        <f t="shared" si="60"/>
        <v>0.625</v>
      </c>
      <c r="R77" s="60">
        <f t="shared" si="60"/>
        <v>-6.389830508474581E-2</v>
      </c>
      <c r="S77" s="61"/>
      <c r="T77" s="61"/>
      <c r="U77" s="61"/>
      <c r="V77" s="61"/>
      <c r="W77" s="61"/>
      <c r="X77" s="61"/>
      <c r="Y77" s="61"/>
      <c r="Z77" s="61"/>
      <c r="AA77" s="60"/>
      <c r="AB77" s="60">
        <f t="shared" ref="AB77:AC77" si="67">+AB54/AA54-1</f>
        <v>0.57647058823529407</v>
      </c>
      <c r="AC77" s="60">
        <f t="shared" si="67"/>
        <v>0.28358208955223874</v>
      </c>
      <c r="AD77" s="60">
        <f t="shared" si="63"/>
        <v>-0.22674418604651159</v>
      </c>
      <c r="AE77" s="60">
        <f t="shared" si="63"/>
        <v>-0.27819548872180455</v>
      </c>
      <c r="AF77" s="60">
        <f t="shared" ref="AF77:AP77" si="68">+AF54/AE54-1</f>
        <v>1.03125</v>
      </c>
      <c r="AG77" s="60">
        <f t="shared" si="68"/>
        <v>-1.4205128205128204E-2</v>
      </c>
      <c r="AH77" s="60">
        <f t="shared" si="68"/>
        <v>-4.229308640690832E-2</v>
      </c>
      <c r="AI77" s="60">
        <f t="shared" si="68"/>
        <v>5.0000000000000044E-2</v>
      </c>
      <c r="AJ77" s="60">
        <f t="shared" si="68"/>
        <v>5.0000000000000266E-2</v>
      </c>
      <c r="AK77" s="60">
        <f t="shared" si="68"/>
        <v>4.9999999999999822E-2</v>
      </c>
      <c r="AL77" s="60">
        <f t="shared" si="68"/>
        <v>5.0000000000000044E-2</v>
      </c>
      <c r="AM77" s="60">
        <f t="shared" si="68"/>
        <v>0</v>
      </c>
      <c r="AN77" s="60">
        <f t="shared" si="68"/>
        <v>0</v>
      </c>
      <c r="AO77" s="60">
        <f t="shared" si="68"/>
        <v>0</v>
      </c>
      <c r="AP77" s="60">
        <f t="shared" si="68"/>
        <v>0</v>
      </c>
      <c r="AR77" s="33" t="s">
        <v>55</v>
      </c>
      <c r="AS77" s="34">
        <f>+Main!K4</f>
        <v>105</v>
      </c>
    </row>
    <row r="78" spans="2:241" s="18" customFormat="1">
      <c r="B78" s="30" t="s">
        <v>37</v>
      </c>
      <c r="C78" s="60"/>
      <c r="D78" s="60"/>
      <c r="E78" s="60"/>
      <c r="F78" s="60"/>
      <c r="G78" s="60">
        <f t="shared" si="60"/>
        <v>-0.44285714285714284</v>
      </c>
      <c r="H78" s="60">
        <f t="shared" si="60"/>
        <v>-0.29347826086956519</v>
      </c>
      <c r="I78" s="60">
        <f t="shared" si="60"/>
        <v>-1.019047619047619</v>
      </c>
      <c r="J78" s="60">
        <f t="shared" si="60"/>
        <v>-0.64893617021276595</v>
      </c>
      <c r="K78" s="60">
        <f t="shared" si="60"/>
        <v>5.9829059829059839E-2</v>
      </c>
      <c r="L78" s="60">
        <f t="shared" si="60"/>
        <v>1.2923076923076922</v>
      </c>
      <c r="M78" s="60">
        <f t="shared" si="60"/>
        <v>-77</v>
      </c>
      <c r="N78" s="60">
        <f t="shared" si="60"/>
        <v>4.9696969696969697</v>
      </c>
      <c r="O78" s="60">
        <f t="shared" si="60"/>
        <v>0.45967741935483875</v>
      </c>
      <c r="P78" s="60">
        <f t="shared" si="60"/>
        <v>-5.3691275167785268E-2</v>
      </c>
      <c r="Q78" s="60">
        <f t="shared" si="60"/>
        <v>0.25657894736842102</v>
      </c>
      <c r="R78" s="60">
        <f t="shared" si="60"/>
        <v>-6.0241116751268975E-2</v>
      </c>
      <c r="S78" s="61"/>
      <c r="T78" s="61"/>
      <c r="U78" s="61"/>
      <c r="V78" s="61"/>
      <c r="W78" s="61"/>
      <c r="X78" s="61"/>
      <c r="Y78" s="61"/>
      <c r="Z78" s="61"/>
      <c r="AA78" s="60"/>
      <c r="AB78" s="60">
        <f t="shared" ref="AB78:AC78" si="69">+AB55/AA55-1</f>
        <v>1.4335664335664338</v>
      </c>
      <c r="AC78" s="60">
        <f t="shared" si="69"/>
        <v>0.61206896551724133</v>
      </c>
      <c r="AD78" s="60">
        <f t="shared" si="63"/>
        <v>-0.10695187165775399</v>
      </c>
      <c r="AE78" s="60">
        <f t="shared" si="63"/>
        <v>-0.57485029940119758</v>
      </c>
      <c r="AF78" s="60">
        <f t="shared" ref="AF78:AP78" si="70">+AF55/AE55-1</f>
        <v>1.92018779342723</v>
      </c>
      <c r="AG78" s="60">
        <f t="shared" si="70"/>
        <v>0.12239951768488755</v>
      </c>
      <c r="AH78" s="60">
        <f t="shared" si="70"/>
        <v>6.78488682306011E-2</v>
      </c>
      <c r="AI78" s="60">
        <f t="shared" si="70"/>
        <v>5.0000000000000044E-2</v>
      </c>
      <c r="AJ78" s="60">
        <f t="shared" si="70"/>
        <v>5.0000000000000044E-2</v>
      </c>
      <c r="AK78" s="60">
        <f t="shared" si="70"/>
        <v>5.0000000000000044E-2</v>
      </c>
      <c r="AL78" s="60">
        <f t="shared" si="70"/>
        <v>5.0000000000000044E-2</v>
      </c>
      <c r="AM78" s="60">
        <f t="shared" si="70"/>
        <v>0</v>
      </c>
      <c r="AN78" s="60">
        <f t="shared" si="70"/>
        <v>0</v>
      </c>
      <c r="AO78" s="60">
        <f t="shared" si="70"/>
        <v>0</v>
      </c>
      <c r="AP78" s="60">
        <f t="shared" si="70"/>
        <v>0</v>
      </c>
      <c r="AR78" s="35" t="s">
        <v>56</v>
      </c>
      <c r="AS78" s="36">
        <f>+AS76/AS77-1</f>
        <v>0.2630803239864099</v>
      </c>
    </row>
    <row r="79" spans="2:241" s="31" customFormat="1">
      <c r="B79" s="32" t="s">
        <v>32</v>
      </c>
      <c r="C79" s="59"/>
      <c r="D79" s="59"/>
      <c r="E79" s="59"/>
      <c r="F79" s="59"/>
      <c r="G79" s="60">
        <f t="shared" si="60"/>
        <v>-0.11379424412834938</v>
      </c>
      <c r="H79" s="60">
        <f t="shared" si="60"/>
        <v>-0.12262916939175927</v>
      </c>
      <c r="I79" s="60">
        <f t="shared" si="60"/>
        <v>-5.3530751708428248E-2</v>
      </c>
      <c r="J79" s="60">
        <f t="shared" si="60"/>
        <v>0.23656250000000001</v>
      </c>
      <c r="K79" s="60">
        <f t="shared" si="60"/>
        <v>0.50167973124300103</v>
      </c>
      <c r="L79" s="60">
        <f t="shared" si="60"/>
        <v>0.64070070816250468</v>
      </c>
      <c r="M79" s="60">
        <f t="shared" si="60"/>
        <v>0.84717208182912151</v>
      </c>
      <c r="N79" s="60">
        <f t="shared" si="60"/>
        <v>0.42911296436694468</v>
      </c>
      <c r="O79" s="60">
        <f t="shared" si="60"/>
        <v>0.24533929903057428</v>
      </c>
      <c r="P79" s="60">
        <f t="shared" si="60"/>
        <v>0.20786006360745124</v>
      </c>
      <c r="Q79" s="60">
        <f t="shared" si="60"/>
        <v>0.1995656894679696</v>
      </c>
      <c r="R79" s="60">
        <f t="shared" si="60"/>
        <v>0.1492796640141465</v>
      </c>
      <c r="S79" s="61"/>
      <c r="T79" s="61"/>
      <c r="U79" s="61"/>
      <c r="V79" s="73"/>
      <c r="W79" s="73"/>
      <c r="X79" s="73"/>
      <c r="Y79" s="73"/>
      <c r="Z79" s="73"/>
      <c r="AA79" s="60"/>
      <c r="AB79" s="60">
        <f t="shared" ref="AB79:AC79" si="71">+AB56/AA56-1</f>
        <v>0.18039014373716622</v>
      </c>
      <c r="AC79" s="60">
        <f t="shared" si="71"/>
        <v>6.3059928677046129E-2</v>
      </c>
      <c r="AD79" s="60">
        <f t="shared" si="63"/>
        <v>-2.5118638520700398E-2</v>
      </c>
      <c r="AE79" s="60">
        <f t="shared" si="63"/>
        <v>-8.6445656735207876E-3</v>
      </c>
      <c r="AF79" s="60">
        <f t="shared" ref="AF79:AP79" si="72">+AF56/AE56-1</f>
        <v>0.58186589908567554</v>
      </c>
      <c r="AG79" s="60">
        <f t="shared" si="72"/>
        <v>0.1961560877709394</v>
      </c>
      <c r="AH79" s="60">
        <f t="shared" si="72"/>
        <v>0.31845133303533379</v>
      </c>
      <c r="AI79" s="60">
        <f t="shared" si="72"/>
        <v>5.0000000000000488E-2</v>
      </c>
      <c r="AJ79" s="60">
        <f t="shared" si="72"/>
        <v>0.10367188087955648</v>
      </c>
      <c r="AK79" s="60">
        <f t="shared" si="72"/>
        <v>6.7785481859681251E-3</v>
      </c>
      <c r="AL79" s="60">
        <f t="shared" si="72"/>
        <v>7.0695542809198209E-3</v>
      </c>
      <c r="AM79" s="60">
        <f t="shared" si="72"/>
        <v>0</v>
      </c>
      <c r="AN79" s="60">
        <f t="shared" si="72"/>
        <v>0</v>
      </c>
      <c r="AO79" s="60">
        <f t="shared" si="72"/>
        <v>0</v>
      </c>
      <c r="AP79" s="60">
        <f t="shared" si="72"/>
        <v>0</v>
      </c>
    </row>
    <row r="80" spans="2:241" ht="6" customHeight="1"/>
    <row r="81" spans="2:44">
      <c r="B81" s="13" t="s">
        <v>278</v>
      </c>
    </row>
    <row r="82" spans="2:44" s="31" customFormat="1">
      <c r="B82" s="30" t="s">
        <v>43</v>
      </c>
      <c r="C82" s="59">
        <f>+(C56-C57)/C56</f>
        <v>0.52530598742970558</v>
      </c>
      <c r="D82" s="59">
        <f t="shared" ref="D82:Q82" si="73">+(D56-D57)/D56</f>
        <v>0.44146500981033354</v>
      </c>
      <c r="E82" s="59">
        <f t="shared" si="73"/>
        <v>0.41343963553530749</v>
      </c>
      <c r="F82" s="59">
        <f t="shared" si="73"/>
        <v>0.44374999999999998</v>
      </c>
      <c r="G82" s="60">
        <f t="shared" si="73"/>
        <v>0.44680851063829785</v>
      </c>
      <c r="H82" s="60">
        <f t="shared" si="73"/>
        <v>0.4248975027953783</v>
      </c>
      <c r="I82" s="60">
        <f t="shared" si="73"/>
        <v>0.45006016847172081</v>
      </c>
      <c r="J82" s="60">
        <f t="shared" si="73"/>
        <v>0.41799342936568107</v>
      </c>
      <c r="K82" s="60">
        <f t="shared" si="73"/>
        <v>0.47651006711409394</v>
      </c>
      <c r="L82" s="60">
        <f t="shared" si="73"/>
        <v>0.510222626079055</v>
      </c>
      <c r="M82" s="60">
        <f t="shared" si="73"/>
        <v>0.49837133550488599</v>
      </c>
      <c r="N82" s="60">
        <f t="shared" si="73"/>
        <v>0.49837133550488599</v>
      </c>
      <c r="O82" s="60">
        <f t="shared" si="73"/>
        <v>0.57964071856287425</v>
      </c>
      <c r="P82" s="60">
        <f t="shared" si="73"/>
        <v>0.62365995862328383</v>
      </c>
      <c r="Q82" s="60">
        <f t="shared" si="73"/>
        <v>0.6468139029688631</v>
      </c>
      <c r="R82" s="60">
        <f t="shared" ref="R82" si="74">+(R56-R57)/R56</f>
        <v>0.64681390296886321</v>
      </c>
      <c r="S82" s="61"/>
      <c r="T82" s="61"/>
      <c r="U82" s="61"/>
      <c r="V82" s="73"/>
      <c r="W82" s="73"/>
      <c r="X82" s="73"/>
      <c r="Y82" s="73"/>
      <c r="Z82" s="73"/>
      <c r="AA82" s="60">
        <f t="shared" ref="AA82:AP82" si="75">+(AA56-AA57)/AA56</f>
        <v>0.46663244353182753</v>
      </c>
      <c r="AB82" s="60">
        <f t="shared" si="75"/>
        <v>0.56388623119074543</v>
      </c>
      <c r="AC82" s="60">
        <f t="shared" si="75"/>
        <v>0.55531009654720997</v>
      </c>
      <c r="AD82" s="60">
        <f t="shared" si="75"/>
        <v>0.45715484683172469</v>
      </c>
      <c r="AE82" s="60">
        <f t="shared" si="75"/>
        <v>0.43286488316965799</v>
      </c>
      <c r="AF82" s="60">
        <f t="shared" si="75"/>
        <v>0.49645651069200591</v>
      </c>
      <c r="AG82" s="60">
        <f t="shared" si="75"/>
        <v>0.62624819620769057</v>
      </c>
      <c r="AH82" s="60">
        <f t="shared" si="75"/>
        <v>0.62624819620769057</v>
      </c>
      <c r="AI82" s="60">
        <f t="shared" si="75"/>
        <v>0.62624819620769057</v>
      </c>
      <c r="AJ82" s="60">
        <f t="shared" si="75"/>
        <v>0.62624819620769057</v>
      </c>
      <c r="AK82" s="60">
        <f t="shared" si="75"/>
        <v>0.62624819620769057</v>
      </c>
      <c r="AL82" s="60">
        <f t="shared" si="75"/>
        <v>0.62624819620769068</v>
      </c>
      <c r="AM82" s="60">
        <f t="shared" si="75"/>
        <v>0.62624819620769068</v>
      </c>
      <c r="AN82" s="60">
        <f t="shared" si="75"/>
        <v>0.62624819620769068</v>
      </c>
      <c r="AO82" s="60">
        <f t="shared" si="75"/>
        <v>0.62624819620769068</v>
      </c>
      <c r="AP82" s="60">
        <f t="shared" si="75"/>
        <v>0.62624819620769068</v>
      </c>
    </row>
    <row r="83" spans="2:44" s="31" customFormat="1">
      <c r="B83" s="30" t="s">
        <v>33</v>
      </c>
      <c r="C83" s="59"/>
      <c r="D83" s="59"/>
      <c r="E83" s="59"/>
      <c r="F83" s="59"/>
      <c r="G83" s="60"/>
      <c r="H83" s="60"/>
      <c r="I83" s="60"/>
      <c r="J83" s="60"/>
      <c r="K83" s="60">
        <f>(K51-1690)/K51</f>
        <v>0.49416342412451364</v>
      </c>
      <c r="L83" s="60">
        <f>(L51-1777)/L51</f>
        <v>0.50952249516974879</v>
      </c>
      <c r="M83" s="60">
        <f>(M51-1892)/M51</f>
        <v>0.52040557667934095</v>
      </c>
      <c r="N83" s="60"/>
      <c r="O83" s="60">
        <f>(O51-1769)/O51</f>
        <v>0.58327444051825672</v>
      </c>
      <c r="P83" s="60">
        <f>(P51-1677)/P51</f>
        <v>0.6340026189436927</v>
      </c>
      <c r="Q83" s="60">
        <f>(Q51-1563)/Q51</f>
        <v>0.66523880916684519</v>
      </c>
      <c r="R83" s="60"/>
      <c r="S83" s="61"/>
      <c r="T83" s="61"/>
      <c r="U83" s="61"/>
      <c r="V83" s="73"/>
      <c r="W83" s="73"/>
      <c r="X83" s="73"/>
      <c r="Y83" s="73"/>
      <c r="Z83" s="73"/>
      <c r="AA83" s="60"/>
      <c r="AB83" s="60"/>
      <c r="AC83" s="60"/>
      <c r="AD83" s="60"/>
      <c r="AE83" s="60"/>
      <c r="AF83" s="60"/>
      <c r="AG83" s="60"/>
      <c r="AH83" s="60"/>
      <c r="AI83" s="60"/>
      <c r="AJ83" s="60"/>
      <c r="AK83" s="60"/>
      <c r="AL83" s="60"/>
      <c r="AM83" s="60"/>
      <c r="AN83" s="60"/>
      <c r="AO83" s="60"/>
      <c r="AP83" s="60"/>
    </row>
    <row r="84" spans="2:44" s="31" customFormat="1">
      <c r="B84" s="30" t="s">
        <v>34</v>
      </c>
      <c r="C84" s="59"/>
      <c r="D84" s="59"/>
      <c r="E84" s="59"/>
      <c r="F84" s="59"/>
      <c r="G84" s="60"/>
      <c r="H84" s="60"/>
      <c r="I84" s="60"/>
      <c r="J84" s="60"/>
      <c r="K84" s="60">
        <f>(K52-161)/K52</f>
        <v>0.45791245791245794</v>
      </c>
      <c r="L84" s="60">
        <f>(L52-161)/L52</f>
        <v>0.57294429708222816</v>
      </c>
      <c r="M84" s="60">
        <f>(M52-199)/M52</f>
        <v>0.39513677811550152</v>
      </c>
      <c r="N84" s="60"/>
      <c r="O84" s="60">
        <f>(O52-144)/O52</f>
        <v>0.59322033898305082</v>
      </c>
      <c r="P84" s="60">
        <f>(P52-166)/P52</f>
        <v>0.53888888888888886</v>
      </c>
      <c r="Q84" s="60">
        <f>(Q52-141)/Q52</f>
        <v>0.55799373040752354</v>
      </c>
      <c r="R84" s="60"/>
      <c r="S84" s="61"/>
      <c r="T84" s="61"/>
      <c r="U84" s="61"/>
      <c r="V84" s="73"/>
      <c r="W84" s="73"/>
      <c r="X84" s="73"/>
      <c r="Y84" s="73"/>
      <c r="Z84" s="73"/>
      <c r="AA84" s="60"/>
      <c r="AB84" s="60"/>
      <c r="AC84" s="60"/>
      <c r="AD84" s="60"/>
      <c r="AE84" s="60"/>
      <c r="AF84" s="60"/>
      <c r="AG84" s="60"/>
      <c r="AH84" s="60"/>
      <c r="AI84" s="60"/>
      <c r="AJ84" s="60"/>
      <c r="AK84" s="60"/>
      <c r="AL84" s="60"/>
      <c r="AM84" s="60"/>
      <c r="AN84" s="60"/>
      <c r="AO84" s="60"/>
      <c r="AP84" s="60"/>
    </row>
    <row r="85" spans="2:44" s="31" customFormat="1">
      <c r="B85" s="30" t="s">
        <v>35</v>
      </c>
      <c r="C85" s="59"/>
      <c r="D85" s="59"/>
      <c r="E85" s="59"/>
      <c r="F85" s="59"/>
      <c r="G85" s="60"/>
      <c r="H85" s="60"/>
      <c r="I85" s="60"/>
      <c r="J85" s="60"/>
      <c r="K85" s="60">
        <f>(K53-111)/K53</f>
        <v>0.44776119402985076</v>
      </c>
      <c r="L85" s="60">
        <f>(L53-96)/L53</f>
        <v>0.54066985645933019</v>
      </c>
      <c r="M85" s="60">
        <f>(M53-75)/M53</f>
        <v>0.48979591836734693</v>
      </c>
      <c r="N85" s="60"/>
      <c r="O85" s="60">
        <f>(O53-62)/O53</f>
        <v>0.67021276595744683</v>
      </c>
      <c r="P85" s="60">
        <f>(P53-60)/P53</f>
        <v>0.68586387434554974</v>
      </c>
      <c r="Q85" s="60">
        <f>(Q53-96)/Q53</f>
        <v>0.67235494880546076</v>
      </c>
      <c r="R85" s="60"/>
      <c r="S85" s="61"/>
      <c r="T85" s="61"/>
      <c r="U85" s="61"/>
      <c r="V85" s="73"/>
      <c r="W85" s="73"/>
      <c r="X85" s="73"/>
      <c r="Y85" s="73"/>
      <c r="Z85" s="73"/>
      <c r="AA85" s="60"/>
      <c r="AB85" s="60"/>
      <c r="AC85" s="60"/>
      <c r="AD85" s="60"/>
      <c r="AE85" s="60"/>
      <c r="AF85" s="60"/>
      <c r="AG85" s="60"/>
      <c r="AH85" s="60"/>
      <c r="AI85" s="60"/>
      <c r="AJ85" s="60"/>
      <c r="AK85" s="60"/>
      <c r="AL85" s="60"/>
      <c r="AM85" s="60"/>
      <c r="AN85" s="60"/>
      <c r="AO85" s="60"/>
      <c r="AP85" s="60"/>
    </row>
    <row r="86" spans="2:44" s="31" customFormat="1">
      <c r="B86" s="30" t="s">
        <v>36</v>
      </c>
      <c r="C86" s="59"/>
      <c r="D86" s="59"/>
      <c r="E86" s="59"/>
      <c r="F86" s="59"/>
      <c r="G86" s="60"/>
      <c r="H86" s="60"/>
      <c r="I86" s="60"/>
      <c r="J86" s="60"/>
      <c r="K86" s="60">
        <f>(K54-36)/K54</f>
        <v>0.4</v>
      </c>
      <c r="L86" s="60">
        <f>(L54-26)/L54</f>
        <v>0.40909090909090912</v>
      </c>
      <c r="M86" s="60">
        <f>(M54-26)/M54</f>
        <v>0.1875</v>
      </c>
      <c r="N86" s="60"/>
      <c r="O86" s="60">
        <f>(O54-21)/O54</f>
        <v>0.5</v>
      </c>
      <c r="P86" s="60">
        <f>(P54-21)/P54</f>
        <v>0.51162790697674421</v>
      </c>
      <c r="Q86" s="60">
        <f>(Q54-33)/Q54</f>
        <v>0.36538461538461536</v>
      </c>
      <c r="R86" s="60"/>
      <c r="S86" s="61"/>
      <c r="T86" s="61"/>
      <c r="U86" s="61"/>
      <c r="V86" s="73"/>
      <c r="W86" s="73"/>
      <c r="X86" s="73"/>
      <c r="Y86" s="73"/>
      <c r="Z86" s="73"/>
      <c r="AA86" s="60"/>
      <c r="AB86" s="60"/>
      <c r="AC86" s="60"/>
      <c r="AD86" s="60"/>
      <c r="AE86" s="60"/>
      <c r="AF86" s="60"/>
      <c r="AG86" s="60"/>
      <c r="AH86" s="60"/>
      <c r="AI86" s="60"/>
      <c r="AJ86" s="60"/>
      <c r="AK86" s="60"/>
      <c r="AL86" s="60"/>
      <c r="AM86" s="60"/>
      <c r="AN86" s="60"/>
      <c r="AO86" s="60"/>
      <c r="AP86" s="60"/>
    </row>
    <row r="87" spans="2:44" s="31" customFormat="1">
      <c r="B87" s="30" t="s">
        <v>37</v>
      </c>
      <c r="C87" s="59"/>
      <c r="D87" s="59"/>
      <c r="E87" s="59"/>
      <c r="F87" s="59"/>
      <c r="G87" s="60"/>
      <c r="H87" s="60"/>
      <c r="I87" s="60"/>
      <c r="J87" s="60"/>
      <c r="K87" s="60">
        <f>(K55-108)/K55</f>
        <v>0.12903225806451613</v>
      </c>
      <c r="L87" s="60">
        <f>(L55-96)/L55</f>
        <v>0.35570469798657717</v>
      </c>
      <c r="M87" s="60">
        <f>(M55-118)/M55</f>
        <v>0.22368421052631579</v>
      </c>
      <c r="N87" s="60"/>
      <c r="O87" s="60">
        <f>(O55-110)/O55</f>
        <v>0.39226519337016574</v>
      </c>
      <c r="P87" s="60">
        <f>(P55-77)/P55</f>
        <v>0.45390070921985815</v>
      </c>
      <c r="Q87" s="60">
        <f>(Q55-118)/Q55</f>
        <v>0.38219895287958117</v>
      </c>
      <c r="R87" s="60"/>
      <c r="S87" s="61"/>
      <c r="T87" s="61"/>
      <c r="U87" s="61"/>
      <c r="V87" s="73"/>
      <c r="W87" s="73"/>
      <c r="X87" s="73"/>
      <c r="Y87" s="73"/>
      <c r="Z87" s="73"/>
      <c r="AA87" s="60"/>
      <c r="AB87" s="60"/>
      <c r="AC87" s="60"/>
      <c r="AD87" s="60"/>
      <c r="AE87" s="60"/>
      <c r="AF87" s="60"/>
      <c r="AG87" s="60"/>
      <c r="AH87" s="60"/>
      <c r="AI87" s="60"/>
      <c r="AJ87" s="60"/>
      <c r="AK87" s="60"/>
      <c r="AL87" s="60"/>
      <c r="AM87" s="60"/>
      <c r="AN87" s="60"/>
      <c r="AO87" s="60"/>
      <c r="AP87" s="60"/>
    </row>
    <row r="88" spans="2:44" s="18" customFormat="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row>
    <row r="89" spans="2:44" s="18" customFormat="1">
      <c r="B89" s="31" t="s">
        <v>100</v>
      </c>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R89" s="37"/>
    </row>
    <row r="90" spans="2:44">
      <c r="B90" s="14" t="s">
        <v>101</v>
      </c>
      <c r="C90" s="48"/>
      <c r="D90" s="48"/>
      <c r="E90" s="48"/>
      <c r="F90" s="48"/>
      <c r="G90" s="48"/>
      <c r="H90" s="48"/>
      <c r="I90" s="48"/>
      <c r="J90" s="48"/>
      <c r="K90" s="48">
        <v>2336</v>
      </c>
      <c r="L90" s="48">
        <v>2602</v>
      </c>
      <c r="M90" s="48">
        <v>3016</v>
      </c>
      <c r="N90" s="48">
        <v>3619</v>
      </c>
      <c r="O90" s="48">
        <v>4698</v>
      </c>
      <c r="P90" s="48">
        <v>6185</v>
      </c>
      <c r="Q90" s="48">
        <v>5639</v>
      </c>
      <c r="R90" s="48"/>
      <c r="S90" s="63"/>
      <c r="T90" s="63"/>
      <c r="U90" s="63"/>
    </row>
    <row r="91" spans="2:44">
      <c r="B91" s="14" t="s">
        <v>102</v>
      </c>
      <c r="C91" s="48"/>
      <c r="D91" s="48"/>
      <c r="E91" s="48"/>
      <c r="F91" s="48"/>
      <c r="G91" s="48"/>
      <c r="H91" s="48"/>
      <c r="I91" s="48"/>
      <c r="J91" s="48"/>
      <c r="K91" s="48">
        <v>782</v>
      </c>
      <c r="L91" s="48">
        <v>955</v>
      </c>
      <c r="M91" s="48">
        <v>974</v>
      </c>
      <c r="N91" s="48">
        <v>1056</v>
      </c>
      <c r="O91" s="48">
        <v>887</v>
      </c>
      <c r="P91" s="48">
        <v>637</v>
      </c>
      <c r="Q91" s="48">
        <v>1047</v>
      </c>
      <c r="R91" s="48"/>
      <c r="S91" s="63"/>
      <c r="T91" s="63"/>
      <c r="U91" s="63"/>
    </row>
    <row r="92" spans="2:44">
      <c r="B92" s="14" t="s">
        <v>103</v>
      </c>
      <c r="C92" s="48"/>
      <c r="D92" s="48"/>
      <c r="E92" s="48"/>
      <c r="F92" s="48"/>
      <c r="G92" s="48"/>
      <c r="H92" s="48"/>
      <c r="I92" s="48"/>
      <c r="J92" s="48"/>
      <c r="K92" s="48">
        <v>23</v>
      </c>
      <c r="L92" s="48">
        <v>50</v>
      </c>
      <c r="M92" s="48">
        <v>43</v>
      </c>
      <c r="N92" s="48">
        <v>21</v>
      </c>
      <c r="O92" s="48">
        <v>18</v>
      </c>
      <c r="P92" s="48">
        <v>468</v>
      </c>
      <c r="Q92" s="48">
        <v>328</v>
      </c>
      <c r="R92" s="48"/>
      <c r="S92" s="63"/>
      <c r="T92" s="63"/>
      <c r="U92" s="63"/>
    </row>
    <row r="93" spans="2:44" hidden="1" outlineLevel="1">
      <c r="B93" s="14" t="s">
        <v>274</v>
      </c>
      <c r="C93" s="48"/>
      <c r="D93" s="48"/>
      <c r="E93" s="48"/>
      <c r="F93" s="48"/>
      <c r="G93" s="48"/>
      <c r="H93" s="48"/>
      <c r="I93" s="48"/>
      <c r="J93" s="48"/>
      <c r="K93" s="48"/>
      <c r="L93" s="48"/>
      <c r="M93" s="48"/>
      <c r="N93" s="48">
        <v>1081</v>
      </c>
      <c r="O93" s="48"/>
      <c r="P93" s="48"/>
      <c r="Q93" s="48">
        <v>1074</v>
      </c>
      <c r="R93" s="48"/>
      <c r="S93" s="63"/>
      <c r="T93" s="63"/>
      <c r="U93" s="63"/>
    </row>
    <row r="94" spans="2:44" hidden="1" outlineLevel="1">
      <c r="B94" s="14" t="s">
        <v>275</v>
      </c>
      <c r="C94" s="48"/>
      <c r="D94" s="48"/>
      <c r="E94" s="48"/>
      <c r="F94" s="48"/>
      <c r="G94" s="48"/>
      <c r="H94" s="48"/>
      <c r="I94" s="48"/>
      <c r="J94" s="48"/>
      <c r="K94" s="48"/>
      <c r="L94" s="48"/>
      <c r="M94" s="48"/>
      <c r="N94" s="48">
        <v>118</v>
      </c>
      <c r="O94" s="48"/>
      <c r="P94" s="48"/>
      <c r="Q94" s="48">
        <v>150</v>
      </c>
      <c r="R94" s="48"/>
      <c r="S94" s="63"/>
      <c r="T94" s="63"/>
      <c r="U94" s="63"/>
    </row>
    <row r="95" spans="2:44" hidden="1" outlineLevel="1">
      <c r="B95" s="14" t="s">
        <v>276</v>
      </c>
      <c r="C95" s="48"/>
      <c r="D95" s="48"/>
      <c r="E95" s="48"/>
      <c r="F95" s="48"/>
      <c r="G95" s="48"/>
      <c r="H95" s="48"/>
      <c r="I95" s="48"/>
      <c r="J95" s="48"/>
      <c r="K95" s="48"/>
      <c r="L95" s="48"/>
      <c r="M95" s="48"/>
      <c r="N95" s="48">
        <v>148</v>
      </c>
      <c r="O95" s="48"/>
      <c r="P95" s="48"/>
      <c r="Q95" s="48">
        <v>189</v>
      </c>
      <c r="R95" s="48"/>
      <c r="S95" s="63"/>
      <c r="T95" s="63"/>
      <c r="U95" s="63"/>
    </row>
    <row r="96" spans="2:44" hidden="1" outlineLevel="1">
      <c r="B96" s="14" t="s">
        <v>277</v>
      </c>
      <c r="C96" s="48"/>
      <c r="D96" s="48"/>
      <c r="E96" s="48"/>
      <c r="F96" s="48"/>
      <c r="G96" s="48"/>
      <c r="H96" s="48"/>
      <c r="I96" s="48"/>
      <c r="J96" s="48"/>
      <c r="K96" s="48"/>
      <c r="L96" s="48"/>
      <c r="M96" s="48"/>
      <c r="N96" s="48">
        <v>76</v>
      </c>
      <c r="O96" s="48"/>
      <c r="P96" s="48"/>
      <c r="Q96" s="48">
        <v>91</v>
      </c>
      <c r="R96" s="48"/>
      <c r="S96" s="63"/>
      <c r="T96" s="63"/>
      <c r="U96" s="63"/>
    </row>
    <row r="97" spans="2:42" collapsed="1">
      <c r="B97" s="14" t="s">
        <v>104</v>
      </c>
      <c r="C97" s="48"/>
      <c r="D97" s="48"/>
      <c r="E97" s="48"/>
      <c r="F97" s="48"/>
      <c r="G97" s="48"/>
      <c r="H97" s="48"/>
      <c r="I97" s="48"/>
      <c r="J97" s="48"/>
      <c r="K97" s="48">
        <v>1385</v>
      </c>
      <c r="L97" s="48">
        <v>1467</v>
      </c>
      <c r="M97" s="48">
        <v>1487</v>
      </c>
      <c r="N97" s="48">
        <v>1423</v>
      </c>
      <c r="O97" s="48">
        <v>1493</v>
      </c>
      <c r="P97" s="48">
        <v>1500</v>
      </c>
      <c r="Q97" s="48">
        <v>1504</v>
      </c>
      <c r="R97" s="48"/>
      <c r="S97" s="63"/>
      <c r="T97" s="63"/>
      <c r="U97" s="63"/>
    </row>
    <row r="98" spans="2:42">
      <c r="B98" s="14" t="s">
        <v>105</v>
      </c>
      <c r="C98" s="48"/>
      <c r="D98" s="48"/>
      <c r="E98" s="48"/>
      <c r="F98" s="48"/>
      <c r="G98" s="48"/>
      <c r="H98" s="48"/>
      <c r="I98" s="48"/>
      <c r="J98" s="48"/>
      <c r="K98" s="48">
        <v>745</v>
      </c>
      <c r="L98" s="48">
        <v>681</v>
      </c>
      <c r="M98" s="48">
        <v>688</v>
      </c>
      <c r="N98" s="48">
        <v>761</v>
      </c>
      <c r="O98" s="48">
        <v>792</v>
      </c>
      <c r="P98" s="48">
        <v>767</v>
      </c>
      <c r="Q98" s="48">
        <v>944</v>
      </c>
      <c r="R98" s="48"/>
      <c r="S98" s="63"/>
      <c r="T98" s="63"/>
      <c r="U98" s="63"/>
    </row>
    <row r="99" spans="2:42">
      <c r="B99" s="14" t="s">
        <v>106</v>
      </c>
      <c r="C99" s="48"/>
      <c r="D99" s="48"/>
      <c r="E99" s="48"/>
      <c r="F99" s="48"/>
      <c r="G99" s="48"/>
      <c r="H99" s="48"/>
      <c r="I99" s="48"/>
      <c r="J99" s="48"/>
      <c r="K99" s="48">
        <v>114</v>
      </c>
      <c r="L99" s="48">
        <v>71</v>
      </c>
      <c r="M99" s="48">
        <v>42</v>
      </c>
      <c r="N99" s="48">
        <v>0</v>
      </c>
      <c r="O99" s="48">
        <v>20</v>
      </c>
      <c r="P99" s="48">
        <v>0</v>
      </c>
      <c r="Q99" s="48">
        <v>0</v>
      </c>
      <c r="R99" s="48"/>
      <c r="S99" s="63"/>
      <c r="T99" s="63"/>
      <c r="U99" s="63"/>
    </row>
    <row r="100" spans="2:42">
      <c r="B100" s="14" t="s">
        <v>107</v>
      </c>
      <c r="C100" s="48"/>
      <c r="D100" s="48"/>
      <c r="E100" s="48"/>
      <c r="F100" s="48"/>
      <c r="G100" s="48"/>
      <c r="H100" s="48"/>
      <c r="I100" s="48"/>
      <c r="J100" s="48"/>
      <c r="K100" s="48">
        <v>765</v>
      </c>
      <c r="L100" s="48">
        <v>874</v>
      </c>
      <c r="M100" s="48">
        <v>753</v>
      </c>
      <c r="N100" s="48">
        <v>786</v>
      </c>
      <c r="O100" s="48">
        <v>633</v>
      </c>
      <c r="P100" s="48">
        <v>740</v>
      </c>
      <c r="Q100" s="48">
        <v>744</v>
      </c>
      <c r="R100" s="48"/>
      <c r="S100" s="63"/>
      <c r="T100" s="63"/>
      <c r="U100" s="63"/>
    </row>
    <row r="101" spans="2:42">
      <c r="B101" s="14" t="s">
        <v>108</v>
      </c>
      <c r="C101" s="48"/>
      <c r="D101" s="48"/>
      <c r="E101" s="48"/>
      <c r="F101" s="48"/>
      <c r="G101" s="48"/>
      <c r="H101" s="48"/>
      <c r="I101" s="48"/>
      <c r="J101" s="48"/>
      <c r="K101" s="48">
        <v>5656</v>
      </c>
      <c r="L101" s="48">
        <v>5370</v>
      </c>
      <c r="M101" s="48">
        <v>5574</v>
      </c>
      <c r="N101" s="48">
        <v>4609</v>
      </c>
      <c r="O101" s="48">
        <v>2199</v>
      </c>
      <c r="P101" s="48">
        <v>102</v>
      </c>
      <c r="Q101" s="48">
        <v>166</v>
      </c>
      <c r="R101" s="48"/>
      <c r="S101" s="63"/>
      <c r="T101" s="63"/>
      <c r="U101" s="63"/>
    </row>
    <row r="102" spans="2:42">
      <c r="B102" s="14" t="s">
        <v>109</v>
      </c>
      <c r="C102" s="48"/>
      <c r="D102" s="48"/>
      <c r="E102" s="48"/>
      <c r="F102" s="48"/>
      <c r="G102" s="48"/>
      <c r="H102" s="48"/>
      <c r="I102" s="48"/>
      <c r="J102" s="48"/>
      <c r="K102" s="48">
        <v>33564</v>
      </c>
      <c r="L102" s="48">
        <v>33644</v>
      </c>
      <c r="M102" s="48">
        <v>33697</v>
      </c>
      <c r="N102" s="48">
        <v>33547</v>
      </c>
      <c r="O102" s="48">
        <v>33568</v>
      </c>
      <c r="P102" s="48">
        <v>33591</v>
      </c>
      <c r="Q102" s="48">
        <v>33621</v>
      </c>
      <c r="R102" s="48"/>
      <c r="S102" s="63"/>
      <c r="T102" s="63"/>
      <c r="U102" s="63"/>
    </row>
    <row r="103" spans="2:42">
      <c r="B103" s="14" t="s">
        <v>103</v>
      </c>
      <c r="C103" s="48"/>
      <c r="D103" s="48"/>
      <c r="E103" s="48"/>
      <c r="F103" s="48"/>
      <c r="G103" s="48"/>
      <c r="H103" s="48"/>
      <c r="I103" s="48"/>
      <c r="J103" s="48"/>
      <c r="K103" s="48">
        <v>4138</v>
      </c>
      <c r="L103" s="48">
        <v>4141</v>
      </c>
      <c r="M103" s="48">
        <v>4150</v>
      </c>
      <c r="N103" s="48">
        <v>4471</v>
      </c>
      <c r="O103" s="48">
        <v>4856</v>
      </c>
      <c r="P103" s="48">
        <v>4455</v>
      </c>
      <c r="Q103" s="48">
        <v>4103</v>
      </c>
      <c r="R103" s="48"/>
      <c r="S103" s="63"/>
      <c r="T103" s="63"/>
      <c r="U103" s="63"/>
    </row>
    <row r="104" spans="2:42">
      <c r="B104" s="14" t="s">
        <v>105</v>
      </c>
      <c r="C104" s="48"/>
      <c r="D104" s="48"/>
      <c r="E104" s="48"/>
      <c r="F104" s="48"/>
      <c r="G104" s="48"/>
      <c r="H104" s="48"/>
      <c r="I104" s="48"/>
      <c r="J104" s="48"/>
      <c r="K104" s="48">
        <v>1837</v>
      </c>
      <c r="L104" s="48">
        <v>2002</v>
      </c>
      <c r="M104" s="48">
        <v>2114</v>
      </c>
      <c r="N104" s="48">
        <v>2266</v>
      </c>
      <c r="O104" s="48">
        <v>2409</v>
      </c>
      <c r="P104" s="48">
        <v>2540</v>
      </c>
      <c r="Q104" s="48">
        <v>2521</v>
      </c>
      <c r="R104" s="48"/>
      <c r="S104" s="63"/>
      <c r="T104" s="63"/>
      <c r="U104" s="63"/>
    </row>
    <row r="105" spans="2:42">
      <c r="B105" s="14" t="s">
        <v>110</v>
      </c>
      <c r="C105" s="48"/>
      <c r="D105" s="48"/>
      <c r="E105" s="48"/>
      <c r="F105" s="48"/>
      <c r="G105" s="48"/>
      <c r="H105" s="48"/>
      <c r="I105" s="48"/>
      <c r="J105" s="48"/>
      <c r="K105" s="48">
        <v>210</v>
      </c>
      <c r="L105" s="48">
        <v>273</v>
      </c>
      <c r="M105" s="48">
        <v>229</v>
      </c>
      <c r="N105" s="48">
        <v>124</v>
      </c>
      <c r="O105" s="48">
        <v>59</v>
      </c>
      <c r="P105" s="48">
        <v>55</v>
      </c>
      <c r="Q105" s="48">
        <v>40</v>
      </c>
      <c r="R105" s="48"/>
      <c r="S105" s="63"/>
      <c r="T105" s="63"/>
      <c r="U105" s="63"/>
    </row>
    <row r="106" spans="2:42">
      <c r="B106" s="14" t="s">
        <v>111</v>
      </c>
      <c r="C106" s="48"/>
      <c r="D106" s="48"/>
      <c r="E106" s="48"/>
      <c r="F106" s="48"/>
      <c r="G106" s="48"/>
      <c r="H106" s="48"/>
      <c r="I106" s="48"/>
      <c r="J106" s="48"/>
      <c r="K106" s="48">
        <v>2792</v>
      </c>
      <c r="L106" s="48">
        <v>2792</v>
      </c>
      <c r="M106" s="48">
        <v>2721</v>
      </c>
      <c r="N106" s="48">
        <v>2658</v>
      </c>
      <c r="O106" s="48">
        <v>2658</v>
      </c>
      <c r="P106" s="48">
        <v>2658</v>
      </c>
      <c r="Q106" s="48">
        <v>2658</v>
      </c>
      <c r="R106" s="48"/>
      <c r="S106" s="63"/>
      <c r="T106" s="63"/>
      <c r="U106" s="63"/>
    </row>
    <row r="107" spans="2:42">
      <c r="B107" s="14" t="s">
        <v>112</v>
      </c>
      <c r="C107" s="48"/>
      <c r="D107" s="48"/>
      <c r="E107" s="48"/>
      <c r="F107" s="48"/>
      <c r="G107" s="48"/>
      <c r="H107" s="48"/>
      <c r="I107" s="48"/>
      <c r="J107" s="48"/>
      <c r="K107" s="48">
        <v>412</v>
      </c>
      <c r="L107" s="48">
        <v>181</v>
      </c>
      <c r="M107" s="48">
        <v>161</v>
      </c>
      <c r="N107" s="48">
        <v>142</v>
      </c>
      <c r="O107" s="48">
        <v>344</v>
      </c>
      <c r="P107" s="48">
        <v>443</v>
      </c>
      <c r="Q107" s="48">
        <v>356</v>
      </c>
      <c r="R107" s="48"/>
      <c r="S107" s="63"/>
      <c r="T107" s="63"/>
      <c r="U107" s="63"/>
    </row>
    <row r="108" spans="2:42">
      <c r="B108" s="14" t="s">
        <v>113</v>
      </c>
      <c r="C108" s="48"/>
      <c r="D108" s="48"/>
      <c r="E108" s="48"/>
      <c r="F108" s="48"/>
      <c r="G108" s="48"/>
      <c r="H108" s="48"/>
      <c r="I108" s="48"/>
      <c r="J108" s="48"/>
      <c r="K108" s="48">
        <v>576</v>
      </c>
      <c r="L108" s="48">
        <v>564</v>
      </c>
      <c r="M108" s="48">
        <v>526</v>
      </c>
      <c r="N108" s="48">
        <v>866</v>
      </c>
      <c r="O108" s="48">
        <v>885</v>
      </c>
      <c r="P108" s="48">
        <v>1024</v>
      </c>
      <c r="Q108" s="48">
        <v>1019</v>
      </c>
      <c r="R108" s="48"/>
      <c r="S108" s="63"/>
      <c r="T108" s="63"/>
      <c r="U108" s="63"/>
    </row>
    <row r="109" spans="2:42" s="12" customFormat="1">
      <c r="B109" s="23" t="s">
        <v>114</v>
      </c>
      <c r="C109" s="58"/>
      <c r="D109" s="58"/>
      <c r="E109" s="58"/>
      <c r="F109" s="58"/>
      <c r="G109" s="58"/>
      <c r="H109" s="58"/>
      <c r="I109" s="58"/>
      <c r="J109" s="58"/>
      <c r="K109" s="58">
        <f>+SUM(K90:K108)</f>
        <v>55335</v>
      </c>
      <c r="L109" s="58">
        <f t="shared" ref="L109:P109" si="76">+SUM(L90:L108)</f>
        <v>55667</v>
      </c>
      <c r="M109" s="58">
        <f t="shared" si="76"/>
        <v>56175</v>
      </c>
      <c r="N109" s="58">
        <f>SUM(N90:N92,N97:N108)</f>
        <v>56349</v>
      </c>
      <c r="O109" s="58">
        <f t="shared" si="76"/>
        <v>55519</v>
      </c>
      <c r="P109" s="58">
        <f t="shared" si="76"/>
        <v>55165</v>
      </c>
      <c r="Q109" s="58">
        <f>SUM(Q90:Q92,Q97:Q108)</f>
        <v>54690</v>
      </c>
      <c r="R109" s="58"/>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row>
    <row r="111" spans="2:42">
      <c r="B111" s="14" t="s">
        <v>115</v>
      </c>
      <c r="C111" s="48"/>
      <c r="D111" s="48"/>
      <c r="E111" s="48"/>
      <c r="F111" s="48"/>
      <c r="G111" s="48"/>
      <c r="H111" s="48"/>
      <c r="I111" s="48"/>
      <c r="J111" s="48"/>
      <c r="K111" s="48">
        <v>698</v>
      </c>
      <c r="L111" s="48">
        <v>683</v>
      </c>
      <c r="M111" s="48">
        <v>772</v>
      </c>
      <c r="N111" s="48">
        <v>843</v>
      </c>
      <c r="O111" s="48">
        <v>771</v>
      </c>
      <c r="P111" s="48">
        <v>742</v>
      </c>
      <c r="Q111" s="48">
        <v>832</v>
      </c>
      <c r="R111" s="48"/>
      <c r="S111" s="63"/>
      <c r="T111" s="63"/>
      <c r="U111" s="63"/>
    </row>
    <row r="112" spans="2:42">
      <c r="B112" s="14" t="s">
        <v>117</v>
      </c>
      <c r="C112" s="48"/>
      <c r="D112" s="48"/>
      <c r="E112" s="48"/>
      <c r="F112" s="48"/>
      <c r="G112" s="48"/>
      <c r="H112" s="48"/>
      <c r="I112" s="48"/>
      <c r="J112" s="48"/>
      <c r="K112" s="48">
        <v>414</v>
      </c>
      <c r="L112" s="48">
        <v>457</v>
      </c>
      <c r="M112" s="48">
        <v>542</v>
      </c>
      <c r="N112" s="48">
        <v>630</v>
      </c>
      <c r="O112" s="48">
        <v>502</v>
      </c>
      <c r="P112" s="48">
        <v>562</v>
      </c>
      <c r="Q112" s="48">
        <v>750</v>
      </c>
      <c r="R112" s="48"/>
      <c r="S112" s="63"/>
      <c r="T112" s="63"/>
      <c r="U112" s="63"/>
    </row>
    <row r="113" spans="2:21">
      <c r="B113" s="14" t="s">
        <v>118</v>
      </c>
      <c r="C113" s="48"/>
      <c r="D113" s="48"/>
      <c r="E113" s="48"/>
      <c r="F113" s="48"/>
      <c r="G113" s="48"/>
      <c r="H113" s="48"/>
      <c r="I113" s="48"/>
      <c r="J113" s="48"/>
      <c r="K113" s="48">
        <v>136</v>
      </c>
      <c r="L113" s="48">
        <v>264</v>
      </c>
      <c r="M113" s="48">
        <v>317</v>
      </c>
      <c r="N113" s="48">
        <v>381</v>
      </c>
      <c r="O113" s="48">
        <v>378</v>
      </c>
      <c r="P113" s="48">
        <v>705</v>
      </c>
      <c r="Q113" s="48">
        <v>884</v>
      </c>
      <c r="R113" s="48"/>
      <c r="S113" s="63"/>
      <c r="T113" s="63"/>
      <c r="U113" s="63"/>
    </row>
    <row r="114" spans="2:21">
      <c r="B114" s="14" t="s">
        <v>119</v>
      </c>
      <c r="C114" s="48"/>
      <c r="D114" s="48"/>
      <c r="E114" s="48"/>
      <c r="F114" s="48"/>
      <c r="G114" s="48"/>
      <c r="H114" s="48"/>
      <c r="I114" s="48"/>
      <c r="J114" s="48"/>
      <c r="K114" s="48">
        <v>99</v>
      </c>
      <c r="L114" s="48">
        <v>104</v>
      </c>
      <c r="M114" s="48">
        <v>112</v>
      </c>
      <c r="N114" s="48">
        <v>107</v>
      </c>
      <c r="O114" s="48">
        <v>109</v>
      </c>
      <c r="P114" s="48">
        <v>112</v>
      </c>
      <c r="Q114" s="48">
        <v>116</v>
      </c>
      <c r="R114" s="48"/>
      <c r="S114" s="63"/>
      <c r="T114" s="63"/>
      <c r="U114" s="63"/>
    </row>
    <row r="115" spans="2:21">
      <c r="B115" s="14" t="s">
        <v>120</v>
      </c>
      <c r="C115" s="48"/>
      <c r="D115" s="48"/>
      <c r="E115" s="48"/>
      <c r="F115" s="48"/>
      <c r="G115" s="48"/>
      <c r="H115" s="48"/>
      <c r="I115" s="48"/>
      <c r="J115" s="48"/>
      <c r="K115" s="48">
        <v>0</v>
      </c>
      <c r="L115" s="48">
        <v>0</v>
      </c>
      <c r="M115" s="48">
        <v>0</v>
      </c>
      <c r="N115" s="48">
        <v>924</v>
      </c>
      <c r="O115" s="48">
        <v>0</v>
      </c>
      <c r="P115" s="48">
        <v>0</v>
      </c>
      <c r="Q115" s="48">
        <v>0</v>
      </c>
      <c r="R115" s="48"/>
      <c r="S115" s="63"/>
      <c r="T115" s="63"/>
      <c r="U115" s="63"/>
    </row>
    <row r="116" spans="2:21">
      <c r="B116" s="14" t="s">
        <v>121</v>
      </c>
      <c r="C116" s="48"/>
      <c r="D116" s="48"/>
      <c r="E116" s="48"/>
      <c r="F116" s="48"/>
      <c r="G116" s="48"/>
      <c r="H116" s="48"/>
      <c r="I116" s="48"/>
      <c r="J116" s="48"/>
      <c r="K116" s="48">
        <v>1784</v>
      </c>
      <c r="L116" s="48">
        <v>1819</v>
      </c>
      <c r="M116" s="48">
        <v>2081</v>
      </c>
      <c r="N116" s="48">
        <v>2481</v>
      </c>
      <c r="O116" s="48">
        <v>2357</v>
      </c>
      <c r="P116" s="48">
        <v>2544</v>
      </c>
      <c r="Q116" s="48">
        <v>2500</v>
      </c>
      <c r="R116" s="48"/>
      <c r="S116" s="63"/>
      <c r="T116" s="63"/>
      <c r="U116" s="63"/>
    </row>
    <row r="117" spans="2:21">
      <c r="B117" s="14" t="s">
        <v>122</v>
      </c>
      <c r="C117" s="48"/>
      <c r="D117" s="48"/>
      <c r="E117" s="48"/>
      <c r="F117" s="48"/>
      <c r="G117" s="48"/>
      <c r="H117" s="48"/>
      <c r="I117" s="48"/>
      <c r="J117" s="48"/>
      <c r="K117" s="48">
        <v>2351</v>
      </c>
      <c r="L117" s="48">
        <v>2405</v>
      </c>
      <c r="M117" s="48">
        <v>2584</v>
      </c>
      <c r="N117" s="48">
        <v>2177</v>
      </c>
      <c r="O117" s="48">
        <v>1309</v>
      </c>
      <c r="P117" s="48">
        <v>5</v>
      </c>
      <c r="Q117" s="48">
        <v>4</v>
      </c>
      <c r="R117" s="48"/>
      <c r="S117" s="63"/>
      <c r="T117" s="63"/>
      <c r="U117" s="63"/>
    </row>
    <row r="118" spans="2:21">
      <c r="B118" s="14" t="s">
        <v>123</v>
      </c>
      <c r="C118" s="48"/>
      <c r="D118" s="48"/>
      <c r="E118" s="48"/>
      <c r="F118" s="48"/>
      <c r="G118" s="48"/>
      <c r="H118" s="48"/>
      <c r="I118" s="48"/>
      <c r="J118" s="48"/>
      <c r="K118" s="48">
        <v>8933</v>
      </c>
      <c r="L118" s="48">
        <v>8692</v>
      </c>
      <c r="M118" s="48">
        <v>8550</v>
      </c>
      <c r="N118" s="48">
        <v>7552</v>
      </c>
      <c r="O118" s="48">
        <v>7507</v>
      </c>
      <c r="P118" s="48">
        <v>7132</v>
      </c>
      <c r="Q118" s="48">
        <v>5180</v>
      </c>
      <c r="R118" s="48"/>
      <c r="S118" s="63"/>
      <c r="T118" s="63"/>
      <c r="U118" s="63"/>
    </row>
    <row r="119" spans="2:21">
      <c r="B119" s="14" t="s">
        <v>119</v>
      </c>
      <c r="C119" s="48"/>
      <c r="D119" s="48"/>
      <c r="E119" s="48"/>
      <c r="F119" s="48"/>
      <c r="G119" s="48"/>
      <c r="H119" s="48"/>
      <c r="I119" s="48"/>
      <c r="J119" s="48"/>
      <c r="K119" s="48">
        <v>436</v>
      </c>
      <c r="L119" s="48">
        <v>429</v>
      </c>
      <c r="M119" s="48">
        <v>437</v>
      </c>
      <c r="N119" s="48">
        <v>389</v>
      </c>
      <c r="O119" s="48">
        <v>370</v>
      </c>
      <c r="P119" s="48">
        <v>363</v>
      </c>
      <c r="Q119" s="48">
        <v>355</v>
      </c>
      <c r="R119" s="48"/>
      <c r="S119" s="63"/>
      <c r="T119" s="63"/>
      <c r="U119" s="63"/>
    </row>
    <row r="120" spans="2:21">
      <c r="B120" s="14" t="s">
        <v>124</v>
      </c>
      <c r="C120" s="48"/>
      <c r="D120" s="48"/>
      <c r="E120" s="48"/>
      <c r="F120" s="48"/>
      <c r="G120" s="48"/>
      <c r="H120" s="48"/>
      <c r="I120" s="48"/>
      <c r="J120" s="48"/>
      <c r="K120" s="48">
        <v>6652</v>
      </c>
      <c r="L120" s="48">
        <v>6620</v>
      </c>
      <c r="M120" s="48">
        <v>6410</v>
      </c>
      <c r="N120" s="48">
        <v>6394</v>
      </c>
      <c r="O120" s="48">
        <v>6376</v>
      </c>
      <c r="P120" s="48">
        <v>6216</v>
      </c>
      <c r="Q120" s="48">
        <v>6228</v>
      </c>
      <c r="R120" s="48"/>
      <c r="S120" s="63"/>
      <c r="T120" s="63"/>
      <c r="U120" s="63"/>
    </row>
    <row r="121" spans="2:21">
      <c r="B121" s="14" t="s">
        <v>125</v>
      </c>
      <c r="C121" s="48"/>
      <c r="D121" s="48"/>
      <c r="E121" s="48"/>
      <c r="F121" s="48"/>
      <c r="G121" s="48"/>
      <c r="H121" s="48"/>
      <c r="I121" s="48"/>
      <c r="J121" s="48"/>
      <c r="K121" s="48">
        <v>3094</v>
      </c>
      <c r="L121" s="48">
        <v>3046</v>
      </c>
      <c r="M121" s="48">
        <v>2883</v>
      </c>
      <c r="N121" s="48">
        <v>2820</v>
      </c>
      <c r="O121" s="48">
        <v>2733</v>
      </c>
      <c r="P121" s="48">
        <v>2890</v>
      </c>
      <c r="Q121" s="48">
        <v>2885</v>
      </c>
      <c r="R121" s="48"/>
      <c r="S121" s="63"/>
      <c r="T121" s="63"/>
      <c r="U121" s="63"/>
    </row>
    <row r="122" spans="2:21">
      <c r="B122" s="14" t="s">
        <v>117</v>
      </c>
      <c r="C122" s="48"/>
      <c r="D122" s="48"/>
      <c r="E122" s="48"/>
      <c r="F122" s="48"/>
      <c r="G122" s="48"/>
      <c r="H122" s="48"/>
      <c r="I122" s="48"/>
      <c r="J122" s="48"/>
      <c r="K122" s="48">
        <v>610</v>
      </c>
      <c r="L122" s="48">
        <v>616</v>
      </c>
      <c r="M122" s="48">
        <v>632</v>
      </c>
      <c r="N122" s="48">
        <v>555</v>
      </c>
      <c r="O122" s="48">
        <v>575</v>
      </c>
      <c r="P122" s="48">
        <v>596</v>
      </c>
      <c r="Q122" s="48">
        <v>583</v>
      </c>
      <c r="R122" s="48"/>
      <c r="S122" s="63"/>
      <c r="T122" s="63"/>
      <c r="U122" s="63"/>
    </row>
    <row r="123" spans="2:21">
      <c r="B123" s="14" t="s">
        <v>127</v>
      </c>
      <c r="C123" s="48"/>
      <c r="D123" s="48"/>
      <c r="E123" s="48"/>
      <c r="F123" s="48"/>
      <c r="G123" s="48"/>
      <c r="H123" s="48"/>
      <c r="I123" s="48"/>
      <c r="J123" s="48"/>
      <c r="K123" s="48">
        <v>753</v>
      </c>
      <c r="L123" s="48">
        <v>733</v>
      </c>
      <c r="M123" s="48">
        <v>721</v>
      </c>
      <c r="N123" s="48">
        <v>699</v>
      </c>
      <c r="O123" s="48">
        <v>671</v>
      </c>
      <c r="P123" s="48">
        <v>646</v>
      </c>
      <c r="Q123" s="48">
        <v>623</v>
      </c>
      <c r="R123" s="48"/>
      <c r="S123" s="63"/>
      <c r="T123" s="63"/>
      <c r="U123" s="63"/>
    </row>
    <row r="124" spans="2:21">
      <c r="B124" s="14" t="s">
        <v>126</v>
      </c>
      <c r="C124" s="48"/>
      <c r="D124" s="48"/>
      <c r="E124" s="48"/>
      <c r="F124" s="48"/>
      <c r="G124" s="48"/>
      <c r="H124" s="48"/>
      <c r="I124" s="48"/>
      <c r="J124" s="48"/>
      <c r="K124" s="48">
        <v>300</v>
      </c>
      <c r="L124" s="48">
        <v>247</v>
      </c>
      <c r="M124" s="48">
        <v>238</v>
      </c>
      <c r="N124" s="48">
        <v>288</v>
      </c>
      <c r="O124" s="48">
        <v>430</v>
      </c>
      <c r="P124" s="48">
        <v>365</v>
      </c>
      <c r="Q124" s="48">
        <v>339</v>
      </c>
      <c r="R124" s="48"/>
      <c r="S124" s="63"/>
      <c r="T124" s="63"/>
      <c r="U124" s="63"/>
    </row>
    <row r="125" spans="2:21">
      <c r="B125" s="23" t="s">
        <v>128</v>
      </c>
      <c r="C125" s="50"/>
      <c r="D125" s="50"/>
      <c r="E125" s="50"/>
      <c r="F125" s="50"/>
      <c r="G125" s="50"/>
      <c r="H125" s="50"/>
      <c r="I125" s="50"/>
      <c r="J125" s="50"/>
      <c r="K125" s="50">
        <f>+SUM(K111:K124)</f>
        <v>26260</v>
      </c>
      <c r="L125" s="50">
        <f>+SUM(L111:L124)</f>
        <v>26115</v>
      </c>
      <c r="M125" s="50">
        <f t="shared" ref="M125:Q125" si="77">+SUM(M111:M124)</f>
        <v>26279</v>
      </c>
      <c r="N125" s="50">
        <f t="shared" si="77"/>
        <v>26240</v>
      </c>
      <c r="O125" s="50">
        <f t="shared" si="77"/>
        <v>24088</v>
      </c>
      <c r="P125" s="50">
        <f t="shared" si="77"/>
        <v>22878</v>
      </c>
      <c r="Q125" s="50">
        <f t="shared" si="77"/>
        <v>21279</v>
      </c>
      <c r="R125" s="50"/>
      <c r="S125" s="64"/>
      <c r="T125" s="64"/>
      <c r="U125" s="64"/>
    </row>
    <row r="126" spans="2:21">
      <c r="B126" s="14" t="s">
        <v>136</v>
      </c>
      <c r="C126" s="50"/>
      <c r="D126" s="50"/>
      <c r="E126" s="50"/>
      <c r="F126" s="50"/>
      <c r="G126" s="50"/>
      <c r="H126" s="50"/>
      <c r="I126" s="50"/>
      <c r="J126" s="50"/>
      <c r="K126" s="48">
        <v>1855</v>
      </c>
      <c r="L126" s="48">
        <v>1851</v>
      </c>
      <c r="M126" s="48">
        <v>1840</v>
      </c>
      <c r="N126" s="48">
        <v>1813</v>
      </c>
      <c r="O126" s="48">
        <v>1803</v>
      </c>
      <c r="P126" s="48">
        <v>1772</v>
      </c>
      <c r="Q126" s="48">
        <v>1760</v>
      </c>
      <c r="R126" s="48"/>
      <c r="S126" s="63"/>
      <c r="T126" s="63"/>
      <c r="U126" s="63"/>
    </row>
    <row r="127" spans="2:21">
      <c r="B127" s="14" t="s">
        <v>137</v>
      </c>
      <c r="C127" s="50"/>
      <c r="D127" s="50"/>
      <c r="E127" s="50"/>
      <c r="F127" s="50"/>
      <c r="G127" s="50"/>
      <c r="H127" s="50"/>
      <c r="I127" s="50"/>
      <c r="J127" s="50"/>
      <c r="K127" s="48">
        <v>-274</v>
      </c>
      <c r="L127" s="48">
        <v>-274</v>
      </c>
      <c r="M127" s="48">
        <v>-276</v>
      </c>
      <c r="N127" s="48">
        <v>-278</v>
      </c>
      <c r="O127" s="48">
        <v>-293</v>
      </c>
      <c r="P127" s="48">
        <v>-294</v>
      </c>
      <c r="Q127" s="48">
        <v>-297</v>
      </c>
      <c r="R127" s="48"/>
      <c r="S127" s="63"/>
      <c r="T127" s="63"/>
      <c r="U127" s="63"/>
    </row>
    <row r="128" spans="2:21">
      <c r="B128" s="14" t="s">
        <v>138</v>
      </c>
      <c r="C128" s="50"/>
      <c r="D128" s="50"/>
      <c r="E128" s="50"/>
      <c r="F128" s="50"/>
      <c r="G128" s="50"/>
      <c r="H128" s="50"/>
      <c r="I128" s="50"/>
      <c r="J128" s="50"/>
      <c r="K128" s="48">
        <v>30436</v>
      </c>
      <c r="L128" s="48">
        <v>30394</v>
      </c>
      <c r="M128" s="48">
        <v>30228</v>
      </c>
      <c r="N128" s="48">
        <v>29808</v>
      </c>
      <c r="O128" s="48">
        <v>29624</v>
      </c>
      <c r="P128" s="48">
        <v>29141</v>
      </c>
      <c r="Q128" s="48">
        <v>28955</v>
      </c>
      <c r="R128" s="48"/>
      <c r="S128" s="63"/>
      <c r="T128" s="63"/>
      <c r="U128" s="63"/>
    </row>
    <row r="129" spans="2:42">
      <c r="B129" s="14" t="s">
        <v>139</v>
      </c>
      <c r="C129" s="50"/>
      <c r="D129" s="50"/>
      <c r="E129" s="50"/>
      <c r="F129" s="50"/>
      <c r="G129" s="50"/>
      <c r="H129" s="50"/>
      <c r="I129" s="50"/>
      <c r="J129" s="50"/>
      <c r="K129" s="48">
        <v>-16</v>
      </c>
      <c r="L129" s="48">
        <v>-7</v>
      </c>
      <c r="M129" s="48">
        <v>21</v>
      </c>
      <c r="N129" s="48">
        <v>-95</v>
      </c>
      <c r="O129" s="48">
        <v>-39</v>
      </c>
      <c r="P129" s="48">
        <v>44</v>
      </c>
      <c r="Q129" s="48">
        <v>109</v>
      </c>
      <c r="R129" s="48"/>
      <c r="S129" s="63"/>
      <c r="T129" s="63"/>
      <c r="U129" s="63"/>
    </row>
    <row r="130" spans="2:42">
      <c r="B130" s="14" t="s">
        <v>140</v>
      </c>
      <c r="C130" s="50"/>
      <c r="D130" s="50"/>
      <c r="E130" s="50"/>
      <c r="F130" s="50"/>
      <c r="G130" s="50"/>
      <c r="H130" s="50"/>
      <c r="I130" s="50"/>
      <c r="J130" s="50"/>
      <c r="K130" s="48">
        <v>-3111</v>
      </c>
      <c r="L130" s="48">
        <v>-2585</v>
      </c>
      <c r="M130" s="48">
        <v>-2101</v>
      </c>
      <c r="N130" s="48">
        <v>-1320</v>
      </c>
      <c r="O130" s="48">
        <v>153</v>
      </c>
      <c r="P130" s="48">
        <v>1449</v>
      </c>
      <c r="Q130" s="48">
        <v>2699</v>
      </c>
      <c r="R130" s="48"/>
      <c r="S130" s="63"/>
      <c r="T130" s="63"/>
      <c r="U130" s="63"/>
    </row>
    <row r="131" spans="2:42">
      <c r="B131" s="23" t="s">
        <v>141</v>
      </c>
      <c r="C131" s="50"/>
      <c r="D131" s="50"/>
      <c r="E131" s="50"/>
      <c r="F131" s="50"/>
      <c r="G131" s="50"/>
      <c r="H131" s="50"/>
      <c r="I131" s="50"/>
      <c r="J131" s="50"/>
      <c r="K131" s="48">
        <v>185</v>
      </c>
      <c r="L131" s="48">
        <v>184</v>
      </c>
      <c r="M131" s="48">
        <v>184</v>
      </c>
      <c r="N131" s="48">
        <v>181</v>
      </c>
      <c r="O131" s="48">
        <v>183</v>
      </c>
      <c r="P131" s="48">
        <v>175</v>
      </c>
      <c r="Q131" s="48">
        <v>185</v>
      </c>
      <c r="R131" s="48"/>
      <c r="S131" s="63"/>
      <c r="T131" s="63"/>
      <c r="U131" s="63"/>
    </row>
    <row r="132" spans="2:42">
      <c r="B132" s="14" t="s">
        <v>129</v>
      </c>
      <c r="C132" s="62"/>
      <c r="D132" s="62"/>
      <c r="E132" s="62"/>
      <c r="F132" s="62"/>
      <c r="G132" s="62"/>
      <c r="H132" s="62"/>
      <c r="I132" s="62"/>
      <c r="J132" s="62"/>
      <c r="K132" s="62">
        <f t="shared" ref="K132:Q132" si="78">SUM(K126:K131)</f>
        <v>29075</v>
      </c>
      <c r="L132" s="62">
        <f t="shared" si="78"/>
        <v>29563</v>
      </c>
      <c r="M132" s="62">
        <f t="shared" si="78"/>
        <v>29896</v>
      </c>
      <c r="N132" s="62">
        <f t="shared" si="78"/>
        <v>30109</v>
      </c>
      <c r="O132" s="62">
        <f t="shared" si="78"/>
        <v>31431</v>
      </c>
      <c r="P132" s="62">
        <f t="shared" si="78"/>
        <v>32287</v>
      </c>
      <c r="Q132" s="62">
        <f t="shared" si="78"/>
        <v>33411</v>
      </c>
      <c r="R132" s="62"/>
      <c r="S132" s="74"/>
      <c r="T132" s="74"/>
      <c r="U132" s="74"/>
    </row>
    <row r="133" spans="2:42">
      <c r="B133" s="16" t="s">
        <v>130</v>
      </c>
      <c r="C133" s="50"/>
      <c r="D133" s="50"/>
      <c r="E133" s="50"/>
      <c r="F133" s="50"/>
      <c r="G133" s="50"/>
      <c r="H133" s="50"/>
      <c r="I133" s="50"/>
      <c r="J133" s="50"/>
      <c r="K133" s="50">
        <f t="shared" ref="K133:Q133" si="79">+SUM(K125:K132)</f>
        <v>84410</v>
      </c>
      <c r="L133" s="50">
        <f t="shared" si="79"/>
        <v>85241</v>
      </c>
      <c r="M133" s="50">
        <f t="shared" si="79"/>
        <v>86071</v>
      </c>
      <c r="N133" s="50">
        <f t="shared" si="79"/>
        <v>86458</v>
      </c>
      <c r="O133" s="50">
        <f t="shared" si="79"/>
        <v>86950</v>
      </c>
      <c r="P133" s="50">
        <f t="shared" si="79"/>
        <v>87452</v>
      </c>
      <c r="Q133" s="50">
        <f t="shared" si="79"/>
        <v>88101</v>
      </c>
      <c r="R133" s="50"/>
      <c r="S133" s="64"/>
      <c r="T133" s="64"/>
      <c r="U133" s="64"/>
    </row>
    <row r="136" spans="2:42">
      <c r="B136" s="14" t="s">
        <v>44</v>
      </c>
      <c r="C136" s="48">
        <v>694</v>
      </c>
      <c r="D136" s="48">
        <f>1737-C136</f>
        <v>1043</v>
      </c>
      <c r="E136" s="48">
        <f>2210-SUM(B136:D136)</f>
        <v>473</v>
      </c>
      <c r="F136" s="48">
        <f>+AE136-SUM(C136:E136)</f>
        <v>553</v>
      </c>
      <c r="G136" s="48">
        <v>481</v>
      </c>
      <c r="H136" s="48">
        <f>1144-G136</f>
        <v>663</v>
      </c>
      <c r="I136" s="48">
        <f>2147-SUM(F136:H136)</f>
        <v>450</v>
      </c>
      <c r="J136" s="48">
        <f>+AE136-SUM(G136:I136)</f>
        <v>1169</v>
      </c>
      <c r="K136" s="48">
        <v>776</v>
      </c>
      <c r="L136" s="48">
        <f>2204-K136</f>
        <v>1428</v>
      </c>
      <c r="M136" s="48">
        <f>3852-SUM(K136:L136)</f>
        <v>1648</v>
      </c>
      <c r="N136" s="48">
        <f>+AF136-SUM(K136:M136)</f>
        <v>2511</v>
      </c>
      <c r="O136" s="48">
        <v>2031</v>
      </c>
      <c r="P136" s="48">
        <f>4415-O136</f>
        <v>2384</v>
      </c>
      <c r="Q136" s="48">
        <f>6713-SUM(O136:P136)</f>
        <v>2298</v>
      </c>
      <c r="R136" s="48"/>
      <c r="S136" s="63"/>
      <c r="T136" s="63"/>
      <c r="U136" s="63"/>
      <c r="AA136" s="48"/>
      <c r="AB136" s="48"/>
      <c r="AC136" s="48">
        <v>4279</v>
      </c>
      <c r="AD136" s="48">
        <v>3220</v>
      </c>
      <c r="AE136" s="48">
        <v>2763</v>
      </c>
      <c r="AF136" s="48">
        <v>6363</v>
      </c>
      <c r="AG136" s="48"/>
      <c r="AH136" s="48"/>
      <c r="AI136" s="48"/>
      <c r="AJ136" s="48"/>
      <c r="AK136" s="48"/>
      <c r="AL136" s="48"/>
      <c r="AM136" s="48"/>
      <c r="AN136" s="48"/>
      <c r="AO136" s="48"/>
      <c r="AP136" s="48"/>
    </row>
    <row r="137" spans="2:42">
      <c r="B137" s="14" t="s">
        <v>45</v>
      </c>
      <c r="C137" s="48">
        <v>-437</v>
      </c>
      <c r="D137" s="48">
        <f>+-956-C137</f>
        <v>-519</v>
      </c>
      <c r="E137" s="48">
        <f>+-1485-SUM(C137:D137)</f>
        <v>-529</v>
      </c>
      <c r="F137" s="48">
        <f>+AE137-SUM(C137:E137)</f>
        <v>-1181</v>
      </c>
      <c r="G137" s="48">
        <v>-526</v>
      </c>
      <c r="H137" s="48">
        <f>+-1142-G137</f>
        <v>-616</v>
      </c>
      <c r="I137" s="48">
        <f>+-1746-SUM(G137:H137)</f>
        <v>-604</v>
      </c>
      <c r="J137" s="48">
        <f>+AE137-SUM(G137:I137)</f>
        <v>-920</v>
      </c>
      <c r="K137" s="48">
        <v>-850</v>
      </c>
      <c r="L137" s="48">
        <f>+-1650-K137</f>
        <v>-800</v>
      </c>
      <c r="M137" s="48">
        <f>+-2527-SUM(K137:L137)</f>
        <v>-877</v>
      </c>
      <c r="N137" s="48">
        <f>+AF137-SUM(K137:M137)</f>
        <v>-875</v>
      </c>
      <c r="O137" s="48">
        <v>-826</v>
      </c>
      <c r="P137" s="48">
        <f>+-1500-O137</f>
        <v>-674</v>
      </c>
      <c r="Q137" s="48">
        <f>+-2227-SUM(O137:P137)</f>
        <v>-727</v>
      </c>
      <c r="R137" s="48"/>
      <c r="S137" s="63"/>
      <c r="T137" s="63"/>
      <c r="U137" s="63"/>
      <c r="AA137" s="48"/>
      <c r="AB137" s="48"/>
      <c r="AC137" s="48">
        <v>-1653</v>
      </c>
      <c r="AD137" s="48">
        <v>-2131</v>
      </c>
      <c r="AE137" s="48">
        <v>-2666</v>
      </c>
      <c r="AF137" s="48">
        <v>-3402</v>
      </c>
      <c r="AG137" s="48"/>
      <c r="AH137" s="48"/>
      <c r="AI137" s="48"/>
      <c r="AJ137" s="48"/>
      <c r="AK137" s="48"/>
      <c r="AL137" s="48"/>
      <c r="AM137" s="48"/>
      <c r="AN137" s="48"/>
      <c r="AO137" s="48"/>
      <c r="AP137" s="48"/>
    </row>
    <row r="138" spans="2:42" s="12" customFormat="1">
      <c r="B138" s="23" t="s">
        <v>46</v>
      </c>
      <c r="C138" s="58">
        <f t="shared" ref="C138:M138" si="80">+SUM(C136:C137)</f>
        <v>257</v>
      </c>
      <c r="D138" s="58">
        <f t="shared" si="80"/>
        <v>524</v>
      </c>
      <c r="E138" s="58">
        <f t="shared" si="80"/>
        <v>-56</v>
      </c>
      <c r="F138" s="58">
        <f t="shared" si="80"/>
        <v>-628</v>
      </c>
      <c r="G138" s="58">
        <f t="shared" si="80"/>
        <v>-45</v>
      </c>
      <c r="H138" s="58">
        <f t="shared" si="80"/>
        <v>47</v>
      </c>
      <c r="I138" s="58">
        <f t="shared" si="80"/>
        <v>-154</v>
      </c>
      <c r="J138" s="58">
        <f t="shared" si="80"/>
        <v>249</v>
      </c>
      <c r="K138" s="58">
        <f t="shared" si="80"/>
        <v>-74</v>
      </c>
      <c r="L138" s="58">
        <f t="shared" si="80"/>
        <v>628</v>
      </c>
      <c r="M138" s="58">
        <f t="shared" si="80"/>
        <v>771</v>
      </c>
      <c r="N138" s="58">
        <f t="shared" ref="N138:Q138" si="81">+SUM(N136:N137)</f>
        <v>1636</v>
      </c>
      <c r="O138" s="58">
        <f t="shared" si="81"/>
        <v>1205</v>
      </c>
      <c r="P138" s="58">
        <f t="shared" si="81"/>
        <v>1710</v>
      </c>
      <c r="Q138" s="58">
        <f t="shared" si="81"/>
        <v>1571</v>
      </c>
      <c r="R138" s="58"/>
      <c r="S138" s="71"/>
      <c r="T138" s="71"/>
      <c r="U138" s="71"/>
      <c r="V138" s="71"/>
      <c r="W138" s="71"/>
      <c r="X138" s="71"/>
      <c r="Y138" s="71"/>
      <c r="Z138" s="71"/>
      <c r="AA138" s="58"/>
      <c r="AB138" s="58"/>
      <c r="AC138" s="58">
        <f>+SUM(AC136:AC137)</f>
        <v>2626</v>
      </c>
      <c r="AD138" s="58">
        <f>+SUM(AD136:AD137)</f>
        <v>1089</v>
      </c>
      <c r="AE138" s="58">
        <f>+SUM(AE136:AE137)</f>
        <v>97</v>
      </c>
      <c r="AF138" s="58">
        <f>+SUM(AF136:AF137)</f>
        <v>2961</v>
      </c>
      <c r="AG138" s="58">
        <f>+Q140</f>
        <v>6122</v>
      </c>
      <c r="AH138" s="58">
        <f>+AG138*1.2</f>
        <v>7346.4</v>
      </c>
      <c r="AI138" s="58">
        <f>+AH138*1.2</f>
        <v>8815.6799999999985</v>
      </c>
      <c r="AJ138" s="58">
        <f>+AI138*1.2</f>
        <v>10578.815999999997</v>
      </c>
      <c r="AK138" s="58">
        <f t="shared" ref="AK138:AP138" si="82">AJ138</f>
        <v>10578.815999999997</v>
      </c>
      <c r="AL138" s="58">
        <f t="shared" si="82"/>
        <v>10578.815999999997</v>
      </c>
      <c r="AM138" s="58">
        <f t="shared" si="82"/>
        <v>10578.815999999997</v>
      </c>
      <c r="AN138" s="58">
        <f t="shared" si="82"/>
        <v>10578.815999999997</v>
      </c>
      <c r="AO138" s="58">
        <f t="shared" si="82"/>
        <v>10578.815999999997</v>
      </c>
      <c r="AP138" s="58">
        <f t="shared" si="82"/>
        <v>10578.815999999997</v>
      </c>
    </row>
    <row r="140" spans="2:42">
      <c r="B140" s="14" t="s">
        <v>47</v>
      </c>
      <c r="C140" s="53"/>
      <c r="D140" s="53"/>
      <c r="E140" s="53"/>
      <c r="F140" s="53">
        <f t="shared" ref="F140:L140" si="83">SUM(C138:F138)</f>
        <v>97</v>
      </c>
      <c r="G140" s="53">
        <f t="shared" si="83"/>
        <v>-205</v>
      </c>
      <c r="H140" s="53">
        <f t="shared" si="83"/>
        <v>-682</v>
      </c>
      <c r="I140" s="53">
        <f t="shared" si="83"/>
        <v>-780</v>
      </c>
      <c r="J140" s="53">
        <f t="shared" si="83"/>
        <v>97</v>
      </c>
      <c r="K140" s="53">
        <f t="shared" si="83"/>
        <v>68</v>
      </c>
      <c r="L140" s="53">
        <f t="shared" si="83"/>
        <v>649</v>
      </c>
      <c r="M140" s="53">
        <f>SUM(J138:M138)</f>
        <v>1574</v>
      </c>
      <c r="N140" s="53">
        <f>SUM(K138:N138)</f>
        <v>2961</v>
      </c>
      <c r="O140" s="53">
        <f>SUM(L138:O138)</f>
        <v>4240</v>
      </c>
      <c r="P140" s="53">
        <f>SUM(M138:P138)</f>
        <v>5322</v>
      </c>
      <c r="Q140" s="53">
        <f>SUM(N138:Q138)</f>
        <v>6122</v>
      </c>
      <c r="R140" s="53"/>
      <c r="AA140" s="53"/>
      <c r="AB140" s="53"/>
      <c r="AC140" s="53"/>
      <c r="AD140" s="53"/>
      <c r="AE140" s="53"/>
      <c r="AF140" s="53"/>
      <c r="AG140" s="53"/>
      <c r="AH140" s="53"/>
      <c r="AI140" s="53"/>
      <c r="AJ140" s="53"/>
      <c r="AK140" s="53"/>
      <c r="AL140" s="53"/>
      <c r="AM140" s="53"/>
      <c r="AN140" s="53"/>
      <c r="AO140" s="53"/>
      <c r="AP140" s="53"/>
    </row>
    <row r="141" spans="2:42">
      <c r="B141" s="14" t="s">
        <v>48</v>
      </c>
      <c r="C141" s="53"/>
      <c r="D141" s="53"/>
      <c r="E141" s="53"/>
      <c r="F141" s="53">
        <f t="shared" ref="F141:Q141" si="84">+SUM(C69:F69)</f>
        <v>921</v>
      </c>
      <c r="G141" s="53">
        <f t="shared" si="84"/>
        <v>819</v>
      </c>
      <c r="H141" s="53">
        <f t="shared" si="84"/>
        <v>580</v>
      </c>
      <c r="I141" s="53">
        <f t="shared" si="84"/>
        <v>517</v>
      </c>
      <c r="J141" s="53">
        <f t="shared" si="84"/>
        <v>-603</v>
      </c>
      <c r="K141" s="53">
        <f t="shared" si="84"/>
        <v>-294</v>
      </c>
      <c r="L141" s="53">
        <f t="shared" si="84"/>
        <v>641</v>
      </c>
      <c r="M141" s="53">
        <f t="shared" si="84"/>
        <v>1492</v>
      </c>
      <c r="N141" s="53">
        <f t="shared" si="84"/>
        <v>4004.9771986970682</v>
      </c>
      <c r="O141" s="53">
        <f t="shared" si="84"/>
        <v>4679.9771986970682</v>
      </c>
      <c r="P141" s="53">
        <f t="shared" si="84"/>
        <v>4816.9771986970682</v>
      </c>
      <c r="Q141" s="53">
        <f t="shared" si="84"/>
        <v>5635.9771986970682</v>
      </c>
      <c r="R141" s="53"/>
      <c r="AA141" s="53"/>
      <c r="AB141" s="53"/>
      <c r="AC141" s="53"/>
      <c r="AD141" s="53"/>
      <c r="AE141" s="53"/>
      <c r="AF141" s="53"/>
      <c r="AG141" s="53"/>
      <c r="AH141" s="53"/>
      <c r="AI141" s="53"/>
      <c r="AJ141" s="53"/>
      <c r="AK141" s="53"/>
      <c r="AL141" s="53"/>
      <c r="AM141" s="53"/>
      <c r="AN141" s="53"/>
      <c r="AO141" s="53"/>
      <c r="AP141" s="53"/>
    </row>
  </sheetData>
  <pageMargins left="0.7" right="0.7" top="0.75" bottom="0.75" header="0.3" footer="0.3"/>
  <ignoredErrors>
    <ignoredError sqref="E74:Q77 AC62:AF71 E56:Q62 E64:Q72 E63:L63 N63:P63 L86" formula="1"/>
    <ignoredError sqref="AA42:AF42 AD8:AG24 V42 V34 AA34:AE34 AF25:AG25 V28 AA28:AC28 AD26:AG26 R35:R38" formulaRange="1"/>
  </ignoredErrors>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5A610-E568-8D48-B281-ECE03994361E}">
  <dimension ref="B3:C59"/>
  <sheetViews>
    <sheetView topLeftCell="A22" zoomScale="206" workbookViewId="0">
      <selection activeCell="C59" sqref="C59"/>
    </sheetView>
  </sheetViews>
  <sheetFormatPr baseColWidth="10" defaultRowHeight="13"/>
  <sheetData>
    <row r="3" spans="2:3">
      <c r="B3" s="38" t="s">
        <v>148</v>
      </c>
      <c r="C3" s="38" t="s">
        <v>149</v>
      </c>
    </row>
    <row r="4" spans="2:3">
      <c r="B4" s="38" t="s">
        <v>150</v>
      </c>
      <c r="C4" s="39" t="s">
        <v>151</v>
      </c>
    </row>
    <row r="5" spans="2:3">
      <c r="B5" s="38" t="s">
        <v>152</v>
      </c>
      <c r="C5" s="39" t="s">
        <v>153</v>
      </c>
    </row>
    <row r="6" spans="2:3">
      <c r="B6" s="38" t="s">
        <v>39</v>
      </c>
      <c r="C6" s="39" t="s">
        <v>154</v>
      </c>
    </row>
    <row r="7" spans="2:3">
      <c r="B7" s="38" t="s">
        <v>40</v>
      </c>
      <c r="C7" s="39" t="s">
        <v>155</v>
      </c>
    </row>
    <row r="8" spans="2:3">
      <c r="B8" s="38" t="s">
        <v>156</v>
      </c>
      <c r="C8" s="39" t="s">
        <v>157</v>
      </c>
    </row>
    <row r="9" spans="2:3">
      <c r="B9" s="38" t="s">
        <v>158</v>
      </c>
      <c r="C9" s="39" t="s">
        <v>159</v>
      </c>
    </row>
    <row r="10" spans="2:3">
      <c r="B10" s="38" t="s">
        <v>160</v>
      </c>
      <c r="C10" s="39" t="s">
        <v>161</v>
      </c>
    </row>
    <row r="11" spans="2:3">
      <c r="B11" s="38" t="s">
        <v>41</v>
      </c>
      <c r="C11" s="39" t="s">
        <v>162</v>
      </c>
    </row>
    <row r="12" spans="2:3">
      <c r="B12" s="38" t="s">
        <v>163</v>
      </c>
      <c r="C12" s="38" t="s">
        <v>164</v>
      </c>
    </row>
    <row r="13" spans="2:3">
      <c r="B13" s="38" t="s">
        <v>165</v>
      </c>
      <c r="C13" s="39" t="s">
        <v>166</v>
      </c>
    </row>
    <row r="14" spans="2:3">
      <c r="B14" s="38" t="s">
        <v>167</v>
      </c>
      <c r="C14" s="39" t="s">
        <v>168</v>
      </c>
    </row>
    <row r="15" spans="2:3">
      <c r="B15" s="38" t="s">
        <v>169</v>
      </c>
      <c r="C15" s="39" t="s">
        <v>170</v>
      </c>
    </row>
    <row r="16" spans="2:3">
      <c r="B16" s="38" t="s">
        <v>171</v>
      </c>
      <c r="C16" s="39" t="s">
        <v>172</v>
      </c>
    </row>
    <row r="17" spans="2:3">
      <c r="B17" s="38" t="s">
        <v>173</v>
      </c>
      <c r="C17" s="39" t="s">
        <v>174</v>
      </c>
    </row>
    <row r="18" spans="2:3">
      <c r="B18" s="38" t="s">
        <v>175</v>
      </c>
      <c r="C18" s="39" t="s">
        <v>154</v>
      </c>
    </row>
    <row r="19" spans="2:3">
      <c r="B19" s="38" t="s">
        <v>176</v>
      </c>
      <c r="C19" s="39" t="s">
        <v>155</v>
      </c>
    </row>
    <row r="20" spans="2:3">
      <c r="B20" s="38" t="s">
        <v>177</v>
      </c>
      <c r="C20" s="39" t="s">
        <v>178</v>
      </c>
    </row>
    <row r="21" spans="2:3">
      <c r="B21" s="38" t="s">
        <v>179</v>
      </c>
      <c r="C21" s="39" t="s">
        <v>180</v>
      </c>
    </row>
    <row r="22" spans="2:3">
      <c r="B22" s="38" t="s">
        <v>181</v>
      </c>
      <c r="C22" s="39" t="s">
        <v>182</v>
      </c>
    </row>
    <row r="23" spans="2:3">
      <c r="B23" s="38" t="s">
        <v>183</v>
      </c>
      <c r="C23" s="39" t="s">
        <v>184</v>
      </c>
    </row>
    <row r="24" spans="2:3">
      <c r="B24" s="38" t="s">
        <v>185</v>
      </c>
      <c r="C24" s="39" t="s">
        <v>186</v>
      </c>
    </row>
    <row r="25" spans="2:3">
      <c r="B25" s="38" t="s">
        <v>187</v>
      </c>
      <c r="C25" s="39" t="s">
        <v>188</v>
      </c>
    </row>
    <row r="26" spans="2:3">
      <c r="B26" s="38" t="s">
        <v>189</v>
      </c>
      <c r="C26" s="39" t="s">
        <v>190</v>
      </c>
    </row>
    <row r="27" spans="2:3">
      <c r="B27" s="38" t="s">
        <v>191</v>
      </c>
      <c r="C27" s="39" t="s">
        <v>192</v>
      </c>
    </row>
    <row r="28" spans="2:3">
      <c r="B28" s="38" t="s">
        <v>193</v>
      </c>
      <c r="C28" s="39" t="s">
        <v>194</v>
      </c>
    </row>
    <row r="29" spans="2:3">
      <c r="B29" s="38" t="s">
        <v>195</v>
      </c>
      <c r="C29" s="39" t="s">
        <v>196</v>
      </c>
    </row>
    <row r="30" spans="2:3">
      <c r="B30" s="38" t="s">
        <v>197</v>
      </c>
      <c r="C30" s="39" t="s">
        <v>198</v>
      </c>
    </row>
    <row r="31" spans="2:3">
      <c r="B31" s="38" t="s">
        <v>199</v>
      </c>
      <c r="C31" s="39" t="s">
        <v>200</v>
      </c>
    </row>
    <row r="32" spans="2:3">
      <c r="B32" s="38" t="s">
        <v>201</v>
      </c>
      <c r="C32" s="39" t="s">
        <v>202</v>
      </c>
    </row>
    <row r="33" spans="2:3">
      <c r="B33" s="38" t="s">
        <v>203</v>
      </c>
      <c r="C33" s="39" t="s">
        <v>204</v>
      </c>
    </row>
    <row r="34" spans="2:3">
      <c r="B34" s="38" t="s">
        <v>205</v>
      </c>
      <c r="C34" s="39" t="s">
        <v>206</v>
      </c>
    </row>
    <row r="35" spans="2:3">
      <c r="B35" s="38" t="s">
        <v>207</v>
      </c>
      <c r="C35" s="39" t="s">
        <v>208</v>
      </c>
    </row>
    <row r="36" spans="2:3">
      <c r="B36" s="38" t="s">
        <v>209</v>
      </c>
      <c r="C36" s="39" t="s">
        <v>210</v>
      </c>
    </row>
    <row r="37" spans="2:3">
      <c r="B37" s="38" t="s">
        <v>211</v>
      </c>
      <c r="C37" s="39" t="s">
        <v>212</v>
      </c>
    </row>
    <row r="38" spans="2:3">
      <c r="B38" s="38" t="s">
        <v>213</v>
      </c>
      <c r="C38" s="39" t="s">
        <v>214</v>
      </c>
    </row>
    <row r="39" spans="2:3">
      <c r="B39" s="38" t="s">
        <v>215</v>
      </c>
      <c r="C39" s="39" t="s">
        <v>216</v>
      </c>
    </row>
    <row r="40" spans="2:3">
      <c r="B40" s="38" t="s">
        <v>217</v>
      </c>
      <c r="C40" s="39" t="s">
        <v>218</v>
      </c>
    </row>
    <row r="41" spans="2:3">
      <c r="B41" s="38" t="s">
        <v>219</v>
      </c>
      <c r="C41" s="39" t="s">
        <v>220</v>
      </c>
    </row>
    <row r="42" spans="2:3">
      <c r="B42" s="38" t="s">
        <v>221</v>
      </c>
      <c r="C42" s="39" t="s">
        <v>222</v>
      </c>
    </row>
    <row r="43" spans="2:3">
      <c r="B43" s="38" t="s">
        <v>223</v>
      </c>
      <c r="C43" s="39" t="s">
        <v>224</v>
      </c>
    </row>
    <row r="44" spans="2:3">
      <c r="B44" s="38" t="s">
        <v>225</v>
      </c>
      <c r="C44" s="39" t="s">
        <v>226</v>
      </c>
    </row>
    <row r="45" spans="2:3">
      <c r="B45" s="38" t="s">
        <v>227</v>
      </c>
      <c r="C45" s="39" t="s">
        <v>228</v>
      </c>
    </row>
    <row r="46" spans="2:3">
      <c r="B46" s="38" t="s">
        <v>229</v>
      </c>
      <c r="C46" s="39" t="s">
        <v>230</v>
      </c>
    </row>
    <row r="47" spans="2:3">
      <c r="B47" s="38" t="s">
        <v>231</v>
      </c>
      <c r="C47" s="39" t="s">
        <v>232</v>
      </c>
    </row>
    <row r="48" spans="2:3">
      <c r="B48" s="38" t="s">
        <v>233</v>
      </c>
      <c r="C48" s="39" t="s">
        <v>234</v>
      </c>
    </row>
    <row r="49" spans="2:3">
      <c r="B49" s="38" t="s">
        <v>235</v>
      </c>
      <c r="C49" s="39" t="s">
        <v>236</v>
      </c>
    </row>
    <row r="50" spans="2:3">
      <c r="B50" s="38" t="s">
        <v>237</v>
      </c>
      <c r="C50" s="39" t="s">
        <v>238</v>
      </c>
    </row>
    <row r="51" spans="2:3">
      <c r="B51" s="38" t="s">
        <v>239</v>
      </c>
      <c r="C51" s="39" t="s">
        <v>240</v>
      </c>
    </row>
    <row r="52" spans="2:3">
      <c r="B52" s="38" t="s">
        <v>241</v>
      </c>
      <c r="C52" s="39" t="s">
        <v>242</v>
      </c>
    </row>
    <row r="53" spans="2:3">
      <c r="B53" s="38" t="s">
        <v>243</v>
      </c>
      <c r="C53" s="39" t="s">
        <v>244</v>
      </c>
    </row>
    <row r="54" spans="2:3">
      <c r="B54" s="38" t="s">
        <v>245</v>
      </c>
      <c r="C54" s="39" t="s">
        <v>246</v>
      </c>
    </row>
    <row r="55" spans="2:3">
      <c r="B55" s="38" t="s">
        <v>247</v>
      </c>
      <c r="C55" s="39" t="s">
        <v>248</v>
      </c>
    </row>
    <row r="56" spans="2:3">
      <c r="B56" s="38" t="s">
        <v>249</v>
      </c>
      <c r="C56" s="39" t="s">
        <v>250</v>
      </c>
    </row>
    <row r="57" spans="2:3">
      <c r="B57" s="38" t="s">
        <v>251</v>
      </c>
      <c r="C57" s="39" t="s">
        <v>151</v>
      </c>
    </row>
    <row r="58" spans="2:3">
      <c r="B58" s="38" t="s">
        <v>252</v>
      </c>
      <c r="C58" s="39" t="s">
        <v>253</v>
      </c>
    </row>
    <row r="59" spans="2:3">
      <c r="B59" s="38" t="s">
        <v>254</v>
      </c>
      <c r="C59" s="39" t="s">
        <v>255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98C3-5D52-CC41-906A-7E2FD281D2C9}">
  <dimension ref="B2:D30"/>
  <sheetViews>
    <sheetView showGridLines="0" zoomScale="228" workbookViewId="0">
      <selection activeCell="B18" sqref="B18"/>
    </sheetView>
  </sheetViews>
  <sheetFormatPr baseColWidth="10" defaultRowHeight="13"/>
  <cols>
    <col min="2" max="2" width="29.83203125" customWidth="1"/>
  </cols>
  <sheetData>
    <row r="2" spans="2:4">
      <c r="B2" t="s">
        <v>300</v>
      </c>
    </row>
    <row r="3" spans="2:4">
      <c r="B3" s="77"/>
    </row>
    <row r="4" spans="2:4" ht="3" customHeight="1"/>
    <row r="5" spans="2:4">
      <c r="B5" s="3" t="s">
        <v>279</v>
      </c>
    </row>
    <row r="6" spans="2:4" s="80" customFormat="1">
      <c r="B6" s="82" t="s">
        <v>299</v>
      </c>
      <c r="C6" s="82"/>
      <c r="D6" s="80" t="s">
        <v>298</v>
      </c>
    </row>
    <row r="7" spans="2:4">
      <c r="B7" s="82" t="s">
        <v>280</v>
      </c>
      <c r="C7" s="62">
        <f>+Main!K6</f>
        <v>114582.61300500001</v>
      </c>
    </row>
    <row r="8" spans="2:4">
      <c r="B8" s="82" t="s">
        <v>52</v>
      </c>
      <c r="C8" s="62">
        <f>+Main!K7-Main!K8</f>
        <v>4562</v>
      </c>
      <c r="D8" s="78"/>
    </row>
    <row r="9" spans="2:4">
      <c r="B9" s="82" t="s">
        <v>5</v>
      </c>
      <c r="C9" s="62">
        <f>+C7-C8</f>
        <v>110020.61300500001</v>
      </c>
      <c r="D9" s="78"/>
    </row>
    <row r="10" spans="2:4">
      <c r="B10" s="82" t="s">
        <v>282</v>
      </c>
      <c r="C10" s="62">
        <f>+C9/7</f>
        <v>15717.230429285715</v>
      </c>
      <c r="D10" s="78" t="s">
        <v>281</v>
      </c>
    </row>
    <row r="11" spans="2:4">
      <c r="B11" s="82" t="s">
        <v>287</v>
      </c>
      <c r="C11" s="81">
        <f>SUM(Model!O28:R28)</f>
        <v>5741</v>
      </c>
      <c r="D11" s="78"/>
    </row>
    <row r="12" spans="2:4">
      <c r="B12" s="82" t="s">
        <v>283</v>
      </c>
      <c r="C12" s="81">
        <f>AVERAGE(1651,1593,1566)</f>
        <v>1603.3333333333333</v>
      </c>
      <c r="D12" s="78"/>
    </row>
    <row r="13" spans="2:4">
      <c r="C13" s="1"/>
      <c r="D13" s="78"/>
    </row>
    <row r="14" spans="2:4">
      <c r="B14" s="82" t="s">
        <v>284</v>
      </c>
      <c r="C14" s="81">
        <f>+(C10/C11) * 1000</f>
        <v>2737.7165004852318</v>
      </c>
      <c r="D14" s="78"/>
    </row>
    <row r="15" spans="2:4">
      <c r="B15" s="82" t="s">
        <v>286</v>
      </c>
      <c r="C15" s="76"/>
      <c r="D15" s="78"/>
    </row>
    <row r="16" spans="2:4">
      <c r="B16" s="82" t="s">
        <v>285</v>
      </c>
      <c r="C16" s="81">
        <f>+C12+C14</f>
        <v>4341.0498338185653</v>
      </c>
      <c r="D16" s="78" t="s">
        <v>301</v>
      </c>
    </row>
    <row r="17" spans="2:4">
      <c r="C17" s="1"/>
      <c r="D17" s="78"/>
    </row>
    <row r="18" spans="2:4">
      <c r="B18" t="s">
        <v>288</v>
      </c>
      <c r="C18" s="81">
        <f>AVERAGE(Model!O34:R34)</f>
        <v>3335.5</v>
      </c>
      <c r="D18" s="78"/>
    </row>
    <row r="19" spans="2:4">
      <c r="B19" t="s">
        <v>289</v>
      </c>
      <c r="C19" s="83">
        <v>4251.7</v>
      </c>
      <c r="D19" s="79">
        <v>46010</v>
      </c>
    </row>
    <row r="20" spans="2:4">
      <c r="B20" t="s">
        <v>290</v>
      </c>
      <c r="C20" s="81">
        <f>+C19-C18</f>
        <v>916.19999999999982</v>
      </c>
      <c r="D20" s="78"/>
    </row>
    <row r="21" spans="2:4">
      <c r="D21" s="78"/>
    </row>
    <row r="22" spans="2:4">
      <c r="B22" t="s">
        <v>291</v>
      </c>
      <c r="C22" s="62">
        <f>+(C11*C20) / 10^3</f>
        <v>5259.904199999999</v>
      </c>
      <c r="D22" s="78"/>
    </row>
    <row r="23" spans="2:4">
      <c r="B23" t="s">
        <v>292</v>
      </c>
      <c r="C23" s="84">
        <v>0.75</v>
      </c>
      <c r="D23" s="78"/>
    </row>
    <row r="24" spans="2:4">
      <c r="B24" t="s">
        <v>293</v>
      </c>
      <c r="C24" s="84">
        <v>0.7</v>
      </c>
      <c r="D24" s="78"/>
    </row>
    <row r="25" spans="2:4">
      <c r="B25" t="s">
        <v>294</v>
      </c>
      <c r="C25" s="62">
        <f>+C22*C23*C24</f>
        <v>2761.4497049999995</v>
      </c>
      <c r="D25" s="78"/>
    </row>
    <row r="26" spans="2:4">
      <c r="C26" s="1"/>
      <c r="D26" s="78"/>
    </row>
    <row r="27" spans="2:4">
      <c r="B27" s="40" t="s">
        <v>295</v>
      </c>
      <c r="C27" s="62">
        <f>+SUM(Model!Q140,'Key Questions'!C25)</f>
        <v>8883.4497049999991</v>
      </c>
      <c r="D27" s="78" t="s">
        <v>297</v>
      </c>
    </row>
    <row r="28" spans="2:4">
      <c r="B28" t="s">
        <v>296</v>
      </c>
      <c r="C28" s="48">
        <v>1500</v>
      </c>
    </row>
    <row r="30" spans="2:4" s="80" customFormat="1">
      <c r="B3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B829-C44D-7648-B92C-43D8D777E11D}">
  <dimension ref="B2:B18"/>
  <sheetViews>
    <sheetView showGridLines="0" zoomScale="259" workbookViewId="0">
      <selection activeCell="D13" sqref="D13"/>
    </sheetView>
  </sheetViews>
  <sheetFormatPr baseColWidth="10" defaultRowHeight="13"/>
  <cols>
    <col min="2" max="2" width="10.83203125" style="87"/>
  </cols>
  <sheetData>
    <row r="2" spans="2:2">
      <c r="B2" s="87" t="s">
        <v>305</v>
      </c>
    </row>
    <row r="3" spans="2:2">
      <c r="B3" s="87" t="s">
        <v>303</v>
      </c>
    </row>
    <row r="4" spans="2:2">
      <c r="B4" s="88">
        <v>2024</v>
      </c>
    </row>
    <row r="5" spans="2:2">
      <c r="B5" s="88">
        <f>+B4-1</f>
        <v>2023</v>
      </c>
    </row>
    <row r="6" spans="2:2">
      <c r="B6" s="88">
        <f t="shared" ref="B6:B13" si="0">+B5-1</f>
        <v>2022</v>
      </c>
    </row>
    <row r="7" spans="2:2">
      <c r="B7" s="88">
        <f t="shared" si="0"/>
        <v>2021</v>
      </c>
    </row>
    <row r="8" spans="2:2">
      <c r="B8" s="88">
        <f t="shared" si="0"/>
        <v>2020</v>
      </c>
    </row>
    <row r="9" spans="2:2">
      <c r="B9" s="88">
        <f t="shared" si="0"/>
        <v>2019</v>
      </c>
    </row>
    <row r="10" spans="2:2">
      <c r="B10" s="88">
        <f t="shared" si="0"/>
        <v>2018</v>
      </c>
    </row>
    <row r="11" spans="2:2">
      <c r="B11" s="88">
        <f t="shared" si="0"/>
        <v>2017</v>
      </c>
    </row>
    <row r="12" spans="2:2">
      <c r="B12" s="88">
        <f t="shared" si="0"/>
        <v>2016</v>
      </c>
    </row>
    <row r="13" spans="2:2">
      <c r="B13" s="88">
        <f t="shared" si="0"/>
        <v>2015</v>
      </c>
    </row>
    <row r="16" spans="2:2">
      <c r="B16" s="88" t="s">
        <v>304</v>
      </c>
    </row>
    <row r="17" spans="2:2">
      <c r="B17" s="88" t="s">
        <v>306</v>
      </c>
    </row>
    <row r="18" spans="2:2">
      <c r="B18" s="88" t="s">
        <v>307</v>
      </c>
    </row>
  </sheetData>
  <hyperlinks>
    <hyperlink ref="B4" r:id="rId1" display="https://operations.newmont.com/_doc/Newmont-2024-Reserves-and-Resources-Release.pdf" xr:uid="{581D97D2-5892-4B49-88DA-A78C3BE15F42}"/>
    <hyperlink ref="B5" r:id="rId2" display="https://operations.newmont.com/_doc/Newmont-2023-Reserves-and-Resources-Release.pdf" xr:uid="{CCCF9743-B13B-074C-8EAE-88D11596703A}"/>
    <hyperlink ref="B6" r:id="rId3" display="https://operations.newmont.com/_doc/Newmont-2022-Reserves-and-Resources-Release.pdf" xr:uid="{5893DEEA-335B-F347-A6BF-853B057FCD13}"/>
    <hyperlink ref="B7" r:id="rId4" display="https://operations.newmont.com/_doc/Newmont-2021-Reserves-and-Resources-Release.pdf" xr:uid="{1E059BB3-F34E-DB43-845E-3DEB37F3A142}"/>
    <hyperlink ref="B8" r:id="rId5" display="https://operations.newmont.com/_doc/Newmont-2020-Reserves-and-Resources-Release.pdf" xr:uid="{E9C38F1B-B655-CC45-BAB1-6DA8558FDDB4}"/>
    <hyperlink ref="B9" r:id="rId6" display="https://operations.newmont.com/_doc/Newmont-2019-Reserves-and-Resources-Release.pdf" xr:uid="{A164E078-EB5B-524F-80EC-55E3EBA4F859}"/>
    <hyperlink ref="B10" r:id="rId7" display="https://operations.newmont.com/_doc/Newmont-2018-Reserves-and-Resources-Release.pdf" xr:uid="{369CAEBC-A5BA-524A-AAA1-329C30FC0FEF}"/>
    <hyperlink ref="B11" r:id="rId8" display="https://operations.newmont.com/_doc/Newmont-2017-Reserves-and-Resources-Release.pdf" xr:uid="{A92343C9-9676-E345-8D18-2069A89E5375}"/>
    <hyperlink ref="B12" r:id="rId9" display="https://operations.newmont.com/_doc/Newmont-2016-Reserves-and-Resources-Release.pdf" xr:uid="{35A6D884-1038-F84C-AF67-5B83D524CCE2}"/>
    <hyperlink ref="B13" r:id="rId10" display="https://operations.newmont.com/_doc/Newmont-2015-Reserves-and-Resources-Release.pdf" xr:uid="{08D2011C-D8F6-AC4A-A5F5-B0E7C9E4AF47}"/>
    <hyperlink ref="B16" r:id="rId11" xr:uid="{81A3C46E-70E0-304C-9A25-6FB0FA53B511}"/>
    <hyperlink ref="B17" r:id="rId12" xr:uid="{794431EE-2986-9F4F-ABC1-ABBD5824AB0E}"/>
    <hyperlink ref="B18" r:id="rId13" xr:uid="{D6FB0277-DCAF-B445-A6E6-AA5A5AA71F2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FC99-ADFB-8847-A584-A7FCD5D95658}">
  <dimension ref="B9:B32"/>
  <sheetViews>
    <sheetView showGridLines="0" topLeftCell="A6" workbookViewId="0">
      <selection activeCell="G25" sqref="G25"/>
    </sheetView>
  </sheetViews>
  <sheetFormatPr baseColWidth="10" defaultRowHeight="13"/>
  <cols>
    <col min="2" max="2" width="30.83203125" bestFit="1" customWidth="1"/>
  </cols>
  <sheetData>
    <row r="9" spans="2:2" ht="24">
      <c r="B9" s="86" t="s">
        <v>308</v>
      </c>
    </row>
    <row r="10" spans="2:2">
      <c r="B10" s="85" t="s">
        <v>309</v>
      </c>
    </row>
    <row r="11" spans="2:2">
      <c r="B11" s="85" t="s">
        <v>310</v>
      </c>
    </row>
    <row r="12" spans="2:2">
      <c r="B12" s="85" t="s">
        <v>311</v>
      </c>
    </row>
    <row r="13" spans="2:2">
      <c r="B13" s="85" t="s">
        <v>312</v>
      </c>
    </row>
    <row r="14" spans="2:2">
      <c r="B14" s="85" t="s">
        <v>313</v>
      </c>
    </row>
    <row r="15" spans="2:2">
      <c r="B15" s="85" t="s">
        <v>314</v>
      </c>
    </row>
    <row r="16" spans="2:2">
      <c r="B16" s="85" t="s">
        <v>315</v>
      </c>
    </row>
    <row r="17" spans="2:2">
      <c r="B17" s="85" t="s">
        <v>232</v>
      </c>
    </row>
    <row r="18" spans="2:2">
      <c r="B18" s="85" t="s">
        <v>316</v>
      </c>
    </row>
    <row r="19" spans="2:2" ht="24">
      <c r="B19" s="86" t="s">
        <v>317</v>
      </c>
    </row>
    <row r="20" spans="2:2">
      <c r="B20" s="85" t="s">
        <v>318</v>
      </c>
    </row>
    <row r="21" spans="2:2">
      <c r="B21" s="85" t="s">
        <v>319</v>
      </c>
    </row>
    <row r="22" spans="2:2">
      <c r="B22" s="85" t="s">
        <v>320</v>
      </c>
    </row>
    <row r="23" spans="2:2">
      <c r="B23" s="85" t="s">
        <v>321</v>
      </c>
    </row>
    <row r="24" spans="2:2">
      <c r="B24" s="85" t="s">
        <v>322</v>
      </c>
    </row>
    <row r="25" spans="2:2">
      <c r="B25" s="85" t="s">
        <v>323</v>
      </c>
    </row>
    <row r="26" spans="2:2">
      <c r="B26" s="85" t="s">
        <v>324</v>
      </c>
    </row>
    <row r="27" spans="2:2">
      <c r="B27" s="85" t="s">
        <v>325</v>
      </c>
    </row>
    <row r="28" spans="2:2">
      <c r="B28" s="85" t="s">
        <v>326</v>
      </c>
    </row>
    <row r="29" spans="2:2">
      <c r="B29" s="85" t="s">
        <v>327</v>
      </c>
    </row>
    <row r="30" spans="2:2">
      <c r="B30" s="85" t="s">
        <v>328</v>
      </c>
    </row>
    <row r="31" spans="2:2">
      <c r="B31" s="85" t="s">
        <v>329</v>
      </c>
    </row>
    <row r="32" spans="2:2">
      <c r="B32" s="85" t="s">
        <v>330</v>
      </c>
    </row>
  </sheetData>
  <hyperlinks>
    <hyperlink ref="B10" r:id="rId1" display="https://operations.newmont.com/africa" xr:uid="{8BC00FD8-C1DC-224F-BAAD-A2941F801CA7}"/>
    <hyperlink ref="B11" r:id="rId2" display="https://operations.newmont.com/africa/ahafo-north-ghana" xr:uid="{90B955BF-4CE1-6048-9D49-8577B9A5234E}"/>
    <hyperlink ref="B12" r:id="rId3" display="https://operations.newmont.com/africa/ahafo-south-ghana" xr:uid="{171767AA-E5B0-3542-85FE-92857BEF5062}"/>
    <hyperlink ref="B13" r:id="rId4" display="https://operations.newmont.com/australia" xr:uid="{C4322914-F293-694E-AECC-37941E4811DF}"/>
    <hyperlink ref="B14" r:id="rId5" display="https://operations.newmont.com/australia/boddington" xr:uid="{13359DC8-7621-3343-903B-A3DC16795585}"/>
    <hyperlink ref="B15" r:id="rId6" display="https://operations.newmont.com/australia/cadia" xr:uid="{E2295A00-1739-4547-BA4F-44B6273745C4}"/>
    <hyperlink ref="B16" r:id="rId7" display="https://operations.newmont.com/australia/tanami" xr:uid="{B9A84244-F665-814D-934C-FF691FE12C11}"/>
    <hyperlink ref="B17" r:id="rId8" display="https://operations.newmont.com/papua-new-guinea" xr:uid="{DAFDBA8E-821E-6747-A5FF-F47CFD443E0C}"/>
    <hyperlink ref="B18" r:id="rId9" display="https://operations.newmont.com/papua-new-guinea/lihir" xr:uid="{E567D12B-18F3-E644-9651-6B055C9BDE41}"/>
    <hyperlink ref="B20" r:id="rId10" display="https://operations.newmont.com/north-america" xr:uid="{75212F94-909B-0246-AEB0-A05AF88695A6}"/>
    <hyperlink ref="B21" r:id="rId11" display="https://operations.newmont.com/north-america/brucejack-canada" xr:uid="{7AE32BE4-ACE4-0143-B8A7-6CCCAA2BFEBF}"/>
    <hyperlink ref="B22" r:id="rId12" display="https://operations.newmont.com/north-america/red-chris-canada" xr:uid="{F4A660E7-D51B-0A48-84A0-9CE7FCDFA910}"/>
    <hyperlink ref="B23" r:id="rId13" display="https://operations.newmont.com/latac" xr:uid="{90F0FEF4-F5CA-9A49-9AC7-BF4A58468E02}"/>
    <hyperlink ref="B24" r:id="rId14" display="https://operations.newmont.com/latac/cerro-negro-argentina" xr:uid="{61D81666-0696-624E-8A7F-AE18D6E9C7DC}"/>
    <hyperlink ref="B25" r:id="rId15" display="https://operations.newmont.com/latac/merian-suriname" xr:uid="{4DBA62EA-9B29-694F-8374-67CD7981A91B}"/>
    <hyperlink ref="B26" r:id="rId16" display="https://operations.newmont.com/latac/penasquito-mexico" xr:uid="{4BC8A5BA-3BA6-524F-B7D5-D6A47E8D4796}"/>
    <hyperlink ref="B27" r:id="rId17" display="https://operations.newmont.com/latac/pueblo-viejo-dominican-replublic" xr:uid="{30045677-480C-C845-86B5-E63F25D89D0F}"/>
    <hyperlink ref="B28" r:id="rId18" display="https://operations.newmont.com/latac/yanacocha-peru" xr:uid="{A810729A-CA52-5A45-9F66-C7A22404BEBB}"/>
    <hyperlink ref="B29" r:id="rId19" display="https://operations.newmont.com/north-america/nevada-usa" xr:uid="{875BB72D-EA53-4C4E-86AD-AF468CF94D5D}"/>
    <hyperlink ref="B30" r:id="rId20" display="https://operations.newmont.com/exploration-and-projects" xr:uid="{98F37115-C7E1-F347-AFBA-E32CE0984CB6}"/>
    <hyperlink ref="B31" r:id="rId21" display="https://operations.newmont.com/reserves-and-resources" xr:uid="{3C66CFE5-6FBF-CD4E-ACBE-1396943051CB}"/>
    <hyperlink ref="B32" r:id="rId22" display="https://operations.newmont.com/health-and-safety" xr:uid="{531E156D-7624-1445-B12F-9CBEC0D5FB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Definitions</vt:lpstr>
      <vt:lpstr>Key Questions</vt:lpstr>
      <vt:lpstr>Geology</vt:lpstr>
      <vt:lpstr>Operations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jameel</dc:creator>
  <cp:lastModifiedBy>Jameel Brannon</cp:lastModifiedBy>
  <dcterms:created xsi:type="dcterms:W3CDTF">2024-12-05T04:29:29Z</dcterms:created>
  <dcterms:modified xsi:type="dcterms:W3CDTF">2025-12-22T23:50:01Z</dcterms:modified>
</cp:coreProperties>
</file>