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BasicMaterials/"/>
    </mc:Choice>
  </mc:AlternateContent>
  <xr:revisionPtr revIDLastSave="0" documentId="13_ncr:1_{6D98F031-0427-074D-95D0-56FB88FB14F1}" xr6:coauthVersionLast="47" xr6:coauthVersionMax="47" xr10:uidLastSave="{00000000-0000-0000-0000-000000000000}"/>
  <bookViews>
    <workbookView xWindow="26800" yWindow="2080" windowWidth="17080" windowHeight="26280" xr2:uid="{94C69C67-2561-5241-B783-6B9F38E13087}"/>
  </bookViews>
  <sheets>
    <sheet name="Main" sheetId="1" r:id="rId1"/>
    <sheet name="Model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D16" i="1"/>
  <c r="D15" i="1"/>
  <c r="F8" i="1"/>
  <c r="F55" i="3" l="1"/>
  <c r="F54" i="3"/>
  <c r="F52" i="3"/>
  <c r="F29" i="3"/>
  <c r="F50" i="3"/>
  <c r="G50" i="3"/>
  <c r="G54" i="3" s="1"/>
  <c r="E56" i="3"/>
  <c r="D56" i="3"/>
  <c r="C56" i="3"/>
  <c r="E55" i="3"/>
  <c r="D55" i="3"/>
  <c r="C55" i="3"/>
  <c r="E54" i="3"/>
  <c r="D54" i="3"/>
  <c r="C54" i="3"/>
  <c r="H32" i="3"/>
  <c r="I32" i="3" s="1"/>
  <c r="H29" i="3"/>
  <c r="I29" i="3" s="1"/>
  <c r="G30" i="3"/>
  <c r="G35" i="3" s="1"/>
  <c r="F39" i="3"/>
  <c r="F35" i="3"/>
  <c r="F27" i="3"/>
  <c r="F34" i="3" s="1"/>
  <c r="F36" i="3" s="1"/>
  <c r="C38" i="3"/>
  <c r="E39" i="3"/>
  <c r="D39" i="3"/>
  <c r="C39" i="3"/>
  <c r="C40" i="3" s="1"/>
  <c r="E38" i="3"/>
  <c r="D38" i="3"/>
  <c r="E35" i="3"/>
  <c r="D35" i="3"/>
  <c r="C35" i="3"/>
  <c r="E34" i="3"/>
  <c r="D34" i="3"/>
  <c r="C34" i="3"/>
  <c r="E17" i="3"/>
  <c r="D17" i="3"/>
  <c r="C17" i="3"/>
  <c r="E16" i="3"/>
  <c r="D16" i="3"/>
  <c r="C16" i="3"/>
  <c r="E13" i="3"/>
  <c r="E12" i="3"/>
  <c r="D13" i="3"/>
  <c r="D12" i="3"/>
  <c r="C13" i="3"/>
  <c r="C12" i="3"/>
  <c r="G10" i="3"/>
  <c r="H10" i="3" s="1"/>
  <c r="I10" i="3" s="1"/>
  <c r="J10" i="3" s="1"/>
  <c r="K10" i="3" s="1"/>
  <c r="L10" i="3" s="1"/>
  <c r="F8" i="3"/>
  <c r="G8" i="3" s="1"/>
  <c r="F5" i="3"/>
  <c r="F12" i="3" s="1"/>
  <c r="XFD16" i="3"/>
  <c r="D2" i="3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S2" i="2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G7" i="1"/>
  <c r="G8" i="1" s="1"/>
  <c r="F6" i="1"/>
  <c r="F9" i="1" s="1"/>
  <c r="F12" i="1" s="1"/>
  <c r="H50" i="3" l="1"/>
  <c r="G55" i="3"/>
  <c r="G56" i="3" s="1"/>
  <c r="F56" i="3"/>
  <c r="D36" i="3"/>
  <c r="E40" i="3"/>
  <c r="D14" i="3"/>
  <c r="F38" i="3"/>
  <c r="F40" i="3" s="1"/>
  <c r="E14" i="3"/>
  <c r="E36" i="3"/>
  <c r="E42" i="3" s="1"/>
  <c r="D18" i="3"/>
  <c r="D20" i="3" s="1"/>
  <c r="G31" i="3"/>
  <c r="G39" i="3" s="1"/>
  <c r="F13" i="3"/>
  <c r="F14" i="3" s="1"/>
  <c r="F16" i="3"/>
  <c r="G27" i="3"/>
  <c r="G34" i="3" s="1"/>
  <c r="G36" i="3" s="1"/>
  <c r="G9" i="3"/>
  <c r="G17" i="3" s="1"/>
  <c r="G13" i="3"/>
  <c r="H8" i="3"/>
  <c r="F17" i="3"/>
  <c r="F18" i="3" s="1"/>
  <c r="H30" i="3"/>
  <c r="G5" i="3"/>
  <c r="C36" i="3"/>
  <c r="C42" i="3" s="1"/>
  <c r="F42" i="3"/>
  <c r="D40" i="3"/>
  <c r="D42" i="3" s="1"/>
  <c r="J32" i="3"/>
  <c r="K32" i="3" s="1"/>
  <c r="J29" i="3"/>
  <c r="K29" i="3" s="1"/>
  <c r="E18" i="3"/>
  <c r="E20" i="3" s="1"/>
  <c r="C18" i="3"/>
  <c r="C14" i="3"/>
  <c r="H55" i="3" l="1"/>
  <c r="H54" i="3"/>
  <c r="H56" i="3" s="1"/>
  <c r="I50" i="3"/>
  <c r="H27" i="3"/>
  <c r="I27" i="3" s="1"/>
  <c r="F20" i="3"/>
  <c r="C20" i="3"/>
  <c r="G28" i="3"/>
  <c r="G38" i="3" s="1"/>
  <c r="G40" i="3" s="1"/>
  <c r="G42" i="3" s="1"/>
  <c r="L29" i="3"/>
  <c r="M29" i="3" s="1"/>
  <c r="I30" i="3"/>
  <c r="H31" i="3"/>
  <c r="H39" i="3" s="1"/>
  <c r="H35" i="3"/>
  <c r="H13" i="3"/>
  <c r="H9" i="3"/>
  <c r="H5" i="3"/>
  <c r="G6" i="3"/>
  <c r="G16" i="3" s="1"/>
  <c r="G18" i="3" s="1"/>
  <c r="G12" i="3"/>
  <c r="G14" i="3" s="1"/>
  <c r="I8" i="3"/>
  <c r="L32" i="3"/>
  <c r="M32" i="3" s="1"/>
  <c r="I55" i="3" l="1"/>
  <c r="I54" i="3"/>
  <c r="I9" i="3"/>
  <c r="H28" i="3"/>
  <c r="H38" i="3" s="1"/>
  <c r="H40" i="3" s="1"/>
  <c r="H34" i="3"/>
  <c r="H36" i="3" s="1"/>
  <c r="G20" i="3"/>
  <c r="I34" i="3"/>
  <c r="I28" i="3"/>
  <c r="I38" i="3" s="1"/>
  <c r="J27" i="3"/>
  <c r="I5" i="3"/>
  <c r="H12" i="3"/>
  <c r="H14" i="3" s="1"/>
  <c r="H6" i="3"/>
  <c r="I17" i="3"/>
  <c r="I13" i="3"/>
  <c r="J8" i="3"/>
  <c r="K8" i="3" s="1"/>
  <c r="H17" i="3"/>
  <c r="I31" i="3"/>
  <c r="I39" i="3" s="1"/>
  <c r="J30" i="3"/>
  <c r="I35" i="3"/>
  <c r="N32" i="3"/>
  <c r="N29" i="3"/>
  <c r="I56" i="3" l="1"/>
  <c r="J60" i="3" s="1"/>
  <c r="H42" i="3"/>
  <c r="I40" i="3"/>
  <c r="K13" i="3"/>
  <c r="J35" i="3"/>
  <c r="K30" i="3"/>
  <c r="J39" i="3"/>
  <c r="I36" i="3"/>
  <c r="I42" i="3" s="1"/>
  <c r="I12" i="3"/>
  <c r="I14" i="3" s="1"/>
  <c r="J5" i="3"/>
  <c r="J13" i="3"/>
  <c r="I6" i="3"/>
  <c r="I16" i="3" s="1"/>
  <c r="I18" i="3" s="1"/>
  <c r="H16" i="3"/>
  <c r="H18" i="3" s="1"/>
  <c r="H20" i="3" s="1"/>
  <c r="L8" i="3"/>
  <c r="J9" i="3"/>
  <c r="K9" i="3" s="1"/>
  <c r="L9" i="3" s="1"/>
  <c r="J28" i="3"/>
  <c r="J38" i="3" s="1"/>
  <c r="K27" i="3"/>
  <c r="J34" i="3"/>
  <c r="J31" i="3"/>
  <c r="O32" i="3"/>
  <c r="O29" i="3"/>
  <c r="J40" i="3" l="1"/>
  <c r="J36" i="3"/>
  <c r="L17" i="3"/>
  <c r="L13" i="3"/>
  <c r="L30" i="3"/>
  <c r="K39" i="3"/>
  <c r="K35" i="3"/>
  <c r="K36" i="3" s="1"/>
  <c r="J42" i="3"/>
  <c r="I20" i="3"/>
  <c r="J17" i="3"/>
  <c r="K34" i="3"/>
  <c r="K28" i="3"/>
  <c r="K38" i="3" s="1"/>
  <c r="L27" i="3"/>
  <c r="J12" i="3"/>
  <c r="J14" i="3" s="1"/>
  <c r="J6" i="3"/>
  <c r="J16" i="3" s="1"/>
  <c r="J18" i="3" s="1"/>
  <c r="K5" i="3"/>
  <c r="K17" i="3"/>
  <c r="K31" i="3"/>
  <c r="P32" i="3"/>
  <c r="P29" i="3"/>
  <c r="J20" i="3" l="1"/>
  <c r="L31" i="3"/>
  <c r="M31" i="3" s="1"/>
  <c r="L28" i="3"/>
  <c r="L38" i="3" s="1"/>
  <c r="M27" i="3"/>
  <c r="L34" i="3"/>
  <c r="K40" i="3"/>
  <c r="K42" i="3" s="1"/>
  <c r="L35" i="3"/>
  <c r="M30" i="3"/>
  <c r="K12" i="3"/>
  <c r="K14" i="3" s="1"/>
  <c r="L5" i="3"/>
  <c r="K6" i="3"/>
  <c r="K16" i="3" s="1"/>
  <c r="K18" i="3" s="1"/>
  <c r="Q32" i="3"/>
  <c r="Q29" i="3"/>
  <c r="L39" i="3" l="1"/>
  <c r="L40" i="3" s="1"/>
  <c r="N27" i="3"/>
  <c r="M28" i="3"/>
  <c r="M38" i="3" s="1"/>
  <c r="M34" i="3"/>
  <c r="M39" i="3"/>
  <c r="M40" i="3" s="1"/>
  <c r="M35" i="3"/>
  <c r="M36" i="3" s="1"/>
  <c r="M42" i="3" s="1"/>
  <c r="N30" i="3"/>
  <c r="N31" i="3" s="1"/>
  <c r="L12" i="3"/>
  <c r="L14" i="3" s="1"/>
  <c r="L6" i="3"/>
  <c r="L16" i="3" s="1"/>
  <c r="L18" i="3" s="1"/>
  <c r="K20" i="3"/>
  <c r="L36" i="3"/>
  <c r="L42" i="3" s="1"/>
  <c r="R32" i="3"/>
  <c r="R29" i="3"/>
  <c r="L20" i="3" l="1"/>
  <c r="N39" i="3"/>
  <c r="N35" i="3"/>
  <c r="O30" i="3"/>
  <c r="O24" i="3"/>
  <c r="N28" i="3"/>
  <c r="N38" i="3" s="1"/>
  <c r="O27" i="3"/>
  <c r="N34" i="3"/>
  <c r="S32" i="3"/>
  <c r="T32" i="3" s="1"/>
  <c r="S29" i="3"/>
  <c r="U32" i="3" l="1"/>
  <c r="N36" i="3"/>
  <c r="P27" i="3"/>
  <c r="O28" i="3"/>
  <c r="O38" i="3" s="1"/>
  <c r="O34" i="3"/>
  <c r="P30" i="3"/>
  <c r="O35" i="3"/>
  <c r="N40" i="3"/>
  <c r="O31" i="3"/>
  <c r="O39" i="3" s="1"/>
  <c r="V32" i="3"/>
  <c r="T29" i="3"/>
  <c r="O40" i="3" l="1"/>
  <c r="N42" i="3"/>
  <c r="O36" i="3"/>
  <c r="O42" i="3" s="1"/>
  <c r="P35" i="3"/>
  <c r="Q30" i="3"/>
  <c r="P31" i="3"/>
  <c r="Q31" i="3" s="1"/>
  <c r="Q27" i="3"/>
  <c r="P28" i="3"/>
  <c r="P38" i="3" s="1"/>
  <c r="P34" i="3"/>
  <c r="U29" i="3"/>
  <c r="Q28" i="3" l="1"/>
  <c r="Q38" i="3" s="1"/>
  <c r="R27" i="3"/>
  <c r="Q34" i="3"/>
  <c r="R30" i="3"/>
  <c r="R31" i="3" s="1"/>
  <c r="Q39" i="3"/>
  <c r="Q35" i="3"/>
  <c r="P36" i="3"/>
  <c r="P39" i="3"/>
  <c r="P40" i="3" s="1"/>
  <c r="V29" i="3"/>
  <c r="Q36" i="3" l="1"/>
  <c r="Q40" i="3"/>
  <c r="P42" i="3"/>
  <c r="S30" i="3"/>
  <c r="R39" i="3"/>
  <c r="R35" i="3"/>
  <c r="S27" i="3"/>
  <c r="R28" i="3"/>
  <c r="R38" i="3" s="1"/>
  <c r="R34" i="3"/>
  <c r="Q42" i="3" l="1"/>
  <c r="T27" i="3"/>
  <c r="S28" i="3"/>
  <c r="S38" i="3" s="1"/>
  <c r="S34" i="3"/>
  <c r="R36" i="3"/>
  <c r="R40" i="3"/>
  <c r="S35" i="3"/>
  <c r="S36" i="3" s="1"/>
  <c r="T30" i="3"/>
  <c r="S31" i="3"/>
  <c r="S39" i="3" s="1"/>
  <c r="S40" i="3" l="1"/>
  <c r="T35" i="3"/>
  <c r="U30" i="3"/>
  <c r="S42" i="3"/>
  <c r="R42" i="3"/>
  <c r="T31" i="3"/>
  <c r="U31" i="3" s="1"/>
  <c r="T28" i="3"/>
  <c r="T38" i="3" s="1"/>
  <c r="U27" i="3"/>
  <c r="T34" i="3"/>
  <c r="V27" i="3" l="1"/>
  <c r="U28" i="3"/>
  <c r="U38" i="3" s="1"/>
  <c r="U34" i="3"/>
  <c r="T39" i="3"/>
  <c r="T40" i="3" s="1"/>
  <c r="U39" i="3"/>
  <c r="U40" i="3" s="1"/>
  <c r="V30" i="3"/>
  <c r="U35" i="3"/>
  <c r="T36" i="3"/>
  <c r="U36" i="3" l="1"/>
  <c r="U42" i="3" s="1"/>
  <c r="V35" i="3"/>
  <c r="V31" i="3"/>
  <c r="V39" i="3" s="1"/>
  <c r="T42" i="3"/>
  <c r="V28" i="3"/>
  <c r="V38" i="3" s="1"/>
  <c r="V34" i="3"/>
  <c r="V40" i="3" l="1"/>
  <c r="V36" i="3"/>
  <c r="V42" i="3" s="1"/>
  <c r="O47" i="3" s="1"/>
</calcChain>
</file>

<file path=xl/sharedStrings.xml><?xml version="1.0" encoding="utf-8"?>
<sst xmlns="http://schemas.openxmlformats.org/spreadsheetml/2006/main" count="77" uniqueCount="51">
  <si>
    <t>Price</t>
  </si>
  <si>
    <t>Shares</t>
  </si>
  <si>
    <t>MC</t>
  </si>
  <si>
    <t>C</t>
  </si>
  <si>
    <t>D</t>
  </si>
  <si>
    <t>EV</t>
  </si>
  <si>
    <t>Q324</t>
  </si>
  <si>
    <t>Q123</t>
  </si>
  <si>
    <t>Q223</t>
  </si>
  <si>
    <t>Q323</t>
  </si>
  <si>
    <t>Q423</t>
  </si>
  <si>
    <t>Q124</t>
  </si>
  <si>
    <t>Q224</t>
  </si>
  <si>
    <t>Q424</t>
  </si>
  <si>
    <t>$K</t>
  </si>
  <si>
    <t xml:space="preserve">Discount </t>
  </si>
  <si>
    <t>Mitchell Krebs</t>
  </si>
  <si>
    <t>Palmarejo, Mexico</t>
  </si>
  <si>
    <t>Rochester, Nevada</t>
  </si>
  <si>
    <t>Kensington, Alaska</t>
  </si>
  <si>
    <t>Wharf, South Dakota</t>
  </si>
  <si>
    <t>Au, Ag</t>
  </si>
  <si>
    <t>Au</t>
  </si>
  <si>
    <t xml:space="preserve">Mine Location </t>
  </si>
  <si>
    <t>Metal</t>
  </si>
  <si>
    <t xml:space="preserve">Palmarejo </t>
  </si>
  <si>
    <t xml:space="preserve">CAS Per Gold Ounce </t>
  </si>
  <si>
    <t>Gold Produced (oz)</t>
  </si>
  <si>
    <t xml:space="preserve">Silver produced </t>
  </si>
  <si>
    <t xml:space="preserve">CAS Per Silver Ounce </t>
  </si>
  <si>
    <t>Average Realized Price (Proxy)</t>
  </si>
  <si>
    <t xml:space="preserve">Gold Revenue </t>
  </si>
  <si>
    <t xml:space="preserve">Silver revenue </t>
  </si>
  <si>
    <t xml:space="preserve">Total Revenue </t>
  </si>
  <si>
    <t>Silver Costs</t>
  </si>
  <si>
    <t xml:space="preserve">Total Costs </t>
  </si>
  <si>
    <t>Gold Costs</t>
  </si>
  <si>
    <t xml:space="preserve">Cash Flow </t>
  </si>
  <si>
    <t>NPV $M</t>
  </si>
  <si>
    <t>Rochester</t>
  </si>
  <si>
    <t>Kensington</t>
  </si>
  <si>
    <t>Q125</t>
  </si>
  <si>
    <t>Q225</t>
  </si>
  <si>
    <t>Q325</t>
  </si>
  <si>
    <t>Q425</t>
  </si>
  <si>
    <t>CEO</t>
  </si>
  <si>
    <t>Founder</t>
  </si>
  <si>
    <t>Q226</t>
  </si>
  <si>
    <t xml:space="preserve">ANNUAL FCF </t>
  </si>
  <si>
    <t>factor</t>
  </si>
  <si>
    <t>Equity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</si>
</sst>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#,##0.0"/>
  </numFmts>
  <fonts count="3">
    <font>
      <sz val="10"/>
      <color theme="1"/>
      <name val="ArialMT"/>
      <family val="2"/>
    </font>
    <font>
      <b/>
      <sz val="10"/>
      <color theme="1"/>
      <name val="ArialMT"/>
    </font>
    <font>
      <u/>
      <sz val="10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3" fontId="2" fillId="0" borderId="0" xfId="0" applyNumberFormat="1" applyFont="1"/>
    <xf numFmtId="1" fontId="1" fillId="0" borderId="0" xfId="0" applyNumberFormat="1" applyFont="1"/>
    <xf numFmtId="8" fontId="0" fillId="0" borderId="0" xfId="0" applyNumberFormat="1"/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14817</xdr:colOff>
      <xdr:row>0</xdr:row>
      <xdr:rowOff>0</xdr:rowOff>
    </xdr:from>
    <xdr:to>
      <xdr:col>10</xdr:col>
      <xdr:colOff>25401</xdr:colOff>
      <xdr:row>43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6FE0759-FDAB-135A-26F0-16157E5E0CC1}"/>
            </a:ext>
          </a:extLst>
        </xdr:cNvPr>
        <xdr:cNvCxnSpPr/>
      </xdr:nvCxnSpPr>
      <xdr:spPr>
        <a:xfrm flipH="1">
          <a:off x="7279217" y="0"/>
          <a:ext cx="10584" cy="74887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16934</xdr:colOff>
      <xdr:row>0</xdr:row>
      <xdr:rowOff>0</xdr:rowOff>
    </xdr:from>
    <xdr:to>
      <xdr:col>23</xdr:col>
      <xdr:colOff>23284</xdr:colOff>
      <xdr:row>43</xdr:row>
      <xdr:rowOff>38100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4FFFEF2-05FC-A94B-AFBF-893C00A9C45B}"/>
            </a:ext>
          </a:extLst>
        </xdr:cNvPr>
        <xdr:cNvCxnSpPr/>
      </xdr:nvCxnSpPr>
      <xdr:spPr>
        <a:xfrm flipH="1">
          <a:off x="16162867" y="0"/>
          <a:ext cx="6350" cy="74887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697662</xdr:colOff>
      <xdr:row>0</xdr:row>
      <xdr:rowOff>13956</xdr:rowOff>
    </xdr:from>
    <xdr:to>
      <xdr:col>5</xdr:col>
      <xdr:colOff>27912</xdr:colOff>
      <xdr:row>80</xdr:row>
      <xdr:rowOff>6978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F640743-80CF-6ECB-3EB6-0B03BC3C3A5E}"/>
            </a:ext>
          </a:extLst>
        </xdr:cNvPr>
        <xdr:cNvCxnSpPr/>
      </xdr:nvCxnSpPr>
      <xdr:spPr>
        <a:xfrm>
          <a:off x="4116893" y="13956"/>
          <a:ext cx="28052" cy="1339082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8D53-8E88-6C43-AC76-82820147B081}">
  <dimension ref="B2:G22"/>
  <sheetViews>
    <sheetView tabSelected="1" topLeftCell="B2" zoomScale="234" workbookViewId="0">
      <selection activeCell="D18" sqref="D18"/>
    </sheetView>
  </sheetViews>
  <sheetFormatPr baseColWidth="10" defaultRowHeight="13"/>
  <cols>
    <col min="1" max="1" width="3" style="1" customWidth="1"/>
    <col min="2" max="2" width="17.5" style="1" bestFit="1" customWidth="1"/>
    <col min="3" max="4" width="10.83203125" style="1"/>
    <col min="5" max="5" width="6.6640625" style="1" bestFit="1" customWidth="1"/>
    <col min="6" max="6" width="5.6640625" style="1" bestFit="1" customWidth="1"/>
    <col min="7" max="7" width="5.5" style="1" bestFit="1" customWidth="1"/>
    <col min="8" max="16384" width="10.83203125" style="1"/>
  </cols>
  <sheetData>
    <row r="2" spans="2:7">
      <c r="B2" s="1" t="s">
        <v>46</v>
      </c>
    </row>
    <row r="3" spans="2:7">
      <c r="B3" s="1" t="s">
        <v>45</v>
      </c>
      <c r="C3" s="1" t="s">
        <v>16</v>
      </c>
    </row>
    <row r="4" spans="2:7">
      <c r="E4" s="1" t="s">
        <v>0</v>
      </c>
      <c r="F4" s="2">
        <v>17.2</v>
      </c>
    </row>
    <row r="5" spans="2:7">
      <c r="E5" s="1" t="s">
        <v>1</v>
      </c>
      <c r="F5" s="1">
        <v>1027.934998</v>
      </c>
      <c r="G5" s="1" t="s">
        <v>47</v>
      </c>
    </row>
    <row r="6" spans="2:7">
      <c r="E6" s="1" t="s">
        <v>2</v>
      </c>
      <c r="F6" s="1">
        <f>+F5*F4</f>
        <v>17680.4819656</v>
      </c>
    </row>
    <row r="7" spans="2:7">
      <c r="B7" s="8"/>
      <c r="E7" s="1" t="s">
        <v>3</v>
      </c>
      <c r="F7" s="1">
        <v>1052.2739999999999</v>
      </c>
      <c r="G7" s="1" t="str">
        <f>+G5</f>
        <v>Q226</v>
      </c>
    </row>
    <row r="8" spans="2:7">
      <c r="E8" s="1" t="s">
        <v>4</v>
      </c>
      <c r="F8" s="1">
        <f>2.388+702.903</f>
        <v>705.29100000000005</v>
      </c>
      <c r="G8" s="1" t="str">
        <f>+G7</f>
        <v>Q226</v>
      </c>
    </row>
    <row r="9" spans="2:7">
      <c r="B9" s="8" t="s">
        <v>23</v>
      </c>
      <c r="C9" s="8" t="s">
        <v>24</v>
      </c>
      <c r="E9" s="1" t="s">
        <v>5</v>
      </c>
      <c r="F9" s="1">
        <f>+F6-F7+F8</f>
        <v>17333.4989656</v>
      </c>
    </row>
    <row r="10" spans="2:7">
      <c r="B10" s="1" t="s">
        <v>17</v>
      </c>
      <c r="C10" s="1" t="s">
        <v>21</v>
      </c>
    </row>
    <row r="11" spans="2:7">
      <c r="B11" s="1" t="s">
        <v>18</v>
      </c>
      <c r="C11" s="1" t="s">
        <v>21</v>
      </c>
    </row>
    <row r="12" spans="2:7">
      <c r="B12" s="1" t="s">
        <v>19</v>
      </c>
      <c r="C12" s="1" t="s">
        <v>22</v>
      </c>
      <c r="F12" s="1">
        <f>+F9/300</f>
        <v>57.778329885333335</v>
      </c>
    </row>
    <row r="13" spans="2:7">
      <c r="B13" s="1" t="s">
        <v>20</v>
      </c>
      <c r="C13" s="1" t="s">
        <v>22</v>
      </c>
    </row>
    <row r="15" spans="2:7">
      <c r="D15" s="1">
        <f>266.8+387.5</f>
        <v>654.29999999999995</v>
      </c>
    </row>
    <row r="16" spans="2:7">
      <c r="C16" s="1" t="s">
        <v>48</v>
      </c>
      <c r="D16" s="1">
        <f>+D15*2</f>
        <v>1308.5999999999999</v>
      </c>
    </row>
    <row r="17" spans="3:4">
      <c r="C17" s="1" t="s">
        <v>49</v>
      </c>
      <c r="D17" s="3"/>
    </row>
    <row r="18" spans="3:4">
      <c r="D18" s="1">
        <f>1-(1+0.08)^-15</f>
        <v>0.68475829503411001</v>
      </c>
    </row>
    <row r="19" spans="3:4">
      <c r="D19" s="2">
        <f>+D18/0.08</f>
        <v>8.5594786879263758</v>
      </c>
    </row>
    <row r="20" spans="3:4">
      <c r="D20" s="1">
        <f>+D16*D19</f>
        <v>11200.933811020455</v>
      </c>
    </row>
    <row r="21" spans="3:4">
      <c r="C21" s="1" t="s">
        <v>50</v>
      </c>
      <c r="D21" s="1">
        <f>+D20+F7-F8</f>
        <v>11547.916811020455</v>
      </c>
    </row>
    <row r="22" spans="3:4">
      <c r="D22" s="6">
        <f>+F6/D21</f>
        <v>1.5310538043300668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54B1-DF59-C543-A6FD-3CB394BEF3A7}">
  <dimension ref="A1:HX37"/>
  <sheetViews>
    <sheetView zoomScale="150" zoomScaleNormal="24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baseColWidth="10" defaultRowHeight="13"/>
  <cols>
    <col min="1" max="1" width="3.33203125" style="1" bestFit="1" customWidth="1"/>
    <col min="2" max="2" width="18.1640625" style="1" bestFit="1" customWidth="1"/>
    <col min="3" max="14" width="5.5" style="11" bestFit="1" customWidth="1"/>
    <col min="15" max="16" width="9.1640625" style="11" customWidth="1"/>
    <col min="17" max="17" width="10.83203125" style="1"/>
    <col min="18" max="232" width="5.1640625" style="1" bestFit="1" customWidth="1"/>
    <col min="233" max="16384" width="10.83203125" style="1"/>
  </cols>
  <sheetData>
    <row r="1" spans="1:232">
      <c r="A1" s="1" t="s">
        <v>14</v>
      </c>
    </row>
    <row r="2" spans="1:232" s="5" customFormat="1">
      <c r="C2" s="12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6</v>
      </c>
      <c r="J2" s="12" t="s">
        <v>13</v>
      </c>
      <c r="K2" s="12" t="s">
        <v>41</v>
      </c>
      <c r="L2" s="12" t="s">
        <v>42</v>
      </c>
      <c r="M2" s="12" t="s">
        <v>43</v>
      </c>
      <c r="N2" s="12" t="s">
        <v>44</v>
      </c>
      <c r="O2" s="12"/>
      <c r="P2" s="12"/>
      <c r="R2" s="5">
        <v>2019</v>
      </c>
      <c r="S2" s="5">
        <f>+R2+1</f>
        <v>2020</v>
      </c>
      <c r="T2" s="5">
        <f t="shared" ref="T2:AE2" si="0">+S2+1</f>
        <v>2021</v>
      </c>
      <c r="U2" s="5">
        <f t="shared" si="0"/>
        <v>2022</v>
      </c>
      <c r="V2" s="5">
        <f t="shared" si="0"/>
        <v>2023</v>
      </c>
      <c r="W2" s="5">
        <f t="shared" si="0"/>
        <v>2024</v>
      </c>
      <c r="X2" s="5">
        <f t="shared" si="0"/>
        <v>2025</v>
      </c>
      <c r="Y2" s="5">
        <f t="shared" si="0"/>
        <v>2026</v>
      </c>
      <c r="Z2" s="5">
        <f t="shared" si="0"/>
        <v>2027</v>
      </c>
      <c r="AA2" s="5">
        <f t="shared" si="0"/>
        <v>2028</v>
      </c>
      <c r="AB2" s="5">
        <f t="shared" si="0"/>
        <v>2029</v>
      </c>
      <c r="AC2" s="5">
        <f t="shared" si="0"/>
        <v>2030</v>
      </c>
      <c r="AD2" s="5">
        <f t="shared" si="0"/>
        <v>2031</v>
      </c>
      <c r="AE2" s="5">
        <f t="shared" si="0"/>
        <v>2032</v>
      </c>
      <c r="AF2" s="5">
        <f t="shared" ref="AF2" si="1">+AE2+1</f>
        <v>2033</v>
      </c>
      <c r="AG2" s="5">
        <f>+AF2+1</f>
        <v>2034</v>
      </c>
      <c r="AH2" s="5">
        <f t="shared" ref="AH2:CS2" si="2">+AG2+1</f>
        <v>2035</v>
      </c>
      <c r="AI2" s="5">
        <f t="shared" si="2"/>
        <v>2036</v>
      </c>
      <c r="AJ2" s="5">
        <f t="shared" si="2"/>
        <v>2037</v>
      </c>
      <c r="AK2" s="5">
        <f t="shared" si="2"/>
        <v>2038</v>
      </c>
      <c r="AL2" s="5">
        <f t="shared" si="2"/>
        <v>2039</v>
      </c>
      <c r="AM2" s="5">
        <f t="shared" si="2"/>
        <v>2040</v>
      </c>
      <c r="AN2" s="5">
        <f t="shared" si="2"/>
        <v>2041</v>
      </c>
      <c r="AO2" s="5">
        <f t="shared" si="2"/>
        <v>2042</v>
      </c>
      <c r="AP2" s="5">
        <f t="shared" si="2"/>
        <v>2043</v>
      </c>
      <c r="AQ2" s="5">
        <f t="shared" si="2"/>
        <v>2044</v>
      </c>
      <c r="AR2" s="5">
        <f t="shared" si="2"/>
        <v>2045</v>
      </c>
      <c r="AS2" s="5">
        <f t="shared" si="2"/>
        <v>2046</v>
      </c>
      <c r="AT2" s="5">
        <f t="shared" si="2"/>
        <v>2047</v>
      </c>
      <c r="AU2" s="5">
        <f t="shared" si="2"/>
        <v>2048</v>
      </c>
      <c r="AV2" s="5">
        <f t="shared" si="2"/>
        <v>2049</v>
      </c>
      <c r="AW2" s="5">
        <f t="shared" si="2"/>
        <v>2050</v>
      </c>
      <c r="AX2" s="5">
        <f t="shared" si="2"/>
        <v>2051</v>
      </c>
      <c r="AY2" s="5">
        <f t="shared" si="2"/>
        <v>2052</v>
      </c>
      <c r="AZ2" s="5">
        <f t="shared" si="2"/>
        <v>2053</v>
      </c>
      <c r="BA2" s="5">
        <f t="shared" si="2"/>
        <v>2054</v>
      </c>
      <c r="BB2" s="5">
        <f t="shared" si="2"/>
        <v>2055</v>
      </c>
      <c r="BC2" s="5">
        <f t="shared" si="2"/>
        <v>2056</v>
      </c>
      <c r="BD2" s="5">
        <f t="shared" si="2"/>
        <v>2057</v>
      </c>
      <c r="BE2" s="5">
        <f t="shared" si="2"/>
        <v>2058</v>
      </c>
      <c r="BF2" s="5">
        <f t="shared" si="2"/>
        <v>2059</v>
      </c>
      <c r="BG2" s="5">
        <f t="shared" si="2"/>
        <v>2060</v>
      </c>
      <c r="BH2" s="5">
        <f t="shared" si="2"/>
        <v>2061</v>
      </c>
      <c r="BI2" s="5">
        <f t="shared" si="2"/>
        <v>2062</v>
      </c>
      <c r="BJ2" s="5">
        <f t="shared" si="2"/>
        <v>2063</v>
      </c>
      <c r="BK2" s="5">
        <f t="shared" si="2"/>
        <v>2064</v>
      </c>
      <c r="BL2" s="5">
        <f t="shared" si="2"/>
        <v>2065</v>
      </c>
      <c r="BM2" s="5">
        <f t="shared" si="2"/>
        <v>2066</v>
      </c>
      <c r="BN2" s="5">
        <f t="shared" si="2"/>
        <v>2067</v>
      </c>
      <c r="BO2" s="5">
        <f t="shared" si="2"/>
        <v>2068</v>
      </c>
      <c r="BP2" s="5">
        <f t="shared" si="2"/>
        <v>2069</v>
      </c>
      <c r="BQ2" s="5">
        <f t="shared" si="2"/>
        <v>2070</v>
      </c>
      <c r="BR2" s="5">
        <f t="shared" si="2"/>
        <v>2071</v>
      </c>
      <c r="BS2" s="5">
        <f t="shared" si="2"/>
        <v>2072</v>
      </c>
      <c r="BT2" s="5">
        <f t="shared" si="2"/>
        <v>2073</v>
      </c>
      <c r="BU2" s="5">
        <f t="shared" si="2"/>
        <v>2074</v>
      </c>
      <c r="BV2" s="5">
        <f t="shared" si="2"/>
        <v>2075</v>
      </c>
      <c r="BW2" s="5">
        <f t="shared" si="2"/>
        <v>2076</v>
      </c>
      <c r="BX2" s="5">
        <f t="shared" si="2"/>
        <v>2077</v>
      </c>
      <c r="BY2" s="5">
        <f t="shared" si="2"/>
        <v>2078</v>
      </c>
      <c r="BZ2" s="5">
        <f t="shared" si="2"/>
        <v>2079</v>
      </c>
      <c r="CA2" s="5">
        <f t="shared" si="2"/>
        <v>2080</v>
      </c>
      <c r="CB2" s="5">
        <f t="shared" si="2"/>
        <v>2081</v>
      </c>
      <c r="CC2" s="5">
        <f t="shared" si="2"/>
        <v>2082</v>
      </c>
      <c r="CD2" s="5">
        <f t="shared" si="2"/>
        <v>2083</v>
      </c>
      <c r="CE2" s="5">
        <f t="shared" si="2"/>
        <v>2084</v>
      </c>
      <c r="CF2" s="5">
        <f t="shared" si="2"/>
        <v>2085</v>
      </c>
      <c r="CG2" s="5">
        <f t="shared" si="2"/>
        <v>2086</v>
      </c>
      <c r="CH2" s="5">
        <f t="shared" si="2"/>
        <v>2087</v>
      </c>
      <c r="CI2" s="5">
        <f t="shared" si="2"/>
        <v>2088</v>
      </c>
      <c r="CJ2" s="5">
        <f t="shared" si="2"/>
        <v>2089</v>
      </c>
      <c r="CK2" s="5">
        <f t="shared" si="2"/>
        <v>2090</v>
      </c>
      <c r="CL2" s="5">
        <f t="shared" si="2"/>
        <v>2091</v>
      </c>
      <c r="CM2" s="5">
        <f t="shared" si="2"/>
        <v>2092</v>
      </c>
      <c r="CN2" s="5">
        <f t="shared" si="2"/>
        <v>2093</v>
      </c>
      <c r="CO2" s="5">
        <f t="shared" si="2"/>
        <v>2094</v>
      </c>
      <c r="CP2" s="5">
        <f t="shared" si="2"/>
        <v>2095</v>
      </c>
      <c r="CQ2" s="5">
        <f t="shared" si="2"/>
        <v>2096</v>
      </c>
      <c r="CR2" s="5">
        <f t="shared" si="2"/>
        <v>2097</v>
      </c>
      <c r="CS2" s="5">
        <f t="shared" si="2"/>
        <v>2098</v>
      </c>
      <c r="CT2" s="5">
        <f t="shared" ref="CT2:FE2" si="3">+CS2+1</f>
        <v>2099</v>
      </c>
      <c r="CU2" s="5">
        <f t="shared" si="3"/>
        <v>2100</v>
      </c>
      <c r="CV2" s="5">
        <f t="shared" si="3"/>
        <v>2101</v>
      </c>
      <c r="CW2" s="5">
        <f t="shared" si="3"/>
        <v>2102</v>
      </c>
      <c r="CX2" s="5">
        <f t="shared" si="3"/>
        <v>2103</v>
      </c>
      <c r="CY2" s="5">
        <f t="shared" si="3"/>
        <v>2104</v>
      </c>
      <c r="CZ2" s="5">
        <f t="shared" si="3"/>
        <v>2105</v>
      </c>
      <c r="DA2" s="5">
        <f t="shared" si="3"/>
        <v>2106</v>
      </c>
      <c r="DB2" s="5">
        <f t="shared" si="3"/>
        <v>2107</v>
      </c>
      <c r="DC2" s="5">
        <f t="shared" si="3"/>
        <v>2108</v>
      </c>
      <c r="DD2" s="5">
        <f t="shared" si="3"/>
        <v>2109</v>
      </c>
      <c r="DE2" s="5">
        <f t="shared" si="3"/>
        <v>2110</v>
      </c>
      <c r="DF2" s="5">
        <f t="shared" si="3"/>
        <v>2111</v>
      </c>
      <c r="DG2" s="5">
        <f t="shared" si="3"/>
        <v>2112</v>
      </c>
      <c r="DH2" s="5">
        <f t="shared" si="3"/>
        <v>2113</v>
      </c>
      <c r="DI2" s="5">
        <f t="shared" si="3"/>
        <v>2114</v>
      </c>
      <c r="DJ2" s="5">
        <f t="shared" si="3"/>
        <v>2115</v>
      </c>
      <c r="DK2" s="5">
        <f t="shared" si="3"/>
        <v>2116</v>
      </c>
      <c r="DL2" s="5">
        <f t="shared" si="3"/>
        <v>2117</v>
      </c>
      <c r="DM2" s="5">
        <f t="shared" si="3"/>
        <v>2118</v>
      </c>
      <c r="DN2" s="5">
        <f t="shared" si="3"/>
        <v>2119</v>
      </c>
      <c r="DO2" s="5">
        <f t="shared" si="3"/>
        <v>2120</v>
      </c>
      <c r="DP2" s="5">
        <f t="shared" si="3"/>
        <v>2121</v>
      </c>
      <c r="DQ2" s="5">
        <f t="shared" si="3"/>
        <v>2122</v>
      </c>
      <c r="DR2" s="5">
        <f t="shared" si="3"/>
        <v>2123</v>
      </c>
      <c r="DS2" s="5">
        <f t="shared" si="3"/>
        <v>2124</v>
      </c>
      <c r="DT2" s="5">
        <f t="shared" si="3"/>
        <v>2125</v>
      </c>
      <c r="DU2" s="5">
        <f t="shared" si="3"/>
        <v>2126</v>
      </c>
      <c r="DV2" s="5">
        <f t="shared" si="3"/>
        <v>2127</v>
      </c>
      <c r="DW2" s="5">
        <f t="shared" si="3"/>
        <v>2128</v>
      </c>
      <c r="DX2" s="5">
        <f t="shared" si="3"/>
        <v>2129</v>
      </c>
      <c r="DY2" s="5">
        <f t="shared" si="3"/>
        <v>2130</v>
      </c>
      <c r="DZ2" s="5">
        <f t="shared" si="3"/>
        <v>2131</v>
      </c>
      <c r="EA2" s="5">
        <f t="shared" si="3"/>
        <v>2132</v>
      </c>
      <c r="EB2" s="5">
        <f t="shared" si="3"/>
        <v>2133</v>
      </c>
      <c r="EC2" s="5">
        <f t="shared" si="3"/>
        <v>2134</v>
      </c>
      <c r="ED2" s="5">
        <f t="shared" si="3"/>
        <v>2135</v>
      </c>
      <c r="EE2" s="5">
        <f t="shared" si="3"/>
        <v>2136</v>
      </c>
      <c r="EF2" s="5">
        <f t="shared" si="3"/>
        <v>2137</v>
      </c>
      <c r="EG2" s="5">
        <f t="shared" si="3"/>
        <v>2138</v>
      </c>
      <c r="EH2" s="5">
        <f t="shared" si="3"/>
        <v>2139</v>
      </c>
      <c r="EI2" s="5">
        <f t="shared" si="3"/>
        <v>2140</v>
      </c>
      <c r="EJ2" s="5">
        <f t="shared" si="3"/>
        <v>2141</v>
      </c>
      <c r="EK2" s="5">
        <f t="shared" si="3"/>
        <v>2142</v>
      </c>
      <c r="EL2" s="5">
        <f t="shared" si="3"/>
        <v>2143</v>
      </c>
      <c r="EM2" s="5">
        <f t="shared" si="3"/>
        <v>2144</v>
      </c>
      <c r="EN2" s="5">
        <f t="shared" si="3"/>
        <v>2145</v>
      </c>
      <c r="EO2" s="5">
        <f t="shared" si="3"/>
        <v>2146</v>
      </c>
      <c r="EP2" s="5">
        <f t="shared" si="3"/>
        <v>2147</v>
      </c>
      <c r="EQ2" s="5">
        <f t="shared" si="3"/>
        <v>2148</v>
      </c>
      <c r="ER2" s="5">
        <f t="shared" si="3"/>
        <v>2149</v>
      </c>
      <c r="ES2" s="5">
        <f t="shared" si="3"/>
        <v>2150</v>
      </c>
      <c r="ET2" s="5">
        <f t="shared" si="3"/>
        <v>2151</v>
      </c>
      <c r="EU2" s="5">
        <f t="shared" si="3"/>
        <v>2152</v>
      </c>
      <c r="EV2" s="5">
        <f t="shared" si="3"/>
        <v>2153</v>
      </c>
      <c r="EW2" s="5">
        <f t="shared" si="3"/>
        <v>2154</v>
      </c>
      <c r="EX2" s="5">
        <f t="shared" si="3"/>
        <v>2155</v>
      </c>
      <c r="EY2" s="5">
        <f t="shared" si="3"/>
        <v>2156</v>
      </c>
      <c r="EZ2" s="5">
        <f t="shared" si="3"/>
        <v>2157</v>
      </c>
      <c r="FA2" s="5">
        <f t="shared" si="3"/>
        <v>2158</v>
      </c>
      <c r="FB2" s="5">
        <f t="shared" si="3"/>
        <v>2159</v>
      </c>
      <c r="FC2" s="5">
        <f t="shared" si="3"/>
        <v>2160</v>
      </c>
      <c r="FD2" s="5">
        <f t="shared" si="3"/>
        <v>2161</v>
      </c>
      <c r="FE2" s="5">
        <f t="shared" si="3"/>
        <v>2162</v>
      </c>
      <c r="FF2" s="5">
        <f t="shared" ref="FF2:HQ2" si="4">+FE2+1</f>
        <v>2163</v>
      </c>
      <c r="FG2" s="5">
        <f t="shared" si="4"/>
        <v>2164</v>
      </c>
      <c r="FH2" s="5">
        <f t="shared" si="4"/>
        <v>2165</v>
      </c>
      <c r="FI2" s="5">
        <f t="shared" si="4"/>
        <v>2166</v>
      </c>
      <c r="FJ2" s="5">
        <f t="shared" si="4"/>
        <v>2167</v>
      </c>
      <c r="FK2" s="5">
        <f t="shared" si="4"/>
        <v>2168</v>
      </c>
      <c r="FL2" s="5">
        <f t="shared" si="4"/>
        <v>2169</v>
      </c>
      <c r="FM2" s="5">
        <f t="shared" si="4"/>
        <v>2170</v>
      </c>
      <c r="FN2" s="5">
        <f t="shared" si="4"/>
        <v>2171</v>
      </c>
      <c r="FO2" s="5">
        <f t="shared" si="4"/>
        <v>2172</v>
      </c>
      <c r="FP2" s="5">
        <f t="shared" si="4"/>
        <v>2173</v>
      </c>
      <c r="FQ2" s="5">
        <f t="shared" si="4"/>
        <v>2174</v>
      </c>
      <c r="FR2" s="5">
        <f t="shared" si="4"/>
        <v>2175</v>
      </c>
      <c r="FS2" s="5">
        <f t="shared" si="4"/>
        <v>2176</v>
      </c>
      <c r="FT2" s="5">
        <f t="shared" si="4"/>
        <v>2177</v>
      </c>
      <c r="FU2" s="5">
        <f t="shared" si="4"/>
        <v>2178</v>
      </c>
      <c r="FV2" s="5">
        <f t="shared" si="4"/>
        <v>2179</v>
      </c>
      <c r="FW2" s="5">
        <f t="shared" si="4"/>
        <v>2180</v>
      </c>
      <c r="FX2" s="5">
        <f t="shared" si="4"/>
        <v>2181</v>
      </c>
      <c r="FY2" s="5">
        <f t="shared" si="4"/>
        <v>2182</v>
      </c>
      <c r="FZ2" s="5">
        <f t="shared" si="4"/>
        <v>2183</v>
      </c>
      <c r="GA2" s="5">
        <f t="shared" si="4"/>
        <v>2184</v>
      </c>
      <c r="GB2" s="5">
        <f t="shared" si="4"/>
        <v>2185</v>
      </c>
      <c r="GC2" s="5">
        <f t="shared" si="4"/>
        <v>2186</v>
      </c>
      <c r="GD2" s="5">
        <f t="shared" si="4"/>
        <v>2187</v>
      </c>
      <c r="GE2" s="5">
        <f t="shared" si="4"/>
        <v>2188</v>
      </c>
      <c r="GF2" s="5">
        <f t="shared" si="4"/>
        <v>2189</v>
      </c>
      <c r="GG2" s="5">
        <f t="shared" si="4"/>
        <v>2190</v>
      </c>
      <c r="GH2" s="5">
        <f t="shared" si="4"/>
        <v>2191</v>
      </c>
      <c r="GI2" s="5">
        <f t="shared" si="4"/>
        <v>2192</v>
      </c>
      <c r="GJ2" s="5">
        <f t="shared" si="4"/>
        <v>2193</v>
      </c>
      <c r="GK2" s="5">
        <f t="shared" si="4"/>
        <v>2194</v>
      </c>
      <c r="GL2" s="5">
        <f t="shared" si="4"/>
        <v>2195</v>
      </c>
      <c r="GM2" s="5">
        <f t="shared" si="4"/>
        <v>2196</v>
      </c>
      <c r="GN2" s="5">
        <f t="shared" si="4"/>
        <v>2197</v>
      </c>
      <c r="GO2" s="5">
        <f t="shared" si="4"/>
        <v>2198</v>
      </c>
      <c r="GP2" s="5">
        <f t="shared" si="4"/>
        <v>2199</v>
      </c>
      <c r="GQ2" s="5">
        <f t="shared" si="4"/>
        <v>2200</v>
      </c>
      <c r="GR2" s="5">
        <f t="shared" si="4"/>
        <v>2201</v>
      </c>
      <c r="GS2" s="5">
        <f t="shared" si="4"/>
        <v>2202</v>
      </c>
      <c r="GT2" s="5">
        <f t="shared" si="4"/>
        <v>2203</v>
      </c>
      <c r="GU2" s="5">
        <f t="shared" si="4"/>
        <v>2204</v>
      </c>
      <c r="GV2" s="5">
        <f t="shared" si="4"/>
        <v>2205</v>
      </c>
      <c r="GW2" s="5">
        <f t="shared" si="4"/>
        <v>2206</v>
      </c>
      <c r="GX2" s="5">
        <f t="shared" si="4"/>
        <v>2207</v>
      </c>
      <c r="GY2" s="5">
        <f t="shared" si="4"/>
        <v>2208</v>
      </c>
      <c r="GZ2" s="5">
        <f t="shared" si="4"/>
        <v>2209</v>
      </c>
      <c r="HA2" s="5">
        <f t="shared" si="4"/>
        <v>2210</v>
      </c>
      <c r="HB2" s="5">
        <f t="shared" si="4"/>
        <v>2211</v>
      </c>
      <c r="HC2" s="5">
        <f t="shared" si="4"/>
        <v>2212</v>
      </c>
      <c r="HD2" s="5">
        <f t="shared" si="4"/>
        <v>2213</v>
      </c>
      <c r="HE2" s="5">
        <f t="shared" si="4"/>
        <v>2214</v>
      </c>
      <c r="HF2" s="5">
        <f t="shared" si="4"/>
        <v>2215</v>
      </c>
      <c r="HG2" s="5">
        <f t="shared" si="4"/>
        <v>2216</v>
      </c>
      <c r="HH2" s="5">
        <f t="shared" si="4"/>
        <v>2217</v>
      </c>
      <c r="HI2" s="5">
        <f t="shared" si="4"/>
        <v>2218</v>
      </c>
      <c r="HJ2" s="5">
        <f t="shared" si="4"/>
        <v>2219</v>
      </c>
      <c r="HK2" s="5">
        <f t="shared" si="4"/>
        <v>2220</v>
      </c>
      <c r="HL2" s="5">
        <f t="shared" si="4"/>
        <v>2221</v>
      </c>
      <c r="HM2" s="5">
        <f t="shared" si="4"/>
        <v>2222</v>
      </c>
      <c r="HN2" s="5">
        <f t="shared" si="4"/>
        <v>2223</v>
      </c>
      <c r="HO2" s="5">
        <f t="shared" si="4"/>
        <v>2224</v>
      </c>
      <c r="HP2" s="5">
        <f t="shared" si="4"/>
        <v>2225</v>
      </c>
      <c r="HQ2" s="5">
        <f t="shared" si="4"/>
        <v>2226</v>
      </c>
      <c r="HR2" s="5">
        <f t="shared" ref="HR2:HX2" si="5">+HQ2+1</f>
        <v>2227</v>
      </c>
      <c r="HS2" s="5">
        <f t="shared" si="5"/>
        <v>2228</v>
      </c>
      <c r="HT2" s="5">
        <f t="shared" si="5"/>
        <v>2229</v>
      </c>
      <c r="HU2" s="5">
        <f t="shared" si="5"/>
        <v>2230</v>
      </c>
      <c r="HV2" s="5">
        <f t="shared" si="5"/>
        <v>2231</v>
      </c>
      <c r="HW2" s="5">
        <f t="shared" si="5"/>
        <v>2232</v>
      </c>
      <c r="HX2" s="5">
        <f t="shared" si="5"/>
        <v>2233</v>
      </c>
    </row>
    <row r="7" spans="1:232" s="3" customFormat="1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232" s="6" customFormat="1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232" s="6" customFormat="1"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232" s="5" customFormat="1"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25" spans="2:35" s="4" customFormat="1"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2:35" s="4" customFormat="1"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2:35" s="3" customFormat="1">
      <c r="B27" s="1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2:35" s="3" customFormat="1">
      <c r="B28" s="1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2:35" s="3" customFormat="1">
      <c r="B29" s="1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AI29" s="7"/>
    </row>
    <row r="30" spans="2:35">
      <c r="AI30" s="7"/>
    </row>
    <row r="35" spans="35:35">
      <c r="AI35" s="2"/>
    </row>
    <row r="37" spans="35:35">
      <c r="AI37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EC72-FE02-AD49-8DA6-987E8F7AF693}">
  <dimension ref="B2:XFD60"/>
  <sheetViews>
    <sheetView zoomScale="172" workbookViewId="0">
      <pane xSplit="2" ySplit="2" topLeftCell="C19" activePane="bottomRight" state="frozen"/>
      <selection pane="topRight" activeCell="C1" sqref="C1"/>
      <selection pane="bottomLeft" activeCell="A3" sqref="A3"/>
      <selection pane="bottomRight" activeCell="H42" sqref="H42"/>
    </sheetView>
  </sheetViews>
  <sheetFormatPr baseColWidth="10" defaultRowHeight="13"/>
  <cols>
    <col min="1" max="1" width="1.1640625" style="1" customWidth="1"/>
    <col min="2" max="2" width="25.33203125" style="1" bestFit="1" customWidth="1"/>
    <col min="3" max="3" width="11.1640625" style="1" bestFit="1" customWidth="1"/>
    <col min="4" max="12" width="9.1640625" style="1" bestFit="1" customWidth="1"/>
    <col min="13" max="13" width="5.1640625" style="1" bestFit="1" customWidth="1"/>
    <col min="14" max="14" width="8.33203125" style="1" bestFit="1" customWidth="1"/>
    <col min="15" max="15" width="9.6640625" style="1" bestFit="1" customWidth="1"/>
    <col min="16" max="21" width="5.1640625" style="1" bestFit="1" customWidth="1"/>
    <col min="22" max="16383" width="10.83203125" style="1"/>
    <col min="16384" max="16384" width="5.6640625" style="1" bestFit="1" customWidth="1"/>
  </cols>
  <sheetData>
    <row r="2" spans="2:22 16384:16384" s="5" customFormat="1">
      <c r="C2" s="5">
        <v>2021</v>
      </c>
      <c r="D2" s="5">
        <f>+C2+1</f>
        <v>2022</v>
      </c>
      <c r="E2" s="5">
        <f t="shared" ref="E2:L2" si="0">+D2+1</f>
        <v>2023</v>
      </c>
      <c r="F2" s="5">
        <f t="shared" si="0"/>
        <v>2024</v>
      </c>
      <c r="G2" s="5">
        <f t="shared" si="0"/>
        <v>2025</v>
      </c>
      <c r="H2" s="5">
        <f t="shared" si="0"/>
        <v>2026</v>
      </c>
      <c r="I2" s="5">
        <f t="shared" si="0"/>
        <v>2027</v>
      </c>
      <c r="J2" s="5">
        <f t="shared" si="0"/>
        <v>2028</v>
      </c>
      <c r="K2" s="5">
        <f t="shared" si="0"/>
        <v>2029</v>
      </c>
      <c r="L2" s="5">
        <f t="shared" si="0"/>
        <v>2030</v>
      </c>
      <c r="M2" s="5">
        <f>+L2+1</f>
        <v>2031</v>
      </c>
      <c r="N2" s="5">
        <f t="shared" ref="N2:V2" si="1">+M2+1</f>
        <v>2032</v>
      </c>
      <c r="O2" s="5">
        <f t="shared" si="1"/>
        <v>2033</v>
      </c>
      <c r="P2" s="5">
        <f t="shared" si="1"/>
        <v>2034</v>
      </c>
      <c r="Q2" s="5">
        <f t="shared" si="1"/>
        <v>2035</v>
      </c>
      <c r="R2" s="5">
        <f t="shared" si="1"/>
        <v>2036</v>
      </c>
      <c r="S2" s="5">
        <f t="shared" si="1"/>
        <v>2037</v>
      </c>
      <c r="T2" s="5">
        <f t="shared" si="1"/>
        <v>2038</v>
      </c>
      <c r="U2" s="5">
        <f t="shared" si="1"/>
        <v>2039</v>
      </c>
      <c r="V2" s="5">
        <f t="shared" si="1"/>
        <v>2040</v>
      </c>
    </row>
    <row r="3" spans="2:22 16384:16384" s="5" customFormat="1"/>
    <row r="4" spans="2:22 16384:16384" s="5" customFormat="1">
      <c r="B4" s="9" t="s">
        <v>25</v>
      </c>
    </row>
    <row r="5" spans="2:22 16384:16384">
      <c r="B5" s="1" t="s">
        <v>27</v>
      </c>
      <c r="C5" s="1">
        <v>109202</v>
      </c>
      <c r="D5" s="1">
        <v>106782</v>
      </c>
      <c r="E5" s="1">
        <v>100605</v>
      </c>
      <c r="F5" s="1">
        <f>86176+28000</f>
        <v>114176</v>
      </c>
      <c r="G5" s="1">
        <f>+F5*1.01</f>
        <v>115317.75999999999</v>
      </c>
      <c r="H5" s="1">
        <f t="shared" ref="H5:L5" si="2">+G5*1.01</f>
        <v>116470.93759999999</v>
      </c>
      <c r="I5" s="1">
        <f t="shared" si="2"/>
        <v>117635.64697599999</v>
      </c>
      <c r="J5" s="1">
        <f t="shared" si="2"/>
        <v>118812.00344575998</v>
      </c>
      <c r="K5" s="1">
        <f t="shared" si="2"/>
        <v>120000.12348021759</v>
      </c>
      <c r="L5" s="1">
        <f t="shared" si="2"/>
        <v>121200.12471501976</v>
      </c>
    </row>
    <row r="6" spans="2:22 16384:16384">
      <c r="B6" s="1" t="s">
        <v>26</v>
      </c>
      <c r="C6" s="1">
        <v>664</v>
      </c>
      <c r="D6" s="1">
        <v>886</v>
      </c>
      <c r="E6" s="1">
        <v>961</v>
      </c>
      <c r="F6" s="1">
        <v>902</v>
      </c>
      <c r="G6" s="1">
        <f>+G5*(F6/F5)</f>
        <v>911.01999999999987</v>
      </c>
      <c r="H6" s="1">
        <f t="shared" ref="H6:L6" si="3">+H5*(G6/G5)</f>
        <v>920.13019999999983</v>
      </c>
      <c r="I6" s="1">
        <f t="shared" si="3"/>
        <v>929.33150199999989</v>
      </c>
      <c r="J6" s="1">
        <f t="shared" si="3"/>
        <v>938.6248170199998</v>
      </c>
      <c r="K6" s="1">
        <f t="shared" si="3"/>
        <v>948.01106519019982</v>
      </c>
      <c r="L6" s="1">
        <f t="shared" si="3"/>
        <v>957.49117584210182</v>
      </c>
    </row>
    <row r="7" spans="2:22 16384:16384">
      <c r="B7" s="1" t="s">
        <v>30</v>
      </c>
      <c r="C7" s="1">
        <v>1798.99</v>
      </c>
      <c r="D7" s="1">
        <v>1801.87</v>
      </c>
      <c r="E7" s="1">
        <v>1943</v>
      </c>
      <c r="F7" s="1">
        <v>2075</v>
      </c>
      <c r="G7" s="1">
        <v>2100</v>
      </c>
      <c r="H7" s="1">
        <v>2200</v>
      </c>
      <c r="I7" s="1">
        <v>2200</v>
      </c>
      <c r="J7" s="1">
        <v>2200</v>
      </c>
      <c r="K7" s="1">
        <v>2200</v>
      </c>
      <c r="L7" s="1">
        <v>2200</v>
      </c>
      <c r="XFD7" s="1">
        <v>2200</v>
      </c>
    </row>
    <row r="8" spans="2:22 16384:16384">
      <c r="B8" s="1" t="s">
        <v>28</v>
      </c>
      <c r="C8" s="1">
        <v>6820589</v>
      </c>
      <c r="D8" s="1">
        <v>6708689</v>
      </c>
      <c r="E8" s="1">
        <v>6591590</v>
      </c>
      <c r="F8" s="1">
        <f>5199839+1700000</f>
        <v>6899839</v>
      </c>
      <c r="G8" s="1">
        <f>AVERAGE(C8:F8)</f>
        <v>6755176.75</v>
      </c>
      <c r="H8" s="1">
        <f t="shared" ref="H8:L8" si="4">AVERAGE(D8:G8)</f>
        <v>6738823.6875</v>
      </c>
      <c r="I8" s="1">
        <f t="shared" si="4"/>
        <v>6746357.359375</v>
      </c>
      <c r="J8" s="1">
        <f t="shared" si="4"/>
        <v>6785049.19921875</v>
      </c>
      <c r="K8" s="1">
        <f t="shared" si="4"/>
        <v>6756351.7490234375</v>
      </c>
      <c r="L8" s="1">
        <f t="shared" si="4"/>
        <v>6756645.4987792969</v>
      </c>
    </row>
    <row r="9" spans="2:22 16384:16384">
      <c r="B9" s="1" t="s">
        <v>29</v>
      </c>
      <c r="C9" s="1">
        <v>11.97</v>
      </c>
      <c r="D9" s="1">
        <v>13.09</v>
      </c>
      <c r="E9" s="1">
        <v>15.17</v>
      </c>
      <c r="F9" s="1">
        <v>13.84</v>
      </c>
      <c r="G9" s="1">
        <f>+G8*(F9/F8)</f>
        <v>13.549830107630045</v>
      </c>
      <c r="H9" s="1">
        <f t="shared" ref="H9:L9" si="5">+H8*(G9/G8)</f>
        <v>13.517028416894943</v>
      </c>
      <c r="I9" s="1">
        <f t="shared" si="5"/>
        <v>13.532139786703718</v>
      </c>
      <c r="J9" s="1">
        <f t="shared" si="5"/>
        <v>13.609749577807177</v>
      </c>
      <c r="K9" s="1">
        <f t="shared" si="5"/>
        <v>13.552186972258971</v>
      </c>
      <c r="L9" s="1">
        <f t="shared" si="5"/>
        <v>13.552776188416201</v>
      </c>
    </row>
    <row r="10" spans="2:22 16384:16384">
      <c r="B10" s="1" t="s">
        <v>30</v>
      </c>
      <c r="C10" s="1">
        <v>25.14</v>
      </c>
      <c r="D10" s="1">
        <v>21.76</v>
      </c>
      <c r="E10" s="1">
        <v>23.4</v>
      </c>
      <c r="F10" s="1">
        <v>26.71</v>
      </c>
      <c r="G10" s="1">
        <f>+F10</f>
        <v>26.71</v>
      </c>
      <c r="H10" s="1">
        <f t="shared" ref="H10:L10" si="6">+G10</f>
        <v>26.71</v>
      </c>
      <c r="I10" s="1">
        <f t="shared" si="6"/>
        <v>26.71</v>
      </c>
      <c r="J10" s="1">
        <f t="shared" si="6"/>
        <v>26.71</v>
      </c>
      <c r="K10" s="1">
        <f t="shared" si="6"/>
        <v>26.71</v>
      </c>
      <c r="L10" s="1">
        <f t="shared" si="6"/>
        <v>26.71</v>
      </c>
    </row>
    <row r="12" spans="2:22 16384:16384">
      <c r="B12" s="1" t="s">
        <v>31</v>
      </c>
      <c r="C12" s="1">
        <f>+(C5*C7)/10^6</f>
        <v>196.45330597999998</v>
      </c>
      <c r="D12" s="1">
        <f>+(D5*D7)/10^6</f>
        <v>192.40728233999997</v>
      </c>
      <c r="E12" s="1">
        <f>+(E5*E7)/10^6</f>
        <v>195.475515</v>
      </c>
      <c r="F12" s="1">
        <f>+(F5*F7)/10^6</f>
        <v>236.9152</v>
      </c>
      <c r="G12" s="1">
        <f t="shared" ref="G12:L12" si="7">+(G5*G7)/10^6</f>
        <v>242.16729599999999</v>
      </c>
      <c r="H12" s="1">
        <f t="shared" si="7"/>
        <v>256.23606271999995</v>
      </c>
      <c r="I12" s="1">
        <f t="shared" si="7"/>
        <v>258.79842334719996</v>
      </c>
      <c r="J12" s="1">
        <f t="shared" si="7"/>
        <v>261.38640758067197</v>
      </c>
      <c r="K12" s="1">
        <f t="shared" si="7"/>
        <v>264.00027165647873</v>
      </c>
      <c r="L12" s="1">
        <f t="shared" si="7"/>
        <v>266.6402743730435</v>
      </c>
    </row>
    <row r="13" spans="2:22 16384:16384">
      <c r="B13" s="1" t="s">
        <v>32</v>
      </c>
      <c r="C13" s="1">
        <f>+(C8*C10)/10^6</f>
        <v>171.46960746000002</v>
      </c>
      <c r="D13" s="1">
        <f>+(D8*D10)/10^6</f>
        <v>145.98107264000001</v>
      </c>
      <c r="E13" s="1">
        <f>+(E8*E10)/10^6</f>
        <v>154.24320599999999</v>
      </c>
      <c r="F13" s="1">
        <f>+(F8*F10)/10^6</f>
        <v>184.29469968999999</v>
      </c>
      <c r="G13" s="1">
        <f t="shared" ref="G13:L13" si="8">+(G8*G10)/10^6</f>
        <v>180.43077099250002</v>
      </c>
      <c r="H13" s="1">
        <f t="shared" si="8"/>
        <v>179.993980693125</v>
      </c>
      <c r="I13" s="1">
        <f t="shared" si="8"/>
        <v>180.19520506890626</v>
      </c>
      <c r="J13" s="1">
        <f t="shared" si="8"/>
        <v>181.22866411113284</v>
      </c>
      <c r="K13" s="1">
        <f t="shared" si="8"/>
        <v>180.46215521641602</v>
      </c>
      <c r="L13" s="1">
        <f t="shared" si="8"/>
        <v>180.47000127239502</v>
      </c>
    </row>
    <row r="14" spans="2:22 16384:16384">
      <c r="B14" s="1" t="s">
        <v>33</v>
      </c>
      <c r="C14" s="1">
        <f>+SUM(C12:C13)</f>
        <v>367.92291344</v>
      </c>
      <c r="D14" s="1">
        <f>+SUM(D12:D13)</f>
        <v>338.38835497999997</v>
      </c>
      <c r="E14" s="1">
        <f>+SUM(E12:E13)</f>
        <v>349.71872099999996</v>
      </c>
      <c r="F14" s="1">
        <f>+SUM(F12:F13)</f>
        <v>421.20989968999999</v>
      </c>
      <c r="G14" s="1">
        <f t="shared" ref="G14:L14" si="9">+SUM(G12:G13)</f>
        <v>422.59806699249998</v>
      </c>
      <c r="H14" s="1">
        <f t="shared" si="9"/>
        <v>436.23004341312492</v>
      </c>
      <c r="I14" s="1">
        <f t="shared" si="9"/>
        <v>438.99362841610622</v>
      </c>
      <c r="J14" s="1">
        <f t="shared" si="9"/>
        <v>442.61507169180481</v>
      </c>
      <c r="K14" s="1">
        <f t="shared" si="9"/>
        <v>444.46242687289475</v>
      </c>
      <c r="L14" s="1">
        <f t="shared" si="9"/>
        <v>447.11027564543849</v>
      </c>
    </row>
    <row r="16" spans="2:22 16384:16384">
      <c r="B16" s="1" t="s">
        <v>36</v>
      </c>
      <c r="C16" s="1">
        <f>+(C6*C5)/10^6</f>
        <v>72.510127999999995</v>
      </c>
      <c r="D16" s="1">
        <f t="shared" ref="D16:L16" si="10">+(D6*D5)/10^6</f>
        <v>94.608851999999999</v>
      </c>
      <c r="E16" s="1">
        <f t="shared" si="10"/>
        <v>96.681404999999998</v>
      </c>
      <c r="F16" s="1">
        <f t="shared" si="10"/>
        <v>102.986752</v>
      </c>
      <c r="G16" s="1">
        <f t="shared" si="10"/>
        <v>105.05678571519998</v>
      </c>
      <c r="H16" s="1">
        <f t="shared" si="10"/>
        <v>107.16842710807549</v>
      </c>
      <c r="I16" s="1">
        <f t="shared" si="10"/>
        <v>109.32251249294782</v>
      </c>
      <c r="J16" s="1">
        <f t="shared" si="10"/>
        <v>111.51989499405605</v>
      </c>
      <c r="K16" s="1">
        <f t="shared" si="10"/>
        <v>113.7614448834366</v>
      </c>
      <c r="L16" s="1">
        <f t="shared" si="10"/>
        <v>116.04804992559366</v>
      </c>
      <c r="XFD16" s="1">
        <f>+XFD6*XFD5</f>
        <v>0</v>
      </c>
    </row>
    <row r="17" spans="2:22">
      <c r="B17" s="1" t="s">
        <v>34</v>
      </c>
      <c r="C17" s="1">
        <f>+(C8*C9)/10^6</f>
        <v>81.642450330000003</v>
      </c>
      <c r="D17" s="1">
        <f t="shared" ref="D17:L17" si="11">+(D8*D9)/10^6</f>
        <v>87.816739010000006</v>
      </c>
      <c r="E17" s="1">
        <f t="shared" si="11"/>
        <v>99.994420300000002</v>
      </c>
      <c r="F17" s="1">
        <f t="shared" si="11"/>
        <v>95.493771760000001</v>
      </c>
      <c r="G17" s="1">
        <f t="shared" si="11"/>
        <v>91.531497309512474</v>
      </c>
      <c r="H17" s="1">
        <f t="shared" si="11"/>
        <v>91.088871280382278</v>
      </c>
      <c r="I17" s="1">
        <f t="shared" si="11"/>
        <v>91.292650838119869</v>
      </c>
      <c r="J17" s="1">
        <f t="shared" si="11"/>
        <v>92.342820474468311</v>
      </c>
      <c r="K17" s="1">
        <f t="shared" si="11"/>
        <v>91.563342153114547</v>
      </c>
      <c r="L17" s="1">
        <f t="shared" si="11"/>
        <v>91.571304229425564</v>
      </c>
    </row>
    <row r="18" spans="2:22">
      <c r="B18" s="1" t="s">
        <v>35</v>
      </c>
      <c r="C18" s="1">
        <f>+SUM(C16:C17)</f>
        <v>154.15257832999998</v>
      </c>
      <c r="D18" s="1">
        <f>+SUM(D16:D17)</f>
        <v>182.42559101000001</v>
      </c>
      <c r="E18" s="1">
        <f>+SUM(E16:E17)</f>
        <v>196.67582529999999</v>
      </c>
      <c r="F18" s="1">
        <f>+SUM(F16:F17)</f>
        <v>198.48052375999998</v>
      </c>
      <c r="G18" s="1">
        <f t="shared" ref="G18:L18" si="12">+SUM(G16:G17)</f>
        <v>196.58828302471244</v>
      </c>
      <c r="H18" s="1">
        <f t="shared" si="12"/>
        <v>198.25729838845777</v>
      </c>
      <c r="I18" s="1">
        <f t="shared" si="12"/>
        <v>200.61516333106769</v>
      </c>
      <c r="J18" s="1">
        <f t="shared" si="12"/>
        <v>203.86271546852436</v>
      </c>
      <c r="K18" s="1">
        <f t="shared" si="12"/>
        <v>205.32478703655113</v>
      </c>
      <c r="L18" s="1">
        <f t="shared" si="12"/>
        <v>207.61935415501921</v>
      </c>
    </row>
    <row r="20" spans="2:22">
      <c r="B20" s="1" t="s">
        <v>37</v>
      </c>
      <c r="C20" s="1">
        <f>+C14-C18</f>
        <v>213.77033511000002</v>
      </c>
      <c r="D20" s="1">
        <f>+D14-D18</f>
        <v>155.96276396999997</v>
      </c>
      <c r="E20" s="1">
        <f>+E14-E18</f>
        <v>153.04289569999997</v>
      </c>
      <c r="F20" s="1">
        <f>+F14-F18</f>
        <v>222.72937593</v>
      </c>
      <c r="G20" s="1">
        <f t="shared" ref="G20:L20" si="13">+G14-G18</f>
        <v>226.00978396778754</v>
      </c>
      <c r="H20" s="1">
        <f t="shared" si="13"/>
        <v>237.97274502466715</v>
      </c>
      <c r="I20" s="1">
        <f t="shared" si="13"/>
        <v>238.37846508503853</v>
      </c>
      <c r="J20" s="1">
        <f t="shared" si="13"/>
        <v>238.75235622328046</v>
      </c>
      <c r="K20" s="1">
        <f t="shared" si="13"/>
        <v>239.13763983634362</v>
      </c>
      <c r="L20" s="1">
        <f t="shared" si="13"/>
        <v>239.49092149041928</v>
      </c>
    </row>
    <row r="23" spans="2:22">
      <c r="N23" s="1" t="s">
        <v>15</v>
      </c>
      <c r="O23" s="7">
        <v>0.08</v>
      </c>
    </row>
    <row r="24" spans="2:22">
      <c r="N24" s="1" t="s">
        <v>38</v>
      </c>
      <c r="O24" s="10">
        <f>NPV(O23,F20:L20)</f>
        <v>1217.0523623977401</v>
      </c>
    </row>
    <row r="26" spans="2:22">
      <c r="B26" s="4" t="s">
        <v>39</v>
      </c>
    </row>
    <row r="27" spans="2:22">
      <c r="B27" s="1" t="s">
        <v>27</v>
      </c>
      <c r="C27" s="1">
        <v>27697</v>
      </c>
      <c r="D27" s="1">
        <v>34370</v>
      </c>
      <c r="E27" s="1">
        <v>38449</v>
      </c>
      <c r="F27" s="1">
        <f>23451+7800</f>
        <v>31251</v>
      </c>
      <c r="G27" s="1">
        <f>+F27*1.01</f>
        <v>31563.510000000002</v>
      </c>
      <c r="H27" s="1">
        <f t="shared" ref="H27:L27" si="14">+G27*1.01</f>
        <v>31879.145100000002</v>
      </c>
      <c r="I27" s="1">
        <f t="shared" si="14"/>
        <v>32197.936551000003</v>
      </c>
      <c r="J27" s="1">
        <f t="shared" si="14"/>
        <v>32519.915916510003</v>
      </c>
      <c r="K27" s="1">
        <f t="shared" si="14"/>
        <v>32845.115075675101</v>
      </c>
      <c r="L27" s="1">
        <f t="shared" si="14"/>
        <v>33173.566226431853</v>
      </c>
      <c r="M27" s="1">
        <f t="shared" ref="M27:V27" si="15">+L27*1.01</f>
        <v>33505.301888696173</v>
      </c>
      <c r="N27" s="1">
        <f t="shared" si="15"/>
        <v>33840.354907583132</v>
      </c>
      <c r="O27" s="1">
        <f t="shared" si="15"/>
        <v>34178.758456658965</v>
      </c>
      <c r="P27" s="1">
        <f t="shared" si="15"/>
        <v>34520.546041225556</v>
      </c>
      <c r="Q27" s="1">
        <f t="shared" si="15"/>
        <v>34865.751501637809</v>
      </c>
      <c r="R27" s="1">
        <f t="shared" si="15"/>
        <v>35214.409016654186</v>
      </c>
      <c r="S27" s="1">
        <f t="shared" si="15"/>
        <v>35566.553106820727</v>
      </c>
      <c r="T27" s="1">
        <f t="shared" si="15"/>
        <v>35922.218637888938</v>
      </c>
      <c r="U27" s="1">
        <f t="shared" si="15"/>
        <v>36281.440824267826</v>
      </c>
      <c r="V27" s="1">
        <f t="shared" si="15"/>
        <v>36644.255232510506</v>
      </c>
    </row>
    <row r="28" spans="2:22">
      <c r="B28" s="1" t="s">
        <v>26</v>
      </c>
      <c r="C28" s="1">
        <v>1801</v>
      </c>
      <c r="D28" s="1">
        <v>2403</v>
      </c>
      <c r="E28" s="1">
        <v>2138</v>
      </c>
      <c r="F28" s="1">
        <v>1797</v>
      </c>
      <c r="G28" s="1">
        <f>+G27*(F28/F27)</f>
        <v>1814.97</v>
      </c>
      <c r="H28" s="1">
        <f t="shared" ref="H28:V28" si="16">+H27*(G28/G27)</f>
        <v>1833.1197</v>
      </c>
      <c r="I28" s="1">
        <f t="shared" si="16"/>
        <v>1851.4508969999999</v>
      </c>
      <c r="J28" s="1">
        <f t="shared" si="16"/>
        <v>1869.9654059700001</v>
      </c>
      <c r="K28" s="1">
        <f t="shared" si="16"/>
        <v>1888.6650600297</v>
      </c>
      <c r="L28" s="1">
        <f t="shared" si="16"/>
        <v>1907.5517106299969</v>
      </c>
      <c r="M28" s="1">
        <f t="shared" si="16"/>
        <v>1926.6272277362971</v>
      </c>
      <c r="N28" s="1">
        <f t="shared" si="16"/>
        <v>1945.8935000136598</v>
      </c>
      <c r="O28" s="1">
        <f t="shared" si="16"/>
        <v>1965.3524350137966</v>
      </c>
      <c r="P28" s="1">
        <f t="shared" si="16"/>
        <v>1985.0059593639346</v>
      </c>
      <c r="Q28" s="1">
        <f t="shared" si="16"/>
        <v>2004.8560189575737</v>
      </c>
      <c r="R28" s="1">
        <f t="shared" si="16"/>
        <v>2024.9045791471494</v>
      </c>
      <c r="S28" s="1">
        <f t="shared" si="16"/>
        <v>2045.1536249386211</v>
      </c>
      <c r="T28" s="1">
        <f t="shared" si="16"/>
        <v>2065.6051611880075</v>
      </c>
      <c r="U28" s="1">
        <f t="shared" si="16"/>
        <v>2086.2612127998877</v>
      </c>
      <c r="V28" s="1">
        <f t="shared" si="16"/>
        <v>2107.1238249278867</v>
      </c>
    </row>
    <row r="29" spans="2:22">
      <c r="B29" s="1" t="s">
        <v>30</v>
      </c>
      <c r="C29" s="1">
        <v>1652</v>
      </c>
      <c r="D29" s="1">
        <v>1736</v>
      </c>
      <c r="E29" s="1">
        <v>1825</v>
      </c>
      <c r="F29" s="1">
        <f>+F7</f>
        <v>2075</v>
      </c>
      <c r="G29" s="1">
        <v>2300</v>
      </c>
      <c r="H29" s="1">
        <f>AVERAGE(D29:G29)</f>
        <v>1984</v>
      </c>
      <c r="I29" s="1">
        <f t="shared" ref="I29:V29" si="17">AVERAGE(E29:H29)</f>
        <v>2046</v>
      </c>
      <c r="J29" s="1">
        <f t="shared" si="17"/>
        <v>2101.25</v>
      </c>
      <c r="K29" s="1">
        <f t="shared" si="17"/>
        <v>2107.8125</v>
      </c>
      <c r="L29" s="1">
        <f t="shared" si="17"/>
        <v>2059.765625</v>
      </c>
      <c r="M29" s="1">
        <f t="shared" si="17"/>
        <v>2078.70703125</v>
      </c>
      <c r="N29" s="1">
        <f t="shared" si="17"/>
        <v>2086.8837890625</v>
      </c>
      <c r="O29" s="1">
        <f t="shared" si="17"/>
        <v>2083.292236328125</v>
      </c>
      <c r="P29" s="1">
        <f t="shared" si="17"/>
        <v>2077.1621704101562</v>
      </c>
      <c r="Q29" s="1">
        <f t="shared" si="17"/>
        <v>2081.5113067626953</v>
      </c>
      <c r="R29" s="1">
        <f t="shared" si="17"/>
        <v>2082.2123756408691</v>
      </c>
      <c r="S29" s="1">
        <f t="shared" si="17"/>
        <v>2081.0445222854614</v>
      </c>
      <c r="T29" s="1">
        <f t="shared" si="17"/>
        <v>2080.4825937747955</v>
      </c>
      <c r="U29" s="1">
        <f t="shared" si="17"/>
        <v>2081.3126996159554</v>
      </c>
      <c r="V29" s="1">
        <f t="shared" si="17"/>
        <v>2081.2630478292704</v>
      </c>
    </row>
    <row r="30" spans="2:22">
      <c r="B30" s="1" t="s">
        <v>28</v>
      </c>
      <c r="C30" s="1">
        <v>3158017</v>
      </c>
      <c r="D30" s="1">
        <v>3061924</v>
      </c>
      <c r="E30" s="1">
        <v>3391530</v>
      </c>
      <c r="F30" s="1">
        <v>2827403</v>
      </c>
      <c r="G30" s="1">
        <f>+F30*1.01</f>
        <v>2855677.03</v>
      </c>
      <c r="H30" s="1">
        <f t="shared" ref="H30:V30" si="18">+G30*1.01</f>
        <v>2884233.8002999998</v>
      </c>
      <c r="I30" s="1">
        <f t="shared" si="18"/>
        <v>2913076.138303</v>
      </c>
      <c r="J30" s="1">
        <f t="shared" si="18"/>
        <v>2942206.8996860301</v>
      </c>
      <c r="K30" s="1">
        <f t="shared" si="18"/>
        <v>2971628.9686828903</v>
      </c>
      <c r="L30" s="1">
        <f t="shared" si="18"/>
        <v>3001345.2583697191</v>
      </c>
      <c r="M30" s="1">
        <f t="shared" si="18"/>
        <v>3031358.7109534163</v>
      </c>
      <c r="N30" s="1">
        <f t="shared" si="18"/>
        <v>3061672.2980629504</v>
      </c>
      <c r="O30" s="1">
        <f t="shared" si="18"/>
        <v>3092289.02104358</v>
      </c>
      <c r="P30" s="1">
        <f t="shared" si="18"/>
        <v>3123211.9112540158</v>
      </c>
      <c r="Q30" s="1">
        <f t="shared" si="18"/>
        <v>3154444.0303665558</v>
      </c>
      <c r="R30" s="1">
        <f t="shared" si="18"/>
        <v>3185988.4706702214</v>
      </c>
      <c r="S30" s="1">
        <f t="shared" si="18"/>
        <v>3217848.3553769235</v>
      </c>
      <c r="T30" s="1">
        <f t="shared" si="18"/>
        <v>3250026.8389306925</v>
      </c>
      <c r="U30" s="1">
        <f t="shared" si="18"/>
        <v>3282527.1073199995</v>
      </c>
      <c r="V30" s="1">
        <f t="shared" si="18"/>
        <v>3315352.3783931993</v>
      </c>
    </row>
    <row r="31" spans="2:22">
      <c r="B31" s="1" t="s">
        <v>29</v>
      </c>
      <c r="C31" s="1">
        <v>25.1</v>
      </c>
      <c r="D31" s="1">
        <v>27.26</v>
      </c>
      <c r="E31" s="1">
        <v>26.67</v>
      </c>
      <c r="F31" s="1">
        <v>21.57</v>
      </c>
      <c r="G31" s="1">
        <f>+G30*(F31/F30)</f>
        <v>21.785699999999999</v>
      </c>
      <c r="H31" s="1">
        <f t="shared" ref="H31:V31" si="19">+H30*(G31/G30)</f>
        <v>22.003556999999997</v>
      </c>
      <c r="I31" s="1">
        <f t="shared" si="19"/>
        <v>22.223592570000001</v>
      </c>
      <c r="J31" s="1">
        <f t="shared" si="19"/>
        <v>22.445828495700002</v>
      </c>
      <c r="K31" s="1">
        <f t="shared" si="19"/>
        <v>22.670286780657001</v>
      </c>
      <c r="L31" s="1">
        <f t="shared" si="19"/>
        <v>22.89698964846357</v>
      </c>
      <c r="M31" s="1">
        <f t="shared" si="19"/>
        <v>23.125959544948206</v>
      </c>
      <c r="N31" s="1">
        <f t="shared" si="19"/>
        <v>23.357219140397685</v>
      </c>
      <c r="O31" s="1">
        <f t="shared" si="19"/>
        <v>23.590791331801665</v>
      </c>
      <c r="P31" s="1">
        <f t="shared" si="19"/>
        <v>23.826699245119681</v>
      </c>
      <c r="Q31" s="1">
        <f t="shared" si="19"/>
        <v>24.064966237570875</v>
      </c>
      <c r="R31" s="1">
        <f t="shared" si="19"/>
        <v>24.305615899946584</v>
      </c>
      <c r="S31" s="1">
        <f t="shared" si="19"/>
        <v>24.54867205894605</v>
      </c>
      <c r="T31" s="1">
        <f t="shared" si="19"/>
        <v>24.794158779535508</v>
      </c>
      <c r="U31" s="1">
        <f t="shared" si="19"/>
        <v>25.042100367330864</v>
      </c>
      <c r="V31" s="1">
        <f t="shared" si="19"/>
        <v>25.29252137100417</v>
      </c>
    </row>
    <row r="32" spans="2:22">
      <c r="B32" s="1" t="s">
        <v>30</v>
      </c>
      <c r="C32" s="1">
        <v>25.06</v>
      </c>
      <c r="D32" s="1">
        <v>21.77</v>
      </c>
      <c r="E32" s="1">
        <v>24.21</v>
      </c>
      <c r="F32" s="1">
        <v>26.71</v>
      </c>
      <c r="G32" s="1">
        <v>27</v>
      </c>
      <c r="H32" s="1">
        <f>+AVERAGE(D32:G32)</f>
        <v>24.922499999999999</v>
      </c>
      <c r="I32" s="1">
        <f t="shared" ref="I32:V32" si="20">+AVERAGE(E32:H32)</f>
        <v>25.710625</v>
      </c>
      <c r="J32" s="1">
        <f t="shared" si="20"/>
        <v>26.085781249999997</v>
      </c>
      <c r="K32" s="1">
        <f t="shared" si="20"/>
        <v>25.929726562500001</v>
      </c>
      <c r="L32" s="1">
        <f t="shared" si="20"/>
        <v>25.662158203125003</v>
      </c>
      <c r="M32" s="1">
        <f t="shared" si="20"/>
        <v>25.84707275390625</v>
      </c>
      <c r="N32" s="1">
        <f t="shared" si="20"/>
        <v>25.88118469238281</v>
      </c>
      <c r="O32" s="1">
        <f t="shared" si="20"/>
        <v>25.830035552978515</v>
      </c>
      <c r="P32" s="1">
        <f t="shared" si="20"/>
        <v>25.805112800598142</v>
      </c>
      <c r="Q32" s="1">
        <f t="shared" si="20"/>
        <v>25.840851449966429</v>
      </c>
      <c r="R32" s="1">
        <f t="shared" si="20"/>
        <v>25.839296123981477</v>
      </c>
      <c r="S32" s="1">
        <f t="shared" si="20"/>
        <v>25.828823981881143</v>
      </c>
      <c r="T32" s="1">
        <f t="shared" si="20"/>
        <v>25.828521089106797</v>
      </c>
      <c r="U32" s="1">
        <f t="shared" si="20"/>
        <v>25.834373161233962</v>
      </c>
      <c r="V32" s="1">
        <f t="shared" si="20"/>
        <v>25.832753589050846</v>
      </c>
    </row>
    <row r="34" spans="2:22">
      <c r="B34" s="1" t="s">
        <v>31</v>
      </c>
      <c r="C34" s="1">
        <f>+(C27*C29)/10^6</f>
        <v>45.755443999999997</v>
      </c>
      <c r="D34" s="1">
        <f>+(D27*D29)/10^6</f>
        <v>59.666319999999999</v>
      </c>
      <c r="E34" s="1">
        <f>+(E27*E29)/10^6</f>
        <v>70.169425000000004</v>
      </c>
      <c r="F34" s="1">
        <f t="shared" ref="F34:L34" si="21">+(F27*F29)/10^6</f>
        <v>64.845825000000005</v>
      </c>
      <c r="G34" s="1">
        <f t="shared" si="21"/>
        <v>72.596073000000004</v>
      </c>
      <c r="H34" s="1">
        <f t="shared" si="21"/>
        <v>63.248223878400005</v>
      </c>
      <c r="I34" s="1">
        <f t="shared" si="21"/>
        <v>65.876978183345997</v>
      </c>
      <c r="J34" s="1">
        <f t="shared" si="21"/>
        <v>68.332473319566631</v>
      </c>
      <c r="K34" s="1">
        <f t="shared" si="21"/>
        <v>69.231344120446423</v>
      </c>
      <c r="L34" s="1">
        <f t="shared" si="21"/>
        <v>68.329771371865306</v>
      </c>
      <c r="M34" s="1">
        <f t="shared" ref="M34:V34" si="22">+(M27*M29)/10^6</f>
        <v>69.647706620186639</v>
      </c>
      <c r="N34" s="1">
        <f t="shared" si="22"/>
        <v>70.620888072756856</v>
      </c>
      <c r="O34" s="1">
        <f t="shared" si="22"/>
        <v>71.204342140091867</v>
      </c>
      <c r="P34" s="1">
        <f t="shared" si="22"/>
        <v>71.704772338735808</v>
      </c>
      <c r="Q34" s="1">
        <f t="shared" si="22"/>
        <v>72.573455969437518</v>
      </c>
      <c r="R34" s="1">
        <f t="shared" si="22"/>
        <v>73.32387825535676</v>
      </c>
      <c r="S34" s="1">
        <f t="shared" si="22"/>
        <v>74.015580519524235</v>
      </c>
      <c r="T34" s="1">
        <f t="shared" si="22"/>
        <v>74.735550605900485</v>
      </c>
      <c r="U34" s="1">
        <f t="shared" si="22"/>
        <v>75.513023547913406</v>
      </c>
      <c r="V34" s="1">
        <f t="shared" si="22"/>
        <v>76.266334330648505</v>
      </c>
    </row>
    <row r="35" spans="2:22">
      <c r="B35" s="1" t="s">
        <v>32</v>
      </c>
      <c r="C35" s="1">
        <f>+(C30*C32)/10^6</f>
        <v>79.139906019999998</v>
      </c>
      <c r="D35" s="1">
        <f>+(D30*D32)/10^6</f>
        <v>66.658085479999997</v>
      </c>
      <c r="E35" s="1">
        <f>+(E30*E32)/10^6</f>
        <v>82.108941299999998</v>
      </c>
      <c r="F35" s="1">
        <f t="shared" ref="F35:L35" si="23">+(F30*F32)/10^6</f>
        <v>75.519934129999996</v>
      </c>
      <c r="G35" s="1">
        <f t="shared" si="23"/>
        <v>77.103279809999989</v>
      </c>
      <c r="H35" s="1">
        <f t="shared" si="23"/>
        <v>71.882316887976742</v>
      </c>
      <c r="I35" s="1">
        <f t="shared" si="23"/>
        <v>74.897008188356565</v>
      </c>
      <c r="J35" s="1">
        <f t="shared" si="23"/>
        <v>76.749765577450475</v>
      </c>
      <c r="K35" s="1">
        <f t="shared" si="23"/>
        <v>77.053526603151212</v>
      </c>
      <c r="L35" s="1">
        <f t="shared" si="23"/>
        <v>77.020996842482816</v>
      </c>
      <c r="M35" s="1">
        <f t="shared" ref="M35:V35" si="24">+(M30*M32)/10^6</f>
        <v>78.351749145200415</v>
      </c>
      <c r="N35" s="1">
        <f t="shared" si="24"/>
        <v>79.239706213719344</v>
      </c>
      <c r="O35" s="1">
        <f t="shared" si="24"/>
        <v>79.873935353640789</v>
      </c>
      <c r="P35" s="1">
        <f t="shared" si="24"/>
        <v>80.594835670081579</v>
      </c>
      <c r="Q35" s="1">
        <f t="shared" si="24"/>
        <v>81.513519595935549</v>
      </c>
      <c r="R35" s="1">
        <f t="shared" si="24"/>
        <v>82.323699541238724</v>
      </c>
      <c r="S35" s="1">
        <f t="shared" si="24"/>
        <v>83.113238771416277</v>
      </c>
      <c r="T35" s="1">
        <f t="shared" si="24"/>
        <v>83.943386749484489</v>
      </c>
      <c r="U35" s="1">
        <f t="shared" si="24"/>
        <v>84.802030202370744</v>
      </c>
      <c r="V35" s="1">
        <f t="shared" si="24"/>
        <v>85.644681051905167</v>
      </c>
    </row>
    <row r="36" spans="2:22">
      <c r="B36" s="1" t="s">
        <v>33</v>
      </c>
      <c r="C36" s="1">
        <f>+SUM(C34:C35)</f>
        <v>124.89535002</v>
      </c>
      <c r="D36" s="1">
        <f>+SUM(D34:D35)</f>
        <v>126.32440548</v>
      </c>
      <c r="E36" s="1">
        <f>+SUM(E34:E35)</f>
        <v>152.27836630000002</v>
      </c>
      <c r="F36" s="1">
        <f t="shared" ref="F36:V36" si="25">+SUM(F34:F35)</f>
        <v>140.36575913000001</v>
      </c>
      <c r="G36" s="1">
        <f t="shared" si="25"/>
        <v>149.69935280999999</v>
      </c>
      <c r="H36" s="1">
        <f t="shared" si="25"/>
        <v>135.13054076637675</v>
      </c>
      <c r="I36" s="1">
        <f t="shared" si="25"/>
        <v>140.77398637170256</v>
      </c>
      <c r="J36" s="1">
        <f t="shared" si="25"/>
        <v>145.08223889701711</v>
      </c>
      <c r="K36" s="1">
        <f t="shared" si="25"/>
        <v>146.28487072359763</v>
      </c>
      <c r="L36" s="1">
        <f t="shared" si="25"/>
        <v>145.35076821434814</v>
      </c>
      <c r="M36" s="1">
        <f t="shared" si="25"/>
        <v>147.99945576538704</v>
      </c>
      <c r="N36" s="1">
        <f t="shared" si="25"/>
        <v>149.86059428647621</v>
      </c>
      <c r="O36" s="1">
        <f t="shared" si="25"/>
        <v>151.07827749373266</v>
      </c>
      <c r="P36" s="1">
        <f t="shared" si="25"/>
        <v>152.29960800881739</v>
      </c>
      <c r="Q36" s="1">
        <f t="shared" si="25"/>
        <v>154.08697556537305</v>
      </c>
      <c r="R36" s="1">
        <f t="shared" si="25"/>
        <v>155.6475777965955</v>
      </c>
      <c r="S36" s="1">
        <f t="shared" si="25"/>
        <v>157.1288192909405</v>
      </c>
      <c r="T36" s="1">
        <f t="shared" si="25"/>
        <v>158.67893735538496</v>
      </c>
      <c r="U36" s="1">
        <f t="shared" si="25"/>
        <v>160.31505375028416</v>
      </c>
      <c r="V36" s="1">
        <f t="shared" si="25"/>
        <v>161.91101538255367</v>
      </c>
    </row>
    <row r="38" spans="2:22">
      <c r="B38" s="1" t="s">
        <v>36</v>
      </c>
      <c r="C38" s="1">
        <f>+(C28*C27)/10^6</f>
        <v>49.882297000000001</v>
      </c>
      <c r="D38" s="1">
        <f t="shared" ref="D38:E38" si="26">+(D28*D27)/10^6</f>
        <v>82.59111</v>
      </c>
      <c r="E38" s="1">
        <f t="shared" si="26"/>
        <v>82.203962000000004</v>
      </c>
      <c r="F38" s="1">
        <f t="shared" ref="F38:L38" si="27">+(F28*F27)/10^6</f>
        <v>56.158047000000003</v>
      </c>
      <c r="G38" s="1">
        <f t="shared" si="27"/>
        <v>57.286823744700008</v>
      </c>
      <c r="H38" s="1">
        <f t="shared" si="27"/>
        <v>58.43828890196847</v>
      </c>
      <c r="I38" s="1">
        <f t="shared" si="27"/>
        <v>59.612898508898041</v>
      </c>
      <c r="J38" s="1">
        <f t="shared" si="27"/>
        <v>60.811117768926898</v>
      </c>
      <c r="K38" s="1">
        <f t="shared" si="27"/>
        <v>62.033421236082326</v>
      </c>
      <c r="L38" s="1">
        <f t="shared" si="27"/>
        <v>63.280293002927571</v>
      </c>
      <c r="M38" s="1">
        <f t="shared" ref="M38:V38" si="28">+(M28*M27)/10^6</f>
        <v>64.552226892286427</v>
      </c>
      <c r="N38" s="1">
        <f t="shared" si="28"/>
        <v>65.849726652821374</v>
      </c>
      <c r="O38" s="1">
        <f t="shared" si="28"/>
        <v>67.173306158543099</v>
      </c>
      <c r="P38" s="1">
        <f t="shared" si="28"/>
        <v>68.523489612329811</v>
      </c>
      <c r="Q38" s="1">
        <f t="shared" si="28"/>
        <v>69.900811753537624</v>
      </c>
      <c r="R38" s="1">
        <f t="shared" si="28"/>
        <v>71.305818069783726</v>
      </c>
      <c r="S38" s="1">
        <f t="shared" si="28"/>
        <v>72.739065012986387</v>
      </c>
      <c r="T38" s="1">
        <f t="shared" si="28"/>
        <v>74.201120219747423</v>
      </c>
      <c r="U38" s="1">
        <f t="shared" si="28"/>
        <v>75.692562736164348</v>
      </c>
      <c r="V38" s="1">
        <f t="shared" si="28"/>
        <v>77.213983247161266</v>
      </c>
    </row>
    <row r="39" spans="2:22">
      <c r="B39" s="1" t="s">
        <v>34</v>
      </c>
      <c r="C39" s="1">
        <f>+(C30*C31)/10^6</f>
        <v>79.266226700000004</v>
      </c>
      <c r="D39" s="1">
        <f t="shared" ref="D39:E39" si="29">+(D30*D31)/10^6</f>
        <v>83.468048240000016</v>
      </c>
      <c r="E39" s="1">
        <f t="shared" si="29"/>
        <v>90.452105100000011</v>
      </c>
      <c r="F39" s="1">
        <f t="shared" ref="F39:L39" si="30">+(F30*F31)/10^6</f>
        <v>60.987082710000003</v>
      </c>
      <c r="G39" s="1">
        <f t="shared" si="30"/>
        <v>62.212923072470993</v>
      </c>
      <c r="H39" s="1">
        <f t="shared" si="30"/>
        <v>63.463402826227657</v>
      </c>
      <c r="I39" s="1">
        <f t="shared" si="30"/>
        <v>64.73901722303485</v>
      </c>
      <c r="J39" s="1">
        <f t="shared" si="30"/>
        <v>66.040271469217856</v>
      </c>
      <c r="K39" s="1">
        <f t="shared" si="30"/>
        <v>67.367680925749127</v>
      </c>
      <c r="L39" s="1">
        <f t="shared" si="30"/>
        <v>68.72177131235668</v>
      </c>
      <c r="M39" s="1">
        <f t="shared" ref="M39:V39" si="31">+(M30*M31)/10^6</f>
        <v>70.103078915735054</v>
      </c>
      <c r="N39" s="1">
        <f t="shared" si="31"/>
        <v>71.512150801941303</v>
      </c>
      <c r="O39" s="1">
        <f t="shared" si="31"/>
        <v>72.949545033060346</v>
      </c>
      <c r="P39" s="1">
        <f t="shared" si="31"/>
        <v>74.41583088822486</v>
      </c>
      <c r="Q39" s="1">
        <f t="shared" si="31"/>
        <v>75.911589089078163</v>
      </c>
      <c r="R39" s="1">
        <f t="shared" si="31"/>
        <v>77.437412029768637</v>
      </c>
      <c r="S39" s="1">
        <f t="shared" si="31"/>
        <v>78.993904011566983</v>
      </c>
      <c r="T39" s="1">
        <f t="shared" si="31"/>
        <v>80.581681482199457</v>
      </c>
      <c r="U39" s="1">
        <f t="shared" si="31"/>
        <v>82.201373279991671</v>
      </c>
      <c r="V39" s="1">
        <f t="shared" si="31"/>
        <v>83.8536208829195</v>
      </c>
    </row>
    <row r="40" spans="2:22">
      <c r="B40" s="1" t="s">
        <v>35</v>
      </c>
      <c r="C40" s="1">
        <f>+SUM(C38:C39)</f>
        <v>129.1485237</v>
      </c>
      <c r="D40" s="1">
        <f>+SUM(D38:D39)</f>
        <v>166.05915824000002</v>
      </c>
      <c r="E40" s="1">
        <f>+SUM(E38:E39)</f>
        <v>172.65606710000003</v>
      </c>
      <c r="F40" s="1">
        <f t="shared" ref="F40:V40" si="32">+SUM(F38:F39)</f>
        <v>117.14512971000001</v>
      </c>
      <c r="G40" s="1">
        <f t="shared" si="32"/>
        <v>119.499746817171</v>
      </c>
      <c r="H40" s="1">
        <f t="shared" si="32"/>
        <v>121.90169172819613</v>
      </c>
      <c r="I40" s="1">
        <f t="shared" si="32"/>
        <v>124.35191573193289</v>
      </c>
      <c r="J40" s="1">
        <f t="shared" si="32"/>
        <v>126.85138923814475</v>
      </c>
      <c r="K40" s="1">
        <f t="shared" si="32"/>
        <v>129.40110216183146</v>
      </c>
      <c r="L40" s="1">
        <f t="shared" si="32"/>
        <v>132.00206431528426</v>
      </c>
      <c r="M40" s="1">
        <f t="shared" si="32"/>
        <v>134.65530580802147</v>
      </c>
      <c r="N40" s="1">
        <f t="shared" si="32"/>
        <v>137.36187745476269</v>
      </c>
      <c r="O40" s="1">
        <f t="shared" si="32"/>
        <v>140.12285119160344</v>
      </c>
      <c r="P40" s="1">
        <f t="shared" si="32"/>
        <v>142.93932050055469</v>
      </c>
      <c r="Q40" s="1">
        <f t="shared" si="32"/>
        <v>145.81240084261577</v>
      </c>
      <c r="R40" s="1">
        <f t="shared" si="32"/>
        <v>148.74323009955236</v>
      </c>
      <c r="S40" s="1">
        <f t="shared" si="32"/>
        <v>151.73296902455337</v>
      </c>
      <c r="T40" s="1">
        <f t="shared" si="32"/>
        <v>154.78280170194688</v>
      </c>
      <c r="U40" s="1">
        <f t="shared" si="32"/>
        <v>157.89393601615603</v>
      </c>
      <c r="V40" s="1">
        <f t="shared" si="32"/>
        <v>161.06760413008078</v>
      </c>
    </row>
    <row r="42" spans="2:22">
      <c r="B42" s="1" t="s">
        <v>37</v>
      </c>
      <c r="C42" s="1">
        <f>+C36-C40</f>
        <v>-4.2531736800000033</v>
      </c>
      <c r="D42" s="1">
        <f>+D36-D40</f>
        <v>-39.734752760000021</v>
      </c>
      <c r="E42" s="1">
        <f>+E36-E40</f>
        <v>-20.377700800000014</v>
      </c>
      <c r="F42" s="1">
        <f t="shared" ref="F42:L42" si="33">+F36-F40</f>
        <v>23.220629420000009</v>
      </c>
      <c r="G42" s="1">
        <f t="shared" si="33"/>
        <v>30.199605992828992</v>
      </c>
      <c r="H42" s="1">
        <f t="shared" si="33"/>
        <v>13.228849038180627</v>
      </c>
      <c r="I42" s="1">
        <f t="shared" si="33"/>
        <v>16.422070639769672</v>
      </c>
      <c r="J42" s="1">
        <f t="shared" si="33"/>
        <v>18.230849658872359</v>
      </c>
      <c r="K42" s="1">
        <f t="shared" si="33"/>
        <v>16.883768561766175</v>
      </c>
      <c r="L42" s="1">
        <f t="shared" si="33"/>
        <v>13.348703899063878</v>
      </c>
      <c r="M42" s="1">
        <f t="shared" ref="M42:V42" si="34">+M36-M40</f>
        <v>13.344149957365573</v>
      </c>
      <c r="N42" s="1">
        <f t="shared" si="34"/>
        <v>12.498716831713523</v>
      </c>
      <c r="O42" s="1">
        <f t="shared" si="34"/>
        <v>10.955426302129212</v>
      </c>
      <c r="P42" s="1">
        <f t="shared" si="34"/>
        <v>9.3602875082627008</v>
      </c>
      <c r="Q42" s="1">
        <f t="shared" si="34"/>
        <v>8.2745747227572792</v>
      </c>
      <c r="R42" s="1">
        <f t="shared" si="34"/>
        <v>6.9043476970431357</v>
      </c>
      <c r="S42" s="1">
        <f t="shared" si="34"/>
        <v>5.3958502663871286</v>
      </c>
      <c r="T42" s="1">
        <f t="shared" si="34"/>
        <v>3.8961356534380798</v>
      </c>
      <c r="U42" s="1">
        <f t="shared" si="34"/>
        <v>2.4211177341281314</v>
      </c>
      <c r="V42" s="1">
        <f t="shared" si="34"/>
        <v>0.84341125247289028</v>
      </c>
    </row>
    <row r="46" spans="2:22">
      <c r="N46" s="1" t="s">
        <v>15</v>
      </c>
      <c r="O46" s="7">
        <v>0.08</v>
      </c>
    </row>
    <row r="47" spans="2:22">
      <c r="N47" s="1" t="s">
        <v>38</v>
      </c>
      <c r="O47" s="10">
        <f>NPV(O46,F42:V42)</f>
        <v>133.17562529823417</v>
      </c>
    </row>
    <row r="49" spans="2:10">
      <c r="B49" s="4" t="s">
        <v>40</v>
      </c>
    </row>
    <row r="50" spans="2:10">
      <c r="B50" s="1" t="s">
        <v>27</v>
      </c>
      <c r="C50" s="1">
        <v>121140</v>
      </c>
      <c r="D50" s="1">
        <v>109061</v>
      </c>
      <c r="E50" s="1">
        <v>84789</v>
      </c>
      <c r="F50" s="1">
        <f>68740+22000</f>
        <v>90740</v>
      </c>
      <c r="G50" s="1">
        <f>+F50*1.01</f>
        <v>91647.4</v>
      </c>
      <c r="H50" s="1">
        <f>+G50*1.01</f>
        <v>92563.873999999996</v>
      </c>
      <c r="I50" s="1">
        <f>+H50*1.01</f>
        <v>93489.512739999991</v>
      </c>
    </row>
    <row r="51" spans="2:10">
      <c r="B51" s="1" t="s">
        <v>26</v>
      </c>
      <c r="C51" s="1">
        <v>1086</v>
      </c>
      <c r="D51" s="1">
        <v>1423</v>
      </c>
      <c r="E51" s="1">
        <v>1797</v>
      </c>
      <c r="F51" s="1">
        <v>1699</v>
      </c>
      <c r="G51" s="1">
        <v>1699</v>
      </c>
      <c r="H51" s="1">
        <v>1699</v>
      </c>
      <c r="I51" s="1">
        <v>1699</v>
      </c>
    </row>
    <row r="52" spans="2:10">
      <c r="B52" s="1" t="s">
        <v>30</v>
      </c>
      <c r="C52" s="1">
        <v>1652</v>
      </c>
      <c r="D52" s="1">
        <v>1736</v>
      </c>
      <c r="E52" s="1">
        <v>1825</v>
      </c>
      <c r="F52" s="1">
        <f>+F29</f>
        <v>2075</v>
      </c>
      <c r="G52" s="1">
        <v>2200</v>
      </c>
      <c r="H52" s="1">
        <v>2200</v>
      </c>
      <c r="I52" s="1">
        <v>2200</v>
      </c>
    </row>
    <row r="54" spans="2:10">
      <c r="B54" s="1" t="s">
        <v>31</v>
      </c>
      <c r="C54" s="1">
        <f>+(C50*C52)/10^6</f>
        <v>200.12327999999999</v>
      </c>
      <c r="D54" s="1">
        <f>+(D50*D52)/10^6</f>
        <v>189.32989599999999</v>
      </c>
      <c r="E54" s="1">
        <f>+(E50*E52)/10^6</f>
        <v>154.739925</v>
      </c>
      <c r="F54" s="1">
        <f>+(F50*F52)/10^6</f>
        <v>188.28550000000001</v>
      </c>
      <c r="G54" s="1">
        <f t="shared" ref="G54:I54" si="35">+(G50*G52)/10^6</f>
        <v>201.62428</v>
      </c>
      <c r="H54" s="1">
        <f t="shared" si="35"/>
        <v>203.64052279999999</v>
      </c>
      <c r="I54" s="1">
        <f t="shared" si="35"/>
        <v>205.67692802799996</v>
      </c>
    </row>
    <row r="55" spans="2:10">
      <c r="B55" s="1" t="s">
        <v>36</v>
      </c>
      <c r="C55" s="1">
        <f>+(C51*C50)/10^6</f>
        <v>131.55804000000001</v>
      </c>
      <c r="D55" s="1">
        <f>+(D51*D50)/10^6</f>
        <v>155.193803</v>
      </c>
      <c r="E55" s="1">
        <f>+(E51*E50)/10^6</f>
        <v>152.36583300000001</v>
      </c>
      <c r="F55" s="1">
        <f>+(F51*F50)/10^6</f>
        <v>154.16726</v>
      </c>
      <c r="G55" s="1">
        <f t="shared" ref="G55:I55" si="36">+(G51*G50)/10^6</f>
        <v>155.7089326</v>
      </c>
      <c r="H55" s="1">
        <f t="shared" si="36"/>
        <v>157.26602192600001</v>
      </c>
      <c r="I55" s="1">
        <f t="shared" si="36"/>
        <v>158.83868214525998</v>
      </c>
    </row>
    <row r="56" spans="2:10">
      <c r="B56" s="1" t="s">
        <v>37</v>
      </c>
      <c r="C56" s="1">
        <f>+C54-C55</f>
        <v>68.565239999999989</v>
      </c>
      <c r="D56" s="1">
        <f>+D54-D55</f>
        <v>34.136092999999988</v>
      </c>
      <c r="E56" s="1">
        <f>+E54-E55</f>
        <v>2.3740919999999903</v>
      </c>
      <c r="F56" s="1">
        <f t="shared" ref="F56:I56" si="37">+F54-F55</f>
        <v>34.118240000000014</v>
      </c>
      <c r="G56" s="1">
        <f t="shared" si="37"/>
        <v>45.915347400000002</v>
      </c>
      <c r="H56" s="1">
        <f t="shared" si="37"/>
        <v>46.374500873999978</v>
      </c>
      <c r="I56" s="1">
        <f t="shared" si="37"/>
        <v>46.838245882739983</v>
      </c>
    </row>
    <row r="59" spans="2:10">
      <c r="I59" s="1" t="s">
        <v>15</v>
      </c>
      <c r="J59" s="7">
        <v>0.08</v>
      </c>
    </row>
    <row r="60" spans="2:10">
      <c r="I60" s="1" t="s">
        <v>38</v>
      </c>
      <c r="J60" s="10">
        <f>NPV(J59,F56:I56)</f>
        <v>142.19705566805919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2024-12-22T01:25:32Z</dcterms:created>
  <dcterms:modified xsi:type="dcterms:W3CDTF">2026-10-08T01:29:13Z</dcterms:modified>
</cp:coreProperties>
</file>