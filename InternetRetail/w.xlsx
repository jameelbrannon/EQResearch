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C1CA240B-A274-264D-81F1-BF9D97CFFA90}" xr6:coauthVersionLast="47" xr6:coauthVersionMax="47" xr10:uidLastSave="{00000000-0000-0000-0000-000000000000}"/>
  <bookViews>
    <workbookView xWindow="13360" yWindow="1560" windowWidth="35620" windowHeight="22760" activeTab="1" xr2:uid="{F079607B-3847-1C40-8BC1-938B251029E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" i="2" l="1"/>
  <c r="AC12" i="2" s="1"/>
  <c r="AB14" i="2"/>
  <c r="AC14" i="2" s="1"/>
  <c r="AC26" i="2" s="1"/>
  <c r="I43" i="2"/>
  <c r="H43" i="2"/>
  <c r="G43" i="2"/>
  <c r="E43" i="2"/>
  <c r="D43" i="2"/>
  <c r="C43" i="2"/>
  <c r="W43" i="2"/>
  <c r="X43" i="2"/>
  <c r="Y43" i="2"/>
  <c r="Z43" i="2"/>
  <c r="AA43" i="2"/>
  <c r="AB43" i="2"/>
  <c r="Z50" i="2"/>
  <c r="AA50" i="2"/>
  <c r="AB50" i="2"/>
  <c r="AC50" i="2" s="1"/>
  <c r="AD50" i="2" s="1"/>
  <c r="AE50" i="2" s="1"/>
  <c r="AF50" i="2" s="1"/>
  <c r="AG50" i="2" s="1"/>
  <c r="AH50" i="2" s="1"/>
  <c r="AI50" i="2" s="1"/>
  <c r="AJ50" i="2" s="1"/>
  <c r="AK50" i="2" s="1"/>
  <c r="AL50" i="2" s="1"/>
  <c r="AM50" i="2" s="1"/>
  <c r="AP45" i="2"/>
  <c r="AP58" i="2" s="1"/>
  <c r="AN1" i="2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DR1" i="2" s="1"/>
  <c r="DS1" i="2" s="1"/>
  <c r="DT1" i="2" s="1"/>
  <c r="DU1" i="2" s="1"/>
  <c r="DV1" i="2" s="1"/>
  <c r="DW1" i="2" s="1"/>
  <c r="DX1" i="2" s="1"/>
  <c r="DY1" i="2" s="1"/>
  <c r="DZ1" i="2" s="1"/>
  <c r="EA1" i="2" s="1"/>
  <c r="EB1" i="2" s="1"/>
  <c r="EC1" i="2" s="1"/>
  <c r="ED1" i="2" s="1"/>
  <c r="EE1" i="2" s="1"/>
  <c r="EF1" i="2" s="1"/>
  <c r="EG1" i="2" s="1"/>
  <c r="EH1" i="2" s="1"/>
  <c r="EI1" i="2" s="1"/>
  <c r="EJ1" i="2" s="1"/>
  <c r="EK1" i="2" s="1"/>
  <c r="EL1" i="2" s="1"/>
  <c r="EM1" i="2" s="1"/>
  <c r="EN1" i="2" s="1"/>
  <c r="EO1" i="2" s="1"/>
  <c r="EP1" i="2" s="1"/>
  <c r="EQ1" i="2" s="1"/>
  <c r="ER1" i="2" s="1"/>
  <c r="ES1" i="2" s="1"/>
  <c r="ET1" i="2" s="1"/>
  <c r="EU1" i="2" s="1"/>
  <c r="EV1" i="2" s="1"/>
  <c r="EW1" i="2" s="1"/>
  <c r="EX1" i="2" s="1"/>
  <c r="EY1" i="2" s="1"/>
  <c r="EZ1" i="2" s="1"/>
  <c r="FA1" i="2" s="1"/>
  <c r="FB1" i="2" s="1"/>
  <c r="FC1" i="2" s="1"/>
  <c r="FD1" i="2" s="1"/>
  <c r="FE1" i="2" s="1"/>
  <c r="FF1" i="2" s="1"/>
  <c r="FG1" i="2" s="1"/>
  <c r="FH1" i="2" s="1"/>
  <c r="FI1" i="2" s="1"/>
  <c r="FJ1" i="2" s="1"/>
  <c r="FK1" i="2" s="1"/>
  <c r="FL1" i="2" s="1"/>
  <c r="FM1" i="2" s="1"/>
  <c r="FN1" i="2" s="1"/>
  <c r="FO1" i="2" s="1"/>
  <c r="FP1" i="2" s="1"/>
  <c r="FQ1" i="2" s="1"/>
  <c r="FR1" i="2" s="1"/>
  <c r="FS1" i="2" s="1"/>
  <c r="FT1" i="2" s="1"/>
  <c r="FU1" i="2" s="1"/>
  <c r="FV1" i="2" s="1"/>
  <c r="FW1" i="2" s="1"/>
  <c r="FX1" i="2" s="1"/>
  <c r="FY1" i="2" s="1"/>
  <c r="FZ1" i="2" s="1"/>
  <c r="GA1" i="2" s="1"/>
  <c r="GB1" i="2" s="1"/>
  <c r="GC1" i="2" s="1"/>
  <c r="GD1" i="2" s="1"/>
  <c r="GE1" i="2" s="1"/>
  <c r="GF1" i="2" s="1"/>
  <c r="GG1" i="2" s="1"/>
  <c r="GH1" i="2" s="1"/>
  <c r="GI1" i="2" s="1"/>
  <c r="GJ1" i="2" s="1"/>
  <c r="GK1" i="2" s="1"/>
  <c r="GL1" i="2" s="1"/>
  <c r="GM1" i="2" s="1"/>
  <c r="GN1" i="2" s="1"/>
  <c r="GO1" i="2" s="1"/>
  <c r="GP1" i="2" s="1"/>
  <c r="GQ1" i="2" s="1"/>
  <c r="GR1" i="2" s="1"/>
  <c r="GS1" i="2" s="1"/>
  <c r="GT1" i="2" s="1"/>
  <c r="GU1" i="2" s="1"/>
  <c r="GV1" i="2" s="1"/>
  <c r="GW1" i="2" s="1"/>
  <c r="GX1" i="2" s="1"/>
  <c r="GY1" i="2" s="1"/>
  <c r="GZ1" i="2" s="1"/>
  <c r="HA1" i="2" s="1"/>
  <c r="HB1" i="2" s="1"/>
  <c r="HC1" i="2" s="1"/>
  <c r="HD1" i="2" s="1"/>
  <c r="HE1" i="2" s="1"/>
  <c r="HF1" i="2" s="1"/>
  <c r="HG1" i="2" s="1"/>
  <c r="HH1" i="2" s="1"/>
  <c r="HI1" i="2" s="1"/>
  <c r="HJ1" i="2" s="1"/>
  <c r="HK1" i="2" s="1"/>
  <c r="HL1" i="2" s="1"/>
  <c r="HM1" i="2" s="1"/>
  <c r="HN1" i="2" s="1"/>
  <c r="HO1" i="2" s="1"/>
  <c r="HP1" i="2" s="1"/>
  <c r="HQ1" i="2" s="1"/>
  <c r="HR1" i="2" s="1"/>
  <c r="HS1" i="2" s="1"/>
  <c r="HT1" i="2" s="1"/>
  <c r="HU1" i="2" s="1"/>
  <c r="HV1" i="2" s="1"/>
  <c r="HW1" i="2" s="1"/>
  <c r="HX1" i="2" s="1"/>
  <c r="HY1" i="2" s="1"/>
  <c r="HZ1" i="2" s="1"/>
  <c r="IA1" i="2" s="1"/>
  <c r="IB1" i="2" s="1"/>
  <c r="IC1" i="2" s="1"/>
  <c r="ID1" i="2" s="1"/>
  <c r="AM2" i="2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HY2" i="2" s="1"/>
  <c r="HZ2" i="2" s="1"/>
  <c r="IA2" i="2" s="1"/>
  <c r="IB2" i="2" s="1"/>
  <c r="IC2" i="2" s="1"/>
  <c r="ID2" i="2" s="1"/>
  <c r="AC7" i="2"/>
  <c r="AD7" i="2" s="1"/>
  <c r="AE7" i="2" s="1"/>
  <c r="AF7" i="2" s="1"/>
  <c r="AG7" i="2" s="1"/>
  <c r="AH7" i="2" s="1"/>
  <c r="AI7" i="2" s="1"/>
  <c r="AJ7" i="2" s="1"/>
  <c r="AK7" i="2" s="1"/>
  <c r="AL7" i="2" s="1"/>
  <c r="AC29" i="2"/>
  <c r="AD29" i="2" s="1"/>
  <c r="AE29" i="2" s="1"/>
  <c r="AF29" i="2" s="1"/>
  <c r="AG29" i="2" s="1"/>
  <c r="AH29" i="2" s="1"/>
  <c r="AI29" i="2" s="1"/>
  <c r="AJ29" i="2" s="1"/>
  <c r="AK29" i="2" s="1"/>
  <c r="AL29" i="2" s="1"/>
  <c r="AC28" i="2"/>
  <c r="AD28" i="2" s="1"/>
  <c r="AE28" i="2" s="1"/>
  <c r="AC18" i="2"/>
  <c r="AA8" i="2"/>
  <c r="AB8" i="2"/>
  <c r="Z4" i="2"/>
  <c r="AA4" i="2"/>
  <c r="AB4" i="2"/>
  <c r="I20" i="2"/>
  <c r="H20" i="2"/>
  <c r="G20" i="2"/>
  <c r="I19" i="2"/>
  <c r="H19" i="2"/>
  <c r="E19" i="2"/>
  <c r="D19" i="2"/>
  <c r="Y20" i="2"/>
  <c r="Z20" i="2"/>
  <c r="Y36" i="2"/>
  <c r="Z36" i="2"/>
  <c r="X42" i="2"/>
  <c r="X41" i="2"/>
  <c r="X40" i="2"/>
  <c r="X39" i="2"/>
  <c r="X27" i="2"/>
  <c r="Y27" i="2"/>
  <c r="C27" i="2"/>
  <c r="G42" i="2"/>
  <c r="G41" i="2"/>
  <c r="G40" i="2"/>
  <c r="G39" i="2"/>
  <c r="G36" i="2"/>
  <c r="G27" i="2"/>
  <c r="D27" i="2"/>
  <c r="H36" i="2"/>
  <c r="H27" i="2"/>
  <c r="F31" i="2"/>
  <c r="F29" i="2"/>
  <c r="F28" i="2"/>
  <c r="F26" i="2"/>
  <c r="F43" i="2" s="1"/>
  <c r="F25" i="2"/>
  <c r="F24" i="2"/>
  <c r="F23" i="2"/>
  <c r="F18" i="2"/>
  <c r="I36" i="2"/>
  <c r="J31" i="2"/>
  <c r="J29" i="2"/>
  <c r="J28" i="2"/>
  <c r="J26" i="2"/>
  <c r="J43" i="2" s="1"/>
  <c r="J25" i="2"/>
  <c r="J24" i="2"/>
  <c r="J23" i="2"/>
  <c r="J18" i="2"/>
  <c r="E27" i="2"/>
  <c r="I27" i="2"/>
  <c r="I30" i="2" s="1"/>
  <c r="I32" i="2" s="1"/>
  <c r="W44" i="2"/>
  <c r="V44" i="2"/>
  <c r="U44" i="2"/>
  <c r="T44" i="2"/>
  <c r="S44" i="2"/>
  <c r="R44" i="2"/>
  <c r="AB42" i="2"/>
  <c r="AA42" i="2"/>
  <c r="Z42" i="2"/>
  <c r="Y42" i="2"/>
  <c r="W42" i="2"/>
  <c r="V42" i="2"/>
  <c r="U42" i="2"/>
  <c r="T42" i="2"/>
  <c r="S42" i="2"/>
  <c r="R42" i="2"/>
  <c r="AB41" i="2"/>
  <c r="AA41" i="2"/>
  <c r="Z41" i="2"/>
  <c r="Y41" i="2"/>
  <c r="W41" i="2"/>
  <c r="V41" i="2"/>
  <c r="U41" i="2"/>
  <c r="T41" i="2"/>
  <c r="S41" i="2"/>
  <c r="R41" i="2"/>
  <c r="AB40" i="2"/>
  <c r="AA40" i="2"/>
  <c r="Z40" i="2"/>
  <c r="Y40" i="2"/>
  <c r="W40" i="2"/>
  <c r="V40" i="2"/>
  <c r="U40" i="2"/>
  <c r="T40" i="2"/>
  <c r="S40" i="2"/>
  <c r="R40" i="2"/>
  <c r="AB39" i="2"/>
  <c r="AA39" i="2"/>
  <c r="Z39" i="2"/>
  <c r="Y39" i="2"/>
  <c r="W39" i="2"/>
  <c r="V39" i="2"/>
  <c r="U39" i="2"/>
  <c r="T39" i="2"/>
  <c r="S39" i="2"/>
  <c r="R39" i="2"/>
  <c r="L44" i="2"/>
  <c r="K44" i="2"/>
  <c r="L42" i="2"/>
  <c r="K42" i="2"/>
  <c r="I42" i="2"/>
  <c r="H42" i="2"/>
  <c r="E42" i="2"/>
  <c r="D42" i="2"/>
  <c r="C42" i="2"/>
  <c r="L41" i="2"/>
  <c r="K41" i="2"/>
  <c r="I41" i="2"/>
  <c r="H41" i="2"/>
  <c r="E41" i="2"/>
  <c r="D41" i="2"/>
  <c r="C41" i="2"/>
  <c r="L40" i="2"/>
  <c r="K40" i="2"/>
  <c r="I40" i="2"/>
  <c r="H40" i="2"/>
  <c r="E40" i="2"/>
  <c r="D40" i="2"/>
  <c r="C40" i="2"/>
  <c r="L39" i="2"/>
  <c r="K39" i="2"/>
  <c r="I39" i="2"/>
  <c r="H39" i="2"/>
  <c r="E39" i="2"/>
  <c r="D39" i="2"/>
  <c r="C39" i="2"/>
  <c r="M44" i="2"/>
  <c r="M42" i="2"/>
  <c r="M41" i="2"/>
  <c r="M40" i="2"/>
  <c r="M39" i="2"/>
  <c r="Z27" i="2"/>
  <c r="AA27" i="2"/>
  <c r="AA20" i="2"/>
  <c r="AB20" i="2"/>
  <c r="AB27" i="2"/>
  <c r="AA36" i="2"/>
  <c r="AB36" i="2"/>
  <c r="I10" i="1"/>
  <c r="I11" i="1" s="1"/>
  <c r="S2" i="2"/>
  <c r="T2" i="2" s="1"/>
  <c r="U2" i="2" s="1"/>
  <c r="V2" i="2" s="1"/>
  <c r="W2" i="2" s="1"/>
  <c r="X2" i="2" s="1"/>
  <c r="Y2" i="2" s="1"/>
  <c r="Z2" i="2" s="1"/>
  <c r="AA2" i="2" s="1"/>
  <c r="AB2" i="2" s="1"/>
  <c r="H10" i="1"/>
  <c r="H9" i="1"/>
  <c r="H12" i="1" s="1"/>
  <c r="H8" i="1"/>
  <c r="AP43" i="2" s="1"/>
  <c r="AP56" i="2" s="1"/>
  <c r="AA5" i="2" l="1"/>
  <c r="AB5" i="2"/>
  <c r="AC4" i="2"/>
  <c r="AN50" i="2"/>
  <c r="AC36" i="2"/>
  <c r="AC23" i="2"/>
  <c r="AC20" i="2"/>
  <c r="AC24" i="2"/>
  <c r="AC41" i="2" s="1"/>
  <c r="AC25" i="2"/>
  <c r="AC42" i="2" s="1"/>
  <c r="AE18" i="2"/>
  <c r="AD18" i="2"/>
  <c r="AF28" i="2"/>
  <c r="AF18" i="2"/>
  <c r="AE8" i="2"/>
  <c r="AD8" i="2"/>
  <c r="AC8" i="2"/>
  <c r="G19" i="2"/>
  <c r="F19" i="2"/>
  <c r="J20" i="2"/>
  <c r="J19" i="2"/>
  <c r="X44" i="2"/>
  <c r="X30" i="2"/>
  <c r="X32" i="2" s="1"/>
  <c r="Y30" i="2"/>
  <c r="Y32" i="2" s="1"/>
  <c r="Y44" i="2"/>
  <c r="Z30" i="2"/>
  <c r="Z32" i="2" s="1"/>
  <c r="Z51" i="2" s="1"/>
  <c r="Z44" i="2"/>
  <c r="AA30" i="2"/>
  <c r="AA32" i="2" s="1"/>
  <c r="AA51" i="2" s="1"/>
  <c r="AA44" i="2"/>
  <c r="AB30" i="2"/>
  <c r="AB32" i="2" s="1"/>
  <c r="AB51" i="2" s="1"/>
  <c r="AB44" i="2"/>
  <c r="F27" i="2"/>
  <c r="F44" i="2" s="1"/>
  <c r="C30" i="2"/>
  <c r="C32" i="2" s="1"/>
  <c r="C44" i="2"/>
  <c r="F42" i="2"/>
  <c r="J27" i="2"/>
  <c r="J44" i="2" s="1"/>
  <c r="G44" i="2"/>
  <c r="G30" i="2"/>
  <c r="G32" i="2" s="1"/>
  <c r="F41" i="2"/>
  <c r="D30" i="2"/>
  <c r="D44" i="2"/>
  <c r="H30" i="2"/>
  <c r="H44" i="2"/>
  <c r="J42" i="2"/>
  <c r="J40" i="2"/>
  <c r="J41" i="2"/>
  <c r="J36" i="2"/>
  <c r="J39" i="2"/>
  <c r="F40" i="2"/>
  <c r="F39" i="2"/>
  <c r="E30" i="2"/>
  <c r="E32" i="2" s="1"/>
  <c r="E44" i="2"/>
  <c r="I44" i="2"/>
  <c r="AD26" i="2" l="1"/>
  <c r="AE26" i="2" s="1"/>
  <c r="AF26" i="2" s="1"/>
  <c r="AC43" i="2"/>
  <c r="AC40" i="2"/>
  <c r="AC39" i="2"/>
  <c r="AC27" i="2"/>
  <c r="AO50" i="2"/>
  <c r="AP50" i="2" s="1"/>
  <c r="AQ50" i="2" s="1"/>
  <c r="AR50" i="2" s="1"/>
  <c r="AS50" i="2" s="1"/>
  <c r="AT50" i="2" s="1"/>
  <c r="AU50" i="2" s="1"/>
  <c r="AV50" i="2" s="1"/>
  <c r="AW50" i="2" s="1"/>
  <c r="AX50" i="2" s="1"/>
  <c r="AY50" i="2" s="1"/>
  <c r="AZ50" i="2" s="1"/>
  <c r="BA50" i="2" s="1"/>
  <c r="BB50" i="2" s="1"/>
  <c r="BC50" i="2" s="1"/>
  <c r="BD50" i="2" s="1"/>
  <c r="BE50" i="2" s="1"/>
  <c r="BF50" i="2" s="1"/>
  <c r="BG50" i="2" s="1"/>
  <c r="BH50" i="2" s="1"/>
  <c r="BI50" i="2" s="1"/>
  <c r="BJ50" i="2" s="1"/>
  <c r="BK50" i="2" s="1"/>
  <c r="BL50" i="2" s="1"/>
  <c r="BM50" i="2" s="1"/>
  <c r="BN50" i="2" s="1"/>
  <c r="BO50" i="2" s="1"/>
  <c r="BP50" i="2" s="1"/>
  <c r="BQ50" i="2" s="1"/>
  <c r="BR50" i="2" s="1"/>
  <c r="BS50" i="2" s="1"/>
  <c r="BT50" i="2" s="1"/>
  <c r="BU50" i="2" s="1"/>
  <c r="BV50" i="2" s="1"/>
  <c r="BW50" i="2" s="1"/>
  <c r="BX50" i="2" s="1"/>
  <c r="BY50" i="2" s="1"/>
  <c r="BZ50" i="2" s="1"/>
  <c r="CA50" i="2" s="1"/>
  <c r="CB50" i="2" s="1"/>
  <c r="CC50" i="2" s="1"/>
  <c r="CD50" i="2" s="1"/>
  <c r="CE50" i="2" s="1"/>
  <c r="CF50" i="2" s="1"/>
  <c r="CG50" i="2" s="1"/>
  <c r="CH50" i="2" s="1"/>
  <c r="CI50" i="2" s="1"/>
  <c r="CJ50" i="2" s="1"/>
  <c r="CK50" i="2" s="1"/>
  <c r="CL50" i="2" s="1"/>
  <c r="CM50" i="2" s="1"/>
  <c r="CN50" i="2" s="1"/>
  <c r="CO50" i="2" s="1"/>
  <c r="CP50" i="2" s="1"/>
  <c r="CQ50" i="2" s="1"/>
  <c r="CR50" i="2" s="1"/>
  <c r="CS50" i="2" s="1"/>
  <c r="CT50" i="2" s="1"/>
  <c r="CU50" i="2" s="1"/>
  <c r="CV50" i="2" s="1"/>
  <c r="CW50" i="2" s="1"/>
  <c r="CX50" i="2" s="1"/>
  <c r="CY50" i="2" s="1"/>
  <c r="CZ50" i="2" s="1"/>
  <c r="DA50" i="2" s="1"/>
  <c r="DB50" i="2" s="1"/>
  <c r="DC50" i="2" s="1"/>
  <c r="DD50" i="2" s="1"/>
  <c r="DE50" i="2" s="1"/>
  <c r="DF50" i="2" s="1"/>
  <c r="DG50" i="2" s="1"/>
  <c r="DH50" i="2" s="1"/>
  <c r="DI50" i="2" s="1"/>
  <c r="DJ50" i="2" s="1"/>
  <c r="DK50" i="2" s="1"/>
  <c r="DL50" i="2" s="1"/>
  <c r="DM50" i="2" s="1"/>
  <c r="DN50" i="2" s="1"/>
  <c r="DO50" i="2" s="1"/>
  <c r="DP50" i="2" s="1"/>
  <c r="DQ50" i="2" s="1"/>
  <c r="DR50" i="2" s="1"/>
  <c r="DS50" i="2" s="1"/>
  <c r="DT50" i="2" s="1"/>
  <c r="DU50" i="2" s="1"/>
  <c r="DV50" i="2" s="1"/>
  <c r="DW50" i="2" s="1"/>
  <c r="DX50" i="2" s="1"/>
  <c r="DY50" i="2" s="1"/>
  <c r="DZ50" i="2" s="1"/>
  <c r="EA50" i="2" s="1"/>
  <c r="AE36" i="2"/>
  <c r="AE20" i="2"/>
  <c r="AD36" i="2"/>
  <c r="AD24" i="2"/>
  <c r="AD25" i="2"/>
  <c r="AD20" i="2"/>
  <c r="AD23" i="2"/>
  <c r="AD39" i="2" s="1"/>
  <c r="AF36" i="2"/>
  <c r="AF20" i="2"/>
  <c r="AG28" i="2"/>
  <c r="AG18" i="2"/>
  <c r="AF8" i="2"/>
  <c r="D32" i="2"/>
  <c r="F32" i="2" s="1"/>
  <c r="F30" i="2"/>
  <c r="H32" i="2"/>
  <c r="J32" i="2" s="1"/>
  <c r="J30" i="2"/>
  <c r="AG26" i="2" l="1"/>
  <c r="AG43" i="2" s="1"/>
  <c r="AD43" i="2"/>
  <c r="AC44" i="2"/>
  <c r="AC30" i="2"/>
  <c r="AC31" i="2" s="1"/>
  <c r="AC32" i="2" s="1"/>
  <c r="EB50" i="2"/>
  <c r="AD41" i="2"/>
  <c r="AE24" i="2"/>
  <c r="AD42" i="2"/>
  <c r="AE25" i="2"/>
  <c r="AE23" i="2"/>
  <c r="AD27" i="2"/>
  <c r="AD40" i="2"/>
  <c r="AG20" i="2"/>
  <c r="AG36" i="2"/>
  <c r="AH28" i="2"/>
  <c r="AH18" i="2"/>
  <c r="AG8" i="2"/>
  <c r="AH26" i="2" l="1"/>
  <c r="AH43" i="2" s="1"/>
  <c r="AE43" i="2"/>
  <c r="AF43" i="2"/>
  <c r="EC50" i="2"/>
  <c r="AE41" i="2"/>
  <c r="AF24" i="2"/>
  <c r="AE42" i="2"/>
  <c r="AF25" i="2"/>
  <c r="AE27" i="2"/>
  <c r="AF23" i="2"/>
  <c r="AE39" i="2"/>
  <c r="AE40" i="2"/>
  <c r="AD44" i="2"/>
  <c r="AD30" i="2"/>
  <c r="AD31" i="2" s="1"/>
  <c r="AD32" i="2" s="1"/>
  <c r="AH36" i="2"/>
  <c r="AH20" i="2"/>
  <c r="AI28" i="2"/>
  <c r="AI18" i="2"/>
  <c r="AH8" i="2"/>
  <c r="AI26" i="2" l="1"/>
  <c r="AI43" i="2" s="1"/>
  <c r="ED50" i="2"/>
  <c r="EE50" i="2" s="1"/>
  <c r="EF50" i="2" s="1"/>
  <c r="EG50" i="2" s="1"/>
  <c r="EH50" i="2" s="1"/>
  <c r="EI50" i="2" s="1"/>
  <c r="EJ50" i="2" s="1"/>
  <c r="EK50" i="2" s="1"/>
  <c r="EL50" i="2" s="1"/>
  <c r="EM50" i="2" s="1"/>
  <c r="EN50" i="2" s="1"/>
  <c r="EO50" i="2" s="1"/>
  <c r="EP50" i="2" s="1"/>
  <c r="EQ50" i="2" s="1"/>
  <c r="ER50" i="2" s="1"/>
  <c r="ES50" i="2" s="1"/>
  <c r="ET50" i="2" s="1"/>
  <c r="EU50" i="2" s="1"/>
  <c r="EV50" i="2" s="1"/>
  <c r="EW50" i="2" s="1"/>
  <c r="EX50" i="2" s="1"/>
  <c r="EY50" i="2" s="1"/>
  <c r="EZ50" i="2" s="1"/>
  <c r="FA50" i="2" s="1"/>
  <c r="FB50" i="2" s="1"/>
  <c r="FC50" i="2" s="1"/>
  <c r="FD50" i="2" s="1"/>
  <c r="FE50" i="2" s="1"/>
  <c r="FF50" i="2" s="1"/>
  <c r="FG50" i="2" s="1"/>
  <c r="FH50" i="2" s="1"/>
  <c r="FI50" i="2" s="1"/>
  <c r="FJ50" i="2" s="1"/>
  <c r="FK50" i="2" s="1"/>
  <c r="FL50" i="2" s="1"/>
  <c r="FM50" i="2" s="1"/>
  <c r="FN50" i="2" s="1"/>
  <c r="FO50" i="2" s="1"/>
  <c r="FP50" i="2" s="1"/>
  <c r="FQ50" i="2" s="1"/>
  <c r="FR50" i="2" s="1"/>
  <c r="FS50" i="2" s="1"/>
  <c r="FT50" i="2" s="1"/>
  <c r="FU50" i="2" s="1"/>
  <c r="FV50" i="2" s="1"/>
  <c r="FW50" i="2" s="1"/>
  <c r="FX50" i="2" s="1"/>
  <c r="FY50" i="2" s="1"/>
  <c r="FZ50" i="2" s="1"/>
  <c r="GA50" i="2" s="1"/>
  <c r="GB50" i="2" s="1"/>
  <c r="GC50" i="2" s="1"/>
  <c r="GD50" i="2" s="1"/>
  <c r="GE50" i="2" s="1"/>
  <c r="GF50" i="2" s="1"/>
  <c r="GG50" i="2" s="1"/>
  <c r="GH50" i="2" s="1"/>
  <c r="GI50" i="2" s="1"/>
  <c r="GJ50" i="2" s="1"/>
  <c r="GK50" i="2" s="1"/>
  <c r="GL50" i="2" s="1"/>
  <c r="GM50" i="2" s="1"/>
  <c r="GN50" i="2" s="1"/>
  <c r="GO50" i="2" s="1"/>
  <c r="GP50" i="2" s="1"/>
  <c r="GQ50" i="2" s="1"/>
  <c r="GR50" i="2" s="1"/>
  <c r="GS50" i="2" s="1"/>
  <c r="GT50" i="2" s="1"/>
  <c r="GU50" i="2" s="1"/>
  <c r="GV50" i="2" s="1"/>
  <c r="GW50" i="2" s="1"/>
  <c r="GX50" i="2" s="1"/>
  <c r="GY50" i="2" s="1"/>
  <c r="GZ50" i="2" s="1"/>
  <c r="HA50" i="2" s="1"/>
  <c r="HB50" i="2" s="1"/>
  <c r="HC50" i="2" s="1"/>
  <c r="HD50" i="2" s="1"/>
  <c r="HE50" i="2" s="1"/>
  <c r="HF50" i="2" s="1"/>
  <c r="HG50" i="2" s="1"/>
  <c r="HH50" i="2" s="1"/>
  <c r="HI50" i="2" s="1"/>
  <c r="HJ50" i="2" s="1"/>
  <c r="HK50" i="2" s="1"/>
  <c r="HL50" i="2" s="1"/>
  <c r="HM50" i="2" s="1"/>
  <c r="HN50" i="2" s="1"/>
  <c r="HO50" i="2" s="1"/>
  <c r="HP50" i="2" s="1"/>
  <c r="HQ50" i="2" s="1"/>
  <c r="HR50" i="2" s="1"/>
  <c r="HS50" i="2" s="1"/>
  <c r="HT50" i="2" s="1"/>
  <c r="HU50" i="2" s="1"/>
  <c r="HV50" i="2" s="1"/>
  <c r="HW50" i="2" s="1"/>
  <c r="HX50" i="2" s="1"/>
  <c r="AF41" i="2"/>
  <c r="AG24" i="2"/>
  <c r="AF42" i="2"/>
  <c r="AG25" i="2"/>
  <c r="AE30" i="2"/>
  <c r="AE44" i="2"/>
  <c r="AF27" i="2"/>
  <c r="AG23" i="2"/>
  <c r="AF40" i="2"/>
  <c r="AF39" i="2"/>
  <c r="AI20" i="2"/>
  <c r="AI36" i="2"/>
  <c r="AJ28" i="2"/>
  <c r="AJ18" i="2"/>
  <c r="AI8" i="2"/>
  <c r="AJ26" i="2" l="1"/>
  <c r="AJ43" i="2" s="1"/>
  <c r="HY50" i="2"/>
  <c r="HZ50" i="2" s="1"/>
  <c r="IA50" i="2" s="1"/>
  <c r="IB50" i="2" s="1"/>
  <c r="IC50" i="2" s="1"/>
  <c r="ID50" i="2" s="1"/>
  <c r="AP55" i="2"/>
  <c r="AP57" i="2" s="1"/>
  <c r="AG41" i="2"/>
  <c r="AH24" i="2"/>
  <c r="AG42" i="2"/>
  <c r="AH25" i="2"/>
  <c r="AE31" i="2"/>
  <c r="AE32" i="2" s="1"/>
  <c r="AF30" i="2"/>
  <c r="AF44" i="2"/>
  <c r="AG27" i="2"/>
  <c r="AH23" i="2"/>
  <c r="AG39" i="2"/>
  <c r="AG40" i="2"/>
  <c r="AJ36" i="2"/>
  <c r="AJ20" i="2"/>
  <c r="AK28" i="2"/>
  <c r="AK18" i="2"/>
  <c r="AJ8" i="2"/>
  <c r="AK26" i="2" l="1"/>
  <c r="AK43" i="2" s="1"/>
  <c r="AH41" i="2"/>
  <c r="AI24" i="2"/>
  <c r="AH42" i="2"/>
  <c r="AI25" i="2"/>
  <c r="AF31" i="2"/>
  <c r="AF32" i="2" s="1"/>
  <c r="AG30" i="2"/>
  <c r="AG44" i="2"/>
  <c r="AH27" i="2"/>
  <c r="AI23" i="2"/>
  <c r="AH39" i="2"/>
  <c r="AH40" i="2"/>
  <c r="AK20" i="2"/>
  <c r="AK36" i="2"/>
  <c r="AL28" i="2"/>
  <c r="AK8" i="2"/>
  <c r="AI41" i="2" l="1"/>
  <c r="AJ24" i="2"/>
  <c r="AI42" i="2"/>
  <c r="AJ25" i="2"/>
  <c r="AG31" i="2"/>
  <c r="AG32" i="2" s="1"/>
  <c r="AH30" i="2"/>
  <c r="AH31" i="2" s="1"/>
  <c r="AH32" i="2" s="1"/>
  <c r="AH44" i="2"/>
  <c r="AI27" i="2"/>
  <c r="AJ23" i="2"/>
  <c r="AI39" i="2"/>
  <c r="AI40" i="2"/>
  <c r="AL8" i="2"/>
  <c r="AL18" i="2"/>
  <c r="AL26" i="2" s="1"/>
  <c r="AJ41" i="2" l="1"/>
  <c r="AK24" i="2"/>
  <c r="AJ42" i="2"/>
  <c r="AK25" i="2"/>
  <c r="AI30" i="2"/>
  <c r="AI44" i="2"/>
  <c r="AJ27" i="2"/>
  <c r="AK23" i="2"/>
  <c r="AJ39" i="2"/>
  <c r="AJ40" i="2"/>
  <c r="AL43" i="2"/>
  <c r="AL20" i="2"/>
  <c r="AL36" i="2"/>
  <c r="AK41" i="2" l="1"/>
  <c r="AL24" i="2"/>
  <c r="AL41" i="2" s="1"/>
  <c r="AK42" i="2"/>
  <c r="AL25" i="2"/>
  <c r="AL42" i="2" s="1"/>
  <c r="AI31" i="2"/>
  <c r="AI32" i="2" s="1"/>
  <c r="AJ30" i="2"/>
  <c r="AJ44" i="2"/>
  <c r="AK27" i="2"/>
  <c r="AL23" i="2"/>
  <c r="AK40" i="2"/>
  <c r="AK39" i="2"/>
  <c r="AJ31" i="2" l="1"/>
  <c r="AJ32" i="2" s="1"/>
  <c r="AK30" i="2"/>
  <c r="AK31" i="2" s="1"/>
  <c r="AK32" i="2" s="1"/>
  <c r="AK44" i="2"/>
  <c r="AL39" i="2"/>
  <c r="AL40" i="2"/>
  <c r="AL27" i="2"/>
  <c r="AL30" i="2" l="1"/>
  <c r="AL44" i="2"/>
  <c r="AL31" i="2" l="1"/>
  <c r="AL32" i="2" s="1"/>
  <c r="AM32" i="2" s="1"/>
  <c r="AN32" i="2" s="1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AY32" i="2" s="1"/>
  <c r="AZ32" i="2" s="1"/>
  <c r="BA32" i="2" s="1"/>
  <c r="BB32" i="2" s="1"/>
  <c r="BC32" i="2" s="1"/>
  <c r="BD32" i="2" s="1"/>
  <c r="BE32" i="2" s="1"/>
  <c r="BF32" i="2" s="1"/>
  <c r="BG32" i="2" s="1"/>
  <c r="BH32" i="2" s="1"/>
  <c r="BI32" i="2" s="1"/>
  <c r="BJ32" i="2" s="1"/>
  <c r="BK32" i="2" s="1"/>
  <c r="BL32" i="2" s="1"/>
  <c r="BM32" i="2" s="1"/>
  <c r="BN32" i="2" s="1"/>
  <c r="BO32" i="2" s="1"/>
  <c r="BP32" i="2" s="1"/>
  <c r="BQ32" i="2" s="1"/>
  <c r="BR32" i="2" s="1"/>
  <c r="BS32" i="2" s="1"/>
  <c r="BT32" i="2" s="1"/>
  <c r="BU32" i="2" s="1"/>
  <c r="BV32" i="2" s="1"/>
  <c r="BW32" i="2" s="1"/>
  <c r="BX32" i="2" s="1"/>
  <c r="BY32" i="2" s="1"/>
  <c r="BZ32" i="2" s="1"/>
  <c r="CA32" i="2" s="1"/>
  <c r="CB32" i="2" s="1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EH32" i="2" s="1"/>
  <c r="EI32" i="2" s="1"/>
  <c r="EJ32" i="2" s="1"/>
  <c r="EK32" i="2" s="1"/>
  <c r="EL32" i="2" s="1"/>
  <c r="EM32" i="2" s="1"/>
  <c r="EN32" i="2" s="1"/>
  <c r="EO32" i="2" s="1"/>
  <c r="EP32" i="2" s="1"/>
  <c r="EQ32" i="2" s="1"/>
  <c r="ER32" i="2" s="1"/>
  <c r="ES32" i="2" s="1"/>
  <c r="ET32" i="2" s="1"/>
  <c r="EU32" i="2" s="1"/>
  <c r="EV32" i="2" s="1"/>
  <c r="EW32" i="2" s="1"/>
  <c r="EX32" i="2" s="1"/>
  <c r="EY32" i="2" s="1"/>
  <c r="EZ32" i="2" s="1"/>
  <c r="FA32" i="2" s="1"/>
  <c r="FB32" i="2" s="1"/>
  <c r="FC32" i="2" s="1"/>
  <c r="FD32" i="2" s="1"/>
  <c r="FE32" i="2" s="1"/>
  <c r="FF32" i="2" s="1"/>
  <c r="FG32" i="2" s="1"/>
  <c r="FH32" i="2" s="1"/>
  <c r="FI32" i="2" s="1"/>
  <c r="FJ32" i="2" s="1"/>
  <c r="FK32" i="2" s="1"/>
  <c r="FL32" i="2" s="1"/>
  <c r="FM32" i="2" s="1"/>
  <c r="FN32" i="2" s="1"/>
  <c r="FO32" i="2" s="1"/>
  <c r="FP32" i="2" s="1"/>
  <c r="FQ32" i="2" s="1"/>
  <c r="FR32" i="2" s="1"/>
  <c r="FS32" i="2" s="1"/>
  <c r="FT32" i="2" s="1"/>
  <c r="FU32" i="2" s="1"/>
  <c r="FV32" i="2" s="1"/>
  <c r="FW32" i="2" s="1"/>
  <c r="FX32" i="2" s="1"/>
  <c r="FY32" i="2" s="1"/>
  <c r="FZ32" i="2" s="1"/>
  <c r="GA32" i="2" s="1"/>
  <c r="GB32" i="2" s="1"/>
  <c r="GC32" i="2" s="1"/>
  <c r="GD32" i="2" s="1"/>
  <c r="GE32" i="2" s="1"/>
  <c r="GF32" i="2" s="1"/>
  <c r="GG32" i="2" s="1"/>
  <c r="GH32" i="2" s="1"/>
  <c r="GI32" i="2" s="1"/>
  <c r="GJ32" i="2" s="1"/>
  <c r="GK32" i="2" s="1"/>
  <c r="GL32" i="2" s="1"/>
  <c r="GM32" i="2" s="1"/>
  <c r="GN32" i="2" s="1"/>
  <c r="GO32" i="2" s="1"/>
  <c r="GP32" i="2" s="1"/>
  <c r="GQ32" i="2" s="1"/>
  <c r="GR32" i="2" s="1"/>
  <c r="GS32" i="2" s="1"/>
  <c r="GT32" i="2" s="1"/>
  <c r="GU32" i="2" s="1"/>
  <c r="GV32" i="2" s="1"/>
  <c r="GW32" i="2" s="1"/>
  <c r="GX32" i="2" s="1"/>
  <c r="GY32" i="2" s="1"/>
  <c r="GZ32" i="2" s="1"/>
  <c r="HA32" i="2" s="1"/>
  <c r="HB32" i="2" s="1"/>
  <c r="HC32" i="2" s="1"/>
  <c r="HD32" i="2" s="1"/>
  <c r="HE32" i="2" s="1"/>
  <c r="HF32" i="2" s="1"/>
  <c r="HG32" i="2" s="1"/>
  <c r="HH32" i="2" s="1"/>
  <c r="HI32" i="2" s="1"/>
  <c r="HJ32" i="2" s="1"/>
  <c r="HK32" i="2" s="1"/>
  <c r="HL32" i="2" s="1"/>
  <c r="HM32" i="2" s="1"/>
  <c r="HN32" i="2" s="1"/>
  <c r="HO32" i="2" s="1"/>
  <c r="HP32" i="2" s="1"/>
  <c r="HQ32" i="2" s="1"/>
  <c r="HR32" i="2" s="1"/>
  <c r="HS32" i="2" s="1"/>
  <c r="HT32" i="2" s="1"/>
  <c r="HU32" i="2" s="1"/>
  <c r="HV32" i="2" s="1"/>
  <c r="HW32" i="2" s="1"/>
  <c r="HX32" i="2" s="1"/>
  <c r="HY32" i="2" s="1"/>
  <c r="HZ32" i="2" s="1"/>
  <c r="IA32" i="2" s="1"/>
  <c r="IB32" i="2" s="1"/>
  <c r="IC32" i="2" s="1"/>
  <c r="ID32" i="2" s="1"/>
  <c r="AP42" i="2" s="1"/>
  <c r="AP44" i="2" s="1"/>
</calcChain>
</file>

<file path=xl/sharedStrings.xml><?xml version="1.0" encoding="utf-8"?>
<sst xmlns="http://schemas.openxmlformats.org/spreadsheetml/2006/main" count="70" uniqueCount="56">
  <si>
    <t>P</t>
  </si>
  <si>
    <t>S</t>
  </si>
  <si>
    <t>MC</t>
  </si>
  <si>
    <t>C</t>
  </si>
  <si>
    <t>D</t>
  </si>
  <si>
    <t>EV</t>
  </si>
  <si>
    <t xml:space="preserve">CEO </t>
  </si>
  <si>
    <t>CFO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</si>
  <si>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</si>
  <si>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</si>
  <si>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</si>
  <si>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</si>
  <si>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</si>
  <si>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</si>
  <si>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</si>
  <si>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</si>
  <si>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</si>
  <si>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</si>
  <si>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Q426</t>
  </si>
  <si>
    <t>Q326</t>
  </si>
  <si>
    <t>FY25</t>
  </si>
  <si>
    <t xml:space="preserve">Revenue </t>
  </si>
  <si>
    <t xml:space="preserve">Growth YY </t>
  </si>
  <si>
    <t>Customer/Merchant fees</t>
  </si>
  <si>
    <t>Advertising</t>
  </si>
  <si>
    <t>Sg&amp;A</t>
  </si>
  <si>
    <t>Operating Income</t>
  </si>
  <si>
    <t>Interest Expense</t>
  </si>
  <si>
    <t>Other Income</t>
  </si>
  <si>
    <t xml:space="preserve">EBT </t>
  </si>
  <si>
    <t>T</t>
  </si>
  <si>
    <t xml:space="preserve">Net Income </t>
  </si>
  <si>
    <t>QoQ Chg</t>
  </si>
  <si>
    <t>YoY Chg</t>
  </si>
  <si>
    <t xml:space="preserve">Margins </t>
  </si>
  <si>
    <t>GM</t>
  </si>
  <si>
    <t>OM</t>
  </si>
  <si>
    <t>Shrs</t>
  </si>
  <si>
    <t xml:space="preserve">Active Customers </t>
  </si>
  <si>
    <t>LTM Net Rev Per Active Customer</t>
  </si>
  <si>
    <t xml:space="preserve">Avg Order Value </t>
  </si>
  <si>
    <t>Orders Delivered</t>
  </si>
  <si>
    <t>Terminal</t>
  </si>
  <si>
    <t xml:space="preserve">Discount </t>
  </si>
  <si>
    <t>NPV</t>
  </si>
  <si>
    <t>shares</t>
  </si>
  <si>
    <t xml:space="preserve">Estimate </t>
  </si>
  <si>
    <t>Current</t>
  </si>
  <si>
    <t>CFFO</t>
  </si>
  <si>
    <t>Capex</t>
  </si>
  <si>
    <t xml:space="preserve">FCF </t>
  </si>
  <si>
    <t>FTEs</t>
  </si>
  <si>
    <t xml:space="preserve">Assumd ttl comp / yr </t>
  </si>
  <si>
    <t xml:space="preserve">FTEs to be Fired </t>
  </si>
  <si>
    <t xml:space="preserve">Est P&amp;L reduction </t>
  </si>
  <si>
    <t>Impact to 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</si>
</sst>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E&quot;"/>
    <numFmt numFmtId="165" formatCode="#,##0.0"/>
    <numFmt numFmtId="166" formatCode="0.0%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2"/>
      <color rgb="FF0432FF"/>
      <name val="Arial"/>
      <family val="2"/>
    </font>
    <font>
      <b/>
      <sz val="12"/>
      <color rgb="FF0432FF"/>
      <name val="Arial"/>
      <family val="2"/>
    </font>
    <font>
      <i/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3" fontId="0" fillId="0" borderId="0" xfId="0" applyNumberFormat="1"/>
    <xf numFmtId="1" fontId="1" fillId="0" borderId="0" xfId="0" applyNumberFormat="1" applyFont="1"/>
    <xf numFmtId="3" fontId="2" fillId="0" borderId="1" xfId="0" applyNumberFormat="1" applyFont="1" applyBorder="1"/>
    <xf numFmtId="3" fontId="2" fillId="0" borderId="0" xfId="0" applyNumberFormat="1" applyFont="1"/>
    <xf numFmtId="3" fontId="3" fillId="0" borderId="0" xfId="0" applyNumberFormat="1" applyFont="1"/>
    <xf numFmtId="3" fontId="1" fillId="0" borderId="0" xfId="0" applyNumberFormat="1" applyFont="1"/>
    <xf numFmtId="9" fontId="1" fillId="0" borderId="0" xfId="0" applyNumberFormat="1" applyFont="1"/>
    <xf numFmtId="9" fontId="3" fillId="0" borderId="0" xfId="0" applyNumberFormat="1" applyFont="1"/>
    <xf numFmtId="1" fontId="1" fillId="0" borderId="0" xfId="0" applyNumberFormat="1" applyFont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1" xfId="0" applyNumberFormat="1" applyFont="1" applyBorder="1"/>
    <xf numFmtId="164" fontId="1" fillId="0" borderId="0" xfId="0" applyNumberFormat="1" applyFont="1"/>
    <xf numFmtId="165" fontId="1" fillId="0" borderId="0" xfId="0" applyNumberFormat="1" applyFont="1"/>
    <xf numFmtId="1" fontId="4" fillId="0" borderId="0" xfId="0" applyNumberFormat="1" applyFont="1" applyAlignment="1">
      <alignment horizontal="right"/>
    </xf>
    <xf numFmtId="1" fontId="4" fillId="0" borderId="0" xfId="0" applyNumberFormat="1" applyFont="1"/>
    <xf numFmtId="1" fontId="6" fillId="0" borderId="0" xfId="0" applyNumberFormat="1" applyFont="1" applyAlignment="1">
      <alignment horizontal="right"/>
    </xf>
    <xf numFmtId="1" fontId="6" fillId="0" borderId="0" xfId="0" applyNumberFormat="1" applyFont="1"/>
    <xf numFmtId="9" fontId="6" fillId="0" borderId="0" xfId="0" applyNumberFormat="1" applyFont="1"/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165" fontId="6" fillId="0" borderId="0" xfId="0" applyNumberFormat="1" applyFont="1"/>
    <xf numFmtId="3" fontId="5" fillId="0" borderId="0" xfId="0" applyNumberFormat="1" applyFont="1" applyAlignment="1">
      <alignment horizontal="right"/>
    </xf>
    <xf numFmtId="3" fontId="5" fillId="0" borderId="0" xfId="0" applyNumberFormat="1" applyFont="1"/>
    <xf numFmtId="165" fontId="5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3" fontId="7" fillId="0" borderId="0" xfId="0" applyNumberFormat="1" applyFont="1"/>
    <xf numFmtId="4" fontId="7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0</xdr:row>
      <xdr:rowOff>63500</xdr:rowOff>
    </xdr:from>
    <xdr:to>
      <xdr:col>28</xdr:col>
      <xdr:colOff>101600</xdr:colOff>
      <xdr:row>52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AE6C6AF-52F3-89C3-8D91-255B4AB71DDD}"/>
            </a:ext>
          </a:extLst>
        </xdr:cNvPr>
        <xdr:cNvCxnSpPr/>
      </xdr:nvCxnSpPr>
      <xdr:spPr>
        <a:xfrm>
          <a:off x="15735300" y="63500"/>
          <a:ext cx="63500" cy="7797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469900</xdr:colOff>
      <xdr:row>0</xdr:row>
      <xdr:rowOff>25400</xdr:rowOff>
    </xdr:from>
    <xdr:to>
      <xdr:col>10</xdr:col>
      <xdr:colOff>50800</xdr:colOff>
      <xdr:row>52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255BDA8-16AC-0445-8C78-1D331E2D2583}"/>
            </a:ext>
          </a:extLst>
        </xdr:cNvPr>
        <xdr:cNvCxnSpPr/>
      </xdr:nvCxnSpPr>
      <xdr:spPr>
        <a:xfrm>
          <a:off x="5803900" y="25400"/>
          <a:ext cx="63500" cy="7797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CCE1-62FF-DA49-960D-48D85B6CFBBD}">
  <dimension ref="B6:I12"/>
  <sheetViews>
    <sheetView workbookViewId="0">
      <selection activeCell="G10" sqref="G10"/>
    </sheetView>
  </sheetViews>
  <sheetFormatPr baseColWidth="10" defaultRowHeight="16" x14ac:dyDescent="0.2"/>
  <cols>
    <col min="1" max="1" width="10.83203125" style="1"/>
    <col min="2" max="2" width="5.1640625" style="1" bestFit="1" customWidth="1"/>
    <col min="3" max="6" width="10.83203125" style="1"/>
    <col min="7" max="7" width="4" style="1" bestFit="1" customWidth="1"/>
    <col min="8" max="8" width="6.6640625" style="1" bestFit="1" customWidth="1"/>
    <col min="9" max="9" width="5.1640625" style="1" bestFit="1" customWidth="1"/>
    <col min="10" max="16384" width="10.83203125" style="1"/>
  </cols>
  <sheetData>
    <row r="6" spans="2:9" x14ac:dyDescent="0.2">
      <c r="B6" s="1" t="s">
        <v>6</v>
      </c>
    </row>
    <row r="7" spans="2:9" x14ac:dyDescent="0.2">
      <c r="B7" s="1" t="s">
        <v>7</v>
      </c>
      <c r="G7" s="1" t="s">
        <v>0</v>
      </c>
      <c r="H7" s="1">
        <v>76.33</v>
      </c>
    </row>
    <row r="8" spans="2:9" x14ac:dyDescent="0.2">
      <c r="G8" s="1" t="s">
        <v>1</v>
      </c>
      <c r="H8" s="1">
        <f>108.7695677+21.978295</f>
        <v>130.74786269999998</v>
      </c>
      <c r="I8" s="1" t="s">
        <v>20</v>
      </c>
    </row>
    <row r="9" spans="2:9" x14ac:dyDescent="0.2">
      <c r="G9" s="1" t="s">
        <v>2</v>
      </c>
      <c r="H9" s="1">
        <f>+H7*H8</f>
        <v>9979.9843598909993</v>
      </c>
    </row>
    <row r="10" spans="2:9" x14ac:dyDescent="0.2">
      <c r="G10" s="1" t="s">
        <v>3</v>
      </c>
      <c r="H10" s="1">
        <f>1476+66</f>
        <v>1542</v>
      </c>
      <c r="I10" s="1" t="str">
        <f>+I8</f>
        <v>FY25</v>
      </c>
    </row>
    <row r="11" spans="2:9" x14ac:dyDescent="0.2">
      <c r="G11" s="1" t="s">
        <v>4</v>
      </c>
      <c r="H11" s="1">
        <v>3233</v>
      </c>
      <c r="I11" s="1" t="str">
        <f>+I10</f>
        <v>FY25</v>
      </c>
    </row>
    <row r="12" spans="2:9" x14ac:dyDescent="0.2">
      <c r="G12" s="1" t="s">
        <v>5</v>
      </c>
      <c r="H12" s="1">
        <f>+H9-H10+H11</f>
        <v>11670.984359890999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1572-409D-D343-9357-A6BD645F8CC3}">
  <dimension ref="B1:IF58"/>
  <sheetViews>
    <sheetView showGridLines="0" tabSelected="1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Y45" sqref="Y45"/>
    </sheetView>
  </sheetViews>
  <sheetFormatPr baseColWidth="10" defaultRowHeight="16" x14ac:dyDescent="0.2"/>
  <cols>
    <col min="1" max="1" width="2" style="6" customWidth="1"/>
    <col min="2" max="2" width="32.6640625" style="6" bestFit="1" customWidth="1"/>
    <col min="3" max="10" width="6.33203125" style="13" bestFit="1" customWidth="1"/>
    <col min="11" max="14" width="6.1640625" style="13" bestFit="1" customWidth="1"/>
    <col min="15" max="17" width="10.83203125" style="6"/>
    <col min="18" max="23" width="5.83203125" style="6" bestFit="1" customWidth="1"/>
    <col min="24" max="25" width="7.5" style="6" bestFit="1" customWidth="1"/>
    <col min="26" max="27" width="9.33203125" style="6" bestFit="1" customWidth="1"/>
    <col min="28" max="28" width="13.33203125" style="6" bestFit="1" customWidth="1"/>
    <col min="29" max="29" width="13" style="6" bestFit="1" customWidth="1"/>
    <col min="30" max="38" width="7.5" style="6" bestFit="1" customWidth="1"/>
    <col min="39" max="16384" width="10.83203125" style="6"/>
  </cols>
  <sheetData>
    <row r="1" spans="2:238" x14ac:dyDescent="0.2">
      <c r="AM1" s="6">
        <v>1</v>
      </c>
      <c r="AN1" s="6">
        <f>+AM1+1</f>
        <v>2</v>
      </c>
      <c r="AO1" s="6">
        <f t="shared" ref="AO1:CZ1" si="0">+AN1+1</f>
        <v>3</v>
      </c>
      <c r="AP1" s="6">
        <f t="shared" si="0"/>
        <v>4</v>
      </c>
      <c r="AQ1" s="6">
        <f t="shared" si="0"/>
        <v>5</v>
      </c>
      <c r="AR1" s="6">
        <f t="shared" si="0"/>
        <v>6</v>
      </c>
      <c r="AS1" s="6">
        <f t="shared" si="0"/>
        <v>7</v>
      </c>
      <c r="AT1" s="6">
        <f t="shared" si="0"/>
        <v>8</v>
      </c>
      <c r="AU1" s="6">
        <f t="shared" si="0"/>
        <v>9</v>
      </c>
      <c r="AV1" s="6">
        <f t="shared" si="0"/>
        <v>10</v>
      </c>
      <c r="AW1" s="6">
        <f t="shared" si="0"/>
        <v>11</v>
      </c>
      <c r="AX1" s="6">
        <f t="shared" si="0"/>
        <v>12</v>
      </c>
      <c r="AY1" s="6">
        <f t="shared" si="0"/>
        <v>13</v>
      </c>
      <c r="AZ1" s="6">
        <f t="shared" si="0"/>
        <v>14</v>
      </c>
      <c r="BA1" s="6">
        <f t="shared" si="0"/>
        <v>15</v>
      </c>
      <c r="BB1" s="6">
        <f t="shared" si="0"/>
        <v>16</v>
      </c>
      <c r="BC1" s="6">
        <f t="shared" si="0"/>
        <v>17</v>
      </c>
      <c r="BD1" s="6">
        <f t="shared" si="0"/>
        <v>18</v>
      </c>
      <c r="BE1" s="6">
        <f t="shared" si="0"/>
        <v>19</v>
      </c>
      <c r="BF1" s="6">
        <f t="shared" si="0"/>
        <v>20</v>
      </c>
      <c r="BG1" s="6">
        <f t="shared" si="0"/>
        <v>21</v>
      </c>
      <c r="BH1" s="6">
        <f t="shared" si="0"/>
        <v>22</v>
      </c>
      <c r="BI1" s="6">
        <f t="shared" si="0"/>
        <v>23</v>
      </c>
      <c r="BJ1" s="6">
        <f t="shared" si="0"/>
        <v>24</v>
      </c>
      <c r="BK1" s="6">
        <f t="shared" si="0"/>
        <v>25</v>
      </c>
      <c r="BL1" s="6">
        <f t="shared" si="0"/>
        <v>26</v>
      </c>
      <c r="BM1" s="6">
        <f t="shared" si="0"/>
        <v>27</v>
      </c>
      <c r="BN1" s="6">
        <f t="shared" si="0"/>
        <v>28</v>
      </c>
      <c r="BO1" s="6">
        <f t="shared" si="0"/>
        <v>29</v>
      </c>
      <c r="BP1" s="6">
        <f t="shared" si="0"/>
        <v>30</v>
      </c>
      <c r="BQ1" s="6">
        <f t="shared" si="0"/>
        <v>31</v>
      </c>
      <c r="BR1" s="6">
        <f t="shared" si="0"/>
        <v>32</v>
      </c>
      <c r="BS1" s="6">
        <f t="shared" si="0"/>
        <v>33</v>
      </c>
      <c r="BT1" s="6">
        <f t="shared" si="0"/>
        <v>34</v>
      </c>
      <c r="BU1" s="6">
        <f t="shared" si="0"/>
        <v>35</v>
      </c>
      <c r="BV1" s="6">
        <f t="shared" si="0"/>
        <v>36</v>
      </c>
      <c r="BW1" s="6">
        <f t="shared" si="0"/>
        <v>37</v>
      </c>
      <c r="BX1" s="6">
        <f t="shared" si="0"/>
        <v>38</v>
      </c>
      <c r="BY1" s="6">
        <f t="shared" si="0"/>
        <v>39</v>
      </c>
      <c r="BZ1" s="6">
        <f t="shared" si="0"/>
        <v>40</v>
      </c>
      <c r="CA1" s="6">
        <f t="shared" si="0"/>
        <v>41</v>
      </c>
      <c r="CB1" s="6">
        <f t="shared" si="0"/>
        <v>42</v>
      </c>
      <c r="CC1" s="6">
        <f t="shared" si="0"/>
        <v>43</v>
      </c>
      <c r="CD1" s="6">
        <f t="shared" si="0"/>
        <v>44</v>
      </c>
      <c r="CE1" s="6">
        <f t="shared" si="0"/>
        <v>45</v>
      </c>
      <c r="CF1" s="6">
        <f t="shared" si="0"/>
        <v>46</v>
      </c>
      <c r="CG1" s="6">
        <f t="shared" si="0"/>
        <v>47</v>
      </c>
      <c r="CH1" s="6">
        <f t="shared" si="0"/>
        <v>48</v>
      </c>
      <c r="CI1" s="6">
        <f t="shared" si="0"/>
        <v>49</v>
      </c>
      <c r="CJ1" s="6">
        <f t="shared" si="0"/>
        <v>50</v>
      </c>
      <c r="CK1" s="6">
        <f t="shared" si="0"/>
        <v>51</v>
      </c>
      <c r="CL1" s="6">
        <f t="shared" si="0"/>
        <v>52</v>
      </c>
      <c r="CM1" s="6">
        <f t="shared" si="0"/>
        <v>53</v>
      </c>
      <c r="CN1" s="6">
        <f t="shared" si="0"/>
        <v>54</v>
      </c>
      <c r="CO1" s="6">
        <f t="shared" si="0"/>
        <v>55</v>
      </c>
      <c r="CP1" s="6">
        <f t="shared" si="0"/>
        <v>56</v>
      </c>
      <c r="CQ1" s="6">
        <f t="shared" si="0"/>
        <v>57</v>
      </c>
      <c r="CR1" s="6">
        <f t="shared" si="0"/>
        <v>58</v>
      </c>
      <c r="CS1" s="6">
        <f t="shared" si="0"/>
        <v>59</v>
      </c>
      <c r="CT1" s="6">
        <f t="shared" si="0"/>
        <v>60</v>
      </c>
      <c r="CU1" s="6">
        <f t="shared" si="0"/>
        <v>61</v>
      </c>
      <c r="CV1" s="6">
        <f t="shared" si="0"/>
        <v>62</v>
      </c>
      <c r="CW1" s="6">
        <f t="shared" si="0"/>
        <v>63</v>
      </c>
      <c r="CX1" s="6">
        <f t="shared" si="0"/>
        <v>64</v>
      </c>
      <c r="CY1" s="6">
        <f t="shared" si="0"/>
        <v>65</v>
      </c>
      <c r="CZ1" s="6">
        <f t="shared" si="0"/>
        <v>66</v>
      </c>
      <c r="DA1" s="6">
        <f t="shared" ref="DA1:FL1" si="1">+CZ1+1</f>
        <v>67</v>
      </c>
      <c r="DB1" s="6">
        <f t="shared" si="1"/>
        <v>68</v>
      </c>
      <c r="DC1" s="6">
        <f t="shared" si="1"/>
        <v>69</v>
      </c>
      <c r="DD1" s="6">
        <f t="shared" si="1"/>
        <v>70</v>
      </c>
      <c r="DE1" s="6">
        <f t="shared" si="1"/>
        <v>71</v>
      </c>
      <c r="DF1" s="6">
        <f t="shared" si="1"/>
        <v>72</v>
      </c>
      <c r="DG1" s="6">
        <f t="shared" si="1"/>
        <v>73</v>
      </c>
      <c r="DH1" s="6">
        <f t="shared" si="1"/>
        <v>74</v>
      </c>
      <c r="DI1" s="6">
        <f t="shared" si="1"/>
        <v>75</v>
      </c>
      <c r="DJ1" s="6">
        <f t="shared" si="1"/>
        <v>76</v>
      </c>
      <c r="DK1" s="6">
        <f t="shared" si="1"/>
        <v>77</v>
      </c>
      <c r="DL1" s="6">
        <f t="shared" si="1"/>
        <v>78</v>
      </c>
      <c r="DM1" s="6">
        <f t="shared" si="1"/>
        <v>79</v>
      </c>
      <c r="DN1" s="6">
        <f t="shared" si="1"/>
        <v>80</v>
      </c>
      <c r="DO1" s="6">
        <f t="shared" si="1"/>
        <v>81</v>
      </c>
      <c r="DP1" s="6">
        <f t="shared" si="1"/>
        <v>82</v>
      </c>
      <c r="DQ1" s="6">
        <f t="shared" si="1"/>
        <v>83</v>
      </c>
      <c r="DR1" s="6">
        <f t="shared" si="1"/>
        <v>84</v>
      </c>
      <c r="DS1" s="6">
        <f t="shared" si="1"/>
        <v>85</v>
      </c>
      <c r="DT1" s="6">
        <f t="shared" si="1"/>
        <v>86</v>
      </c>
      <c r="DU1" s="6">
        <f t="shared" si="1"/>
        <v>87</v>
      </c>
      <c r="DV1" s="6">
        <f t="shared" si="1"/>
        <v>88</v>
      </c>
      <c r="DW1" s="6">
        <f t="shared" si="1"/>
        <v>89</v>
      </c>
      <c r="DX1" s="6">
        <f t="shared" si="1"/>
        <v>90</v>
      </c>
      <c r="DY1" s="6">
        <f t="shared" si="1"/>
        <v>91</v>
      </c>
      <c r="DZ1" s="6">
        <f t="shared" si="1"/>
        <v>92</v>
      </c>
      <c r="EA1" s="6">
        <f t="shared" si="1"/>
        <v>93</v>
      </c>
      <c r="EB1" s="6">
        <f t="shared" si="1"/>
        <v>94</v>
      </c>
      <c r="EC1" s="6">
        <f t="shared" si="1"/>
        <v>95</v>
      </c>
      <c r="ED1" s="6">
        <f t="shared" si="1"/>
        <v>96</v>
      </c>
      <c r="EE1" s="6">
        <f t="shared" si="1"/>
        <v>97</v>
      </c>
      <c r="EF1" s="6">
        <f t="shared" si="1"/>
        <v>98</v>
      </c>
      <c r="EG1" s="6">
        <f t="shared" si="1"/>
        <v>99</v>
      </c>
      <c r="EH1" s="6">
        <f t="shared" si="1"/>
        <v>100</v>
      </c>
      <c r="EI1" s="6">
        <f t="shared" si="1"/>
        <v>101</v>
      </c>
      <c r="EJ1" s="6">
        <f t="shared" si="1"/>
        <v>102</v>
      </c>
      <c r="EK1" s="6">
        <f t="shared" si="1"/>
        <v>103</v>
      </c>
      <c r="EL1" s="6">
        <f t="shared" si="1"/>
        <v>104</v>
      </c>
      <c r="EM1" s="6">
        <f t="shared" si="1"/>
        <v>105</v>
      </c>
      <c r="EN1" s="6">
        <f t="shared" si="1"/>
        <v>106</v>
      </c>
      <c r="EO1" s="6">
        <f t="shared" si="1"/>
        <v>107</v>
      </c>
      <c r="EP1" s="6">
        <f t="shared" si="1"/>
        <v>108</v>
      </c>
      <c r="EQ1" s="6">
        <f t="shared" si="1"/>
        <v>109</v>
      </c>
      <c r="ER1" s="6">
        <f t="shared" si="1"/>
        <v>110</v>
      </c>
      <c r="ES1" s="6">
        <f t="shared" si="1"/>
        <v>111</v>
      </c>
      <c r="ET1" s="6">
        <f t="shared" si="1"/>
        <v>112</v>
      </c>
      <c r="EU1" s="6">
        <f t="shared" si="1"/>
        <v>113</v>
      </c>
      <c r="EV1" s="6">
        <f t="shared" si="1"/>
        <v>114</v>
      </c>
      <c r="EW1" s="6">
        <f t="shared" si="1"/>
        <v>115</v>
      </c>
      <c r="EX1" s="6">
        <f t="shared" si="1"/>
        <v>116</v>
      </c>
      <c r="EY1" s="6">
        <f t="shared" si="1"/>
        <v>117</v>
      </c>
      <c r="EZ1" s="6">
        <f t="shared" si="1"/>
        <v>118</v>
      </c>
      <c r="FA1" s="6">
        <f t="shared" si="1"/>
        <v>119</v>
      </c>
      <c r="FB1" s="6">
        <f t="shared" si="1"/>
        <v>120</v>
      </c>
      <c r="FC1" s="6">
        <f t="shared" si="1"/>
        <v>121</v>
      </c>
      <c r="FD1" s="6">
        <f t="shared" si="1"/>
        <v>122</v>
      </c>
      <c r="FE1" s="6">
        <f t="shared" si="1"/>
        <v>123</v>
      </c>
      <c r="FF1" s="6">
        <f t="shared" si="1"/>
        <v>124</v>
      </c>
      <c r="FG1" s="6">
        <f t="shared" si="1"/>
        <v>125</v>
      </c>
      <c r="FH1" s="6">
        <f t="shared" si="1"/>
        <v>126</v>
      </c>
      <c r="FI1" s="6">
        <f t="shared" si="1"/>
        <v>127</v>
      </c>
      <c r="FJ1" s="6">
        <f t="shared" si="1"/>
        <v>128</v>
      </c>
      <c r="FK1" s="6">
        <f t="shared" si="1"/>
        <v>129</v>
      </c>
      <c r="FL1" s="6">
        <f t="shared" si="1"/>
        <v>130</v>
      </c>
      <c r="FM1" s="6">
        <f t="shared" ref="FM1:GO1" si="2">+FL1+1</f>
        <v>131</v>
      </c>
      <c r="FN1" s="6">
        <f t="shared" si="2"/>
        <v>132</v>
      </c>
      <c r="FO1" s="6">
        <f t="shared" si="2"/>
        <v>133</v>
      </c>
      <c r="FP1" s="6">
        <f t="shared" si="2"/>
        <v>134</v>
      </c>
      <c r="FQ1" s="6">
        <f t="shared" si="2"/>
        <v>135</v>
      </c>
      <c r="FR1" s="6">
        <f t="shared" si="2"/>
        <v>136</v>
      </c>
      <c r="FS1" s="6">
        <f t="shared" si="2"/>
        <v>137</v>
      </c>
      <c r="FT1" s="6">
        <f t="shared" si="2"/>
        <v>138</v>
      </c>
      <c r="FU1" s="6">
        <f t="shared" si="2"/>
        <v>139</v>
      </c>
      <c r="FV1" s="6">
        <f t="shared" si="2"/>
        <v>140</v>
      </c>
      <c r="FW1" s="6">
        <f t="shared" si="2"/>
        <v>141</v>
      </c>
      <c r="FX1" s="6">
        <f t="shared" si="2"/>
        <v>142</v>
      </c>
      <c r="FY1" s="6">
        <f t="shared" si="2"/>
        <v>143</v>
      </c>
      <c r="FZ1" s="6">
        <f t="shared" si="2"/>
        <v>144</v>
      </c>
      <c r="GA1" s="6">
        <f t="shared" si="2"/>
        <v>145</v>
      </c>
      <c r="GB1" s="6">
        <f t="shared" si="2"/>
        <v>146</v>
      </c>
      <c r="GC1" s="6">
        <f t="shared" si="2"/>
        <v>147</v>
      </c>
      <c r="GD1" s="6">
        <f t="shared" si="2"/>
        <v>148</v>
      </c>
      <c r="GE1" s="6">
        <f t="shared" si="2"/>
        <v>149</v>
      </c>
      <c r="GF1" s="6">
        <f t="shared" si="2"/>
        <v>150</v>
      </c>
      <c r="GG1" s="6">
        <f t="shared" si="2"/>
        <v>151</v>
      </c>
      <c r="GH1" s="6">
        <f t="shared" si="2"/>
        <v>152</v>
      </c>
      <c r="GI1" s="6">
        <f t="shared" si="2"/>
        <v>153</v>
      </c>
      <c r="GJ1" s="6">
        <f t="shared" si="2"/>
        <v>154</v>
      </c>
      <c r="GK1" s="6">
        <f t="shared" si="2"/>
        <v>155</v>
      </c>
      <c r="GL1" s="6">
        <f t="shared" si="2"/>
        <v>156</v>
      </c>
      <c r="GM1" s="6">
        <f t="shared" si="2"/>
        <v>157</v>
      </c>
      <c r="GN1" s="6">
        <f t="shared" si="2"/>
        <v>158</v>
      </c>
      <c r="GO1" s="6">
        <f t="shared" si="2"/>
        <v>159</v>
      </c>
      <c r="GP1" s="6">
        <f t="shared" ref="GP1:GZ1" si="3">+GO1+1</f>
        <v>160</v>
      </c>
      <c r="GQ1" s="6">
        <f t="shared" si="3"/>
        <v>161</v>
      </c>
      <c r="GR1" s="6">
        <f t="shared" si="3"/>
        <v>162</v>
      </c>
      <c r="GS1" s="6">
        <f t="shared" si="3"/>
        <v>163</v>
      </c>
      <c r="GT1" s="6">
        <f t="shared" si="3"/>
        <v>164</v>
      </c>
      <c r="GU1" s="6">
        <f t="shared" si="3"/>
        <v>165</v>
      </c>
      <c r="GV1" s="6">
        <f t="shared" si="3"/>
        <v>166</v>
      </c>
      <c r="GW1" s="6">
        <f t="shared" si="3"/>
        <v>167</v>
      </c>
      <c r="GX1" s="6">
        <f t="shared" si="3"/>
        <v>168</v>
      </c>
      <c r="GY1" s="6">
        <f t="shared" si="3"/>
        <v>169</v>
      </c>
      <c r="GZ1" s="6">
        <f t="shared" si="3"/>
        <v>170</v>
      </c>
      <c r="HA1" s="6">
        <f t="shared" ref="HA1:HM1" si="4">+GZ1+1</f>
        <v>171</v>
      </c>
      <c r="HB1" s="6">
        <f t="shared" si="4"/>
        <v>172</v>
      </c>
      <c r="HC1" s="6">
        <f t="shared" si="4"/>
        <v>173</v>
      </c>
      <c r="HD1" s="6">
        <f t="shared" si="4"/>
        <v>174</v>
      </c>
      <c r="HE1" s="6">
        <f t="shared" si="4"/>
        <v>175</v>
      </c>
      <c r="HF1" s="6">
        <f t="shared" si="4"/>
        <v>176</v>
      </c>
      <c r="HG1" s="6">
        <f t="shared" si="4"/>
        <v>177</v>
      </c>
      <c r="HH1" s="6">
        <f t="shared" si="4"/>
        <v>178</v>
      </c>
      <c r="HI1" s="6">
        <f t="shared" si="4"/>
        <v>179</v>
      </c>
      <c r="HJ1" s="6">
        <f t="shared" si="4"/>
        <v>180</v>
      </c>
      <c r="HK1" s="6">
        <f t="shared" si="4"/>
        <v>181</v>
      </c>
      <c r="HL1" s="6">
        <f t="shared" si="4"/>
        <v>182</v>
      </c>
      <c r="HM1" s="6">
        <f t="shared" si="4"/>
        <v>183</v>
      </c>
      <c r="HN1" s="6">
        <f t="shared" ref="HN1:HW1" si="5">+HM1+1</f>
        <v>184</v>
      </c>
      <c r="HO1" s="6">
        <f t="shared" si="5"/>
        <v>185</v>
      </c>
      <c r="HP1" s="6">
        <f t="shared" si="5"/>
        <v>186</v>
      </c>
      <c r="HQ1" s="6">
        <f t="shared" si="5"/>
        <v>187</v>
      </c>
      <c r="HR1" s="6">
        <f t="shared" si="5"/>
        <v>188</v>
      </c>
      <c r="HS1" s="6">
        <f t="shared" si="5"/>
        <v>189</v>
      </c>
      <c r="HT1" s="6">
        <f t="shared" si="5"/>
        <v>190</v>
      </c>
      <c r="HU1" s="6">
        <f t="shared" si="5"/>
        <v>191</v>
      </c>
      <c r="HV1" s="6">
        <f t="shared" si="5"/>
        <v>192</v>
      </c>
      <c r="HW1" s="6">
        <f t="shared" si="5"/>
        <v>193</v>
      </c>
      <c r="HX1" s="6">
        <f t="shared" ref="HX1:ID1" si="6">+HW1+1</f>
        <v>194</v>
      </c>
      <c r="HY1" s="6">
        <f t="shared" si="6"/>
        <v>195</v>
      </c>
      <c r="HZ1" s="6">
        <f t="shared" si="6"/>
        <v>196</v>
      </c>
      <c r="IA1" s="6">
        <f t="shared" si="6"/>
        <v>197</v>
      </c>
      <c r="IB1" s="6">
        <f t="shared" si="6"/>
        <v>198</v>
      </c>
      <c r="IC1" s="6">
        <f t="shared" si="6"/>
        <v>199</v>
      </c>
      <c r="ID1" s="6">
        <f t="shared" si="6"/>
        <v>200</v>
      </c>
    </row>
    <row r="2" spans="2:238" s="2" customFormat="1" x14ac:dyDescent="0.2"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9" t="s">
        <v>17</v>
      </c>
      <c r="M2" s="9" t="s">
        <v>19</v>
      </c>
      <c r="N2" s="9" t="s">
        <v>18</v>
      </c>
      <c r="R2" s="2">
        <v>2015</v>
      </c>
      <c r="S2" s="2">
        <f>+R2+1</f>
        <v>2016</v>
      </c>
      <c r="T2" s="2">
        <f t="shared" ref="T2:AB2" si="7">+S2+1</f>
        <v>2017</v>
      </c>
      <c r="U2" s="2">
        <f t="shared" si="7"/>
        <v>2018</v>
      </c>
      <c r="V2" s="2">
        <f t="shared" si="7"/>
        <v>2019</v>
      </c>
      <c r="W2" s="2">
        <f t="shared" si="7"/>
        <v>2020</v>
      </c>
      <c r="X2" s="2">
        <f t="shared" si="7"/>
        <v>2021</v>
      </c>
      <c r="Y2" s="2">
        <f t="shared" si="7"/>
        <v>2022</v>
      </c>
      <c r="Z2" s="2">
        <f t="shared" si="7"/>
        <v>2023</v>
      </c>
      <c r="AA2" s="2">
        <f t="shared" si="7"/>
        <v>2024</v>
      </c>
      <c r="AB2" s="2">
        <f t="shared" si="7"/>
        <v>2025</v>
      </c>
      <c r="AC2" s="20">
        <v>2026</v>
      </c>
      <c r="AD2" s="20">
        <v>2027</v>
      </c>
      <c r="AE2" s="20">
        <v>2028</v>
      </c>
      <c r="AF2" s="20">
        <v>2029</v>
      </c>
      <c r="AG2" s="20">
        <v>2030</v>
      </c>
      <c r="AH2" s="20">
        <v>2031</v>
      </c>
      <c r="AI2" s="20">
        <v>2032</v>
      </c>
      <c r="AJ2" s="20">
        <v>2032</v>
      </c>
      <c r="AK2" s="20">
        <v>2032</v>
      </c>
      <c r="AL2" s="20">
        <v>2032</v>
      </c>
      <c r="AM2" s="2">
        <f>+AL2+1</f>
        <v>2033</v>
      </c>
      <c r="AN2" s="2">
        <f>+AM2+1</f>
        <v>2034</v>
      </c>
      <c r="AO2" s="2">
        <f t="shared" ref="AO2:CZ2" si="8">+AN2+1</f>
        <v>2035</v>
      </c>
      <c r="AP2" s="2">
        <f t="shared" si="8"/>
        <v>2036</v>
      </c>
      <c r="AQ2" s="2">
        <f t="shared" si="8"/>
        <v>2037</v>
      </c>
      <c r="AR2" s="2">
        <f t="shared" si="8"/>
        <v>2038</v>
      </c>
      <c r="AS2" s="2">
        <f t="shared" si="8"/>
        <v>2039</v>
      </c>
      <c r="AT2" s="2">
        <f t="shared" si="8"/>
        <v>2040</v>
      </c>
      <c r="AU2" s="2">
        <f t="shared" si="8"/>
        <v>2041</v>
      </c>
      <c r="AV2" s="2">
        <f t="shared" si="8"/>
        <v>2042</v>
      </c>
      <c r="AW2" s="2">
        <f t="shared" si="8"/>
        <v>2043</v>
      </c>
      <c r="AX2" s="2">
        <f t="shared" si="8"/>
        <v>2044</v>
      </c>
      <c r="AY2" s="2">
        <f t="shared" si="8"/>
        <v>2045</v>
      </c>
      <c r="AZ2" s="2">
        <f t="shared" si="8"/>
        <v>2046</v>
      </c>
      <c r="BA2" s="2">
        <f t="shared" si="8"/>
        <v>2047</v>
      </c>
      <c r="BB2" s="2">
        <f t="shared" si="8"/>
        <v>2048</v>
      </c>
      <c r="BC2" s="2">
        <f t="shared" si="8"/>
        <v>2049</v>
      </c>
      <c r="BD2" s="2">
        <f t="shared" si="8"/>
        <v>2050</v>
      </c>
      <c r="BE2" s="2">
        <f t="shared" si="8"/>
        <v>2051</v>
      </c>
      <c r="BF2" s="2">
        <f t="shared" si="8"/>
        <v>2052</v>
      </c>
      <c r="BG2" s="2">
        <f t="shared" si="8"/>
        <v>2053</v>
      </c>
      <c r="BH2" s="2">
        <f t="shared" si="8"/>
        <v>2054</v>
      </c>
      <c r="BI2" s="2">
        <f t="shared" si="8"/>
        <v>2055</v>
      </c>
      <c r="BJ2" s="2">
        <f t="shared" si="8"/>
        <v>2056</v>
      </c>
      <c r="BK2" s="2">
        <f t="shared" si="8"/>
        <v>2057</v>
      </c>
      <c r="BL2" s="2">
        <f t="shared" si="8"/>
        <v>2058</v>
      </c>
      <c r="BM2" s="2">
        <f t="shared" si="8"/>
        <v>2059</v>
      </c>
      <c r="BN2" s="2">
        <f t="shared" si="8"/>
        <v>2060</v>
      </c>
      <c r="BO2" s="2">
        <f t="shared" si="8"/>
        <v>2061</v>
      </c>
      <c r="BP2" s="2">
        <f t="shared" si="8"/>
        <v>2062</v>
      </c>
      <c r="BQ2" s="2">
        <f t="shared" si="8"/>
        <v>2063</v>
      </c>
      <c r="BR2" s="2">
        <f t="shared" si="8"/>
        <v>2064</v>
      </c>
      <c r="BS2" s="2">
        <f t="shared" si="8"/>
        <v>2065</v>
      </c>
      <c r="BT2" s="2">
        <f t="shared" si="8"/>
        <v>2066</v>
      </c>
      <c r="BU2" s="2">
        <f t="shared" si="8"/>
        <v>2067</v>
      </c>
      <c r="BV2" s="2">
        <f t="shared" si="8"/>
        <v>2068</v>
      </c>
      <c r="BW2" s="2">
        <f t="shared" si="8"/>
        <v>2069</v>
      </c>
      <c r="BX2" s="2">
        <f t="shared" si="8"/>
        <v>2070</v>
      </c>
      <c r="BY2" s="2">
        <f t="shared" si="8"/>
        <v>2071</v>
      </c>
      <c r="BZ2" s="2">
        <f t="shared" si="8"/>
        <v>2072</v>
      </c>
      <c r="CA2" s="2">
        <f t="shared" si="8"/>
        <v>2073</v>
      </c>
      <c r="CB2" s="2">
        <f t="shared" si="8"/>
        <v>2074</v>
      </c>
      <c r="CC2" s="2">
        <f t="shared" si="8"/>
        <v>2075</v>
      </c>
      <c r="CD2" s="2">
        <f t="shared" si="8"/>
        <v>2076</v>
      </c>
      <c r="CE2" s="2">
        <f t="shared" si="8"/>
        <v>2077</v>
      </c>
      <c r="CF2" s="2">
        <f t="shared" si="8"/>
        <v>2078</v>
      </c>
      <c r="CG2" s="2">
        <f t="shared" si="8"/>
        <v>2079</v>
      </c>
      <c r="CH2" s="2">
        <f t="shared" si="8"/>
        <v>2080</v>
      </c>
      <c r="CI2" s="2">
        <f t="shared" si="8"/>
        <v>2081</v>
      </c>
      <c r="CJ2" s="2">
        <f t="shared" si="8"/>
        <v>2082</v>
      </c>
      <c r="CK2" s="2">
        <f t="shared" si="8"/>
        <v>2083</v>
      </c>
      <c r="CL2" s="2">
        <f t="shared" si="8"/>
        <v>2084</v>
      </c>
      <c r="CM2" s="2">
        <f t="shared" si="8"/>
        <v>2085</v>
      </c>
      <c r="CN2" s="2">
        <f t="shared" si="8"/>
        <v>2086</v>
      </c>
      <c r="CO2" s="2">
        <f t="shared" si="8"/>
        <v>2087</v>
      </c>
      <c r="CP2" s="2">
        <f t="shared" si="8"/>
        <v>2088</v>
      </c>
      <c r="CQ2" s="2">
        <f t="shared" si="8"/>
        <v>2089</v>
      </c>
      <c r="CR2" s="2">
        <f t="shared" si="8"/>
        <v>2090</v>
      </c>
      <c r="CS2" s="2">
        <f t="shared" si="8"/>
        <v>2091</v>
      </c>
      <c r="CT2" s="2">
        <f t="shared" si="8"/>
        <v>2092</v>
      </c>
      <c r="CU2" s="2">
        <f t="shared" si="8"/>
        <v>2093</v>
      </c>
      <c r="CV2" s="2">
        <f t="shared" si="8"/>
        <v>2094</v>
      </c>
      <c r="CW2" s="2">
        <f t="shared" si="8"/>
        <v>2095</v>
      </c>
      <c r="CX2" s="2">
        <f t="shared" si="8"/>
        <v>2096</v>
      </c>
      <c r="CY2" s="2">
        <f t="shared" si="8"/>
        <v>2097</v>
      </c>
      <c r="CZ2" s="2">
        <f t="shared" si="8"/>
        <v>2098</v>
      </c>
      <c r="DA2" s="2">
        <f t="shared" ref="DA2:FL2" si="9">+CZ2+1</f>
        <v>2099</v>
      </c>
      <c r="DB2" s="2">
        <f t="shared" si="9"/>
        <v>2100</v>
      </c>
      <c r="DC2" s="2">
        <f t="shared" si="9"/>
        <v>2101</v>
      </c>
      <c r="DD2" s="2">
        <f t="shared" si="9"/>
        <v>2102</v>
      </c>
      <c r="DE2" s="2">
        <f t="shared" si="9"/>
        <v>2103</v>
      </c>
      <c r="DF2" s="2">
        <f t="shared" si="9"/>
        <v>2104</v>
      </c>
      <c r="DG2" s="2">
        <f t="shared" si="9"/>
        <v>2105</v>
      </c>
      <c r="DH2" s="2">
        <f t="shared" si="9"/>
        <v>2106</v>
      </c>
      <c r="DI2" s="2">
        <f t="shared" si="9"/>
        <v>2107</v>
      </c>
      <c r="DJ2" s="2">
        <f t="shared" si="9"/>
        <v>2108</v>
      </c>
      <c r="DK2" s="2">
        <f t="shared" si="9"/>
        <v>2109</v>
      </c>
      <c r="DL2" s="2">
        <f t="shared" si="9"/>
        <v>2110</v>
      </c>
      <c r="DM2" s="2">
        <f t="shared" si="9"/>
        <v>2111</v>
      </c>
      <c r="DN2" s="2">
        <f t="shared" si="9"/>
        <v>2112</v>
      </c>
      <c r="DO2" s="2">
        <f t="shared" si="9"/>
        <v>2113</v>
      </c>
      <c r="DP2" s="2">
        <f t="shared" si="9"/>
        <v>2114</v>
      </c>
      <c r="DQ2" s="2">
        <f t="shared" si="9"/>
        <v>2115</v>
      </c>
      <c r="DR2" s="2">
        <f t="shared" si="9"/>
        <v>2116</v>
      </c>
      <c r="DS2" s="2">
        <f t="shared" si="9"/>
        <v>2117</v>
      </c>
      <c r="DT2" s="2">
        <f t="shared" si="9"/>
        <v>2118</v>
      </c>
      <c r="DU2" s="2">
        <f t="shared" si="9"/>
        <v>2119</v>
      </c>
      <c r="DV2" s="2">
        <f t="shared" si="9"/>
        <v>2120</v>
      </c>
      <c r="DW2" s="2">
        <f t="shared" si="9"/>
        <v>2121</v>
      </c>
      <c r="DX2" s="2">
        <f t="shared" si="9"/>
        <v>2122</v>
      </c>
      <c r="DY2" s="2">
        <f t="shared" si="9"/>
        <v>2123</v>
      </c>
      <c r="DZ2" s="2">
        <f t="shared" si="9"/>
        <v>2124</v>
      </c>
      <c r="EA2" s="2">
        <f t="shared" si="9"/>
        <v>2125</v>
      </c>
      <c r="EB2" s="2">
        <f t="shared" si="9"/>
        <v>2126</v>
      </c>
      <c r="EC2" s="2">
        <f t="shared" si="9"/>
        <v>2127</v>
      </c>
      <c r="ED2" s="2">
        <f t="shared" si="9"/>
        <v>2128</v>
      </c>
      <c r="EE2" s="2">
        <f t="shared" si="9"/>
        <v>2129</v>
      </c>
      <c r="EF2" s="2">
        <f t="shared" si="9"/>
        <v>2130</v>
      </c>
      <c r="EG2" s="2">
        <f t="shared" si="9"/>
        <v>2131</v>
      </c>
      <c r="EH2" s="2">
        <f t="shared" si="9"/>
        <v>2132</v>
      </c>
      <c r="EI2" s="2">
        <f t="shared" si="9"/>
        <v>2133</v>
      </c>
      <c r="EJ2" s="2">
        <f t="shared" si="9"/>
        <v>2134</v>
      </c>
      <c r="EK2" s="2">
        <f t="shared" si="9"/>
        <v>2135</v>
      </c>
      <c r="EL2" s="2">
        <f t="shared" si="9"/>
        <v>2136</v>
      </c>
      <c r="EM2" s="2">
        <f t="shared" si="9"/>
        <v>2137</v>
      </c>
      <c r="EN2" s="2">
        <f t="shared" si="9"/>
        <v>2138</v>
      </c>
      <c r="EO2" s="2">
        <f t="shared" si="9"/>
        <v>2139</v>
      </c>
      <c r="EP2" s="2">
        <f t="shared" si="9"/>
        <v>2140</v>
      </c>
      <c r="EQ2" s="2">
        <f t="shared" si="9"/>
        <v>2141</v>
      </c>
      <c r="ER2" s="2">
        <f t="shared" si="9"/>
        <v>2142</v>
      </c>
      <c r="ES2" s="2">
        <f t="shared" si="9"/>
        <v>2143</v>
      </c>
      <c r="ET2" s="2">
        <f t="shared" si="9"/>
        <v>2144</v>
      </c>
      <c r="EU2" s="2">
        <f t="shared" si="9"/>
        <v>2145</v>
      </c>
      <c r="EV2" s="2">
        <f t="shared" si="9"/>
        <v>2146</v>
      </c>
      <c r="EW2" s="2">
        <f t="shared" si="9"/>
        <v>2147</v>
      </c>
      <c r="EX2" s="2">
        <f t="shared" si="9"/>
        <v>2148</v>
      </c>
      <c r="EY2" s="2">
        <f t="shared" si="9"/>
        <v>2149</v>
      </c>
      <c r="EZ2" s="2">
        <f t="shared" si="9"/>
        <v>2150</v>
      </c>
      <c r="FA2" s="2">
        <f t="shared" si="9"/>
        <v>2151</v>
      </c>
      <c r="FB2" s="2">
        <f t="shared" si="9"/>
        <v>2152</v>
      </c>
      <c r="FC2" s="2">
        <f t="shared" si="9"/>
        <v>2153</v>
      </c>
      <c r="FD2" s="2">
        <f t="shared" si="9"/>
        <v>2154</v>
      </c>
      <c r="FE2" s="2">
        <f t="shared" si="9"/>
        <v>2155</v>
      </c>
      <c r="FF2" s="2">
        <f t="shared" si="9"/>
        <v>2156</v>
      </c>
      <c r="FG2" s="2">
        <f t="shared" si="9"/>
        <v>2157</v>
      </c>
      <c r="FH2" s="2">
        <f t="shared" si="9"/>
        <v>2158</v>
      </c>
      <c r="FI2" s="2">
        <f t="shared" si="9"/>
        <v>2159</v>
      </c>
      <c r="FJ2" s="2">
        <f t="shared" si="9"/>
        <v>2160</v>
      </c>
      <c r="FK2" s="2">
        <f t="shared" si="9"/>
        <v>2161</v>
      </c>
      <c r="FL2" s="2">
        <f t="shared" si="9"/>
        <v>2162</v>
      </c>
      <c r="FM2" s="2">
        <f t="shared" ref="FM2:GO2" si="10">+FL2+1</f>
        <v>2163</v>
      </c>
      <c r="FN2" s="2">
        <f t="shared" si="10"/>
        <v>2164</v>
      </c>
      <c r="FO2" s="2">
        <f t="shared" si="10"/>
        <v>2165</v>
      </c>
      <c r="FP2" s="2">
        <f t="shared" si="10"/>
        <v>2166</v>
      </c>
      <c r="FQ2" s="2">
        <f t="shared" si="10"/>
        <v>2167</v>
      </c>
      <c r="FR2" s="2">
        <f t="shared" si="10"/>
        <v>2168</v>
      </c>
      <c r="FS2" s="2">
        <f t="shared" si="10"/>
        <v>2169</v>
      </c>
      <c r="FT2" s="2">
        <f t="shared" si="10"/>
        <v>2170</v>
      </c>
      <c r="FU2" s="2">
        <f t="shared" si="10"/>
        <v>2171</v>
      </c>
      <c r="FV2" s="2">
        <f t="shared" si="10"/>
        <v>2172</v>
      </c>
      <c r="FW2" s="2">
        <f t="shared" si="10"/>
        <v>2173</v>
      </c>
      <c r="FX2" s="2">
        <f t="shared" si="10"/>
        <v>2174</v>
      </c>
      <c r="FY2" s="2">
        <f t="shared" si="10"/>
        <v>2175</v>
      </c>
      <c r="FZ2" s="2">
        <f t="shared" si="10"/>
        <v>2176</v>
      </c>
      <c r="GA2" s="2">
        <f t="shared" si="10"/>
        <v>2177</v>
      </c>
      <c r="GB2" s="2">
        <f t="shared" si="10"/>
        <v>2178</v>
      </c>
      <c r="GC2" s="2">
        <f t="shared" si="10"/>
        <v>2179</v>
      </c>
      <c r="GD2" s="2">
        <f t="shared" si="10"/>
        <v>2180</v>
      </c>
      <c r="GE2" s="2">
        <f t="shared" si="10"/>
        <v>2181</v>
      </c>
      <c r="GF2" s="2">
        <f t="shared" si="10"/>
        <v>2182</v>
      </c>
      <c r="GG2" s="2">
        <f t="shared" si="10"/>
        <v>2183</v>
      </c>
      <c r="GH2" s="2">
        <f t="shared" si="10"/>
        <v>2184</v>
      </c>
      <c r="GI2" s="2">
        <f t="shared" si="10"/>
        <v>2185</v>
      </c>
      <c r="GJ2" s="2">
        <f t="shared" si="10"/>
        <v>2186</v>
      </c>
      <c r="GK2" s="2">
        <f t="shared" si="10"/>
        <v>2187</v>
      </c>
      <c r="GL2" s="2">
        <f t="shared" si="10"/>
        <v>2188</v>
      </c>
      <c r="GM2" s="2">
        <f t="shared" si="10"/>
        <v>2189</v>
      </c>
      <c r="GN2" s="2">
        <f t="shared" si="10"/>
        <v>2190</v>
      </c>
      <c r="GO2" s="2">
        <f t="shared" si="10"/>
        <v>2191</v>
      </c>
      <c r="GP2" s="2">
        <f t="shared" ref="GP2:GZ2" si="11">+GO2+1</f>
        <v>2192</v>
      </c>
      <c r="GQ2" s="2">
        <f t="shared" si="11"/>
        <v>2193</v>
      </c>
      <c r="GR2" s="2">
        <f t="shared" si="11"/>
        <v>2194</v>
      </c>
      <c r="GS2" s="2">
        <f t="shared" si="11"/>
        <v>2195</v>
      </c>
      <c r="GT2" s="2">
        <f t="shared" si="11"/>
        <v>2196</v>
      </c>
      <c r="GU2" s="2">
        <f t="shared" si="11"/>
        <v>2197</v>
      </c>
      <c r="GV2" s="2">
        <f t="shared" si="11"/>
        <v>2198</v>
      </c>
      <c r="GW2" s="2">
        <f t="shared" si="11"/>
        <v>2199</v>
      </c>
      <c r="GX2" s="2">
        <f t="shared" si="11"/>
        <v>2200</v>
      </c>
      <c r="GY2" s="2">
        <f t="shared" si="11"/>
        <v>2201</v>
      </c>
      <c r="GZ2" s="2">
        <f t="shared" si="11"/>
        <v>2202</v>
      </c>
      <c r="HA2" s="2">
        <f t="shared" ref="HA2:HM2" si="12">+GZ2+1</f>
        <v>2203</v>
      </c>
      <c r="HB2" s="2">
        <f t="shared" si="12"/>
        <v>2204</v>
      </c>
      <c r="HC2" s="2">
        <f t="shared" si="12"/>
        <v>2205</v>
      </c>
      <c r="HD2" s="2">
        <f t="shared" si="12"/>
        <v>2206</v>
      </c>
      <c r="HE2" s="2">
        <f t="shared" si="12"/>
        <v>2207</v>
      </c>
      <c r="HF2" s="2">
        <f t="shared" si="12"/>
        <v>2208</v>
      </c>
      <c r="HG2" s="2">
        <f t="shared" si="12"/>
        <v>2209</v>
      </c>
      <c r="HH2" s="2">
        <f t="shared" si="12"/>
        <v>2210</v>
      </c>
      <c r="HI2" s="2">
        <f t="shared" si="12"/>
        <v>2211</v>
      </c>
      <c r="HJ2" s="2">
        <f t="shared" si="12"/>
        <v>2212</v>
      </c>
      <c r="HK2" s="2">
        <f t="shared" si="12"/>
        <v>2213</v>
      </c>
      <c r="HL2" s="2">
        <f t="shared" si="12"/>
        <v>2214</v>
      </c>
      <c r="HM2" s="2">
        <f t="shared" si="12"/>
        <v>2215</v>
      </c>
      <c r="HN2" s="2">
        <f t="shared" ref="HN2:HW2" si="13">+HM2+1</f>
        <v>2216</v>
      </c>
      <c r="HO2" s="2">
        <f t="shared" si="13"/>
        <v>2217</v>
      </c>
      <c r="HP2" s="2">
        <f t="shared" si="13"/>
        <v>2218</v>
      </c>
      <c r="HQ2" s="2">
        <f t="shared" si="13"/>
        <v>2219</v>
      </c>
      <c r="HR2" s="2">
        <f t="shared" si="13"/>
        <v>2220</v>
      </c>
      <c r="HS2" s="2">
        <f t="shared" si="13"/>
        <v>2221</v>
      </c>
      <c r="HT2" s="2">
        <f t="shared" si="13"/>
        <v>2222</v>
      </c>
      <c r="HU2" s="2">
        <f t="shared" si="13"/>
        <v>2223</v>
      </c>
      <c r="HV2" s="2">
        <f t="shared" si="13"/>
        <v>2224</v>
      </c>
      <c r="HW2" s="2">
        <f t="shared" si="13"/>
        <v>2225</v>
      </c>
      <c r="HX2" s="2">
        <f t="shared" ref="HX2:ID2" si="14">+HW2+1</f>
        <v>2226</v>
      </c>
      <c r="HY2" s="2">
        <f t="shared" si="14"/>
        <v>2227</v>
      </c>
      <c r="HZ2" s="2">
        <f t="shared" si="14"/>
        <v>2228</v>
      </c>
      <c r="IA2" s="2">
        <f t="shared" si="14"/>
        <v>2229</v>
      </c>
      <c r="IB2" s="2">
        <f t="shared" si="14"/>
        <v>2230</v>
      </c>
      <c r="IC2" s="2">
        <f t="shared" si="14"/>
        <v>2231</v>
      </c>
      <c r="ID2" s="2">
        <f t="shared" si="14"/>
        <v>2232</v>
      </c>
    </row>
    <row r="3" spans="2:238" s="2" customFormat="1" x14ac:dyDescent="0.2">
      <c r="B3" s="6" t="s">
        <v>38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>
        <v>22000</v>
      </c>
      <c r="AA3" s="18">
        <v>21000</v>
      </c>
      <c r="AB3" s="18">
        <v>21000</v>
      </c>
      <c r="AC3" s="35">
        <v>21000</v>
      </c>
      <c r="AD3" s="35">
        <v>21000</v>
      </c>
      <c r="AE3" s="35">
        <v>21000</v>
      </c>
      <c r="AF3" s="35">
        <v>21000</v>
      </c>
      <c r="AG3" s="35">
        <v>21000</v>
      </c>
      <c r="AH3" s="35">
        <v>21000</v>
      </c>
      <c r="AI3" s="35">
        <v>21000</v>
      </c>
      <c r="AJ3" s="35">
        <v>21000</v>
      </c>
      <c r="AK3" s="35">
        <v>21000</v>
      </c>
      <c r="AL3" s="35">
        <v>21000</v>
      </c>
    </row>
    <row r="4" spans="2:238" s="34" customFormat="1" x14ac:dyDescent="0.2">
      <c r="B4" s="4" t="s">
        <v>39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2">
        <f>+Z18/Z3</f>
        <v>0.54559090909090913</v>
      </c>
      <c r="AA4" s="32">
        <f>+AA18/AA3</f>
        <v>0.56433333333333335</v>
      </c>
      <c r="AB4" s="32">
        <f>+AB18/AB3</f>
        <v>0.59319047619047616</v>
      </c>
      <c r="AC4" s="36">
        <f>+AB4</f>
        <v>0.59319047619047616</v>
      </c>
      <c r="AD4" s="33"/>
      <c r="AE4" s="33"/>
      <c r="AF4" s="33"/>
      <c r="AG4" s="33"/>
      <c r="AH4" s="33"/>
      <c r="AI4" s="33"/>
      <c r="AJ4" s="33"/>
      <c r="AK4" s="33"/>
      <c r="AL4" s="33"/>
    </row>
    <row r="5" spans="2:238" s="25" customFormat="1" x14ac:dyDescent="0.2">
      <c r="B5" s="8" t="s">
        <v>33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9"/>
      <c r="AA5" s="26">
        <f>+AA4/Z4-1</f>
        <v>3.4352522980366063E-2</v>
      </c>
      <c r="AB5" s="26">
        <f>+AB4/AA4-1</f>
        <v>5.1134925322757541E-2</v>
      </c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2:238" s="27" customFormat="1" x14ac:dyDescent="0.2">
      <c r="B6" s="5" t="s">
        <v>41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Z6" s="18">
        <v>41000</v>
      </c>
      <c r="AA6" s="18">
        <v>40000</v>
      </c>
      <c r="AB6" s="18">
        <v>40000</v>
      </c>
      <c r="AC6" s="6">
        <v>40000</v>
      </c>
      <c r="AD6" s="6">
        <v>40000</v>
      </c>
      <c r="AE6" s="6">
        <v>40000</v>
      </c>
      <c r="AF6" s="6">
        <v>40000</v>
      </c>
      <c r="AG6" s="6">
        <v>40000</v>
      </c>
      <c r="AH6" s="6">
        <v>40000</v>
      </c>
      <c r="AI6" s="6">
        <v>40000</v>
      </c>
      <c r="AJ6" s="6">
        <v>40000</v>
      </c>
      <c r="AK6" s="6">
        <v>40000</v>
      </c>
      <c r="AL6" s="6">
        <v>40000</v>
      </c>
    </row>
    <row r="7" spans="2:238" s="2" customFormat="1" x14ac:dyDescent="0.2">
      <c r="B7" s="2" t="s">
        <v>40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>
        <v>292</v>
      </c>
      <c r="AA7" s="23">
        <v>300</v>
      </c>
      <c r="AB7" s="23">
        <v>312</v>
      </c>
      <c r="AC7" s="21">
        <f>+AB7*1.04</f>
        <v>324.48</v>
      </c>
      <c r="AD7" s="21">
        <f t="shared" ref="AD7:AL7" si="15">+AC7*1.04</f>
        <v>337.45920000000001</v>
      </c>
      <c r="AE7" s="21">
        <f t="shared" si="15"/>
        <v>350.95756800000004</v>
      </c>
      <c r="AF7" s="21">
        <f t="shared" si="15"/>
        <v>364.99587072000003</v>
      </c>
      <c r="AG7" s="21">
        <f t="shared" si="15"/>
        <v>379.59570554880003</v>
      </c>
      <c r="AH7" s="21">
        <f t="shared" si="15"/>
        <v>394.77953377075204</v>
      </c>
      <c r="AI7" s="21">
        <f t="shared" si="15"/>
        <v>410.57071512158211</v>
      </c>
      <c r="AJ7" s="21">
        <f t="shared" si="15"/>
        <v>426.99354372644541</v>
      </c>
      <c r="AK7" s="21">
        <f t="shared" si="15"/>
        <v>444.07328547550327</v>
      </c>
      <c r="AL7" s="21">
        <f t="shared" si="15"/>
        <v>461.83621689452343</v>
      </c>
    </row>
    <row r="8" spans="2:238" s="25" customFormat="1" x14ac:dyDescent="0.2">
      <c r="B8" s="8" t="s">
        <v>33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AA8" s="26">
        <f>+AA7/Z7-1</f>
        <v>2.7397260273972712E-2</v>
      </c>
      <c r="AB8" s="26">
        <f>+AB7/AA7-1</f>
        <v>4.0000000000000036E-2</v>
      </c>
      <c r="AC8" s="26">
        <f t="shared" ref="AC8:AL8" si="16">+AC7/AB7-1</f>
        <v>4.0000000000000036E-2</v>
      </c>
      <c r="AD8" s="26">
        <f t="shared" si="16"/>
        <v>4.0000000000000036E-2</v>
      </c>
      <c r="AE8" s="26">
        <f t="shared" si="16"/>
        <v>4.0000000000000036E-2</v>
      </c>
      <c r="AF8" s="26">
        <f t="shared" si="16"/>
        <v>4.0000000000000036E-2</v>
      </c>
      <c r="AG8" s="26">
        <f t="shared" si="16"/>
        <v>4.0000000000000036E-2</v>
      </c>
      <c r="AH8" s="26">
        <f t="shared" si="16"/>
        <v>4.0000000000000036E-2</v>
      </c>
      <c r="AI8" s="26">
        <f t="shared" si="16"/>
        <v>4.0000000000000036E-2</v>
      </c>
      <c r="AJ8" s="26">
        <f t="shared" si="16"/>
        <v>4.0000000000000036E-2</v>
      </c>
      <c r="AK8" s="26">
        <f t="shared" si="16"/>
        <v>4.0000000000000036E-2</v>
      </c>
      <c r="AL8" s="26">
        <f t="shared" si="16"/>
        <v>4.0000000000000036E-2</v>
      </c>
    </row>
    <row r="9" spans="2:238" s="25" customFormat="1" x14ac:dyDescent="0.2">
      <c r="B9" s="8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</row>
    <row r="10" spans="2:238" s="27" customFormat="1" x14ac:dyDescent="0.2">
      <c r="B10" s="5" t="s">
        <v>51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AB10" s="27">
        <v>11800</v>
      </c>
    </row>
    <row r="11" spans="2:238" s="25" customFormat="1" x14ac:dyDescent="0.2">
      <c r="B11" s="8" t="s">
        <v>52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AA11" s="26"/>
      <c r="AB11" s="27">
        <v>150000</v>
      </c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2:238" s="25" customFormat="1" x14ac:dyDescent="0.2">
      <c r="B12" s="8" t="s">
        <v>55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AA12" s="26"/>
      <c r="AB12" s="27">
        <f>+AB10*AB11/10^6</f>
        <v>1770</v>
      </c>
      <c r="AC12" s="27">
        <f>+AB12</f>
        <v>1770</v>
      </c>
      <c r="AD12" s="26"/>
      <c r="AE12" s="26"/>
      <c r="AF12" s="26"/>
      <c r="AG12" s="26"/>
      <c r="AH12" s="26"/>
      <c r="AI12" s="26"/>
      <c r="AJ12" s="26"/>
      <c r="AK12" s="26"/>
      <c r="AL12" s="26"/>
    </row>
    <row r="13" spans="2:238" s="25" customFormat="1" x14ac:dyDescent="0.2">
      <c r="B13" s="8" t="s">
        <v>53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AA13" s="26"/>
      <c r="AB13" s="27">
        <v>4000</v>
      </c>
      <c r="AC13" s="27"/>
      <c r="AD13" s="26"/>
      <c r="AE13" s="26"/>
      <c r="AF13" s="26"/>
      <c r="AG13" s="26"/>
      <c r="AH13" s="26"/>
      <c r="AI13" s="26"/>
      <c r="AJ13" s="26"/>
      <c r="AK13" s="26"/>
      <c r="AL13" s="26"/>
    </row>
    <row r="14" spans="2:238" s="25" customFormat="1" x14ac:dyDescent="0.2">
      <c r="B14" s="8" t="s">
        <v>54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AA14" s="26"/>
      <c r="AB14" s="27">
        <f>+AB11*AB13/10^6</f>
        <v>600</v>
      </c>
      <c r="AC14" s="27">
        <f>+AB14</f>
        <v>600</v>
      </c>
      <c r="AD14" s="26"/>
      <c r="AE14" s="26"/>
      <c r="AF14" s="26"/>
      <c r="AG14" s="26"/>
      <c r="AH14" s="26"/>
      <c r="AI14" s="26"/>
      <c r="AJ14" s="26"/>
      <c r="AK14" s="26"/>
      <c r="AL14" s="26"/>
    </row>
    <row r="15" spans="2:238" s="25" customFormat="1" x14ac:dyDescent="0.2">
      <c r="B15" s="8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AA15" s="26"/>
      <c r="AB15" s="27"/>
      <c r="AC15" s="27"/>
      <c r="AD15" s="26"/>
      <c r="AE15" s="26"/>
      <c r="AF15" s="26"/>
      <c r="AG15" s="26"/>
      <c r="AH15" s="26"/>
      <c r="AI15" s="26"/>
      <c r="AJ15" s="26"/>
      <c r="AK15" s="26"/>
      <c r="AL15" s="26"/>
    </row>
    <row r="16" spans="2:238" s="25" customFormat="1" x14ac:dyDescent="0.2">
      <c r="B16" s="8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AA16" s="26"/>
      <c r="AB16" s="27"/>
      <c r="AC16" s="26"/>
      <c r="AD16" s="26"/>
      <c r="AE16" s="26"/>
      <c r="AF16" s="26"/>
      <c r="AG16" s="26"/>
      <c r="AH16" s="26"/>
      <c r="AI16" s="26"/>
      <c r="AJ16" s="26"/>
      <c r="AK16" s="26"/>
      <c r="AL16" s="26"/>
    </row>
    <row r="17" spans="2:240" s="2" customFormat="1" x14ac:dyDescent="0.2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2:240" s="4" customFormat="1" x14ac:dyDescent="0.2">
      <c r="B18" s="3" t="s">
        <v>21</v>
      </c>
      <c r="C18" s="17">
        <v>2729</v>
      </c>
      <c r="D18" s="17">
        <v>3117</v>
      </c>
      <c r="E18" s="17">
        <v>2884</v>
      </c>
      <c r="F18" s="17">
        <f>+AA18-SUM(C18:E18)</f>
        <v>3121</v>
      </c>
      <c r="G18" s="17">
        <v>2730</v>
      </c>
      <c r="H18" s="17">
        <v>3273</v>
      </c>
      <c r="I18" s="17">
        <v>3117</v>
      </c>
      <c r="J18" s="17">
        <f>+AB18-SUM(G18:I18)</f>
        <v>3337</v>
      </c>
      <c r="K18" s="10"/>
      <c r="L18" s="10"/>
      <c r="M18" s="10"/>
      <c r="N18" s="10"/>
      <c r="R18" s="3"/>
      <c r="S18" s="3"/>
      <c r="T18" s="3"/>
      <c r="U18" s="3"/>
      <c r="V18" s="3"/>
      <c r="W18" s="3"/>
      <c r="X18" s="19">
        <v>13708</v>
      </c>
      <c r="Y18" s="19">
        <v>12218</v>
      </c>
      <c r="Z18" s="19">
        <v>12003</v>
      </c>
      <c r="AA18" s="19">
        <v>11851</v>
      </c>
      <c r="AB18" s="19">
        <v>12457</v>
      </c>
      <c r="AC18" s="3">
        <f>+AC6*AC7/1000</f>
        <v>12979.2</v>
      </c>
      <c r="AD18" s="3">
        <f>+AD6*AD7/1000</f>
        <v>13498.368</v>
      </c>
      <c r="AE18" s="3">
        <f>+AE6*AE7/1000</f>
        <v>14038.302720000002</v>
      </c>
      <c r="AF18" s="3">
        <f>+AF6*AF7/1000</f>
        <v>14599.8348288</v>
      </c>
      <c r="AG18" s="3">
        <f>+AG6*AG7/1000</f>
        <v>15183.828221952001</v>
      </c>
      <c r="AH18" s="3">
        <f>+AH6*AH7/1000</f>
        <v>15791.181350830082</v>
      </c>
      <c r="AI18" s="3">
        <f>+AI6*AI7/1000</f>
        <v>16422.828604863284</v>
      </c>
      <c r="AJ18" s="3">
        <f>+AJ6*AJ7/1000</f>
        <v>17079.741749057819</v>
      </c>
      <c r="AK18" s="3">
        <f>+AK6*AK7/1000</f>
        <v>17762.931419020133</v>
      </c>
      <c r="AL18" s="3">
        <f>+AL6*AL7/1000</f>
        <v>18473.448675780935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</row>
    <row r="19" spans="2:240" s="5" customFormat="1" ht="14" x14ac:dyDescent="0.15">
      <c r="B19" s="5" t="s">
        <v>32</v>
      </c>
      <c r="C19" s="11"/>
      <c r="D19" s="12">
        <f t="shared" ref="D19:I19" si="17">+D18/C18-1</f>
        <v>0.14217662147306709</v>
      </c>
      <c r="E19" s="12">
        <f t="shared" si="17"/>
        <v>-7.4751363490535794E-2</v>
      </c>
      <c r="F19" s="12">
        <f t="shared" si="17"/>
        <v>8.2177531206657495E-2</v>
      </c>
      <c r="G19" s="12">
        <f t="shared" si="17"/>
        <v>-0.12528035885933997</v>
      </c>
      <c r="H19" s="12">
        <f t="shared" si="17"/>
        <v>0.19890109890109886</v>
      </c>
      <c r="I19" s="12">
        <f t="shared" si="17"/>
        <v>-4.7662694775435388E-2</v>
      </c>
      <c r="J19" s="12">
        <f>+J18/I18-1</f>
        <v>7.0580686557587313E-2</v>
      </c>
      <c r="K19" s="11"/>
      <c r="L19" s="11"/>
      <c r="M19" s="11"/>
      <c r="N19" s="11"/>
    </row>
    <row r="20" spans="2:240" s="8" customFormat="1" ht="14" x14ac:dyDescent="0.15">
      <c r="B20" s="8" t="s">
        <v>33</v>
      </c>
      <c r="C20" s="12"/>
      <c r="D20" s="12"/>
      <c r="E20" s="12"/>
      <c r="F20" s="12"/>
      <c r="G20" s="12">
        <f t="shared" ref="G20:I20" si="18">+G18/C18-1</f>
        <v>3.6643459142537971E-4</v>
      </c>
      <c r="H20" s="12">
        <f t="shared" si="18"/>
        <v>5.0048123195380212E-2</v>
      </c>
      <c r="I20" s="12">
        <f t="shared" si="18"/>
        <v>8.07905686546464E-2</v>
      </c>
      <c r="J20" s="12">
        <f>+J18/F18-1</f>
        <v>6.9208586991349019E-2</v>
      </c>
      <c r="K20" s="12"/>
      <c r="L20" s="12"/>
      <c r="M20" s="12"/>
      <c r="N20" s="12"/>
      <c r="Y20" s="8">
        <f>+Y18/X18-1</f>
        <v>-0.10869565217391308</v>
      </c>
      <c r="Z20" s="8">
        <f>+Z18/Y18-1</f>
        <v>-1.7596988050417428E-2</v>
      </c>
      <c r="AA20" s="8">
        <f>+AA18/Z18-1</f>
        <v>-1.2663500791468829E-2</v>
      </c>
      <c r="AB20" s="8">
        <f>+AB18/AA18-1</f>
        <v>5.1134925322757541E-2</v>
      </c>
      <c r="AC20" s="8">
        <f>+AC18/AB18-1</f>
        <v>4.1920205506943864E-2</v>
      </c>
      <c r="AD20" s="8">
        <f t="shared" ref="AD20:AL20" si="19">+AD18/AC18-1</f>
        <v>4.0000000000000036E-2</v>
      </c>
      <c r="AE20" s="8">
        <f t="shared" si="19"/>
        <v>4.0000000000000036E-2</v>
      </c>
      <c r="AF20" s="8">
        <f t="shared" si="19"/>
        <v>3.9999999999999813E-2</v>
      </c>
      <c r="AG20" s="8">
        <f t="shared" si="19"/>
        <v>4.0000000000000036E-2</v>
      </c>
      <c r="AH20" s="8">
        <f t="shared" si="19"/>
        <v>4.0000000000000036E-2</v>
      </c>
      <c r="AI20" s="8">
        <f t="shared" si="19"/>
        <v>3.9999999999999813E-2</v>
      </c>
      <c r="AJ20" s="8">
        <f t="shared" si="19"/>
        <v>4.0000000000000258E-2</v>
      </c>
      <c r="AK20" s="8">
        <f t="shared" si="19"/>
        <v>4.0000000000000036E-2</v>
      </c>
      <c r="AL20" s="8">
        <f t="shared" si="19"/>
        <v>3.9999999999999813E-2</v>
      </c>
    </row>
    <row r="23" spans="2:240" x14ac:dyDescent="0.2">
      <c r="B23" s="6" t="s">
        <v>3</v>
      </c>
      <c r="C23" s="16">
        <v>1910</v>
      </c>
      <c r="D23" s="16">
        <v>2176</v>
      </c>
      <c r="E23" s="16">
        <v>2011</v>
      </c>
      <c r="F23" s="16">
        <f>+AA23-SUM(C23:E23)</f>
        <v>2180</v>
      </c>
      <c r="G23" s="16">
        <v>1893</v>
      </c>
      <c r="H23" s="16">
        <v>2289</v>
      </c>
      <c r="I23" s="16">
        <v>2183</v>
      </c>
      <c r="J23" s="16">
        <f>+AB23-SUM(G23:I23)</f>
        <v>2327</v>
      </c>
      <c r="X23" s="18">
        <v>9813</v>
      </c>
      <c r="Y23" s="18">
        <v>8802</v>
      </c>
      <c r="Z23" s="18">
        <v>8336</v>
      </c>
      <c r="AA23" s="18">
        <v>8277</v>
      </c>
      <c r="AB23" s="18">
        <v>8692</v>
      </c>
      <c r="AC23" s="6">
        <f>+AC$18*(AB23/AB$18)</f>
        <v>9056.3704262663578</v>
      </c>
      <c r="AD23" s="6">
        <f t="shared" ref="AD23:AL23" si="20">+AD$18*(AC23/AC$18)</f>
        <v>9418.6252433170121</v>
      </c>
      <c r="AE23" s="6">
        <f t="shared" si="20"/>
        <v>9795.3702530496939</v>
      </c>
      <c r="AF23" s="6">
        <f t="shared" si="20"/>
        <v>10187.185063171681</v>
      </c>
      <c r="AG23" s="6">
        <f t="shared" si="20"/>
        <v>10594.672465698548</v>
      </c>
      <c r="AH23" s="6">
        <f t="shared" si="20"/>
        <v>11018.459364326491</v>
      </c>
      <c r="AI23" s="6">
        <f t="shared" si="20"/>
        <v>11459.197738899549</v>
      </c>
      <c r="AJ23" s="6">
        <f t="shared" si="20"/>
        <v>11917.565648455535</v>
      </c>
      <c r="AK23" s="6">
        <f t="shared" si="20"/>
        <v>12394.268274393757</v>
      </c>
      <c r="AL23" s="6">
        <f t="shared" si="20"/>
        <v>12890.039005369505</v>
      </c>
    </row>
    <row r="24" spans="2:240" x14ac:dyDescent="0.2">
      <c r="B24" s="6" t="s">
        <v>23</v>
      </c>
      <c r="C24" s="16">
        <v>117</v>
      </c>
      <c r="D24" s="16">
        <v>121</v>
      </c>
      <c r="E24" s="16">
        <v>112</v>
      </c>
      <c r="F24" s="16">
        <f t="shared" ref="F24:F32" si="21">+AA24-SUM(C24:E24)</f>
        <v>120</v>
      </c>
      <c r="G24" s="16">
        <v>107</v>
      </c>
      <c r="H24" s="16">
        <v>121</v>
      </c>
      <c r="I24" s="16">
        <v>118</v>
      </c>
      <c r="J24" s="16">
        <f t="shared" ref="J24:J32" si="22">+AB24-SUM(G24:I24)</f>
        <v>125</v>
      </c>
      <c r="X24" s="18">
        <v>584</v>
      </c>
      <c r="Y24" s="18">
        <v>632</v>
      </c>
      <c r="Z24" s="18">
        <v>557</v>
      </c>
      <c r="AA24" s="18">
        <v>470</v>
      </c>
      <c r="AB24" s="18">
        <v>471</v>
      </c>
      <c r="AC24" s="6">
        <f>+AC$18*(AB24/AB$18)</f>
        <v>490.7444167937706</v>
      </c>
      <c r="AD24" s="6">
        <f t="shared" ref="AD24:AL24" si="23">+AD$18*(AC24/AC$18)</f>
        <v>510.37419346552139</v>
      </c>
      <c r="AE24" s="6">
        <f t="shared" si="23"/>
        <v>530.78916120414226</v>
      </c>
      <c r="AF24" s="6">
        <f t="shared" si="23"/>
        <v>552.02072765230787</v>
      </c>
      <c r="AG24" s="6">
        <f t="shared" si="23"/>
        <v>574.10155675840031</v>
      </c>
      <c r="AH24" s="6">
        <f t="shared" si="23"/>
        <v>597.06561902873636</v>
      </c>
      <c r="AI24" s="6">
        <f t="shared" si="23"/>
        <v>620.94824378988574</v>
      </c>
      <c r="AJ24" s="6">
        <f t="shared" si="23"/>
        <v>645.78617354148128</v>
      </c>
      <c r="AK24" s="6">
        <f t="shared" si="23"/>
        <v>671.61762048314063</v>
      </c>
      <c r="AL24" s="6">
        <f t="shared" si="23"/>
        <v>698.48232530246617</v>
      </c>
    </row>
    <row r="25" spans="2:240" x14ac:dyDescent="0.2">
      <c r="B25" s="6" t="s">
        <v>24</v>
      </c>
      <c r="C25" s="16">
        <v>324</v>
      </c>
      <c r="D25" s="16">
        <v>365</v>
      </c>
      <c r="E25" s="16">
        <v>354</v>
      </c>
      <c r="F25" s="16">
        <f t="shared" si="21"/>
        <v>429</v>
      </c>
      <c r="G25" s="16">
        <v>344</v>
      </c>
      <c r="H25" s="16">
        <v>372</v>
      </c>
      <c r="I25" s="16">
        <v>330</v>
      </c>
      <c r="J25" s="16">
        <f t="shared" si="22"/>
        <v>379</v>
      </c>
      <c r="X25" s="18">
        <v>1378</v>
      </c>
      <c r="Y25" s="18">
        <v>1473</v>
      </c>
      <c r="Z25" s="18">
        <v>1397</v>
      </c>
      <c r="AA25" s="18">
        <v>1472</v>
      </c>
      <c r="AB25" s="18">
        <v>1425</v>
      </c>
      <c r="AC25" s="6">
        <f>+AC$18*(AB25/AB$18)</f>
        <v>1484.7362928473951</v>
      </c>
      <c r="AD25" s="6">
        <f>+AD$18*(AC25/AC$18)</f>
        <v>1544.125744561291</v>
      </c>
      <c r="AE25" s="6">
        <f>+AE$18*(AD25/AD$18)</f>
        <v>1605.8907743437428</v>
      </c>
      <c r="AF25" s="6">
        <f>+AF$18*(AE25/AE$18)</f>
        <v>1670.1264053174923</v>
      </c>
      <c r="AG25" s="6">
        <f>+AG$18*(AF25/AF$18)</f>
        <v>1736.9314615301921</v>
      </c>
      <c r="AH25" s="6">
        <f>+AH$18*(AG25/AG$18)</f>
        <v>1806.4087199913999</v>
      </c>
      <c r="AI25" s="6">
        <f>+AI$18*(AH25/AH$18)</f>
        <v>1878.6650687910555</v>
      </c>
      <c r="AJ25" s="6">
        <f>+AJ$18*(AI25/AI$18)</f>
        <v>1953.8116715426984</v>
      </c>
      <c r="AK25" s="6">
        <f>+AK$18*(AJ25/AJ$18)</f>
        <v>2031.9641384044064</v>
      </c>
      <c r="AL25" s="6">
        <f>+AL$18*(AK25/AK$18)</f>
        <v>2113.2427039405825</v>
      </c>
    </row>
    <row r="26" spans="2:240" x14ac:dyDescent="0.2">
      <c r="B26" s="6" t="s">
        <v>25</v>
      </c>
      <c r="C26" s="16">
        <v>534</v>
      </c>
      <c r="D26" s="16">
        <v>489</v>
      </c>
      <c r="E26" s="16">
        <v>480</v>
      </c>
      <c r="F26" s="16">
        <f t="shared" si="21"/>
        <v>-526</v>
      </c>
      <c r="G26" s="16">
        <v>429</v>
      </c>
      <c r="H26" s="16">
        <v>465</v>
      </c>
      <c r="I26" s="16">
        <v>445</v>
      </c>
      <c r="J26" s="16">
        <f t="shared" si="22"/>
        <v>437</v>
      </c>
      <c r="X26" s="18">
        <v>2015</v>
      </c>
      <c r="Y26" s="18">
        <v>2625</v>
      </c>
      <c r="Z26" s="18">
        <v>2447</v>
      </c>
      <c r="AA26" s="18">
        <v>977</v>
      </c>
      <c r="AB26" s="18">
        <v>1776</v>
      </c>
      <c r="AC26" s="6">
        <f>+AC$18*(AB26/AB$18)-AC14</f>
        <v>1250.4502849803323</v>
      </c>
      <c r="AD26" s="6">
        <f>+AD$18*(AC26/AC$18)-AD14</f>
        <v>1300.4682963795456</v>
      </c>
      <c r="AE26" s="6">
        <f t="shared" ref="AE26:AL26" si="24">+AE$18*(AD26/AD$18)-AE14</f>
        <v>1352.4870282347274</v>
      </c>
      <c r="AF26" s="6">
        <f t="shared" si="24"/>
        <v>1406.5865093641164</v>
      </c>
      <c r="AG26" s="6">
        <f t="shared" si="24"/>
        <v>1462.8499697386812</v>
      </c>
      <c r="AH26" s="6">
        <f t="shared" si="24"/>
        <v>1521.3639685282285</v>
      </c>
      <c r="AI26" s="6">
        <f t="shared" si="24"/>
        <v>1582.2185272693575</v>
      </c>
      <c r="AJ26" s="6">
        <f t="shared" si="24"/>
        <v>1645.5072683601322</v>
      </c>
      <c r="AK26" s="6">
        <f t="shared" si="24"/>
        <v>1711.3275590945377</v>
      </c>
      <c r="AL26" s="6">
        <f t="shared" si="24"/>
        <v>1779.7806614583189</v>
      </c>
    </row>
    <row r="27" spans="2:240" s="4" customFormat="1" x14ac:dyDescent="0.2">
      <c r="B27" s="4" t="s">
        <v>26</v>
      </c>
      <c r="C27" s="14">
        <f>+C18-SUM(C23:C26)</f>
        <v>-156</v>
      </c>
      <c r="D27" s="14">
        <f>+D18-SUM(D23:D26)</f>
        <v>-34</v>
      </c>
      <c r="E27" s="14">
        <f>+E18-SUM(E23:E26)</f>
        <v>-73</v>
      </c>
      <c r="F27" s="14">
        <f t="shared" si="21"/>
        <v>918</v>
      </c>
      <c r="G27" s="14">
        <f>+G18-SUM(G23:G26)</f>
        <v>-43</v>
      </c>
      <c r="H27" s="14">
        <f>+H18-SUM(H23:H26)</f>
        <v>26</v>
      </c>
      <c r="I27" s="14">
        <f>+I18-SUM(I23:I26)</f>
        <v>41</v>
      </c>
      <c r="J27" s="14">
        <f t="shared" si="22"/>
        <v>69</v>
      </c>
      <c r="K27" s="14"/>
      <c r="L27" s="14"/>
      <c r="M27" s="14"/>
      <c r="N27" s="14"/>
      <c r="X27" s="4">
        <f t="shared" ref="X27:AC27" si="25">+X18-SUM(X23:X26)</f>
        <v>-82</v>
      </c>
      <c r="Y27" s="4">
        <f t="shared" si="25"/>
        <v>-1314</v>
      </c>
      <c r="Z27" s="4">
        <f t="shared" si="25"/>
        <v>-734</v>
      </c>
      <c r="AA27" s="4">
        <f t="shared" si="25"/>
        <v>655</v>
      </c>
      <c r="AB27" s="4">
        <f t="shared" si="25"/>
        <v>93</v>
      </c>
      <c r="AC27" s="4">
        <f t="shared" si="25"/>
        <v>696.89857911214494</v>
      </c>
      <c r="AD27" s="4">
        <f t="shared" ref="AD27:AL27" si="26">+AD18-SUM(AD23:AD26)</f>
        <v>724.7745222766298</v>
      </c>
      <c r="AE27" s="4">
        <f t="shared" si="26"/>
        <v>753.76550316769499</v>
      </c>
      <c r="AF27" s="4">
        <f t="shared" si="26"/>
        <v>783.9161232944025</v>
      </c>
      <c r="AG27" s="4">
        <f t="shared" si="26"/>
        <v>815.27276822617932</v>
      </c>
      <c r="AH27" s="4">
        <f t="shared" si="26"/>
        <v>847.88367895522788</v>
      </c>
      <c r="AI27" s="4">
        <f t="shared" si="26"/>
        <v>881.79902611343641</v>
      </c>
      <c r="AJ27" s="4">
        <f t="shared" si="26"/>
        <v>917.07098715797292</v>
      </c>
      <c r="AK27" s="4">
        <f t="shared" si="26"/>
        <v>953.75382664429344</v>
      </c>
      <c r="AL27" s="4">
        <f t="shared" si="26"/>
        <v>991.90397971006314</v>
      </c>
    </row>
    <row r="28" spans="2:240" x14ac:dyDescent="0.2">
      <c r="B28" s="6" t="s">
        <v>27</v>
      </c>
      <c r="C28" s="16">
        <v>-6</v>
      </c>
      <c r="D28" s="16">
        <v>-4</v>
      </c>
      <c r="E28" s="16">
        <v>-5</v>
      </c>
      <c r="F28" s="16">
        <f t="shared" si="21"/>
        <v>-14</v>
      </c>
      <c r="G28" s="16">
        <v>-23</v>
      </c>
      <c r="H28" s="16">
        <v>-29</v>
      </c>
      <c r="I28" s="16">
        <v>-31</v>
      </c>
      <c r="J28" s="16">
        <f t="shared" si="22"/>
        <v>-36</v>
      </c>
      <c r="X28" s="18">
        <v>-94</v>
      </c>
      <c r="Y28" s="18">
        <v>-27</v>
      </c>
      <c r="Z28" s="18">
        <v>-17</v>
      </c>
      <c r="AA28" s="18">
        <v>-29</v>
      </c>
      <c r="AB28" s="18">
        <v>-119</v>
      </c>
      <c r="AC28" s="6">
        <f>+AB28</f>
        <v>-119</v>
      </c>
      <c r="AD28" s="6">
        <f t="shared" ref="AD28:AL28" si="27">+AC28</f>
        <v>-119</v>
      </c>
      <c r="AE28" s="6">
        <f t="shared" si="27"/>
        <v>-119</v>
      </c>
      <c r="AF28" s="6">
        <f t="shared" si="27"/>
        <v>-119</v>
      </c>
      <c r="AG28" s="6">
        <f t="shared" si="27"/>
        <v>-119</v>
      </c>
      <c r="AH28" s="6">
        <f t="shared" si="27"/>
        <v>-119</v>
      </c>
      <c r="AI28" s="6">
        <f t="shared" si="27"/>
        <v>-119</v>
      </c>
      <c r="AJ28" s="6">
        <f t="shared" si="27"/>
        <v>-119</v>
      </c>
      <c r="AK28" s="6">
        <f t="shared" si="27"/>
        <v>-119</v>
      </c>
      <c r="AL28" s="6">
        <f t="shared" si="27"/>
        <v>-119</v>
      </c>
    </row>
    <row r="29" spans="2:240" x14ac:dyDescent="0.2">
      <c r="B29" s="6" t="s">
        <v>28</v>
      </c>
      <c r="C29" s="16">
        <v>-4</v>
      </c>
      <c r="D29" s="16">
        <v>-1</v>
      </c>
      <c r="E29" s="16">
        <v>8</v>
      </c>
      <c r="F29" s="16">
        <f t="shared" si="21"/>
        <v>-24</v>
      </c>
      <c r="G29" s="16">
        <v>10</v>
      </c>
      <c r="H29" s="16">
        <v>23</v>
      </c>
      <c r="I29" s="16">
        <v>-5</v>
      </c>
      <c r="J29" s="16">
        <f t="shared" si="22"/>
        <v>3</v>
      </c>
      <c r="X29" s="18">
        <v>-32</v>
      </c>
      <c r="Y29" s="18">
        <v>-4</v>
      </c>
      <c r="Z29" s="18">
        <v>1</v>
      </c>
      <c r="AA29" s="18">
        <v>-21</v>
      </c>
      <c r="AB29" s="18">
        <v>31</v>
      </c>
      <c r="AC29" s="6">
        <f>+AB29</f>
        <v>31</v>
      </c>
      <c r="AD29" s="6">
        <f t="shared" ref="AD29:AL29" si="28">+AC29</f>
        <v>31</v>
      </c>
      <c r="AE29" s="6">
        <f t="shared" si="28"/>
        <v>31</v>
      </c>
      <c r="AF29" s="6">
        <f t="shared" si="28"/>
        <v>31</v>
      </c>
      <c r="AG29" s="6">
        <f t="shared" si="28"/>
        <v>31</v>
      </c>
      <c r="AH29" s="6">
        <f t="shared" si="28"/>
        <v>31</v>
      </c>
      <c r="AI29" s="6">
        <f t="shared" si="28"/>
        <v>31</v>
      </c>
      <c r="AJ29" s="6">
        <f t="shared" si="28"/>
        <v>31</v>
      </c>
      <c r="AK29" s="6">
        <f t="shared" si="28"/>
        <v>31</v>
      </c>
      <c r="AL29" s="6">
        <f t="shared" si="28"/>
        <v>31</v>
      </c>
    </row>
    <row r="30" spans="2:240" s="4" customFormat="1" x14ac:dyDescent="0.2">
      <c r="B30" s="4" t="s">
        <v>29</v>
      </c>
      <c r="C30" s="14">
        <f>+SUM(C27:C29)</f>
        <v>-166</v>
      </c>
      <c r="D30" s="14">
        <f>+SUM(D27:D29)</f>
        <v>-39</v>
      </c>
      <c r="E30" s="14">
        <f>+SUM(E27:E29)</f>
        <v>-70</v>
      </c>
      <c r="F30" s="14">
        <f t="shared" si="21"/>
        <v>880</v>
      </c>
      <c r="G30" s="14">
        <f>+SUM(G27:G29)</f>
        <v>-56</v>
      </c>
      <c r="H30" s="14">
        <f>+SUM(H27:H29)</f>
        <v>20</v>
      </c>
      <c r="I30" s="14">
        <f>+SUM(I27:I29)</f>
        <v>5</v>
      </c>
      <c r="J30" s="14">
        <f t="shared" si="22"/>
        <v>36</v>
      </c>
      <c r="K30" s="14"/>
      <c r="L30" s="14"/>
      <c r="M30" s="14"/>
      <c r="N30" s="14"/>
      <c r="X30" s="4">
        <f t="shared" ref="X30:AC30" si="29">+SUM(X27:X29)</f>
        <v>-208</v>
      </c>
      <c r="Y30" s="4">
        <f t="shared" si="29"/>
        <v>-1345</v>
      </c>
      <c r="Z30" s="4">
        <f t="shared" si="29"/>
        <v>-750</v>
      </c>
      <c r="AA30" s="4">
        <f t="shared" si="29"/>
        <v>605</v>
      </c>
      <c r="AB30" s="4">
        <f t="shared" si="29"/>
        <v>5</v>
      </c>
      <c r="AC30" s="4">
        <f t="shared" si="29"/>
        <v>608.89857911214494</v>
      </c>
      <c r="AD30" s="4">
        <f t="shared" ref="AD30:AL30" si="30">+SUM(AD27:AD29)</f>
        <v>636.7745222766298</v>
      </c>
      <c r="AE30" s="4">
        <f t="shared" si="30"/>
        <v>665.76550316769499</v>
      </c>
      <c r="AF30" s="4">
        <f t="shared" si="30"/>
        <v>695.9161232944025</v>
      </c>
      <c r="AG30" s="4">
        <f t="shared" si="30"/>
        <v>727.27276822617932</v>
      </c>
      <c r="AH30" s="4">
        <f t="shared" si="30"/>
        <v>759.88367895522788</v>
      </c>
      <c r="AI30" s="4">
        <f t="shared" si="30"/>
        <v>793.79902611343641</v>
      </c>
      <c r="AJ30" s="4">
        <f t="shared" si="30"/>
        <v>829.07098715797292</v>
      </c>
      <c r="AK30" s="4">
        <f t="shared" si="30"/>
        <v>865.75382664429344</v>
      </c>
      <c r="AL30" s="4">
        <f t="shared" si="30"/>
        <v>903.90397971006314</v>
      </c>
    </row>
    <row r="31" spans="2:240" x14ac:dyDescent="0.2">
      <c r="B31" s="6" t="s">
        <v>30</v>
      </c>
      <c r="C31" s="16">
        <v>3</v>
      </c>
      <c r="D31" s="16">
        <v>2</v>
      </c>
      <c r="E31" s="16">
        <v>3</v>
      </c>
      <c r="F31" s="16">
        <f t="shared" si="21"/>
        <v>2</v>
      </c>
      <c r="G31" s="16">
        <v>3</v>
      </c>
      <c r="H31" s="16">
        <v>2</v>
      </c>
      <c r="I31" s="16">
        <v>2</v>
      </c>
      <c r="J31" s="16">
        <f t="shared" si="22"/>
        <v>2</v>
      </c>
      <c r="X31" s="18">
        <v>1</v>
      </c>
      <c r="Y31" s="18">
        <v>12</v>
      </c>
      <c r="Z31" s="18">
        <v>9</v>
      </c>
      <c r="AA31" s="18">
        <v>10</v>
      </c>
      <c r="AB31" s="18">
        <v>9</v>
      </c>
      <c r="AC31" s="6">
        <f>+AC30*0.25</f>
        <v>152.22464477803624</v>
      </c>
      <c r="AD31" s="6">
        <f t="shared" ref="AD31:AL31" si="31">+AD30*0.25</f>
        <v>159.19363056915745</v>
      </c>
      <c r="AE31" s="6">
        <f t="shared" si="31"/>
        <v>166.44137579192375</v>
      </c>
      <c r="AF31" s="6">
        <f t="shared" si="31"/>
        <v>173.97903082360062</v>
      </c>
      <c r="AG31" s="6">
        <f t="shared" si="31"/>
        <v>181.81819205654483</v>
      </c>
      <c r="AH31" s="6">
        <f t="shared" si="31"/>
        <v>189.97091973880697</v>
      </c>
      <c r="AI31" s="6">
        <f t="shared" si="31"/>
        <v>198.4497565283591</v>
      </c>
      <c r="AJ31" s="6">
        <f t="shared" si="31"/>
        <v>207.26774678949323</v>
      </c>
      <c r="AK31" s="6">
        <f t="shared" si="31"/>
        <v>216.43845666107336</v>
      </c>
      <c r="AL31" s="6">
        <f t="shared" si="31"/>
        <v>225.97599492751579</v>
      </c>
    </row>
    <row r="32" spans="2:240" s="4" customFormat="1" x14ac:dyDescent="0.2">
      <c r="B32" s="4" t="s">
        <v>31</v>
      </c>
      <c r="C32" s="14">
        <f>+C30-C31</f>
        <v>-169</v>
      </c>
      <c r="D32" s="14">
        <f>+D30-D31</f>
        <v>-41</v>
      </c>
      <c r="E32" s="14">
        <f>+E30-E31</f>
        <v>-73</v>
      </c>
      <c r="F32" s="14">
        <f t="shared" si="21"/>
        <v>878</v>
      </c>
      <c r="G32" s="14">
        <f>+G30-G31</f>
        <v>-59</v>
      </c>
      <c r="H32" s="14">
        <f>+H30-H31</f>
        <v>18</v>
      </c>
      <c r="I32" s="14">
        <f>+I30-I31</f>
        <v>3</v>
      </c>
      <c r="J32" s="14">
        <f t="shared" si="22"/>
        <v>34</v>
      </c>
      <c r="K32" s="14"/>
      <c r="L32" s="14"/>
      <c r="M32" s="14"/>
      <c r="N32" s="14"/>
      <c r="X32" s="4">
        <f t="shared" ref="X32:AC32" si="32">+X30-X31</f>
        <v>-209</v>
      </c>
      <c r="Y32" s="4">
        <f t="shared" si="32"/>
        <v>-1357</v>
      </c>
      <c r="Z32" s="4">
        <f t="shared" si="32"/>
        <v>-759</v>
      </c>
      <c r="AA32" s="4">
        <f t="shared" si="32"/>
        <v>595</v>
      </c>
      <c r="AB32" s="4">
        <f t="shared" si="32"/>
        <v>-4</v>
      </c>
      <c r="AC32" s="4">
        <f t="shared" si="32"/>
        <v>456.67393433410871</v>
      </c>
      <c r="AD32" s="4">
        <f t="shared" ref="AD32:AL32" si="33">+AD30-AD31</f>
        <v>477.58089170747235</v>
      </c>
      <c r="AE32" s="4">
        <f t="shared" si="33"/>
        <v>499.32412737577124</v>
      </c>
      <c r="AF32" s="4">
        <f t="shared" si="33"/>
        <v>521.93709247080187</v>
      </c>
      <c r="AG32" s="4">
        <f t="shared" si="33"/>
        <v>545.45457616963449</v>
      </c>
      <c r="AH32" s="4">
        <f t="shared" si="33"/>
        <v>569.91275921642091</v>
      </c>
      <c r="AI32" s="4">
        <f t="shared" si="33"/>
        <v>595.34926958507731</v>
      </c>
      <c r="AJ32" s="4">
        <f t="shared" si="33"/>
        <v>621.80324036847969</v>
      </c>
      <c r="AK32" s="4">
        <f t="shared" si="33"/>
        <v>649.31536998322008</v>
      </c>
      <c r="AL32" s="4">
        <f t="shared" si="33"/>
        <v>677.92798478254736</v>
      </c>
      <c r="AM32" s="4">
        <f>+AL32*(1+$AP$40)</f>
        <v>684.70726463037283</v>
      </c>
      <c r="AN32" s="4">
        <f>+AM32*(1+$AP$40)</f>
        <v>691.55433727667662</v>
      </c>
      <c r="AO32" s="4">
        <f t="shared" ref="AO32:CZ32" si="34">+AN32*(1+$AP$40)</f>
        <v>698.46988064944344</v>
      </c>
      <c r="AP32" s="4">
        <f t="shared" si="34"/>
        <v>705.45457945593785</v>
      </c>
      <c r="AQ32" s="4">
        <f t="shared" si="34"/>
        <v>712.50912525049728</v>
      </c>
      <c r="AR32" s="4">
        <f t="shared" si="34"/>
        <v>719.63421650300222</v>
      </c>
      <c r="AS32" s="4">
        <f t="shared" si="34"/>
        <v>726.83055866803227</v>
      </c>
      <c r="AT32" s="4">
        <f t="shared" si="34"/>
        <v>734.09886425471257</v>
      </c>
      <c r="AU32" s="4">
        <f t="shared" si="34"/>
        <v>741.4398528972597</v>
      </c>
      <c r="AV32" s="4">
        <f t="shared" si="34"/>
        <v>748.85425142623228</v>
      </c>
      <c r="AW32" s="4">
        <f t="shared" si="34"/>
        <v>756.34279394049463</v>
      </c>
      <c r="AX32" s="4">
        <f t="shared" si="34"/>
        <v>763.90622187989959</v>
      </c>
      <c r="AY32" s="4">
        <f t="shared" si="34"/>
        <v>771.54528409869863</v>
      </c>
      <c r="AZ32" s="4">
        <f t="shared" si="34"/>
        <v>779.26073693968567</v>
      </c>
      <c r="BA32" s="4">
        <f t="shared" si="34"/>
        <v>787.05334430908249</v>
      </c>
      <c r="BB32" s="4">
        <f t="shared" si="34"/>
        <v>794.92387775217333</v>
      </c>
      <c r="BC32" s="4">
        <f t="shared" si="34"/>
        <v>802.87311652969504</v>
      </c>
      <c r="BD32" s="4">
        <f t="shared" si="34"/>
        <v>810.90184769499194</v>
      </c>
      <c r="BE32" s="4">
        <f t="shared" si="34"/>
        <v>819.01086617194187</v>
      </c>
      <c r="BF32" s="4">
        <f t="shared" si="34"/>
        <v>827.20097483366135</v>
      </c>
      <c r="BG32" s="4">
        <f t="shared" si="34"/>
        <v>835.47298458199793</v>
      </c>
      <c r="BH32" s="4">
        <f t="shared" si="34"/>
        <v>843.82771442781791</v>
      </c>
      <c r="BI32" s="4">
        <f t="shared" si="34"/>
        <v>852.26599157209614</v>
      </c>
      <c r="BJ32" s="4">
        <f t="shared" si="34"/>
        <v>860.78865148781711</v>
      </c>
      <c r="BK32" s="4">
        <f t="shared" si="34"/>
        <v>869.39653800269525</v>
      </c>
      <c r="BL32" s="4">
        <f t="shared" si="34"/>
        <v>878.0905033827222</v>
      </c>
      <c r="BM32" s="4">
        <f t="shared" si="34"/>
        <v>886.87140841654946</v>
      </c>
      <c r="BN32" s="4">
        <f t="shared" si="34"/>
        <v>895.74012250071496</v>
      </c>
      <c r="BO32" s="4">
        <f t="shared" si="34"/>
        <v>904.69752372572214</v>
      </c>
      <c r="BP32" s="4">
        <f t="shared" si="34"/>
        <v>913.74449896297938</v>
      </c>
      <c r="BQ32" s="4">
        <f t="shared" si="34"/>
        <v>922.88194395260916</v>
      </c>
      <c r="BR32" s="4">
        <f t="shared" si="34"/>
        <v>932.11076339213525</v>
      </c>
      <c r="BS32" s="4">
        <f t="shared" si="34"/>
        <v>941.43187102605657</v>
      </c>
      <c r="BT32" s="4">
        <f t="shared" si="34"/>
        <v>950.84618973631711</v>
      </c>
      <c r="BU32" s="4">
        <f t="shared" si="34"/>
        <v>960.35465163368031</v>
      </c>
      <c r="BV32" s="4">
        <f t="shared" si="34"/>
        <v>969.9581981500171</v>
      </c>
      <c r="BW32" s="4">
        <f t="shared" si="34"/>
        <v>979.65778013151726</v>
      </c>
      <c r="BX32" s="4">
        <f t="shared" si="34"/>
        <v>989.45435793283241</v>
      </c>
      <c r="BY32" s="4">
        <f t="shared" si="34"/>
        <v>999.34890151216075</v>
      </c>
      <c r="BZ32" s="4">
        <f t="shared" si="34"/>
        <v>1009.3423905272824</v>
      </c>
      <c r="CA32" s="4">
        <f t="shared" si="34"/>
        <v>1019.4358144325553</v>
      </c>
      <c r="CB32" s="4">
        <f t="shared" si="34"/>
        <v>1029.6301725768808</v>
      </c>
      <c r="CC32" s="4">
        <f t="shared" si="34"/>
        <v>1039.9264743026497</v>
      </c>
      <c r="CD32" s="4">
        <f t="shared" si="34"/>
        <v>1050.3257390456763</v>
      </c>
      <c r="CE32" s="4">
        <f t="shared" si="34"/>
        <v>1060.8289964361331</v>
      </c>
      <c r="CF32" s="4">
        <f t="shared" si="34"/>
        <v>1071.4372864004945</v>
      </c>
      <c r="CG32" s="4">
        <f t="shared" si="34"/>
        <v>1082.1516592644994</v>
      </c>
      <c r="CH32" s="4">
        <f t="shared" si="34"/>
        <v>1092.9731758571443</v>
      </c>
      <c r="CI32" s="4">
        <f t="shared" si="34"/>
        <v>1103.9029076157158</v>
      </c>
      <c r="CJ32" s="4">
        <f t="shared" si="34"/>
        <v>1114.941936691873</v>
      </c>
      <c r="CK32" s="4">
        <f t="shared" si="34"/>
        <v>1126.0913560587917</v>
      </c>
      <c r="CL32" s="4">
        <f t="shared" si="34"/>
        <v>1137.3522696193795</v>
      </c>
      <c r="CM32" s="4">
        <f t="shared" si="34"/>
        <v>1148.7257923155732</v>
      </c>
      <c r="CN32" s="4">
        <f t="shared" si="34"/>
        <v>1160.213050238729</v>
      </c>
      <c r="CO32" s="4">
        <f t="shared" si="34"/>
        <v>1171.8151807411164</v>
      </c>
      <c r="CP32" s="4">
        <f t="shared" si="34"/>
        <v>1183.5333325485276</v>
      </c>
      <c r="CQ32" s="4">
        <f t="shared" si="34"/>
        <v>1195.3686658740128</v>
      </c>
      <c r="CR32" s="4">
        <f t="shared" si="34"/>
        <v>1207.3223525327528</v>
      </c>
      <c r="CS32" s="4">
        <f t="shared" si="34"/>
        <v>1219.3955760580805</v>
      </c>
      <c r="CT32" s="4">
        <f t="shared" si="34"/>
        <v>1231.5895318186613</v>
      </c>
      <c r="CU32" s="4">
        <f t="shared" si="34"/>
        <v>1243.9054271368479</v>
      </c>
      <c r="CV32" s="4">
        <f t="shared" si="34"/>
        <v>1256.3444814082163</v>
      </c>
      <c r="CW32" s="4">
        <f t="shared" si="34"/>
        <v>1268.9079262222986</v>
      </c>
      <c r="CX32" s="4">
        <f t="shared" si="34"/>
        <v>1281.5970054845216</v>
      </c>
      <c r="CY32" s="4">
        <f t="shared" si="34"/>
        <v>1294.4129755393667</v>
      </c>
      <c r="CZ32" s="4">
        <f t="shared" si="34"/>
        <v>1307.3571052947605</v>
      </c>
      <c r="DA32" s="4">
        <f t="shared" ref="DA32:FL32" si="35">+CZ32*(1+$AP$40)</f>
        <v>1320.4306763477082</v>
      </c>
      <c r="DB32" s="4">
        <f t="shared" si="35"/>
        <v>1333.6349831111852</v>
      </c>
      <c r="DC32" s="4">
        <f t="shared" si="35"/>
        <v>1346.9713329422971</v>
      </c>
      <c r="DD32" s="4">
        <f t="shared" si="35"/>
        <v>1360.4410462717201</v>
      </c>
      <c r="DE32" s="4">
        <f t="shared" si="35"/>
        <v>1374.0454567344373</v>
      </c>
      <c r="DF32" s="4">
        <f t="shared" si="35"/>
        <v>1387.7859113017817</v>
      </c>
      <c r="DG32" s="4">
        <f t="shared" si="35"/>
        <v>1401.6637704147995</v>
      </c>
      <c r="DH32" s="4">
        <f t="shared" si="35"/>
        <v>1415.6804081189475</v>
      </c>
      <c r="DI32" s="4">
        <f t="shared" si="35"/>
        <v>1429.8372122001369</v>
      </c>
      <c r="DJ32" s="4">
        <f t="shared" si="35"/>
        <v>1444.1355843221384</v>
      </c>
      <c r="DK32" s="4">
        <f t="shared" si="35"/>
        <v>1458.5769401653597</v>
      </c>
      <c r="DL32" s="4">
        <f t="shared" si="35"/>
        <v>1473.1627095670133</v>
      </c>
      <c r="DM32" s="4">
        <f t="shared" si="35"/>
        <v>1487.8943366626834</v>
      </c>
      <c r="DN32" s="4">
        <f t="shared" si="35"/>
        <v>1502.7732800293102</v>
      </c>
      <c r="DO32" s="4">
        <f t="shared" si="35"/>
        <v>1517.8010128296032</v>
      </c>
      <c r="DP32" s="4">
        <f t="shared" si="35"/>
        <v>1532.9790229578994</v>
      </c>
      <c r="DQ32" s="4">
        <f t="shared" si="35"/>
        <v>1548.3088131874783</v>
      </c>
      <c r="DR32" s="4">
        <f t="shared" si="35"/>
        <v>1563.7919013193532</v>
      </c>
      <c r="DS32" s="4">
        <f t="shared" si="35"/>
        <v>1579.4298203325468</v>
      </c>
      <c r="DT32" s="4">
        <f t="shared" si="35"/>
        <v>1595.2241185358723</v>
      </c>
      <c r="DU32" s="4">
        <f t="shared" si="35"/>
        <v>1611.1763597212312</v>
      </c>
      <c r="DV32" s="4">
        <f t="shared" si="35"/>
        <v>1627.2881233184435</v>
      </c>
      <c r="DW32" s="4">
        <f t="shared" si="35"/>
        <v>1643.561004551628</v>
      </c>
      <c r="DX32" s="4">
        <f t="shared" si="35"/>
        <v>1659.9966145971443</v>
      </c>
      <c r="DY32" s="4">
        <f t="shared" si="35"/>
        <v>1676.5965807431157</v>
      </c>
      <c r="DZ32" s="4">
        <f t="shared" si="35"/>
        <v>1693.362546550547</v>
      </c>
      <c r="EA32" s="4">
        <f t="shared" si="35"/>
        <v>1710.2961720160524</v>
      </c>
      <c r="EB32" s="4">
        <f t="shared" si="35"/>
        <v>1727.3991337362129</v>
      </c>
      <c r="EC32" s="4">
        <f t="shared" si="35"/>
        <v>1744.673125073575</v>
      </c>
      <c r="ED32" s="4">
        <f t="shared" si="35"/>
        <v>1762.1198563243108</v>
      </c>
      <c r="EE32" s="4">
        <f t="shared" si="35"/>
        <v>1779.7410548875539</v>
      </c>
      <c r="EF32" s="4">
        <f t="shared" si="35"/>
        <v>1797.5384654364295</v>
      </c>
      <c r="EG32" s="4">
        <f t="shared" si="35"/>
        <v>1815.5138500907938</v>
      </c>
      <c r="EH32" s="4">
        <f t="shared" si="35"/>
        <v>1833.6689885917017</v>
      </c>
      <c r="EI32" s="4">
        <f t="shared" si="35"/>
        <v>1852.0056784776186</v>
      </c>
      <c r="EJ32" s="4">
        <f t="shared" si="35"/>
        <v>1870.5257352623948</v>
      </c>
      <c r="EK32" s="4">
        <f t="shared" si="35"/>
        <v>1889.2309926150187</v>
      </c>
      <c r="EL32" s="4">
        <f t="shared" si="35"/>
        <v>1908.1233025411689</v>
      </c>
      <c r="EM32" s="4">
        <f t="shared" si="35"/>
        <v>1927.2045355665805</v>
      </c>
      <c r="EN32" s="4">
        <f t="shared" si="35"/>
        <v>1946.4765809222463</v>
      </c>
      <c r="EO32" s="4">
        <f t="shared" si="35"/>
        <v>1965.9413467314687</v>
      </c>
      <c r="EP32" s="4">
        <f t="shared" si="35"/>
        <v>1985.6007601987833</v>
      </c>
      <c r="EQ32" s="4">
        <f t="shared" si="35"/>
        <v>2005.4567678007711</v>
      </c>
      <c r="ER32" s="4">
        <f t="shared" si="35"/>
        <v>2025.5113354787788</v>
      </c>
      <c r="ES32" s="4">
        <f t="shared" si="35"/>
        <v>2045.7664488335668</v>
      </c>
      <c r="ET32" s="4">
        <f t="shared" si="35"/>
        <v>2066.2241133219022</v>
      </c>
      <c r="EU32" s="4">
        <f t="shared" si="35"/>
        <v>2086.8863544551214</v>
      </c>
      <c r="EV32" s="4">
        <f t="shared" si="35"/>
        <v>2107.7552179996728</v>
      </c>
      <c r="EW32" s="4">
        <f t="shared" si="35"/>
        <v>2128.8327701796698</v>
      </c>
      <c r="EX32" s="4">
        <f t="shared" si="35"/>
        <v>2150.1210978814665</v>
      </c>
      <c r="EY32" s="4">
        <f t="shared" si="35"/>
        <v>2171.622308860281</v>
      </c>
      <c r="EZ32" s="4">
        <f t="shared" si="35"/>
        <v>2193.3385319488839</v>
      </c>
      <c r="FA32" s="4">
        <f t="shared" si="35"/>
        <v>2215.2719172683728</v>
      </c>
      <c r="FB32" s="4">
        <f t="shared" si="35"/>
        <v>2237.4246364410565</v>
      </c>
      <c r="FC32" s="4">
        <f t="shared" si="35"/>
        <v>2259.7988828054672</v>
      </c>
      <c r="FD32" s="4">
        <f t="shared" si="35"/>
        <v>2282.3968716335221</v>
      </c>
      <c r="FE32" s="4">
        <f t="shared" si="35"/>
        <v>2305.2208403498576</v>
      </c>
      <c r="FF32" s="4">
        <f t="shared" si="35"/>
        <v>2328.2730487533563</v>
      </c>
      <c r="FG32" s="4">
        <f t="shared" si="35"/>
        <v>2351.5557792408899</v>
      </c>
      <c r="FH32" s="4">
        <f t="shared" si="35"/>
        <v>2375.0713370332987</v>
      </c>
      <c r="FI32" s="4">
        <f t="shared" si="35"/>
        <v>2398.8220504036317</v>
      </c>
      <c r="FJ32" s="4">
        <f t="shared" si="35"/>
        <v>2422.8102709076679</v>
      </c>
      <c r="FK32" s="4">
        <f t="shared" si="35"/>
        <v>2447.0383736167446</v>
      </c>
      <c r="FL32" s="4">
        <f t="shared" si="35"/>
        <v>2471.5087573529122</v>
      </c>
      <c r="FM32" s="4">
        <f t="shared" ref="FM32:GO32" si="36">+FL32*(1+$AP$40)</f>
        <v>2496.2238449264414</v>
      </c>
      <c r="FN32" s="4">
        <f t="shared" si="36"/>
        <v>2521.1860833757059</v>
      </c>
      <c r="FO32" s="4">
        <f t="shared" si="36"/>
        <v>2546.3979442094628</v>
      </c>
      <c r="FP32" s="4">
        <f t="shared" si="36"/>
        <v>2571.8619236515574</v>
      </c>
      <c r="FQ32" s="4">
        <f t="shared" si="36"/>
        <v>2597.5805428880731</v>
      </c>
      <c r="FR32" s="4">
        <f t="shared" si="36"/>
        <v>2623.556348316954</v>
      </c>
      <c r="FS32" s="4">
        <f t="shared" si="36"/>
        <v>2649.7919118001237</v>
      </c>
      <c r="FT32" s="4">
        <f t="shared" si="36"/>
        <v>2676.2898309181251</v>
      </c>
      <c r="FU32" s="4">
        <f t="shared" si="36"/>
        <v>2703.0527292273064</v>
      </c>
      <c r="FV32" s="4">
        <f t="shared" si="36"/>
        <v>2730.0832565195797</v>
      </c>
      <c r="FW32" s="4">
        <f t="shared" si="36"/>
        <v>2757.3840890847755</v>
      </c>
      <c r="FX32" s="4">
        <f t="shared" si="36"/>
        <v>2784.9579299756233</v>
      </c>
      <c r="FY32" s="4">
        <f t="shared" si="36"/>
        <v>2812.8075092753797</v>
      </c>
      <c r="FZ32" s="4">
        <f t="shared" si="36"/>
        <v>2840.9355843681337</v>
      </c>
      <c r="GA32" s="4">
        <f t="shared" si="36"/>
        <v>2869.3449402118149</v>
      </c>
      <c r="GB32" s="4">
        <f t="shared" si="36"/>
        <v>2898.0383896139328</v>
      </c>
      <c r="GC32" s="4">
        <f t="shared" si="36"/>
        <v>2927.0187735100722</v>
      </c>
      <c r="GD32" s="4">
        <f t="shared" si="36"/>
        <v>2956.2889612451727</v>
      </c>
      <c r="GE32" s="4">
        <f t="shared" si="36"/>
        <v>2985.8518508576244</v>
      </c>
      <c r="GF32" s="4">
        <f t="shared" si="36"/>
        <v>3015.7103693662007</v>
      </c>
      <c r="GG32" s="4">
        <f t="shared" si="36"/>
        <v>3045.8674730598627</v>
      </c>
      <c r="GH32" s="4">
        <f t="shared" si="36"/>
        <v>3076.3261477904612</v>
      </c>
      <c r="GI32" s="4">
        <f t="shared" si="36"/>
        <v>3107.0894092683657</v>
      </c>
      <c r="GJ32" s="4">
        <f t="shared" si="36"/>
        <v>3138.1603033610495</v>
      </c>
      <c r="GK32" s="4">
        <f t="shared" si="36"/>
        <v>3169.5419063946601</v>
      </c>
      <c r="GL32" s="4">
        <f t="shared" si="36"/>
        <v>3201.2373254586068</v>
      </c>
      <c r="GM32" s="4">
        <f t="shared" si="36"/>
        <v>3233.2496987131931</v>
      </c>
      <c r="GN32" s="4">
        <f t="shared" si="36"/>
        <v>3265.582195700325</v>
      </c>
      <c r="GO32" s="4">
        <f t="shared" si="36"/>
        <v>3298.2380176573283</v>
      </c>
      <c r="GP32" s="4">
        <f t="shared" ref="GP32:GZ32" si="37">+GO32*(1+$AP$40)</f>
        <v>3331.2203978339016</v>
      </c>
      <c r="GQ32" s="4">
        <f t="shared" si="37"/>
        <v>3364.5326018122405</v>
      </c>
      <c r="GR32" s="4">
        <f t="shared" si="37"/>
        <v>3398.1779278303629</v>
      </c>
      <c r="GS32" s="4">
        <f t="shared" si="37"/>
        <v>3432.1597071086667</v>
      </c>
      <c r="GT32" s="4">
        <f t="shared" si="37"/>
        <v>3466.4813041797534</v>
      </c>
      <c r="GU32" s="4">
        <f t="shared" si="37"/>
        <v>3501.1461172215509</v>
      </c>
      <c r="GV32" s="4">
        <f t="shared" si="37"/>
        <v>3536.1575783937665</v>
      </c>
      <c r="GW32" s="4">
        <f t="shared" si="37"/>
        <v>3571.519154177704</v>
      </c>
      <c r="GX32" s="4">
        <f t="shared" si="37"/>
        <v>3607.2343457194811</v>
      </c>
      <c r="GY32" s="4">
        <f t="shared" si="37"/>
        <v>3643.3066891766757</v>
      </c>
      <c r="GZ32" s="4">
        <f t="shared" si="37"/>
        <v>3679.7397560684426</v>
      </c>
      <c r="HA32" s="4">
        <f t="shared" ref="HA32:HM32" si="38">+GZ32*(1+$AP$40)</f>
        <v>3716.5371536291273</v>
      </c>
      <c r="HB32" s="4">
        <f t="shared" si="38"/>
        <v>3753.7025251654186</v>
      </c>
      <c r="HC32" s="4">
        <f t="shared" si="38"/>
        <v>3791.2395504170727</v>
      </c>
      <c r="HD32" s="4">
        <f t="shared" si="38"/>
        <v>3829.1519459212436</v>
      </c>
      <c r="HE32" s="4">
        <f t="shared" si="38"/>
        <v>3867.443465380456</v>
      </c>
      <c r="HF32" s="4">
        <f t="shared" si="38"/>
        <v>3906.1179000342604</v>
      </c>
      <c r="HG32" s="4">
        <f t="shared" si="38"/>
        <v>3945.1790790346031</v>
      </c>
      <c r="HH32" s="4">
        <f t="shared" si="38"/>
        <v>3984.6308698249491</v>
      </c>
      <c r="HI32" s="4">
        <f t="shared" si="38"/>
        <v>4024.4771785231987</v>
      </c>
      <c r="HJ32" s="4">
        <f t="shared" si="38"/>
        <v>4064.7219503084307</v>
      </c>
      <c r="HK32" s="4">
        <f t="shared" si="38"/>
        <v>4105.3691698115153</v>
      </c>
      <c r="HL32" s="4">
        <f t="shared" si="38"/>
        <v>4146.4228615096308</v>
      </c>
      <c r="HM32" s="4">
        <f t="shared" si="38"/>
        <v>4187.8870901247274</v>
      </c>
      <c r="HN32" s="4">
        <f t="shared" ref="HN32:HW32" si="39">+HM32*(1+$AP$40)</f>
        <v>4229.7659610259743</v>
      </c>
      <c r="HO32" s="4">
        <f t="shared" si="39"/>
        <v>4272.0636206362342</v>
      </c>
      <c r="HP32" s="4">
        <f t="shared" si="39"/>
        <v>4314.7842568425967</v>
      </c>
      <c r="HQ32" s="4">
        <f t="shared" si="39"/>
        <v>4357.932099411023</v>
      </c>
      <c r="HR32" s="4">
        <f t="shared" si="39"/>
        <v>4401.5114204051333</v>
      </c>
      <c r="HS32" s="4">
        <f t="shared" si="39"/>
        <v>4445.5265346091846</v>
      </c>
      <c r="HT32" s="4">
        <f t="shared" si="39"/>
        <v>4489.9817999552761</v>
      </c>
      <c r="HU32" s="4">
        <f t="shared" si="39"/>
        <v>4534.8816179548285</v>
      </c>
      <c r="HV32" s="4">
        <f t="shared" si="39"/>
        <v>4580.230434134377</v>
      </c>
      <c r="HW32" s="4">
        <f t="shared" si="39"/>
        <v>4626.0327384757211</v>
      </c>
      <c r="HX32" s="4">
        <f t="shared" ref="HX32:ID32" si="40">+HW32*(1+$AP$40)</f>
        <v>4672.2930658604782</v>
      </c>
      <c r="HY32" s="4">
        <f t="shared" si="40"/>
        <v>4719.0159965190833</v>
      </c>
      <c r="HZ32" s="4">
        <f t="shared" si="40"/>
        <v>4766.2061564842743</v>
      </c>
      <c r="IA32" s="4">
        <f t="shared" si="40"/>
        <v>4813.8682180491169</v>
      </c>
      <c r="IB32" s="4">
        <f t="shared" si="40"/>
        <v>4862.0069002296077</v>
      </c>
      <c r="IC32" s="4">
        <f t="shared" si="40"/>
        <v>4910.6269692319038</v>
      </c>
      <c r="ID32" s="4">
        <f t="shared" si="40"/>
        <v>4959.7332389242229</v>
      </c>
    </row>
    <row r="33" spans="2:42" x14ac:dyDescent="0.2">
      <c r="B33" s="6" t="s">
        <v>37</v>
      </c>
      <c r="C33" s="16">
        <v>120</v>
      </c>
      <c r="D33" s="16">
        <v>122</v>
      </c>
      <c r="E33" s="16">
        <v>123</v>
      </c>
      <c r="F33" s="16">
        <v>123</v>
      </c>
      <c r="G33" s="16">
        <v>127</v>
      </c>
      <c r="H33" s="16">
        <v>129</v>
      </c>
      <c r="I33" s="16">
        <v>130</v>
      </c>
      <c r="J33" s="16">
        <v>128</v>
      </c>
    </row>
    <row r="35" spans="2:42" x14ac:dyDescent="0.2">
      <c r="B35" s="4" t="s">
        <v>22</v>
      </c>
    </row>
    <row r="36" spans="2:42" s="7" customFormat="1" x14ac:dyDescent="0.2">
      <c r="B36" s="7" t="s">
        <v>21</v>
      </c>
      <c r="C36" s="15"/>
      <c r="D36" s="15"/>
      <c r="E36" s="15"/>
      <c r="F36" s="15"/>
      <c r="G36" s="15">
        <f>+G18/C18-1</f>
        <v>3.6643459142537971E-4</v>
      </c>
      <c r="H36" s="15">
        <f>+H18/D18-1</f>
        <v>5.0048123195380212E-2</v>
      </c>
      <c r="I36" s="15">
        <f>+I18/E18-1</f>
        <v>8.07905686546464E-2</v>
      </c>
      <c r="J36" s="15">
        <f>+J18/F18-1</f>
        <v>6.9208586991349019E-2</v>
      </c>
      <c r="K36" s="15"/>
      <c r="L36" s="15"/>
      <c r="M36" s="15"/>
      <c r="N36" s="15"/>
      <c r="Y36" s="7">
        <f>+Y18/X18-1</f>
        <v>-0.10869565217391308</v>
      </c>
      <c r="Z36" s="7">
        <f>+Z18/Y18-1</f>
        <v>-1.7596988050417428E-2</v>
      </c>
      <c r="AA36" s="7">
        <f>+AA18/Z18-1</f>
        <v>-1.2663500791468829E-2</v>
      </c>
      <c r="AB36" s="7">
        <f>+AB18/AA18-1</f>
        <v>5.1134925322757541E-2</v>
      </c>
      <c r="AC36" s="7">
        <f t="shared" ref="AC36:AL36" si="41">+AC18/AB18-1</f>
        <v>4.1920205506943864E-2</v>
      </c>
      <c r="AD36" s="7">
        <f t="shared" si="41"/>
        <v>4.0000000000000036E-2</v>
      </c>
      <c r="AE36" s="7">
        <f t="shared" si="41"/>
        <v>4.0000000000000036E-2</v>
      </c>
      <c r="AF36" s="7">
        <f t="shared" si="41"/>
        <v>3.9999999999999813E-2</v>
      </c>
      <c r="AG36" s="7">
        <f t="shared" si="41"/>
        <v>4.0000000000000036E-2</v>
      </c>
      <c r="AH36" s="7">
        <f t="shared" si="41"/>
        <v>4.0000000000000036E-2</v>
      </c>
      <c r="AI36" s="7">
        <f t="shared" si="41"/>
        <v>3.9999999999999813E-2</v>
      </c>
      <c r="AJ36" s="7">
        <f t="shared" si="41"/>
        <v>4.0000000000000258E-2</v>
      </c>
      <c r="AK36" s="7">
        <f t="shared" si="41"/>
        <v>4.0000000000000036E-2</v>
      </c>
      <c r="AL36" s="7">
        <f t="shared" si="41"/>
        <v>3.9999999999999813E-2</v>
      </c>
    </row>
    <row r="38" spans="2:42" s="4" customFormat="1" x14ac:dyDescent="0.2">
      <c r="B38" s="4" t="s">
        <v>34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spans="2:42" x14ac:dyDescent="0.2">
      <c r="B39" s="6" t="s">
        <v>35</v>
      </c>
      <c r="C39" s="15">
        <f>IF(C18 = "", "", (C18-C23)/C18)</f>
        <v>0.30010993037742761</v>
      </c>
      <c r="D39" s="15">
        <f>IF(D18 = "", "", (D18-D23)/D18)</f>
        <v>0.3018928456849535</v>
      </c>
      <c r="E39" s="15">
        <f>IF(E18 = "", "", (E18-E23)/E18)</f>
        <v>0.30270457697642161</v>
      </c>
      <c r="F39" s="15">
        <f>IF(F18 = "", "", (F18-F23)/F18)</f>
        <v>0.30150592758731176</v>
      </c>
      <c r="G39" s="15">
        <f t="shared" ref="G39" si="42">IF(G18 = "", "", (G18-G23)/G18)</f>
        <v>0.30659340659340661</v>
      </c>
      <c r="H39" s="15">
        <f t="shared" ref="H39:M39" si="43">IF(H18 = "", "", (H18-H23)/H18)</f>
        <v>0.30064161319890009</v>
      </c>
      <c r="I39" s="15">
        <f t="shared" si="43"/>
        <v>0.29964709656721206</v>
      </c>
      <c r="J39" s="15">
        <f t="shared" si="43"/>
        <v>0.30266706622715012</v>
      </c>
      <c r="K39" s="15" t="str">
        <f t="shared" si="43"/>
        <v/>
      </c>
      <c r="L39" s="15" t="str">
        <f t="shared" si="43"/>
        <v/>
      </c>
      <c r="M39" s="15" t="str">
        <f t="shared" si="43"/>
        <v/>
      </c>
      <c r="N39" s="15"/>
      <c r="O39" s="7"/>
      <c r="P39" s="7"/>
      <c r="Q39" s="7"/>
      <c r="R39" s="7" t="str">
        <f t="shared" ref="R39:AC39" si="44">IF(R18 = "", "", (R18-R23)/R18)</f>
        <v/>
      </c>
      <c r="S39" s="7" t="str">
        <f t="shared" si="44"/>
        <v/>
      </c>
      <c r="T39" s="7" t="str">
        <f t="shared" si="44"/>
        <v/>
      </c>
      <c r="U39" s="7" t="str">
        <f t="shared" si="44"/>
        <v/>
      </c>
      <c r="V39" s="7" t="str">
        <f t="shared" si="44"/>
        <v/>
      </c>
      <c r="W39" s="7" t="str">
        <f t="shared" si="44"/>
        <v/>
      </c>
      <c r="X39" s="7">
        <f t="shared" si="44"/>
        <v>0.2841406477969069</v>
      </c>
      <c r="Y39" s="7">
        <f t="shared" si="44"/>
        <v>0.27958749386151582</v>
      </c>
      <c r="Z39" s="7">
        <f t="shared" si="44"/>
        <v>0.30550695659418481</v>
      </c>
      <c r="AA39" s="7">
        <f t="shared" si="44"/>
        <v>0.30157792591342503</v>
      </c>
      <c r="AB39" s="7">
        <f t="shared" si="44"/>
        <v>0.30223970458376814</v>
      </c>
      <c r="AC39" s="7">
        <f t="shared" si="44"/>
        <v>0.30223970458376809</v>
      </c>
      <c r="AD39" s="7">
        <f t="shared" ref="AD39:AL39" si="45">IF(AD18 = "", "", (AD18-AD23)/AD18)</f>
        <v>0.30223970458376809</v>
      </c>
      <c r="AE39" s="7">
        <f t="shared" si="45"/>
        <v>0.30223970458376803</v>
      </c>
      <c r="AF39" s="7">
        <f t="shared" si="45"/>
        <v>0.30223970458376803</v>
      </c>
      <c r="AG39" s="7">
        <f t="shared" si="45"/>
        <v>0.30223970458376803</v>
      </c>
      <c r="AH39" s="7">
        <f t="shared" si="45"/>
        <v>0.30223970458376803</v>
      </c>
      <c r="AI39" s="7">
        <f t="shared" si="45"/>
        <v>0.30223970458376803</v>
      </c>
      <c r="AJ39" s="7">
        <f t="shared" si="45"/>
        <v>0.30223970458376803</v>
      </c>
      <c r="AK39" s="7">
        <f t="shared" si="45"/>
        <v>0.30223970458376803</v>
      </c>
      <c r="AL39" s="7">
        <f t="shared" si="45"/>
        <v>0.30223970458376803</v>
      </c>
    </row>
    <row r="40" spans="2:42" x14ac:dyDescent="0.2">
      <c r="B40" s="6" t="s">
        <v>3</v>
      </c>
      <c r="C40" s="15">
        <f>IF(C23 = "", "", C23/C18)</f>
        <v>0.69989006962257239</v>
      </c>
      <c r="D40" s="15">
        <f>IF(D23 = "", "", D23/D18)</f>
        <v>0.69810715431504655</v>
      </c>
      <c r="E40" s="15">
        <f>IF(E23 = "", "", E23/E18)</f>
        <v>0.69729542302357839</v>
      </c>
      <c r="F40" s="15">
        <f>IF(F23 = "", "", F23/F18)</f>
        <v>0.69849407241268824</v>
      </c>
      <c r="G40" s="15">
        <f t="shared" ref="G40" si="46">IF(G23 = "", "", G23/G18)</f>
        <v>0.69340659340659339</v>
      </c>
      <c r="H40" s="15">
        <f t="shared" ref="H40:M40" si="47">IF(H23 = "", "", H23/H18)</f>
        <v>0.69935838680109996</v>
      </c>
      <c r="I40" s="15">
        <f t="shared" si="47"/>
        <v>0.70035290343278789</v>
      </c>
      <c r="J40" s="15">
        <f t="shared" si="47"/>
        <v>0.69733293377284988</v>
      </c>
      <c r="K40" s="15" t="str">
        <f t="shared" si="47"/>
        <v/>
      </c>
      <c r="L40" s="15" t="str">
        <f t="shared" si="47"/>
        <v/>
      </c>
      <c r="M40" s="15" t="str">
        <f t="shared" si="47"/>
        <v/>
      </c>
      <c r="N40" s="15"/>
      <c r="O40" s="7"/>
      <c r="P40" s="7"/>
      <c r="Q40" s="7"/>
      <c r="R40" s="7" t="str">
        <f t="shared" ref="R40:AC40" si="48">IF(R23 = "", "", R23/R18)</f>
        <v/>
      </c>
      <c r="S40" s="7" t="str">
        <f t="shared" si="48"/>
        <v/>
      </c>
      <c r="T40" s="7" t="str">
        <f t="shared" si="48"/>
        <v/>
      </c>
      <c r="U40" s="7" t="str">
        <f t="shared" si="48"/>
        <v/>
      </c>
      <c r="V40" s="7" t="str">
        <f t="shared" si="48"/>
        <v/>
      </c>
      <c r="W40" s="7" t="str">
        <f t="shared" si="48"/>
        <v/>
      </c>
      <c r="X40" s="7">
        <f t="shared" si="48"/>
        <v>0.71585935220309305</v>
      </c>
      <c r="Y40" s="7">
        <f t="shared" si="48"/>
        <v>0.72041250613848418</v>
      </c>
      <c r="Z40" s="7">
        <f t="shared" si="48"/>
        <v>0.69449304340581519</v>
      </c>
      <c r="AA40" s="7">
        <f t="shared" si="48"/>
        <v>0.69842207408657497</v>
      </c>
      <c r="AB40" s="7">
        <f t="shared" si="48"/>
        <v>0.69776029541623186</v>
      </c>
      <c r="AC40" s="7">
        <f t="shared" si="48"/>
        <v>0.69776029541623197</v>
      </c>
      <c r="AD40" s="7">
        <f t="shared" ref="AD40:AL40" si="49">IF(AD23 = "", "", AD23/AD18)</f>
        <v>0.69776029541623197</v>
      </c>
      <c r="AE40" s="7">
        <f t="shared" si="49"/>
        <v>0.69776029541623197</v>
      </c>
      <c r="AF40" s="7">
        <f t="shared" si="49"/>
        <v>0.69776029541623197</v>
      </c>
      <c r="AG40" s="7">
        <f t="shared" si="49"/>
        <v>0.69776029541623197</v>
      </c>
      <c r="AH40" s="7">
        <f t="shared" si="49"/>
        <v>0.69776029541623197</v>
      </c>
      <c r="AI40" s="7">
        <f t="shared" si="49"/>
        <v>0.69776029541623197</v>
      </c>
      <c r="AJ40" s="7">
        <f t="shared" si="49"/>
        <v>0.69776029541623197</v>
      </c>
      <c r="AK40" s="7">
        <f t="shared" si="49"/>
        <v>0.69776029541623197</v>
      </c>
      <c r="AL40" s="7">
        <f t="shared" si="49"/>
        <v>0.69776029541623197</v>
      </c>
      <c r="AO40" s="6" t="s">
        <v>42</v>
      </c>
      <c r="AP40" s="7">
        <v>0.01</v>
      </c>
    </row>
    <row r="41" spans="2:42" x14ac:dyDescent="0.2">
      <c r="B41" s="6" t="s">
        <v>23</v>
      </c>
      <c r="C41" s="15">
        <f>+IF(C24 = "", "", C24/C18)</f>
        <v>4.2872847196775372E-2</v>
      </c>
      <c r="D41" s="15">
        <f>+IF(D24 = "", "", D24/D18)</f>
        <v>3.8819377606673082E-2</v>
      </c>
      <c r="E41" s="15">
        <f>+IF(E24 = "", "", E24/E18)</f>
        <v>3.8834951456310676E-2</v>
      </c>
      <c r="F41" s="15">
        <f>+IF(F24 = "", "", F24/F18)</f>
        <v>3.8449214995193846E-2</v>
      </c>
      <c r="G41" s="15">
        <f t="shared" ref="G41" si="50">+IF(G24 = "", "", G24/G18)</f>
        <v>3.9194139194139194E-2</v>
      </c>
      <c r="H41" s="15">
        <f t="shared" ref="H41:M41" si="51">+IF(H24 = "", "", H24/H18)</f>
        <v>3.6969141460433855E-2</v>
      </c>
      <c r="I41" s="15">
        <f t="shared" si="51"/>
        <v>3.7856913699069621E-2</v>
      </c>
      <c r="J41" s="15">
        <f t="shared" si="51"/>
        <v>3.7458795325142347E-2</v>
      </c>
      <c r="K41" s="15" t="str">
        <f t="shared" si="51"/>
        <v/>
      </c>
      <c r="L41" s="15" t="str">
        <f t="shared" si="51"/>
        <v/>
      </c>
      <c r="M41" s="15" t="str">
        <f t="shared" si="51"/>
        <v/>
      </c>
      <c r="N41" s="15"/>
      <c r="O41" s="7"/>
      <c r="P41" s="7"/>
      <c r="Q41" s="7"/>
      <c r="R41" s="7" t="str">
        <f t="shared" ref="R41:AC41" si="52">+IF(R24 = "", "", R24/R18)</f>
        <v/>
      </c>
      <c r="S41" s="7" t="str">
        <f t="shared" si="52"/>
        <v/>
      </c>
      <c r="T41" s="7" t="str">
        <f t="shared" si="52"/>
        <v/>
      </c>
      <c r="U41" s="7" t="str">
        <f t="shared" si="52"/>
        <v/>
      </c>
      <c r="V41" s="7" t="str">
        <f t="shared" si="52"/>
        <v/>
      </c>
      <c r="W41" s="7" t="str">
        <f t="shared" si="52"/>
        <v/>
      </c>
      <c r="X41" s="7">
        <f t="shared" si="52"/>
        <v>4.2602859644003503E-2</v>
      </c>
      <c r="Y41" s="7">
        <f t="shared" si="52"/>
        <v>5.172696022262236E-2</v>
      </c>
      <c r="Z41" s="7">
        <f t="shared" si="52"/>
        <v>4.6405065400316588E-2</v>
      </c>
      <c r="AA41" s="7">
        <f t="shared" si="52"/>
        <v>3.9659100497848286E-2</v>
      </c>
      <c r="AB41" s="7">
        <f t="shared" si="52"/>
        <v>3.7810066629204463E-2</v>
      </c>
      <c r="AC41" s="7">
        <f t="shared" si="52"/>
        <v>3.7810066629204463E-2</v>
      </c>
      <c r="AD41" s="7">
        <f t="shared" ref="AD41:AL41" si="53">+IF(AD24 = "", "", AD24/AD18)</f>
        <v>3.7810066629204463E-2</v>
      </c>
      <c r="AE41" s="7">
        <f t="shared" si="53"/>
        <v>3.7810066629204463E-2</v>
      </c>
      <c r="AF41" s="7">
        <f t="shared" si="53"/>
        <v>3.7810066629204463E-2</v>
      </c>
      <c r="AG41" s="7">
        <f t="shared" si="53"/>
        <v>3.7810066629204463E-2</v>
      </c>
      <c r="AH41" s="7">
        <f t="shared" si="53"/>
        <v>3.7810066629204463E-2</v>
      </c>
      <c r="AI41" s="7">
        <f t="shared" si="53"/>
        <v>3.7810066629204463E-2</v>
      </c>
      <c r="AJ41" s="7">
        <f t="shared" si="53"/>
        <v>3.7810066629204463E-2</v>
      </c>
      <c r="AK41" s="7">
        <f t="shared" si="53"/>
        <v>3.7810066629204463E-2</v>
      </c>
      <c r="AL41" s="7">
        <f t="shared" si="53"/>
        <v>3.7810066629204463E-2</v>
      </c>
      <c r="AO41" s="6" t="s">
        <v>43</v>
      </c>
      <c r="AP41" s="37">
        <v>0.08</v>
      </c>
    </row>
    <row r="42" spans="2:42" x14ac:dyDescent="0.2">
      <c r="B42" s="6" t="s">
        <v>24</v>
      </c>
      <c r="C42" s="15">
        <f>+IF(C25 = "","", C25/C18)</f>
        <v>0.1187248076218395</v>
      </c>
      <c r="D42" s="15">
        <f>+IF(D25 = "","", D25/D18)</f>
        <v>0.11709977542508823</v>
      </c>
      <c r="E42" s="15">
        <f>+IF(E25 = "","", E25/E18)</f>
        <v>0.12274618585298197</v>
      </c>
      <c r="F42" s="15">
        <f>+IF(F25 = "","", F25/F18)</f>
        <v>0.13745594360781802</v>
      </c>
      <c r="G42" s="15">
        <f t="shared" ref="G42" si="54">+IF(G25 = "","", G25/G18)</f>
        <v>0.126007326007326</v>
      </c>
      <c r="H42" s="15">
        <f t="shared" ref="H42:M42" si="55">+IF(H25 = "","", H25/H18)</f>
        <v>0.11365719523373052</v>
      </c>
      <c r="I42" s="15">
        <f t="shared" si="55"/>
        <v>0.10587102983638114</v>
      </c>
      <c r="J42" s="15">
        <f t="shared" si="55"/>
        <v>0.11357506742583158</v>
      </c>
      <c r="K42" s="15" t="str">
        <f t="shared" si="55"/>
        <v/>
      </c>
      <c r="L42" s="15" t="str">
        <f t="shared" si="55"/>
        <v/>
      </c>
      <c r="M42" s="15" t="str">
        <f t="shared" si="55"/>
        <v/>
      </c>
      <c r="N42" s="15"/>
      <c r="O42" s="7"/>
      <c r="P42" s="7"/>
      <c r="Q42" s="7"/>
      <c r="R42" s="7" t="str">
        <f t="shared" ref="R42:AC42" si="56">+IF(R25 = "","", R25/R18)</f>
        <v/>
      </c>
      <c r="S42" s="7" t="str">
        <f t="shared" si="56"/>
        <v/>
      </c>
      <c r="T42" s="7" t="str">
        <f t="shared" si="56"/>
        <v/>
      </c>
      <c r="U42" s="7" t="str">
        <f t="shared" si="56"/>
        <v/>
      </c>
      <c r="V42" s="7" t="str">
        <f t="shared" si="56"/>
        <v/>
      </c>
      <c r="W42" s="7" t="str">
        <f t="shared" si="56"/>
        <v/>
      </c>
      <c r="X42" s="7">
        <f t="shared" si="56"/>
        <v>0.10052524073533703</v>
      </c>
      <c r="Y42" s="7">
        <f t="shared" si="56"/>
        <v>0.12055982975937142</v>
      </c>
      <c r="Z42" s="7">
        <f t="shared" si="56"/>
        <v>0.11638756977422311</v>
      </c>
      <c r="AA42" s="7">
        <f t="shared" si="56"/>
        <v>0.12420892751666526</v>
      </c>
      <c r="AB42" s="7">
        <f t="shared" si="56"/>
        <v>0.11439351368708357</v>
      </c>
      <c r="AC42" s="7">
        <f t="shared" si="56"/>
        <v>0.11439351368708357</v>
      </c>
      <c r="AD42" s="7">
        <f t="shared" ref="AD42:AL42" si="57">+IF(AD25 = "","", AD25/AD18)</f>
        <v>0.11439351368708357</v>
      </c>
      <c r="AE42" s="7">
        <f t="shared" si="57"/>
        <v>0.11439351368708357</v>
      </c>
      <c r="AF42" s="7">
        <f t="shared" si="57"/>
        <v>0.11439351368708357</v>
      </c>
      <c r="AG42" s="7">
        <f t="shared" si="57"/>
        <v>0.11439351368708357</v>
      </c>
      <c r="AH42" s="7">
        <f t="shared" si="57"/>
        <v>0.11439351368708357</v>
      </c>
      <c r="AI42" s="7">
        <f t="shared" si="57"/>
        <v>0.11439351368708357</v>
      </c>
      <c r="AJ42" s="7">
        <f t="shared" si="57"/>
        <v>0.11439351368708357</v>
      </c>
      <c r="AK42" s="7">
        <f t="shared" si="57"/>
        <v>0.11439351368708357</v>
      </c>
      <c r="AL42" s="7">
        <f t="shared" si="57"/>
        <v>0.11439351368708359</v>
      </c>
      <c r="AO42" s="6" t="s">
        <v>44</v>
      </c>
      <c r="AP42" s="6">
        <f>NPV(AP41,AC32:ID32)</f>
        <v>8195.5706728204186</v>
      </c>
    </row>
    <row r="43" spans="2:42" x14ac:dyDescent="0.2">
      <c r="B43" s="6" t="s">
        <v>25</v>
      </c>
      <c r="C43" s="7">
        <f t="shared" ref="C43:J43" si="58">+C26/C23</f>
        <v>0.27958115183246074</v>
      </c>
      <c r="D43" s="7">
        <f t="shared" si="58"/>
        <v>0.22472426470588236</v>
      </c>
      <c r="E43" s="7">
        <f t="shared" si="58"/>
        <v>0.23868722028841372</v>
      </c>
      <c r="F43" s="7">
        <f t="shared" si="58"/>
        <v>-0.24128440366972478</v>
      </c>
      <c r="G43" s="7">
        <f t="shared" si="58"/>
        <v>0.22662440570522979</v>
      </c>
      <c r="H43" s="7">
        <f t="shared" si="58"/>
        <v>0.20314547837483618</v>
      </c>
      <c r="I43" s="7">
        <f t="shared" si="58"/>
        <v>0.2038479157123225</v>
      </c>
      <c r="J43" s="7">
        <f>+J26/J23</f>
        <v>0.18779544477868501</v>
      </c>
      <c r="K43" s="15"/>
      <c r="L43" s="15"/>
      <c r="M43" s="15"/>
      <c r="N43" s="15"/>
      <c r="O43" s="7"/>
      <c r="P43" s="7"/>
      <c r="Q43" s="7"/>
      <c r="R43" s="7"/>
      <c r="S43" s="7"/>
      <c r="T43" s="7"/>
      <c r="U43" s="7"/>
      <c r="V43" s="7"/>
      <c r="W43" s="7" t="e">
        <f>+W26/W23</f>
        <v>#DIV/0!</v>
      </c>
      <c r="X43" s="7">
        <f>+X26/X23</f>
        <v>0.20533985529399776</v>
      </c>
      <c r="Y43" s="7">
        <f>+Y26/Y23</f>
        <v>0.29822767552828905</v>
      </c>
      <c r="Z43" s="7">
        <f>+Z26/Z23</f>
        <v>0.29354606525911708</v>
      </c>
      <c r="AA43" s="7">
        <f>+AA26/AA23</f>
        <v>0.11803793645040474</v>
      </c>
      <c r="AB43" s="7">
        <f>+AB26/AB23</f>
        <v>0.2043258168430741</v>
      </c>
      <c r="AC43" s="7">
        <f>+AC26/AC18</f>
        <v>9.6342631670698675E-2</v>
      </c>
      <c r="AD43" s="7">
        <f t="shared" ref="AD43:AL43" si="59">+AD26/AD18</f>
        <v>9.6342631670698675E-2</v>
      </c>
      <c r="AE43" s="7">
        <f t="shared" si="59"/>
        <v>9.6342631670698675E-2</v>
      </c>
      <c r="AF43" s="7">
        <f t="shared" si="59"/>
        <v>9.6342631670698675E-2</v>
      </c>
      <c r="AG43" s="7">
        <f t="shared" si="59"/>
        <v>9.6342631670698675E-2</v>
      </c>
      <c r="AH43" s="7">
        <f t="shared" si="59"/>
        <v>9.6342631670698675E-2</v>
      </c>
      <c r="AI43" s="7">
        <f t="shared" si="59"/>
        <v>9.6342631670698675E-2</v>
      </c>
      <c r="AJ43" s="7">
        <f t="shared" si="59"/>
        <v>9.6342631670698675E-2</v>
      </c>
      <c r="AK43" s="7">
        <f t="shared" si="59"/>
        <v>9.6342631670698675E-2</v>
      </c>
      <c r="AL43" s="7">
        <f t="shared" si="59"/>
        <v>9.6342631670698675E-2</v>
      </c>
      <c r="AO43" s="6" t="s">
        <v>45</v>
      </c>
      <c r="AP43" s="6">
        <f>+Main!H8</f>
        <v>130.74786269999998</v>
      </c>
    </row>
    <row r="44" spans="2:42" x14ac:dyDescent="0.2">
      <c r="B44" s="6" t="s">
        <v>36</v>
      </c>
      <c r="C44" s="15">
        <f>IF(C27 = "", "", C27/C18)</f>
        <v>-5.7163796262367166E-2</v>
      </c>
      <c r="D44" s="15">
        <f>IF(D27 = "", "", D27/D18)</f>
        <v>-1.0907924286172602E-2</v>
      </c>
      <c r="E44" s="15">
        <f>IF(E27 = "", "", E27/E18)</f>
        <v>-2.5312066574202496E-2</v>
      </c>
      <c r="F44" s="15">
        <f>IF(F27 = "", "", F27/F18)</f>
        <v>0.29413649471323294</v>
      </c>
      <c r="G44" s="15">
        <f t="shared" ref="G44" si="60">IF(G27 = "", "", G27/G18)</f>
        <v>-1.575091575091575E-2</v>
      </c>
      <c r="H44" s="15">
        <f t="shared" ref="H44:M44" si="61">IF(H27 = "", "", H27/H18)</f>
        <v>7.9437824625725635E-3</v>
      </c>
      <c r="I44" s="15">
        <f t="shared" si="61"/>
        <v>1.315367340391402E-2</v>
      </c>
      <c r="J44" s="15">
        <f t="shared" si="61"/>
        <v>2.0677255019478574E-2</v>
      </c>
      <c r="K44" s="15" t="str">
        <f t="shared" si="61"/>
        <v/>
      </c>
      <c r="L44" s="15" t="str">
        <f t="shared" si="61"/>
        <v/>
      </c>
      <c r="M44" s="15" t="str">
        <f t="shared" si="61"/>
        <v/>
      </c>
      <c r="N44" s="15"/>
      <c r="O44" s="7"/>
      <c r="P44" s="7"/>
      <c r="Q44" s="7"/>
      <c r="R44" s="7" t="str">
        <f t="shared" ref="R44:AC44" si="62">IF(R27 = "", "", R27/R18)</f>
        <v/>
      </c>
      <c r="S44" s="7" t="str">
        <f t="shared" si="62"/>
        <v/>
      </c>
      <c r="T44" s="7" t="str">
        <f t="shared" si="62"/>
        <v/>
      </c>
      <c r="U44" s="7" t="str">
        <f t="shared" si="62"/>
        <v/>
      </c>
      <c r="V44" s="7" t="str">
        <f t="shared" si="62"/>
        <v/>
      </c>
      <c r="W44" s="7" t="str">
        <f t="shared" si="62"/>
        <v/>
      </c>
      <c r="X44" s="7">
        <f t="shared" si="62"/>
        <v>-5.9819083746717244E-3</v>
      </c>
      <c r="Y44" s="7">
        <f t="shared" si="62"/>
        <v>-0.10754624324766737</v>
      </c>
      <c r="Z44" s="7">
        <f t="shared" si="62"/>
        <v>-6.1151378821961179E-2</v>
      </c>
      <c r="AA44" s="7">
        <f t="shared" si="62"/>
        <v>5.5269597502320481E-2</v>
      </c>
      <c r="AB44" s="7">
        <f t="shared" si="62"/>
        <v>7.4656819458938746E-3</v>
      </c>
      <c r="AC44" s="7">
        <f t="shared" si="62"/>
        <v>5.3693492596781384E-2</v>
      </c>
      <c r="AD44" s="7">
        <f t="shared" ref="AD44:AL44" si="63">IF(AD27 = "", "", AD27/AD18)</f>
        <v>5.3693492596781314E-2</v>
      </c>
      <c r="AE44" s="7">
        <f t="shared" si="63"/>
        <v>5.3693492596781307E-2</v>
      </c>
      <c r="AF44" s="7">
        <f t="shared" si="63"/>
        <v>5.3693492596781293E-2</v>
      </c>
      <c r="AG44" s="7">
        <f t="shared" si="63"/>
        <v>5.3693492596781342E-2</v>
      </c>
      <c r="AH44" s="7">
        <f t="shared" si="63"/>
        <v>5.3693492596781425E-2</v>
      </c>
      <c r="AI44" s="7">
        <f t="shared" si="63"/>
        <v>5.3693492596781391E-2</v>
      </c>
      <c r="AJ44" s="7">
        <f t="shared" si="63"/>
        <v>5.3693492596781321E-2</v>
      </c>
      <c r="AK44" s="7">
        <f t="shared" si="63"/>
        <v>5.3693492596781411E-2</v>
      </c>
      <c r="AL44" s="7">
        <f t="shared" si="63"/>
        <v>5.3693492596781307E-2</v>
      </c>
      <c r="AO44" s="4" t="s">
        <v>46</v>
      </c>
      <c r="AP44" s="6">
        <f>+AP42/AP43</f>
        <v>62.682253488342639</v>
      </c>
    </row>
    <row r="45" spans="2:42" x14ac:dyDescent="0.2">
      <c r="Z45" s="7"/>
      <c r="AA45" s="7"/>
      <c r="AB45" s="7"/>
      <c r="AO45" s="6" t="s">
        <v>47</v>
      </c>
      <c r="AP45" s="6">
        <f>+Main!H7</f>
        <v>76.33</v>
      </c>
    </row>
    <row r="48" spans="2:42" x14ac:dyDescent="0.2">
      <c r="B48" s="6" t="s">
        <v>48</v>
      </c>
      <c r="Z48" s="6">
        <v>349</v>
      </c>
      <c r="AA48" s="6">
        <v>317</v>
      </c>
      <c r="AB48" s="6">
        <v>534</v>
      </c>
    </row>
    <row r="49" spans="2:238" x14ac:dyDescent="0.2">
      <c r="B49" s="6" t="s">
        <v>49</v>
      </c>
      <c r="Z49" s="6">
        <v>-148</v>
      </c>
      <c r="AA49" s="6">
        <v>-73</v>
      </c>
      <c r="AB49" s="6">
        <v>-70</v>
      </c>
    </row>
    <row r="50" spans="2:238" x14ac:dyDescent="0.2">
      <c r="B50" s="6" t="s">
        <v>50</v>
      </c>
      <c r="Z50" s="6">
        <f>+Z48+Z49</f>
        <v>201</v>
      </c>
      <c r="AA50" s="6">
        <f>+AA48+AA49</f>
        <v>244</v>
      </c>
      <c r="AB50" s="6">
        <f>+AB48+AB49</f>
        <v>464</v>
      </c>
      <c r="AC50" s="6">
        <f>+AB50*1.02</f>
        <v>473.28000000000003</v>
      </c>
      <c r="AD50" s="6">
        <f t="shared" ref="AD50:AL50" si="64">+AC50*1.02</f>
        <v>482.74560000000002</v>
      </c>
      <c r="AE50" s="6">
        <f t="shared" si="64"/>
        <v>492.40051200000005</v>
      </c>
      <c r="AF50" s="6">
        <f t="shared" si="64"/>
        <v>502.24852224000006</v>
      </c>
      <c r="AG50" s="6">
        <f t="shared" si="64"/>
        <v>512.29349268480007</v>
      </c>
      <c r="AH50" s="6">
        <f t="shared" si="64"/>
        <v>522.53936253849611</v>
      </c>
      <c r="AI50" s="6">
        <f t="shared" si="64"/>
        <v>532.99014978926607</v>
      </c>
      <c r="AJ50" s="6">
        <f t="shared" si="64"/>
        <v>543.64995278505137</v>
      </c>
      <c r="AK50" s="6">
        <f t="shared" si="64"/>
        <v>554.5229518407524</v>
      </c>
      <c r="AL50" s="6">
        <f t="shared" si="64"/>
        <v>565.6134108775675</v>
      </c>
      <c r="AM50" s="4">
        <f>+AL50*(1+$AP$40)</f>
        <v>571.26954498634313</v>
      </c>
      <c r="AN50" s="4">
        <f t="shared" ref="AN50:CY50" si="65">+AM50*(1+$AP$40)</f>
        <v>576.98224043620655</v>
      </c>
      <c r="AO50" s="4">
        <f t="shared" si="65"/>
        <v>582.75206284056867</v>
      </c>
      <c r="AP50" s="4">
        <f t="shared" si="65"/>
        <v>588.57958346897431</v>
      </c>
      <c r="AQ50" s="4">
        <f t="shared" si="65"/>
        <v>594.46537930366401</v>
      </c>
      <c r="AR50" s="4">
        <f t="shared" si="65"/>
        <v>600.41003309670066</v>
      </c>
      <c r="AS50" s="4">
        <f t="shared" si="65"/>
        <v>606.41413342766771</v>
      </c>
      <c r="AT50" s="4">
        <f t="shared" si="65"/>
        <v>612.47827476194436</v>
      </c>
      <c r="AU50" s="4">
        <f t="shared" si="65"/>
        <v>618.60305750956377</v>
      </c>
      <c r="AV50" s="4">
        <f t="shared" si="65"/>
        <v>624.7890880846594</v>
      </c>
      <c r="AW50" s="4">
        <f t="shared" si="65"/>
        <v>631.03697896550602</v>
      </c>
      <c r="AX50" s="4">
        <f t="shared" si="65"/>
        <v>637.34734875516108</v>
      </c>
      <c r="AY50" s="4">
        <f t="shared" si="65"/>
        <v>643.72082224271264</v>
      </c>
      <c r="AZ50" s="4">
        <f t="shared" si="65"/>
        <v>650.15803046513975</v>
      </c>
      <c r="BA50" s="4">
        <f t="shared" si="65"/>
        <v>656.65961076979113</v>
      </c>
      <c r="BB50" s="4">
        <f t="shared" si="65"/>
        <v>663.22620687748906</v>
      </c>
      <c r="BC50" s="4">
        <f t="shared" si="65"/>
        <v>669.858468946264</v>
      </c>
      <c r="BD50" s="4">
        <f t="shared" si="65"/>
        <v>676.55705363572667</v>
      </c>
      <c r="BE50" s="4">
        <f t="shared" si="65"/>
        <v>683.32262417208392</v>
      </c>
      <c r="BF50" s="4">
        <f t="shared" si="65"/>
        <v>690.15585041380473</v>
      </c>
      <c r="BG50" s="4">
        <f t="shared" si="65"/>
        <v>697.05740891794278</v>
      </c>
      <c r="BH50" s="4">
        <f t="shared" si="65"/>
        <v>704.0279830071222</v>
      </c>
      <c r="BI50" s="4">
        <f t="shared" si="65"/>
        <v>711.0682628371934</v>
      </c>
      <c r="BJ50" s="4">
        <f t="shared" si="65"/>
        <v>718.17894546556533</v>
      </c>
      <c r="BK50" s="4">
        <f t="shared" si="65"/>
        <v>725.36073492022103</v>
      </c>
      <c r="BL50" s="4">
        <f t="shared" si="65"/>
        <v>732.61434226942322</v>
      </c>
      <c r="BM50" s="4">
        <f t="shared" si="65"/>
        <v>739.94048569211748</v>
      </c>
      <c r="BN50" s="4">
        <f t="shared" si="65"/>
        <v>747.33989054903861</v>
      </c>
      <c r="BO50" s="4">
        <f t="shared" si="65"/>
        <v>754.81328945452901</v>
      </c>
      <c r="BP50" s="4">
        <f t="shared" si="65"/>
        <v>762.36142234907436</v>
      </c>
      <c r="BQ50" s="4">
        <f t="shared" si="65"/>
        <v>769.98503657256515</v>
      </c>
      <c r="BR50" s="4">
        <f t="shared" si="65"/>
        <v>777.68488693829079</v>
      </c>
      <c r="BS50" s="4">
        <f t="shared" si="65"/>
        <v>785.46173580767368</v>
      </c>
      <c r="BT50" s="4">
        <f t="shared" si="65"/>
        <v>793.31635316575046</v>
      </c>
      <c r="BU50" s="4">
        <f t="shared" si="65"/>
        <v>801.24951669740801</v>
      </c>
      <c r="BV50" s="4">
        <f t="shared" si="65"/>
        <v>809.26201186438209</v>
      </c>
      <c r="BW50" s="4">
        <f t="shared" si="65"/>
        <v>817.35463198302591</v>
      </c>
      <c r="BX50" s="4">
        <f t="shared" si="65"/>
        <v>825.52817830285619</v>
      </c>
      <c r="BY50" s="4">
        <f t="shared" si="65"/>
        <v>833.78346008588471</v>
      </c>
      <c r="BZ50" s="4">
        <f t="shared" si="65"/>
        <v>842.12129468674357</v>
      </c>
      <c r="CA50" s="4">
        <f t="shared" si="65"/>
        <v>850.54250763361097</v>
      </c>
      <c r="CB50" s="4">
        <f t="shared" si="65"/>
        <v>859.04793270994708</v>
      </c>
      <c r="CC50" s="4">
        <f t="shared" si="65"/>
        <v>867.63841203704658</v>
      </c>
      <c r="CD50" s="4">
        <f t="shared" si="65"/>
        <v>876.31479615741705</v>
      </c>
      <c r="CE50" s="4">
        <f t="shared" si="65"/>
        <v>885.07794411899124</v>
      </c>
      <c r="CF50" s="4">
        <f t="shared" si="65"/>
        <v>893.9287235601812</v>
      </c>
      <c r="CG50" s="4">
        <f t="shared" si="65"/>
        <v>902.86801079578299</v>
      </c>
      <c r="CH50" s="4">
        <f t="shared" si="65"/>
        <v>911.89669090374082</v>
      </c>
      <c r="CI50" s="4">
        <f t="shared" si="65"/>
        <v>921.01565781277827</v>
      </c>
      <c r="CJ50" s="4">
        <f t="shared" si="65"/>
        <v>930.22581439090607</v>
      </c>
      <c r="CK50" s="4">
        <f t="shared" si="65"/>
        <v>939.52807253481512</v>
      </c>
      <c r="CL50" s="4">
        <f t="shared" si="65"/>
        <v>948.92335326016325</v>
      </c>
      <c r="CM50" s="4">
        <f t="shared" si="65"/>
        <v>958.41258679276484</v>
      </c>
      <c r="CN50" s="4">
        <f t="shared" si="65"/>
        <v>967.99671266069254</v>
      </c>
      <c r="CO50" s="4">
        <f t="shared" si="65"/>
        <v>977.67667978729946</v>
      </c>
      <c r="CP50" s="4">
        <f t="shared" si="65"/>
        <v>987.45344658517251</v>
      </c>
      <c r="CQ50" s="4">
        <f t="shared" si="65"/>
        <v>997.32798105102427</v>
      </c>
      <c r="CR50" s="4">
        <f t="shared" si="65"/>
        <v>1007.3012608615345</v>
      </c>
      <c r="CS50" s="4">
        <f t="shared" si="65"/>
        <v>1017.3742734701499</v>
      </c>
      <c r="CT50" s="4">
        <f t="shared" si="65"/>
        <v>1027.5480162048514</v>
      </c>
      <c r="CU50" s="4">
        <f t="shared" si="65"/>
        <v>1037.8234963668999</v>
      </c>
      <c r="CV50" s="4">
        <f t="shared" si="65"/>
        <v>1048.2017313305689</v>
      </c>
      <c r="CW50" s="4">
        <f t="shared" si="65"/>
        <v>1058.6837486438747</v>
      </c>
      <c r="CX50" s="4">
        <f t="shared" si="65"/>
        <v>1069.2705861303134</v>
      </c>
      <c r="CY50" s="4">
        <f t="shared" si="65"/>
        <v>1079.9632919916166</v>
      </c>
      <c r="CZ50" s="4">
        <f t="shared" ref="CZ50:FK50" si="66">+CY50*(1+$AP$40)</f>
        <v>1090.7629249115328</v>
      </c>
      <c r="DA50" s="4">
        <f t="shared" si="66"/>
        <v>1101.6705541606482</v>
      </c>
      <c r="DB50" s="4">
        <f t="shared" si="66"/>
        <v>1112.6872597022548</v>
      </c>
      <c r="DC50" s="4">
        <f t="shared" si="66"/>
        <v>1123.8141322992774</v>
      </c>
      <c r="DD50" s="4">
        <f t="shared" si="66"/>
        <v>1135.0522736222701</v>
      </c>
      <c r="DE50" s="4">
        <f t="shared" si="66"/>
        <v>1146.4027963584929</v>
      </c>
      <c r="DF50" s="4">
        <f t="shared" si="66"/>
        <v>1157.8668243220777</v>
      </c>
      <c r="DG50" s="4">
        <f t="shared" si="66"/>
        <v>1169.4454925652985</v>
      </c>
      <c r="DH50" s="4">
        <f t="shared" si="66"/>
        <v>1181.1399474909515</v>
      </c>
      <c r="DI50" s="4">
        <f t="shared" si="66"/>
        <v>1192.9513469658609</v>
      </c>
      <c r="DJ50" s="4">
        <f t="shared" si="66"/>
        <v>1204.8808604355195</v>
      </c>
      <c r="DK50" s="4">
        <f t="shared" si="66"/>
        <v>1216.9296690398746</v>
      </c>
      <c r="DL50" s="4">
        <f t="shared" si="66"/>
        <v>1229.0989657302734</v>
      </c>
      <c r="DM50" s="4">
        <f t="shared" si="66"/>
        <v>1241.3899553875763</v>
      </c>
      <c r="DN50" s="4">
        <f t="shared" si="66"/>
        <v>1253.8038549414521</v>
      </c>
      <c r="DO50" s="4">
        <f t="shared" si="66"/>
        <v>1266.3418934908666</v>
      </c>
      <c r="DP50" s="4">
        <f t="shared" si="66"/>
        <v>1279.0053124257752</v>
      </c>
      <c r="DQ50" s="4">
        <f t="shared" si="66"/>
        <v>1291.795365550033</v>
      </c>
      <c r="DR50" s="4">
        <f t="shared" si="66"/>
        <v>1304.7133192055333</v>
      </c>
      <c r="DS50" s="4">
        <f t="shared" si="66"/>
        <v>1317.7604523975886</v>
      </c>
      <c r="DT50" s="4">
        <f t="shared" si="66"/>
        <v>1330.9380569215643</v>
      </c>
      <c r="DU50" s="4">
        <f t="shared" si="66"/>
        <v>1344.2474374907799</v>
      </c>
      <c r="DV50" s="4">
        <f t="shared" si="66"/>
        <v>1357.6899118656877</v>
      </c>
      <c r="DW50" s="4">
        <f t="shared" si="66"/>
        <v>1371.2668109843446</v>
      </c>
      <c r="DX50" s="4">
        <f t="shared" si="66"/>
        <v>1384.979479094188</v>
      </c>
      <c r="DY50" s="4">
        <f t="shared" si="66"/>
        <v>1398.8292738851299</v>
      </c>
      <c r="DZ50" s="4">
        <f t="shared" si="66"/>
        <v>1412.8175666239811</v>
      </c>
      <c r="EA50" s="4">
        <f t="shared" si="66"/>
        <v>1426.9457422902208</v>
      </c>
      <c r="EB50" s="4">
        <f t="shared" si="66"/>
        <v>1441.215199713123</v>
      </c>
      <c r="EC50" s="4">
        <f t="shared" si="66"/>
        <v>1455.6273517102543</v>
      </c>
      <c r="ED50" s="4">
        <f t="shared" si="66"/>
        <v>1470.1836252273567</v>
      </c>
      <c r="EE50" s="4">
        <f t="shared" si="66"/>
        <v>1484.8854614796303</v>
      </c>
      <c r="EF50" s="4">
        <f t="shared" si="66"/>
        <v>1499.7343160944265</v>
      </c>
      <c r="EG50" s="4">
        <f t="shared" si="66"/>
        <v>1514.7316592553707</v>
      </c>
      <c r="EH50" s="4">
        <f t="shared" si="66"/>
        <v>1529.8789758479245</v>
      </c>
      <c r="EI50" s="4">
        <f t="shared" si="66"/>
        <v>1545.1777656064037</v>
      </c>
      <c r="EJ50" s="4">
        <f t="shared" si="66"/>
        <v>1560.6295432624677</v>
      </c>
      <c r="EK50" s="4">
        <f t="shared" si="66"/>
        <v>1576.2358386950923</v>
      </c>
      <c r="EL50" s="4">
        <f t="shared" si="66"/>
        <v>1591.9981970820431</v>
      </c>
      <c r="EM50" s="4">
        <f t="shared" si="66"/>
        <v>1607.9181790528635</v>
      </c>
      <c r="EN50" s="4">
        <f t="shared" si="66"/>
        <v>1623.997360843392</v>
      </c>
      <c r="EO50" s="4">
        <f t="shared" si="66"/>
        <v>1640.237334451826</v>
      </c>
      <c r="EP50" s="4">
        <f t="shared" si="66"/>
        <v>1656.6397077963443</v>
      </c>
      <c r="EQ50" s="4">
        <f t="shared" si="66"/>
        <v>1673.2061048743078</v>
      </c>
      <c r="ER50" s="4">
        <f t="shared" si="66"/>
        <v>1689.938165923051</v>
      </c>
      <c r="ES50" s="4">
        <f t="shared" si="66"/>
        <v>1706.8375475822816</v>
      </c>
      <c r="ET50" s="4">
        <f t="shared" si="66"/>
        <v>1723.9059230581045</v>
      </c>
      <c r="EU50" s="4">
        <f t="shared" si="66"/>
        <v>1741.1449822886855</v>
      </c>
      <c r="EV50" s="4">
        <f t="shared" si="66"/>
        <v>1758.5564321115723</v>
      </c>
      <c r="EW50" s="4">
        <f t="shared" si="66"/>
        <v>1776.1419964326881</v>
      </c>
      <c r="EX50" s="4">
        <f t="shared" si="66"/>
        <v>1793.903416397015</v>
      </c>
      <c r="EY50" s="4">
        <f t="shared" si="66"/>
        <v>1811.8424505609851</v>
      </c>
      <c r="EZ50" s="4">
        <f t="shared" si="66"/>
        <v>1829.960875066595</v>
      </c>
      <c r="FA50" s="4">
        <f t="shared" si="66"/>
        <v>1848.260483817261</v>
      </c>
      <c r="FB50" s="4">
        <f t="shared" si="66"/>
        <v>1866.7430886554337</v>
      </c>
      <c r="FC50" s="4">
        <f t="shared" si="66"/>
        <v>1885.4105195419879</v>
      </c>
      <c r="FD50" s="4">
        <f t="shared" si="66"/>
        <v>1904.2646247374078</v>
      </c>
      <c r="FE50" s="4">
        <f t="shared" si="66"/>
        <v>1923.3072709847818</v>
      </c>
      <c r="FF50" s="4">
        <f t="shared" si="66"/>
        <v>1942.5403436946297</v>
      </c>
      <c r="FG50" s="4">
        <f t="shared" si="66"/>
        <v>1961.9657471315759</v>
      </c>
      <c r="FH50" s="4">
        <f t="shared" si="66"/>
        <v>1981.5854046028917</v>
      </c>
      <c r="FI50" s="4">
        <f t="shared" si="66"/>
        <v>2001.4012586489207</v>
      </c>
      <c r="FJ50" s="4">
        <f t="shared" si="66"/>
        <v>2021.4152712354098</v>
      </c>
      <c r="FK50" s="4">
        <f t="shared" si="66"/>
        <v>2041.6294239477638</v>
      </c>
      <c r="FL50" s="4">
        <f t="shared" ref="FL50:HW50" si="67">+FK50*(1+$AP$40)</f>
        <v>2062.0457181872416</v>
      </c>
      <c r="FM50" s="4">
        <f t="shared" si="67"/>
        <v>2082.6661753691142</v>
      </c>
      <c r="FN50" s="4">
        <f t="shared" si="67"/>
        <v>2103.4928371228052</v>
      </c>
      <c r="FO50" s="4">
        <f t="shared" si="67"/>
        <v>2124.5277654940332</v>
      </c>
      <c r="FP50" s="4">
        <f t="shared" si="67"/>
        <v>2145.7730431489736</v>
      </c>
      <c r="FQ50" s="4">
        <f t="shared" si="67"/>
        <v>2167.2307735804634</v>
      </c>
      <c r="FR50" s="4">
        <f t="shared" si="67"/>
        <v>2188.9030813162681</v>
      </c>
      <c r="FS50" s="4">
        <f t="shared" si="67"/>
        <v>2210.7921121294307</v>
      </c>
      <c r="FT50" s="4">
        <f t="shared" si="67"/>
        <v>2232.9000332507248</v>
      </c>
      <c r="FU50" s="4">
        <f t="shared" si="67"/>
        <v>2255.2290335832322</v>
      </c>
      <c r="FV50" s="4">
        <f t="shared" si="67"/>
        <v>2277.7813239190646</v>
      </c>
      <c r="FW50" s="4">
        <f t="shared" si="67"/>
        <v>2300.5591371582555</v>
      </c>
      <c r="FX50" s="4">
        <f t="shared" si="67"/>
        <v>2323.5647285298382</v>
      </c>
      <c r="FY50" s="4">
        <f t="shared" si="67"/>
        <v>2346.8003758151367</v>
      </c>
      <c r="FZ50" s="4">
        <f t="shared" si="67"/>
        <v>2370.2683795732883</v>
      </c>
      <c r="GA50" s="4">
        <f t="shared" si="67"/>
        <v>2393.9710633690211</v>
      </c>
      <c r="GB50" s="4">
        <f t="shared" si="67"/>
        <v>2417.9107740027112</v>
      </c>
      <c r="GC50" s="4">
        <f t="shared" si="67"/>
        <v>2442.0898817427383</v>
      </c>
      <c r="GD50" s="4">
        <f t="shared" si="67"/>
        <v>2466.5107805601656</v>
      </c>
      <c r="GE50" s="4">
        <f t="shared" si="67"/>
        <v>2491.1758883657672</v>
      </c>
      <c r="GF50" s="4">
        <f t="shared" si="67"/>
        <v>2516.0876472494247</v>
      </c>
      <c r="GG50" s="4">
        <f t="shared" si="67"/>
        <v>2541.2485237219189</v>
      </c>
      <c r="GH50" s="4">
        <f t="shared" si="67"/>
        <v>2566.6610089591381</v>
      </c>
      <c r="GI50" s="4">
        <f t="shared" si="67"/>
        <v>2592.3276190487295</v>
      </c>
      <c r="GJ50" s="4">
        <f t="shared" si="67"/>
        <v>2618.2508952392168</v>
      </c>
      <c r="GK50" s="4">
        <f t="shared" si="67"/>
        <v>2644.433404191609</v>
      </c>
      <c r="GL50" s="4">
        <f t="shared" si="67"/>
        <v>2670.8777382335252</v>
      </c>
      <c r="GM50" s="4">
        <f t="shared" si="67"/>
        <v>2697.5865156158607</v>
      </c>
      <c r="GN50" s="4">
        <f t="shared" si="67"/>
        <v>2724.5623807720194</v>
      </c>
      <c r="GO50" s="4">
        <f t="shared" si="67"/>
        <v>2751.8080045797396</v>
      </c>
      <c r="GP50" s="4">
        <f t="shared" si="67"/>
        <v>2779.3260846255371</v>
      </c>
      <c r="GQ50" s="4">
        <f t="shared" si="67"/>
        <v>2807.1193454717923</v>
      </c>
      <c r="GR50" s="4">
        <f t="shared" si="67"/>
        <v>2835.1905389265103</v>
      </c>
      <c r="GS50" s="4">
        <f t="shared" si="67"/>
        <v>2863.5424443157754</v>
      </c>
      <c r="GT50" s="4">
        <f t="shared" si="67"/>
        <v>2892.1778687589331</v>
      </c>
      <c r="GU50" s="4">
        <f t="shared" si="67"/>
        <v>2921.0996474465223</v>
      </c>
      <c r="GV50" s="4">
        <f t="shared" si="67"/>
        <v>2950.3106439209878</v>
      </c>
      <c r="GW50" s="4">
        <f t="shared" si="67"/>
        <v>2979.8137503601979</v>
      </c>
      <c r="GX50" s="4">
        <f t="shared" si="67"/>
        <v>3009.6118878637999</v>
      </c>
      <c r="GY50" s="4">
        <f t="shared" si="67"/>
        <v>3039.7080067424381</v>
      </c>
      <c r="GZ50" s="4">
        <f t="shared" si="67"/>
        <v>3070.1050868098623</v>
      </c>
      <c r="HA50" s="4">
        <f t="shared" si="67"/>
        <v>3100.806137677961</v>
      </c>
      <c r="HB50" s="4">
        <f t="shared" si="67"/>
        <v>3131.8141990547406</v>
      </c>
      <c r="HC50" s="4">
        <f t="shared" si="67"/>
        <v>3163.1323410452878</v>
      </c>
      <c r="HD50" s="4">
        <f t="shared" si="67"/>
        <v>3194.7636644557406</v>
      </c>
      <c r="HE50" s="4">
        <f t="shared" si="67"/>
        <v>3226.711301100298</v>
      </c>
      <c r="HF50" s="4">
        <f t="shared" si="67"/>
        <v>3258.9784141113009</v>
      </c>
      <c r="HG50" s="4">
        <f t="shared" si="67"/>
        <v>3291.5681982524138</v>
      </c>
      <c r="HH50" s="4">
        <f t="shared" si="67"/>
        <v>3324.4838802349382</v>
      </c>
      <c r="HI50" s="4">
        <f t="shared" si="67"/>
        <v>3357.7287190372876</v>
      </c>
      <c r="HJ50" s="4">
        <f t="shared" si="67"/>
        <v>3391.3060062276604</v>
      </c>
      <c r="HK50" s="4">
        <f t="shared" si="67"/>
        <v>3425.219066289937</v>
      </c>
      <c r="HL50" s="4">
        <f t="shared" si="67"/>
        <v>3459.4712569528365</v>
      </c>
      <c r="HM50" s="4">
        <f t="shared" si="67"/>
        <v>3494.0659695223649</v>
      </c>
      <c r="HN50" s="4">
        <f t="shared" si="67"/>
        <v>3529.0066292175884</v>
      </c>
      <c r="HO50" s="4">
        <f t="shared" si="67"/>
        <v>3564.2966955097645</v>
      </c>
      <c r="HP50" s="4">
        <f t="shared" si="67"/>
        <v>3599.9396624648621</v>
      </c>
      <c r="HQ50" s="4">
        <f t="shared" si="67"/>
        <v>3635.9390590895109</v>
      </c>
      <c r="HR50" s="4">
        <f t="shared" si="67"/>
        <v>3672.2984496804061</v>
      </c>
      <c r="HS50" s="4">
        <f t="shared" si="67"/>
        <v>3709.0214341772103</v>
      </c>
      <c r="HT50" s="4">
        <f t="shared" si="67"/>
        <v>3746.1116485189823</v>
      </c>
      <c r="HU50" s="4">
        <f t="shared" si="67"/>
        <v>3783.5727650041722</v>
      </c>
      <c r="HV50" s="4">
        <f t="shared" si="67"/>
        <v>3821.4084926542141</v>
      </c>
      <c r="HW50" s="4">
        <f t="shared" si="67"/>
        <v>3859.6225775807561</v>
      </c>
      <c r="HX50" s="4">
        <f t="shared" ref="HX50:ID50" si="68">+HW50*(1+$AP$40)</f>
        <v>3898.2188033565635</v>
      </c>
      <c r="HY50" s="4">
        <f t="shared" si="68"/>
        <v>3937.2009913901293</v>
      </c>
      <c r="HZ50" s="4">
        <f t="shared" si="68"/>
        <v>3976.5730013040306</v>
      </c>
      <c r="IA50" s="4">
        <f t="shared" si="68"/>
        <v>4016.3387313170711</v>
      </c>
      <c r="IB50" s="4">
        <f t="shared" si="68"/>
        <v>4056.502118630242</v>
      </c>
      <c r="IC50" s="4">
        <f t="shared" si="68"/>
        <v>4097.0671398165441</v>
      </c>
      <c r="ID50" s="4">
        <f t="shared" si="68"/>
        <v>4138.03781121471</v>
      </c>
    </row>
    <row r="51" spans="2:238" x14ac:dyDescent="0.2">
      <c r="Z51" s="6">
        <f>+Z32</f>
        <v>-759</v>
      </c>
      <c r="AA51" s="6">
        <f>+AA32</f>
        <v>595</v>
      </c>
      <c r="AB51" s="6">
        <f>+AB32</f>
        <v>-4</v>
      </c>
    </row>
    <row r="53" spans="2:238" x14ac:dyDescent="0.2">
      <c r="AO53" s="6" t="s">
        <v>42</v>
      </c>
      <c r="AP53" s="7">
        <v>0.01</v>
      </c>
    </row>
    <row r="54" spans="2:238" x14ac:dyDescent="0.2">
      <c r="AO54" s="6" t="s">
        <v>43</v>
      </c>
      <c r="AP54" s="37">
        <v>0.08</v>
      </c>
    </row>
    <row r="55" spans="2:238" x14ac:dyDescent="0.2">
      <c r="AO55" s="6" t="s">
        <v>44</v>
      </c>
      <c r="AP55" s="6">
        <f>NPV(AP54,AC50:ID50)</f>
        <v>7214.3097024797316</v>
      </c>
    </row>
    <row r="56" spans="2:238" x14ac:dyDescent="0.2">
      <c r="AO56" s="6" t="s">
        <v>45</v>
      </c>
      <c r="AP56" s="6">
        <f>+AP43</f>
        <v>130.74786269999998</v>
      </c>
    </row>
    <row r="57" spans="2:238" x14ac:dyDescent="0.2">
      <c r="AO57" s="4" t="s">
        <v>46</v>
      </c>
      <c r="AP57" s="6">
        <f>+AP55/AP56</f>
        <v>55.177266790455398</v>
      </c>
    </row>
    <row r="58" spans="2:238" x14ac:dyDescent="0.2">
      <c r="AO58" s="6" t="s">
        <v>47</v>
      </c>
      <c r="AP58" s="6">
        <f>+AP45</f>
        <v>76.33</v>
      </c>
    </row>
  </sheetData>
  <pageMargins left="0.7" right="0.7" top="0.75" bottom="0.75" header="0.3" footer="0.3"/>
  <pageSetup orientation="portrait" horizontalDpi="0" verticalDpi="0"/>
  <ignoredErrors>
    <ignoredError sqref="E27:F32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2026-02-28T03:46:44Z</dcterms:created>
  <dcterms:modified xsi:type="dcterms:W3CDTF">2026-02-28T04:58:04Z</dcterms:modified>
</cp:coreProperties>
</file>