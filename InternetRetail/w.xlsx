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152C1DA4-6991-9B45-8DCE-32820F1C15F7}" xr6:coauthVersionLast="47" xr6:coauthVersionMax="47" xr10:uidLastSave="{00000000-0000-0000-0000-000000000000}"/>
  <bookViews>
    <workbookView xWindow="13360" yWindow="1560" windowWidth="35620" windowHeight="22760" xr2:uid="{F079607B-3847-1C40-8BC1-938B251029EC}"/>
  </bookViews>
  <sheets>
    <sheet name="Main" sheetId="1" r:id="rId1"/>
    <sheet name="Mode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9" i="2" l="1"/>
  <c r="AD41" i="2"/>
  <c r="AE41" i="2" s="1"/>
  <c r="AF41" i="2" s="1"/>
  <c r="AG41" i="2" s="1"/>
  <c r="AH41" i="2" s="1"/>
  <c r="AI41" i="2" s="1"/>
  <c r="AJ41" i="2" s="1"/>
  <c r="AK41" i="2" s="1"/>
  <c r="AL41" i="2" s="1"/>
  <c r="AM41" i="2" s="1"/>
  <c r="AC41" i="2"/>
  <c r="AP47" i="2"/>
  <c r="AB42" i="2"/>
  <c r="AA42" i="2"/>
  <c r="Z42" i="2"/>
  <c r="Z41" i="2"/>
  <c r="AA41" i="2"/>
  <c r="AB41" i="2"/>
  <c r="AP37" i="2"/>
  <c r="AP35" i="2"/>
  <c r="AP34" i="2"/>
  <c r="AP36" i="2" s="1"/>
  <c r="HX24" i="2"/>
  <c r="HY24" i="2" s="1"/>
  <c r="HZ24" i="2" s="1"/>
  <c r="IA24" i="2" s="1"/>
  <c r="IB24" i="2" s="1"/>
  <c r="IC24" i="2" s="1"/>
  <c r="ID24" i="2" s="1"/>
  <c r="HX2" i="2"/>
  <c r="HY2" i="2" s="1"/>
  <c r="HZ2" i="2" s="1"/>
  <c r="IA2" i="2" s="1"/>
  <c r="IB2" i="2" s="1"/>
  <c r="IC2" i="2" s="1"/>
  <c r="ID2" i="2" s="1"/>
  <c r="HX1" i="2"/>
  <c r="HY1" i="2" s="1"/>
  <c r="HZ1" i="2" s="1"/>
  <c r="IA1" i="2" s="1"/>
  <c r="IB1" i="2" s="1"/>
  <c r="IC1" i="2" s="1"/>
  <c r="ID1" i="2" s="1"/>
  <c r="HN24" i="2"/>
  <c r="HO24" i="2" s="1"/>
  <c r="HP24" i="2" s="1"/>
  <c r="HQ24" i="2" s="1"/>
  <c r="HR24" i="2" s="1"/>
  <c r="HS24" i="2" s="1"/>
  <c r="HT24" i="2" s="1"/>
  <c r="HU24" i="2" s="1"/>
  <c r="HV24" i="2" s="1"/>
  <c r="HW24" i="2" s="1"/>
  <c r="HN2" i="2"/>
  <c r="HO2" i="2" s="1"/>
  <c r="HP2" i="2" s="1"/>
  <c r="HQ2" i="2" s="1"/>
  <c r="HR2" i="2" s="1"/>
  <c r="HS2" i="2" s="1"/>
  <c r="HT2" i="2" s="1"/>
  <c r="HU2" i="2" s="1"/>
  <c r="HV2" i="2" s="1"/>
  <c r="HW2" i="2" s="1"/>
  <c r="HN1" i="2"/>
  <c r="HO1" i="2" s="1"/>
  <c r="HP1" i="2" s="1"/>
  <c r="HQ1" i="2" s="1"/>
  <c r="HR1" i="2" s="1"/>
  <c r="HS1" i="2" s="1"/>
  <c r="HT1" i="2" s="1"/>
  <c r="HU1" i="2" s="1"/>
  <c r="HV1" i="2" s="1"/>
  <c r="HW1" i="2" s="1"/>
  <c r="HA24" i="2"/>
  <c r="HB24" i="2" s="1"/>
  <c r="HC24" i="2" s="1"/>
  <c r="HD24" i="2" s="1"/>
  <c r="HE24" i="2" s="1"/>
  <c r="HF24" i="2" s="1"/>
  <c r="HG24" i="2" s="1"/>
  <c r="HH24" i="2" s="1"/>
  <c r="HI24" i="2" s="1"/>
  <c r="HJ24" i="2" s="1"/>
  <c r="HK24" i="2" s="1"/>
  <c r="HL24" i="2" s="1"/>
  <c r="HM24" i="2" s="1"/>
  <c r="HB2" i="2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HA2" i="2"/>
  <c r="HA1" i="2"/>
  <c r="HB1" i="2" s="1"/>
  <c r="HC1" i="2" s="1"/>
  <c r="HD1" i="2" s="1"/>
  <c r="HE1" i="2" s="1"/>
  <c r="HF1" i="2" s="1"/>
  <c r="HG1" i="2" s="1"/>
  <c r="HH1" i="2" s="1"/>
  <c r="HI1" i="2" s="1"/>
  <c r="HJ1" i="2" s="1"/>
  <c r="HK1" i="2" s="1"/>
  <c r="HL1" i="2" s="1"/>
  <c r="HM1" i="2" s="1"/>
  <c r="GP24" i="2"/>
  <c r="GQ24" i="2" s="1"/>
  <c r="GR24" i="2" s="1"/>
  <c r="GS24" i="2" s="1"/>
  <c r="GT24" i="2" s="1"/>
  <c r="GU24" i="2" s="1"/>
  <c r="GV24" i="2" s="1"/>
  <c r="GW24" i="2" s="1"/>
  <c r="GX24" i="2" s="1"/>
  <c r="GY24" i="2" s="1"/>
  <c r="GZ24" i="2" s="1"/>
  <c r="GP2" i="2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GP1" i="2"/>
  <c r="GQ1" i="2" s="1"/>
  <c r="GR1" i="2" s="1"/>
  <c r="GS1" i="2" s="1"/>
  <c r="GT1" i="2" s="1"/>
  <c r="GU1" i="2" s="1"/>
  <c r="GV1" i="2" s="1"/>
  <c r="GW1" i="2" s="1"/>
  <c r="GX1" i="2" s="1"/>
  <c r="GY1" i="2" s="1"/>
  <c r="GZ1" i="2" s="1"/>
  <c r="AO24" i="2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FX24" i="2" s="1"/>
  <c r="FY24" i="2" s="1"/>
  <c r="FZ24" i="2" s="1"/>
  <c r="GA24" i="2" s="1"/>
  <c r="GB24" i="2" s="1"/>
  <c r="GC24" i="2" s="1"/>
  <c r="GD24" i="2" s="1"/>
  <c r="GE24" i="2" s="1"/>
  <c r="GF24" i="2" s="1"/>
  <c r="GG24" i="2" s="1"/>
  <c r="GH24" i="2" s="1"/>
  <c r="GI24" i="2" s="1"/>
  <c r="GJ24" i="2" s="1"/>
  <c r="GK24" i="2" s="1"/>
  <c r="GL24" i="2" s="1"/>
  <c r="GM24" i="2" s="1"/>
  <c r="GN24" i="2" s="1"/>
  <c r="GO24" i="2" s="1"/>
  <c r="AO2" i="2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DC2" i="2" s="1"/>
  <c r="DD2" i="2" s="1"/>
  <c r="DE2" i="2" s="1"/>
  <c r="DF2" i="2" s="1"/>
  <c r="DG2" i="2" s="1"/>
  <c r="DH2" i="2" s="1"/>
  <c r="DI2" i="2" s="1"/>
  <c r="DJ2" i="2" s="1"/>
  <c r="DK2" i="2" s="1"/>
  <c r="DL2" i="2" s="1"/>
  <c r="DM2" i="2" s="1"/>
  <c r="DN2" i="2" s="1"/>
  <c r="DO2" i="2" s="1"/>
  <c r="DP2" i="2" s="1"/>
  <c r="DQ2" i="2" s="1"/>
  <c r="DR2" i="2" s="1"/>
  <c r="DS2" i="2" s="1"/>
  <c r="DT2" i="2" s="1"/>
  <c r="DU2" i="2" s="1"/>
  <c r="DV2" i="2" s="1"/>
  <c r="DW2" i="2" s="1"/>
  <c r="DX2" i="2" s="1"/>
  <c r="DY2" i="2" s="1"/>
  <c r="DZ2" i="2" s="1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D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J2" i="2" s="1"/>
  <c r="GK2" i="2" s="1"/>
  <c r="GL2" i="2" s="1"/>
  <c r="GM2" i="2" s="1"/>
  <c r="GN2" i="2" s="1"/>
  <c r="GO2" i="2" s="1"/>
  <c r="AO1" i="2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BU1" i="2" s="1"/>
  <c r="BV1" i="2" s="1"/>
  <c r="BW1" i="2" s="1"/>
  <c r="BX1" i="2" s="1"/>
  <c r="BY1" i="2" s="1"/>
  <c r="BZ1" i="2" s="1"/>
  <c r="CA1" i="2" s="1"/>
  <c r="CB1" i="2" s="1"/>
  <c r="CC1" i="2" s="1"/>
  <c r="CD1" i="2" s="1"/>
  <c r="CE1" i="2" s="1"/>
  <c r="CF1" i="2" s="1"/>
  <c r="CG1" i="2" s="1"/>
  <c r="CH1" i="2" s="1"/>
  <c r="CI1" i="2" s="1"/>
  <c r="CJ1" i="2" s="1"/>
  <c r="CK1" i="2" s="1"/>
  <c r="CL1" i="2" s="1"/>
  <c r="CM1" i="2" s="1"/>
  <c r="CN1" i="2" s="1"/>
  <c r="CO1" i="2" s="1"/>
  <c r="CP1" i="2" s="1"/>
  <c r="CQ1" i="2" s="1"/>
  <c r="CR1" i="2" s="1"/>
  <c r="CS1" i="2" s="1"/>
  <c r="CT1" i="2" s="1"/>
  <c r="CU1" i="2" s="1"/>
  <c r="CV1" i="2" s="1"/>
  <c r="CW1" i="2" s="1"/>
  <c r="CX1" i="2" s="1"/>
  <c r="CY1" i="2" s="1"/>
  <c r="CZ1" i="2" s="1"/>
  <c r="DA1" i="2" s="1"/>
  <c r="DB1" i="2" s="1"/>
  <c r="DC1" i="2" s="1"/>
  <c r="DD1" i="2" s="1"/>
  <c r="DE1" i="2" s="1"/>
  <c r="DF1" i="2" s="1"/>
  <c r="DG1" i="2" s="1"/>
  <c r="DH1" i="2" s="1"/>
  <c r="DI1" i="2" s="1"/>
  <c r="DJ1" i="2" s="1"/>
  <c r="DK1" i="2" s="1"/>
  <c r="DL1" i="2" s="1"/>
  <c r="DM1" i="2" s="1"/>
  <c r="DN1" i="2" s="1"/>
  <c r="DO1" i="2" s="1"/>
  <c r="DP1" i="2" s="1"/>
  <c r="DQ1" i="2" s="1"/>
  <c r="DR1" i="2" s="1"/>
  <c r="DS1" i="2" s="1"/>
  <c r="DT1" i="2" s="1"/>
  <c r="DU1" i="2" s="1"/>
  <c r="DV1" i="2" s="1"/>
  <c r="DW1" i="2" s="1"/>
  <c r="DX1" i="2" s="1"/>
  <c r="DY1" i="2" s="1"/>
  <c r="DZ1" i="2" s="1"/>
  <c r="EA1" i="2" s="1"/>
  <c r="EB1" i="2" s="1"/>
  <c r="EC1" i="2" s="1"/>
  <c r="ED1" i="2" s="1"/>
  <c r="EE1" i="2" s="1"/>
  <c r="EF1" i="2" s="1"/>
  <c r="EG1" i="2" s="1"/>
  <c r="EH1" i="2" s="1"/>
  <c r="EI1" i="2" s="1"/>
  <c r="EJ1" i="2" s="1"/>
  <c r="EK1" i="2" s="1"/>
  <c r="EL1" i="2" s="1"/>
  <c r="EM1" i="2" s="1"/>
  <c r="EN1" i="2" s="1"/>
  <c r="EO1" i="2" s="1"/>
  <c r="EP1" i="2" s="1"/>
  <c r="EQ1" i="2" s="1"/>
  <c r="ER1" i="2" s="1"/>
  <c r="ES1" i="2" s="1"/>
  <c r="ET1" i="2" s="1"/>
  <c r="EU1" i="2" s="1"/>
  <c r="EV1" i="2" s="1"/>
  <c r="EW1" i="2" s="1"/>
  <c r="EX1" i="2" s="1"/>
  <c r="EY1" i="2" s="1"/>
  <c r="EZ1" i="2" s="1"/>
  <c r="FA1" i="2" s="1"/>
  <c r="FB1" i="2" s="1"/>
  <c r="FC1" i="2" s="1"/>
  <c r="FD1" i="2" s="1"/>
  <c r="FE1" i="2" s="1"/>
  <c r="FF1" i="2" s="1"/>
  <c r="FG1" i="2" s="1"/>
  <c r="FH1" i="2" s="1"/>
  <c r="FI1" i="2" s="1"/>
  <c r="FJ1" i="2" s="1"/>
  <c r="FK1" i="2" s="1"/>
  <c r="FL1" i="2" s="1"/>
  <c r="FM1" i="2" s="1"/>
  <c r="FN1" i="2" s="1"/>
  <c r="FO1" i="2" s="1"/>
  <c r="FP1" i="2" s="1"/>
  <c r="FQ1" i="2" s="1"/>
  <c r="FR1" i="2" s="1"/>
  <c r="FS1" i="2" s="1"/>
  <c r="FT1" i="2" s="1"/>
  <c r="FU1" i="2" s="1"/>
  <c r="FV1" i="2" s="1"/>
  <c r="FW1" i="2" s="1"/>
  <c r="FX1" i="2" s="1"/>
  <c r="FY1" i="2" s="1"/>
  <c r="FZ1" i="2" s="1"/>
  <c r="GA1" i="2" s="1"/>
  <c r="GB1" i="2" s="1"/>
  <c r="GC1" i="2" s="1"/>
  <c r="GD1" i="2" s="1"/>
  <c r="GE1" i="2" s="1"/>
  <c r="GF1" i="2" s="1"/>
  <c r="GG1" i="2" s="1"/>
  <c r="GH1" i="2" s="1"/>
  <c r="GI1" i="2" s="1"/>
  <c r="GJ1" i="2" s="1"/>
  <c r="GK1" i="2" s="1"/>
  <c r="GL1" i="2" s="1"/>
  <c r="GM1" i="2" s="1"/>
  <c r="GN1" i="2" s="1"/>
  <c r="GO1" i="2" s="1"/>
  <c r="AN24" i="2"/>
  <c r="AN2" i="2"/>
  <c r="AN1" i="2"/>
  <c r="AM2" i="2"/>
  <c r="AM24" i="2"/>
  <c r="AD7" i="2"/>
  <c r="AE7" i="2" s="1"/>
  <c r="AF7" i="2" s="1"/>
  <c r="AG7" i="2" s="1"/>
  <c r="AH7" i="2" s="1"/>
  <c r="AI7" i="2" s="1"/>
  <c r="AJ7" i="2" s="1"/>
  <c r="AK7" i="2" s="1"/>
  <c r="AL7" i="2" s="1"/>
  <c r="AC7" i="2"/>
  <c r="AD21" i="2"/>
  <c r="AE21" i="2" s="1"/>
  <c r="AF21" i="2" s="1"/>
  <c r="AG21" i="2" s="1"/>
  <c r="AH21" i="2" s="1"/>
  <c r="AI21" i="2" s="1"/>
  <c r="AJ21" i="2" s="1"/>
  <c r="AK21" i="2" s="1"/>
  <c r="AL21" i="2" s="1"/>
  <c r="AD20" i="2"/>
  <c r="AE20" i="2" s="1"/>
  <c r="AC21" i="2"/>
  <c r="AC20" i="2"/>
  <c r="AC10" i="2"/>
  <c r="AC4" i="2"/>
  <c r="AA8" i="2"/>
  <c r="AB8" i="2"/>
  <c r="Z4" i="2"/>
  <c r="AA4" i="2"/>
  <c r="AA5" i="2" s="1"/>
  <c r="AB4" i="2"/>
  <c r="AB5" i="2" s="1"/>
  <c r="I12" i="2"/>
  <c r="H12" i="2"/>
  <c r="G12" i="2"/>
  <c r="I11" i="2"/>
  <c r="H11" i="2"/>
  <c r="E11" i="2"/>
  <c r="D11" i="2"/>
  <c r="Y12" i="2"/>
  <c r="Z12" i="2"/>
  <c r="Y28" i="2"/>
  <c r="Z28" i="2"/>
  <c r="X34" i="2"/>
  <c r="X33" i="2"/>
  <c r="X32" i="2"/>
  <c r="X31" i="2"/>
  <c r="X19" i="2"/>
  <c r="Y19" i="2"/>
  <c r="C19" i="2"/>
  <c r="G34" i="2"/>
  <c r="G33" i="2"/>
  <c r="G32" i="2"/>
  <c r="G31" i="2"/>
  <c r="G28" i="2"/>
  <c r="G19" i="2"/>
  <c r="D19" i="2"/>
  <c r="H28" i="2"/>
  <c r="H19" i="2"/>
  <c r="F23" i="2"/>
  <c r="F21" i="2"/>
  <c r="F20" i="2"/>
  <c r="F18" i="2"/>
  <c r="F17" i="2"/>
  <c r="F16" i="2"/>
  <c r="F15" i="2"/>
  <c r="F10" i="2"/>
  <c r="I28" i="2"/>
  <c r="J23" i="2"/>
  <c r="J21" i="2"/>
  <c r="J20" i="2"/>
  <c r="J18" i="2"/>
  <c r="J17" i="2"/>
  <c r="J16" i="2"/>
  <c r="J15" i="2"/>
  <c r="J10" i="2"/>
  <c r="E19" i="2"/>
  <c r="I19" i="2"/>
  <c r="I22" i="2" s="1"/>
  <c r="I24" i="2" s="1"/>
  <c r="W35" i="2"/>
  <c r="V35" i="2"/>
  <c r="U35" i="2"/>
  <c r="T35" i="2"/>
  <c r="S35" i="2"/>
  <c r="R35" i="2"/>
  <c r="AB34" i="2"/>
  <c r="AA34" i="2"/>
  <c r="Z34" i="2"/>
  <c r="Y34" i="2"/>
  <c r="W34" i="2"/>
  <c r="V34" i="2"/>
  <c r="U34" i="2"/>
  <c r="T34" i="2"/>
  <c r="S34" i="2"/>
  <c r="R34" i="2"/>
  <c r="AB33" i="2"/>
  <c r="AA33" i="2"/>
  <c r="Z33" i="2"/>
  <c r="Y33" i="2"/>
  <c r="W33" i="2"/>
  <c r="V33" i="2"/>
  <c r="U33" i="2"/>
  <c r="T33" i="2"/>
  <c r="S33" i="2"/>
  <c r="R33" i="2"/>
  <c r="AB32" i="2"/>
  <c r="AA32" i="2"/>
  <c r="Z32" i="2"/>
  <c r="Y32" i="2"/>
  <c r="W32" i="2"/>
  <c r="V32" i="2"/>
  <c r="U32" i="2"/>
  <c r="T32" i="2"/>
  <c r="S32" i="2"/>
  <c r="R32" i="2"/>
  <c r="AB31" i="2"/>
  <c r="AA31" i="2"/>
  <c r="Z31" i="2"/>
  <c r="Y31" i="2"/>
  <c r="W31" i="2"/>
  <c r="V31" i="2"/>
  <c r="U31" i="2"/>
  <c r="T31" i="2"/>
  <c r="S31" i="2"/>
  <c r="R31" i="2"/>
  <c r="L35" i="2"/>
  <c r="K35" i="2"/>
  <c r="L34" i="2"/>
  <c r="K34" i="2"/>
  <c r="I34" i="2"/>
  <c r="H34" i="2"/>
  <c r="E34" i="2"/>
  <c r="D34" i="2"/>
  <c r="C34" i="2"/>
  <c r="L33" i="2"/>
  <c r="K33" i="2"/>
  <c r="I33" i="2"/>
  <c r="H33" i="2"/>
  <c r="E33" i="2"/>
  <c r="D33" i="2"/>
  <c r="C33" i="2"/>
  <c r="L32" i="2"/>
  <c r="K32" i="2"/>
  <c r="I32" i="2"/>
  <c r="H32" i="2"/>
  <c r="E32" i="2"/>
  <c r="D32" i="2"/>
  <c r="C32" i="2"/>
  <c r="L31" i="2"/>
  <c r="K31" i="2"/>
  <c r="I31" i="2"/>
  <c r="H31" i="2"/>
  <c r="E31" i="2"/>
  <c r="D31" i="2"/>
  <c r="C31" i="2"/>
  <c r="M35" i="2"/>
  <c r="M34" i="2"/>
  <c r="M33" i="2"/>
  <c r="M32" i="2"/>
  <c r="M31" i="2"/>
  <c r="Z19" i="2"/>
  <c r="AA19" i="2"/>
  <c r="AA12" i="2"/>
  <c r="AB12" i="2"/>
  <c r="AB19" i="2"/>
  <c r="AA28" i="2"/>
  <c r="AB28" i="2"/>
  <c r="I10" i="1"/>
  <c r="I11" i="1" s="1"/>
  <c r="S2" i="2"/>
  <c r="T2" i="2" s="1"/>
  <c r="U2" i="2" s="1"/>
  <c r="V2" i="2" s="1"/>
  <c r="W2" i="2" s="1"/>
  <c r="X2" i="2" s="1"/>
  <c r="Y2" i="2" s="1"/>
  <c r="Z2" i="2" s="1"/>
  <c r="AA2" i="2" s="1"/>
  <c r="AB2" i="2" s="1"/>
  <c r="H12" i="1"/>
  <c r="H10" i="1"/>
  <c r="H9" i="1"/>
  <c r="H8" i="1"/>
  <c r="AN41" i="2" l="1"/>
  <c r="AC28" i="2"/>
  <c r="AC15" i="2"/>
  <c r="AC32" i="2" s="1"/>
  <c r="AC12" i="2"/>
  <c r="AC31" i="2"/>
  <c r="AC18" i="2"/>
  <c r="AC19" i="2" s="1"/>
  <c r="AC16" i="2"/>
  <c r="AC33" i="2" s="1"/>
  <c r="AC17" i="2"/>
  <c r="AC34" i="2" s="1"/>
  <c r="AE10" i="2"/>
  <c r="AD10" i="2"/>
  <c r="AF20" i="2"/>
  <c r="AF10" i="2"/>
  <c r="AE8" i="2"/>
  <c r="AD8" i="2"/>
  <c r="AC8" i="2"/>
  <c r="G11" i="2"/>
  <c r="F11" i="2"/>
  <c r="J12" i="2"/>
  <c r="J11" i="2"/>
  <c r="X35" i="2"/>
  <c r="X22" i="2"/>
  <c r="X24" i="2" s="1"/>
  <c r="Y22" i="2"/>
  <c r="Y24" i="2" s="1"/>
  <c r="Y35" i="2"/>
  <c r="Z22" i="2"/>
  <c r="Z24" i="2" s="1"/>
  <c r="Z35" i="2"/>
  <c r="AA22" i="2"/>
  <c r="AA24" i="2" s="1"/>
  <c r="AA35" i="2"/>
  <c r="AB22" i="2"/>
  <c r="AB35" i="2"/>
  <c r="F19" i="2"/>
  <c r="F35" i="2" s="1"/>
  <c r="C22" i="2"/>
  <c r="C24" i="2" s="1"/>
  <c r="C35" i="2"/>
  <c r="F34" i="2"/>
  <c r="J19" i="2"/>
  <c r="J35" i="2" s="1"/>
  <c r="G35" i="2"/>
  <c r="G22" i="2"/>
  <c r="G24" i="2" s="1"/>
  <c r="F33" i="2"/>
  <c r="D22" i="2"/>
  <c r="D35" i="2"/>
  <c r="H22" i="2"/>
  <c r="H35" i="2"/>
  <c r="J34" i="2"/>
  <c r="J32" i="2"/>
  <c r="J33" i="2"/>
  <c r="J28" i="2"/>
  <c r="J31" i="2"/>
  <c r="F32" i="2"/>
  <c r="F31" i="2"/>
  <c r="E22" i="2"/>
  <c r="E24" i="2" s="1"/>
  <c r="E35" i="2"/>
  <c r="I35" i="2"/>
  <c r="AB24" i="2"/>
  <c r="AO41" i="2" l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AC35" i="2"/>
  <c r="AC22" i="2"/>
  <c r="AC23" i="2" s="1"/>
  <c r="AC24" i="2" s="1"/>
  <c r="AE28" i="2"/>
  <c r="AE12" i="2"/>
  <c r="AD28" i="2"/>
  <c r="AD16" i="2"/>
  <c r="AD17" i="2"/>
  <c r="AD31" i="2"/>
  <c r="AD12" i="2"/>
  <c r="AD15" i="2"/>
  <c r="AD18" i="2"/>
  <c r="AE18" i="2" s="1"/>
  <c r="AF18" i="2" s="1"/>
  <c r="AF28" i="2"/>
  <c r="AF12" i="2"/>
  <c r="AG20" i="2"/>
  <c r="AG10" i="2"/>
  <c r="AF8" i="2"/>
  <c r="D24" i="2"/>
  <c r="F24" i="2" s="1"/>
  <c r="F22" i="2"/>
  <c r="H24" i="2"/>
  <c r="J24" i="2" s="1"/>
  <c r="J22" i="2"/>
  <c r="EB41" i="2" l="1"/>
  <c r="EC41" i="2" s="1"/>
  <c r="ED41" i="2" s="1"/>
  <c r="EE41" i="2" s="1"/>
  <c r="EF41" i="2" s="1"/>
  <c r="EG41" i="2" s="1"/>
  <c r="EH41" i="2" s="1"/>
  <c r="EI41" i="2" s="1"/>
  <c r="EJ41" i="2" s="1"/>
  <c r="EK41" i="2" s="1"/>
  <c r="EL41" i="2" s="1"/>
  <c r="EM41" i="2" s="1"/>
  <c r="EN41" i="2" s="1"/>
  <c r="EO41" i="2" s="1"/>
  <c r="EP41" i="2" s="1"/>
  <c r="EQ41" i="2" s="1"/>
  <c r="ER41" i="2" s="1"/>
  <c r="ES41" i="2" s="1"/>
  <c r="ET41" i="2" s="1"/>
  <c r="EU41" i="2" s="1"/>
  <c r="EV41" i="2" s="1"/>
  <c r="EW41" i="2" s="1"/>
  <c r="EX41" i="2" s="1"/>
  <c r="EY41" i="2" s="1"/>
  <c r="EZ41" i="2" s="1"/>
  <c r="FA41" i="2" s="1"/>
  <c r="FB41" i="2" s="1"/>
  <c r="FC41" i="2" s="1"/>
  <c r="FD41" i="2" s="1"/>
  <c r="FE41" i="2" s="1"/>
  <c r="FF41" i="2" s="1"/>
  <c r="FG41" i="2" s="1"/>
  <c r="FH41" i="2" s="1"/>
  <c r="FI41" i="2" s="1"/>
  <c r="FJ41" i="2" s="1"/>
  <c r="FK41" i="2" s="1"/>
  <c r="FL41" i="2" s="1"/>
  <c r="FM41" i="2" s="1"/>
  <c r="FN41" i="2" s="1"/>
  <c r="FO41" i="2" s="1"/>
  <c r="FP41" i="2" s="1"/>
  <c r="FQ41" i="2" s="1"/>
  <c r="FR41" i="2" s="1"/>
  <c r="FS41" i="2" s="1"/>
  <c r="FT41" i="2" s="1"/>
  <c r="FU41" i="2" s="1"/>
  <c r="FV41" i="2" s="1"/>
  <c r="FW41" i="2" s="1"/>
  <c r="FX41" i="2" s="1"/>
  <c r="FY41" i="2" s="1"/>
  <c r="FZ41" i="2" s="1"/>
  <c r="GA41" i="2" s="1"/>
  <c r="GB41" i="2" s="1"/>
  <c r="GC41" i="2" s="1"/>
  <c r="GD41" i="2" s="1"/>
  <c r="GE41" i="2" s="1"/>
  <c r="GF41" i="2" s="1"/>
  <c r="GG41" i="2" s="1"/>
  <c r="GH41" i="2" s="1"/>
  <c r="GI41" i="2" s="1"/>
  <c r="GJ41" i="2" s="1"/>
  <c r="GK41" i="2" s="1"/>
  <c r="GL41" i="2" s="1"/>
  <c r="GM41" i="2" s="1"/>
  <c r="GN41" i="2" s="1"/>
  <c r="GO41" i="2" s="1"/>
  <c r="GP41" i="2" s="1"/>
  <c r="GQ41" i="2" s="1"/>
  <c r="GR41" i="2" s="1"/>
  <c r="GS41" i="2" s="1"/>
  <c r="GT41" i="2" s="1"/>
  <c r="GU41" i="2" s="1"/>
  <c r="GV41" i="2" s="1"/>
  <c r="GW41" i="2" s="1"/>
  <c r="GX41" i="2" s="1"/>
  <c r="GY41" i="2" s="1"/>
  <c r="GZ41" i="2" s="1"/>
  <c r="HA41" i="2" s="1"/>
  <c r="HB41" i="2" s="1"/>
  <c r="HC41" i="2" s="1"/>
  <c r="HD41" i="2" s="1"/>
  <c r="HE41" i="2" s="1"/>
  <c r="HF41" i="2" s="1"/>
  <c r="HG41" i="2" s="1"/>
  <c r="HH41" i="2" s="1"/>
  <c r="HI41" i="2" s="1"/>
  <c r="HJ41" i="2" s="1"/>
  <c r="HK41" i="2" s="1"/>
  <c r="HL41" i="2" s="1"/>
  <c r="HM41" i="2" s="1"/>
  <c r="HN41" i="2" s="1"/>
  <c r="HO41" i="2" s="1"/>
  <c r="HP41" i="2" s="1"/>
  <c r="HQ41" i="2" s="1"/>
  <c r="HR41" i="2" s="1"/>
  <c r="HS41" i="2" s="1"/>
  <c r="HT41" i="2" s="1"/>
  <c r="HU41" i="2" s="1"/>
  <c r="HV41" i="2" s="1"/>
  <c r="HW41" i="2" s="1"/>
  <c r="HX41" i="2" s="1"/>
  <c r="HY41" i="2" s="1"/>
  <c r="HZ41" i="2" s="1"/>
  <c r="IA41" i="2" s="1"/>
  <c r="IB41" i="2" s="1"/>
  <c r="IC41" i="2" s="1"/>
  <c r="ID41" i="2" s="1"/>
  <c r="AP46" i="2"/>
  <c r="AP48" i="2" s="1"/>
  <c r="AD33" i="2"/>
  <c r="AE16" i="2"/>
  <c r="AD34" i="2"/>
  <c r="AE17" i="2"/>
  <c r="AE15" i="2"/>
  <c r="AD19" i="2"/>
  <c r="AD32" i="2"/>
  <c r="AG18" i="2"/>
  <c r="AG12" i="2"/>
  <c r="AG28" i="2"/>
  <c r="AH20" i="2"/>
  <c r="AH10" i="2"/>
  <c r="AG8" i="2"/>
  <c r="AE33" i="2" l="1"/>
  <c r="AF16" i="2"/>
  <c r="AE34" i="2"/>
  <c r="AF17" i="2"/>
  <c r="AE19" i="2"/>
  <c r="AF15" i="2"/>
  <c r="AE31" i="2"/>
  <c r="AE32" i="2"/>
  <c r="AD35" i="2"/>
  <c r="AD22" i="2"/>
  <c r="AD23" i="2" s="1"/>
  <c r="AD24" i="2" s="1"/>
  <c r="AH18" i="2"/>
  <c r="AH28" i="2"/>
  <c r="AH12" i="2"/>
  <c r="AI20" i="2"/>
  <c r="AI10" i="2"/>
  <c r="AH8" i="2"/>
  <c r="AF33" i="2" l="1"/>
  <c r="AG16" i="2"/>
  <c r="AF34" i="2"/>
  <c r="AG17" i="2"/>
  <c r="AE22" i="2"/>
  <c r="AE35" i="2"/>
  <c r="AF19" i="2"/>
  <c r="AG15" i="2"/>
  <c r="AF32" i="2"/>
  <c r="AF31" i="2"/>
  <c r="AI18" i="2"/>
  <c r="AI12" i="2"/>
  <c r="AI28" i="2"/>
  <c r="AJ20" i="2"/>
  <c r="AJ10" i="2"/>
  <c r="AI8" i="2"/>
  <c r="AG33" i="2" l="1"/>
  <c r="AH16" i="2"/>
  <c r="AG34" i="2"/>
  <c r="AH17" i="2"/>
  <c r="AE23" i="2"/>
  <c r="AE24" i="2" s="1"/>
  <c r="AF22" i="2"/>
  <c r="AF35" i="2"/>
  <c r="AG19" i="2"/>
  <c r="AH15" i="2"/>
  <c r="AG31" i="2"/>
  <c r="AG32" i="2"/>
  <c r="AJ18" i="2"/>
  <c r="AJ28" i="2"/>
  <c r="AJ12" i="2"/>
  <c r="AK20" i="2"/>
  <c r="AK10" i="2"/>
  <c r="AJ8" i="2"/>
  <c r="AH33" i="2" l="1"/>
  <c r="AI16" i="2"/>
  <c r="AH34" i="2"/>
  <c r="AI17" i="2"/>
  <c r="AF24" i="2"/>
  <c r="AF23" i="2"/>
  <c r="AG22" i="2"/>
  <c r="AG35" i="2"/>
  <c r="AH19" i="2"/>
  <c r="AI15" i="2"/>
  <c r="AH31" i="2"/>
  <c r="AH32" i="2"/>
  <c r="AK18" i="2"/>
  <c r="AK12" i="2"/>
  <c r="AK28" i="2"/>
  <c r="AL20" i="2"/>
  <c r="AK8" i="2"/>
  <c r="AI33" i="2" l="1"/>
  <c r="AJ16" i="2"/>
  <c r="AI34" i="2"/>
  <c r="AJ17" i="2"/>
  <c r="AG23" i="2"/>
  <c r="AG24" i="2" s="1"/>
  <c r="AH22" i="2"/>
  <c r="AH23" i="2" s="1"/>
  <c r="AH24" i="2" s="1"/>
  <c r="AH35" i="2"/>
  <c r="AI19" i="2"/>
  <c r="AJ15" i="2"/>
  <c r="AI31" i="2"/>
  <c r="AI32" i="2"/>
  <c r="AL8" i="2"/>
  <c r="AL10" i="2"/>
  <c r="AJ33" i="2" l="1"/>
  <c r="AK16" i="2"/>
  <c r="AJ34" i="2"/>
  <c r="AK17" i="2"/>
  <c r="AI22" i="2"/>
  <c r="AI35" i="2"/>
  <c r="AJ19" i="2"/>
  <c r="AK15" i="2"/>
  <c r="AJ31" i="2"/>
  <c r="AJ32" i="2"/>
  <c r="AL18" i="2"/>
  <c r="AL12" i="2"/>
  <c r="AL28" i="2"/>
  <c r="AK33" i="2" l="1"/>
  <c r="AL16" i="2"/>
  <c r="AL33" i="2" s="1"/>
  <c r="AK34" i="2"/>
  <c r="AL17" i="2"/>
  <c r="AL34" i="2" s="1"/>
  <c r="AI23" i="2"/>
  <c r="AI24" i="2"/>
  <c r="AJ22" i="2"/>
  <c r="AJ35" i="2"/>
  <c r="AK19" i="2"/>
  <c r="AL15" i="2"/>
  <c r="AK32" i="2"/>
  <c r="AK31" i="2"/>
  <c r="AJ23" i="2" l="1"/>
  <c r="AJ24" i="2" s="1"/>
  <c r="AK22" i="2"/>
  <c r="AK23" i="2" s="1"/>
  <c r="AK24" i="2" s="1"/>
  <c r="AK35" i="2"/>
  <c r="AL31" i="2"/>
  <c r="AL32" i="2"/>
  <c r="AL19" i="2"/>
  <c r="AL22" i="2" l="1"/>
  <c r="AL35" i="2"/>
  <c r="AL23" i="2" l="1"/>
  <c r="AL24" i="2" s="1"/>
</calcChain>
</file>

<file path=xl/sharedStrings.xml><?xml version="1.0" encoding="utf-8"?>
<sst xmlns="http://schemas.openxmlformats.org/spreadsheetml/2006/main" count="64" uniqueCount="51">
  <si>
    <t>P</t>
  </si>
  <si>
    <t>S</t>
  </si>
  <si>
    <t>MC</t>
  </si>
  <si>
    <t>C</t>
  </si>
  <si>
    <t>D</t>
  </si>
  <si>
    <t>EV</t>
  </si>
  <si>
    <t xml:space="preserve">CEO </t>
  </si>
  <si>
    <t>CFO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</si>
  <si>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</si>
  <si>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</si>
  <si>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</si>
  <si>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</si>
  <si>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</si>
  <si>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</si>
  <si>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</si>
  <si>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</si>
  <si>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</si>
  <si>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</si>
  <si>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Q426</t>
  </si>
  <si>
    <t>Q326</t>
  </si>
  <si>
    <t>FY25</t>
  </si>
  <si>
    <t xml:space="preserve">Revenue </t>
  </si>
  <si>
    <t xml:space="preserve">Growth YY </t>
  </si>
  <si>
    <t>Customer/Merchant fees</t>
  </si>
  <si>
    <t>Advertising</t>
  </si>
  <si>
    <t>Sg&amp;A</t>
  </si>
  <si>
    <t>Operating Income</t>
  </si>
  <si>
    <t>Interest Expense</t>
  </si>
  <si>
    <t>Other Income</t>
  </si>
  <si>
    <t xml:space="preserve">EBT </t>
  </si>
  <si>
    <t>T</t>
  </si>
  <si>
    <t xml:space="preserve">Net Income </t>
  </si>
  <si>
    <t>QoQ Chg</t>
  </si>
  <si>
    <t>YoY Chg</t>
  </si>
  <si>
    <t xml:space="preserve">Margins </t>
  </si>
  <si>
    <t>GM</t>
  </si>
  <si>
    <t>OM</t>
  </si>
  <si>
    <t>Shrs</t>
  </si>
  <si>
    <t xml:space="preserve">Active Customers </t>
  </si>
  <si>
    <t>LTM Net Rev Per Active Customer</t>
  </si>
  <si>
    <t xml:space="preserve">Avg Order Value </t>
  </si>
  <si>
    <t>Orders Delivered</t>
  </si>
  <si>
    <t>Terminal</t>
  </si>
  <si>
    <t xml:space="preserve">Discount </t>
  </si>
  <si>
    <t>NPV</t>
  </si>
  <si>
    <t>shares</t>
  </si>
  <si>
    <t xml:space="preserve">Estimate </t>
  </si>
  <si>
    <t>Current</t>
  </si>
  <si>
    <t>CFFO</t>
  </si>
  <si>
    <t>Capex</t>
  </si>
  <si>
    <t xml:space="preserve">FCF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</si>
</sst>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E&quot;"/>
    <numFmt numFmtId="166" formatCode="#,##0.0"/>
    <numFmt numFmtId="167" formatCode="0.0%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2"/>
      <color rgb="FF0432FF"/>
      <name val="Arial"/>
      <family val="2"/>
    </font>
    <font>
      <b/>
      <sz val="12"/>
      <color rgb="FF0432FF"/>
      <name val="Arial"/>
      <family val="2"/>
    </font>
    <font>
      <i/>
      <sz val="12"/>
      <color theme="1"/>
      <name val="Arial"/>
      <family val="2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3" fontId="0" fillId="0" borderId="0" xfId="0" applyNumberFormat="1"/>
    <xf numFmtId="1" fontId="1" fillId="0" borderId="0" xfId="0" applyNumberFormat="1" applyFont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1" fillId="0" borderId="0" xfId="0" applyNumberFormat="1" applyFont="1"/>
    <xf numFmtId="9" fontId="1" fillId="0" borderId="0" xfId="0" applyNumberFormat="1" applyFont="1"/>
    <xf numFmtId="9" fontId="3" fillId="0" borderId="0" xfId="0" applyNumberFormat="1" applyFont="1"/>
    <xf numFmtId="1" fontId="1" fillId="0" borderId="0" xfId="0" applyNumberFormat="1" applyFont="1" applyAlignment="1">
      <alignment horizontal="right"/>
    </xf>
    <xf numFmtId="3" fontId="2" fillId="0" borderId="1" xfId="0" applyNumberFormat="1" applyFont="1" applyBorder="1" applyAlignment="1">
      <alignment horizontal="right"/>
    </xf>
    <xf numFmtId="3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3" fontId="5" fillId="0" borderId="1" xfId="0" applyNumberFormat="1" applyFont="1" applyBorder="1" applyAlignment="1">
      <alignment horizontal="right"/>
    </xf>
    <xf numFmtId="3" fontId="4" fillId="0" borderId="0" xfId="0" applyNumberFormat="1" applyFont="1"/>
    <xf numFmtId="3" fontId="5" fillId="0" borderId="1" xfId="0" applyNumberFormat="1" applyFont="1" applyBorder="1"/>
    <xf numFmtId="1" fontId="1" fillId="0" borderId="0" xfId="0" applyNumberFormat="1" applyFont="1" applyBorder="1"/>
    <xf numFmtId="3" fontId="2" fillId="0" borderId="0" xfId="0" applyNumberFormat="1" applyFont="1" applyBorder="1"/>
    <xf numFmtId="3" fontId="3" fillId="0" borderId="0" xfId="0" applyNumberFormat="1" applyFont="1" applyBorder="1"/>
    <xf numFmtId="9" fontId="3" fillId="0" borderId="0" xfId="0" applyNumberFormat="1" applyFont="1" applyBorder="1"/>
    <xf numFmtId="3" fontId="1" fillId="0" borderId="0" xfId="0" applyNumberFormat="1" applyFont="1" applyBorder="1"/>
    <xf numFmtId="9" fontId="1" fillId="0" borderId="0" xfId="0" applyNumberFormat="1" applyFont="1" applyBorder="1"/>
    <xf numFmtId="164" fontId="1" fillId="0" borderId="0" xfId="0" applyNumberFormat="1" applyFont="1"/>
    <xf numFmtId="166" fontId="1" fillId="0" borderId="0" xfId="0" applyNumberFormat="1" applyFont="1"/>
    <xf numFmtId="3" fontId="4" fillId="0" borderId="0" xfId="0" applyNumberFormat="1" applyFont="1" applyBorder="1"/>
    <xf numFmtId="1" fontId="4" fillId="0" borderId="0" xfId="0" applyNumberFormat="1" applyFont="1" applyAlignment="1">
      <alignment horizontal="right"/>
    </xf>
    <xf numFmtId="1" fontId="4" fillId="0" borderId="0" xfId="0" applyNumberFormat="1" applyFont="1" applyBorder="1"/>
    <xf numFmtId="1" fontId="4" fillId="0" borderId="0" xfId="0" applyNumberFormat="1" applyFont="1"/>
    <xf numFmtId="1" fontId="6" fillId="0" borderId="0" xfId="0" applyNumberFormat="1" applyFont="1" applyAlignment="1">
      <alignment horizontal="right"/>
    </xf>
    <xf numFmtId="1" fontId="6" fillId="0" borderId="0" xfId="0" applyNumberFormat="1" applyFont="1" applyBorder="1"/>
    <xf numFmtId="1" fontId="6" fillId="0" borderId="0" xfId="0" applyNumberFormat="1" applyFont="1"/>
    <xf numFmtId="9" fontId="6" fillId="0" borderId="0" xfId="0" applyNumberFormat="1" applyFont="1"/>
    <xf numFmtId="3" fontId="6" fillId="0" borderId="0" xfId="0" applyNumberFormat="1" applyFont="1"/>
    <xf numFmtId="3" fontId="6" fillId="0" borderId="0" xfId="0" applyNumberFormat="1" applyFont="1" applyAlignment="1">
      <alignment horizontal="right"/>
    </xf>
    <xf numFmtId="3" fontId="6" fillId="0" borderId="0" xfId="0" applyNumberFormat="1" applyFont="1" applyBorder="1"/>
    <xf numFmtId="166" fontId="6" fillId="0" borderId="0" xfId="0" applyNumberFormat="1" applyFont="1"/>
    <xf numFmtId="3" fontId="5" fillId="0" borderId="0" xfId="0" applyNumberFormat="1" applyFont="1" applyAlignment="1">
      <alignment horizontal="right"/>
    </xf>
    <xf numFmtId="3" fontId="5" fillId="0" borderId="0" xfId="0" applyNumberFormat="1" applyFont="1" applyBorder="1"/>
    <xf numFmtId="3" fontId="5" fillId="0" borderId="0" xfId="0" applyNumberFormat="1" applyFont="1"/>
    <xf numFmtId="166" fontId="5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3" fontId="7" fillId="0" borderId="0" xfId="0" applyNumberFormat="1" applyFont="1"/>
    <xf numFmtId="4" fontId="7" fillId="0" borderId="0" xfId="0" applyNumberFormat="1" applyFont="1"/>
    <xf numFmtId="16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0</xdr:row>
      <xdr:rowOff>63500</xdr:rowOff>
    </xdr:from>
    <xdr:to>
      <xdr:col>28</xdr:col>
      <xdr:colOff>101600</xdr:colOff>
      <xdr:row>43</xdr:row>
      <xdr:rowOff>190500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E6C6AF-52F3-89C3-8D91-255B4AB71DDD}"/>
            </a:ext>
          </a:extLst>
        </xdr:cNvPr>
        <xdr:cNvCxnSpPr/>
      </xdr:nvCxnSpPr>
      <xdr:spPr>
        <a:xfrm>
          <a:off x="15735300" y="63500"/>
          <a:ext cx="63500" cy="7797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469900</xdr:colOff>
      <xdr:row>0</xdr:row>
      <xdr:rowOff>25400</xdr:rowOff>
    </xdr:from>
    <xdr:to>
      <xdr:col>10</xdr:col>
      <xdr:colOff>50800</xdr:colOff>
      <xdr:row>43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255BDA8-16AC-0445-8C78-1D331E2D2583}"/>
            </a:ext>
          </a:extLst>
        </xdr:cNvPr>
        <xdr:cNvCxnSpPr/>
      </xdr:nvCxnSpPr>
      <xdr:spPr>
        <a:xfrm>
          <a:off x="5803900" y="25400"/>
          <a:ext cx="63500" cy="7797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6CCE1-62FF-DA49-960D-48D85B6CFBBD}">
  <dimension ref="B6:I12"/>
  <sheetViews>
    <sheetView tabSelected="1" workbookViewId="0">
      <selection activeCell="G10" sqref="G10"/>
    </sheetView>
  </sheetViews>
  <sheetFormatPr baseColWidth="10" defaultRowHeight="16" x14ac:dyDescent="0.2"/>
  <cols>
    <col min="1" max="1" width="10.83203125" style="1"/>
    <col min="2" max="2" width="5.1640625" style="1" bestFit="1" customWidth="1"/>
    <col min="3" max="6" width="10.83203125" style="1"/>
    <col min="7" max="7" width="4" style="1" bestFit="1" customWidth="1"/>
    <col min="8" max="8" width="6.6640625" style="1" bestFit="1" customWidth="1"/>
    <col min="9" max="9" width="5.1640625" style="1" bestFit="1" customWidth="1"/>
    <col min="10" max="16384" width="10.83203125" style="1"/>
  </cols>
  <sheetData>
    <row r="6" spans="2:9" x14ac:dyDescent="0.2">
      <c r="B6" s="1" t="s">
        <v>6</v>
      </c>
    </row>
    <row r="7" spans="2:9" x14ac:dyDescent="0.2">
      <c r="B7" s="1" t="s">
        <v>7</v>
      </c>
      <c r="G7" s="1" t="s">
        <v>0</v>
      </c>
      <c r="H7" s="1">
        <v>76.33</v>
      </c>
    </row>
    <row r="8" spans="2:9" x14ac:dyDescent="0.2">
      <c r="G8" s="1" t="s">
        <v>1</v>
      </c>
      <c r="H8" s="1">
        <f>108.7695677+21.978295</f>
        <v>130.74786269999998</v>
      </c>
      <c r="I8" s="1" t="s">
        <v>20</v>
      </c>
    </row>
    <row r="9" spans="2:9" x14ac:dyDescent="0.2">
      <c r="G9" s="1" t="s">
        <v>2</v>
      </c>
      <c r="H9" s="1">
        <f>+H7*H8</f>
        <v>9979.9843598909993</v>
      </c>
    </row>
    <row r="10" spans="2:9" x14ac:dyDescent="0.2">
      <c r="G10" s="1" t="s">
        <v>3</v>
      </c>
      <c r="H10" s="1">
        <f>1476+66</f>
        <v>1542</v>
      </c>
      <c r="I10" s="1" t="str">
        <f>+I8</f>
        <v>FY25</v>
      </c>
    </row>
    <row r="11" spans="2:9" x14ac:dyDescent="0.2">
      <c r="G11" s="1" t="s">
        <v>4</v>
      </c>
      <c r="H11" s="1">
        <v>3233</v>
      </c>
      <c r="I11" s="1" t="str">
        <f>+I10</f>
        <v>FY25</v>
      </c>
    </row>
    <row r="12" spans="2:9" x14ac:dyDescent="0.2">
      <c r="G12" s="1" t="s">
        <v>5</v>
      </c>
      <c r="H12" s="1">
        <f>+H9-H10+H11</f>
        <v>11670.984359890999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1572-409D-D343-9357-A6BD645F8CC3}">
  <dimension ref="B1:IF49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O38" sqref="AO38"/>
    </sheetView>
  </sheetViews>
  <sheetFormatPr baseColWidth="10" defaultRowHeight="16" x14ac:dyDescent="0.2"/>
  <cols>
    <col min="1" max="1" width="2" style="6" customWidth="1"/>
    <col min="2" max="2" width="32.6640625" style="6" bestFit="1" customWidth="1"/>
    <col min="3" max="10" width="6.33203125" style="13" bestFit="1" customWidth="1"/>
    <col min="11" max="14" width="6.1640625" style="13" bestFit="1" customWidth="1"/>
    <col min="15" max="17" width="10.83203125" style="24"/>
    <col min="18" max="23" width="5.83203125" style="6" bestFit="1" customWidth="1"/>
    <col min="24" max="25" width="7.5" style="6" bestFit="1" customWidth="1"/>
    <col min="26" max="28" width="9.33203125" style="6" bestFit="1" customWidth="1"/>
    <col min="29" max="29" width="12" style="6" bestFit="1" customWidth="1"/>
    <col min="30" max="38" width="7.5" style="6" bestFit="1" customWidth="1"/>
    <col min="39" max="16384" width="10.83203125" style="6"/>
  </cols>
  <sheetData>
    <row r="1" spans="2:240" x14ac:dyDescent="0.2">
      <c r="AM1" s="6">
        <v>1</v>
      </c>
      <c r="AN1" s="6">
        <f>+AM1+1</f>
        <v>2</v>
      </c>
      <c r="AO1" s="6">
        <f t="shared" ref="AO1:CZ1" si="0">+AN1+1</f>
        <v>3</v>
      </c>
      <c r="AP1" s="6">
        <f t="shared" si="0"/>
        <v>4</v>
      </c>
      <c r="AQ1" s="6">
        <f t="shared" si="0"/>
        <v>5</v>
      </c>
      <c r="AR1" s="6">
        <f t="shared" si="0"/>
        <v>6</v>
      </c>
      <c r="AS1" s="6">
        <f t="shared" si="0"/>
        <v>7</v>
      </c>
      <c r="AT1" s="6">
        <f t="shared" si="0"/>
        <v>8</v>
      </c>
      <c r="AU1" s="6">
        <f t="shared" si="0"/>
        <v>9</v>
      </c>
      <c r="AV1" s="6">
        <f t="shared" si="0"/>
        <v>10</v>
      </c>
      <c r="AW1" s="6">
        <f t="shared" si="0"/>
        <v>11</v>
      </c>
      <c r="AX1" s="6">
        <f t="shared" si="0"/>
        <v>12</v>
      </c>
      <c r="AY1" s="6">
        <f t="shared" si="0"/>
        <v>13</v>
      </c>
      <c r="AZ1" s="6">
        <f t="shared" si="0"/>
        <v>14</v>
      </c>
      <c r="BA1" s="6">
        <f t="shared" si="0"/>
        <v>15</v>
      </c>
      <c r="BB1" s="6">
        <f t="shared" si="0"/>
        <v>16</v>
      </c>
      <c r="BC1" s="6">
        <f t="shared" si="0"/>
        <v>17</v>
      </c>
      <c r="BD1" s="6">
        <f t="shared" si="0"/>
        <v>18</v>
      </c>
      <c r="BE1" s="6">
        <f t="shared" si="0"/>
        <v>19</v>
      </c>
      <c r="BF1" s="6">
        <f t="shared" si="0"/>
        <v>20</v>
      </c>
      <c r="BG1" s="6">
        <f t="shared" si="0"/>
        <v>21</v>
      </c>
      <c r="BH1" s="6">
        <f t="shared" si="0"/>
        <v>22</v>
      </c>
      <c r="BI1" s="6">
        <f t="shared" si="0"/>
        <v>23</v>
      </c>
      <c r="BJ1" s="6">
        <f t="shared" si="0"/>
        <v>24</v>
      </c>
      <c r="BK1" s="6">
        <f t="shared" si="0"/>
        <v>25</v>
      </c>
      <c r="BL1" s="6">
        <f t="shared" si="0"/>
        <v>26</v>
      </c>
      <c r="BM1" s="6">
        <f t="shared" si="0"/>
        <v>27</v>
      </c>
      <c r="BN1" s="6">
        <f t="shared" si="0"/>
        <v>28</v>
      </c>
      <c r="BO1" s="6">
        <f t="shared" si="0"/>
        <v>29</v>
      </c>
      <c r="BP1" s="6">
        <f t="shared" si="0"/>
        <v>30</v>
      </c>
      <c r="BQ1" s="6">
        <f t="shared" si="0"/>
        <v>31</v>
      </c>
      <c r="BR1" s="6">
        <f t="shared" si="0"/>
        <v>32</v>
      </c>
      <c r="BS1" s="6">
        <f t="shared" si="0"/>
        <v>33</v>
      </c>
      <c r="BT1" s="6">
        <f t="shared" si="0"/>
        <v>34</v>
      </c>
      <c r="BU1" s="6">
        <f t="shared" si="0"/>
        <v>35</v>
      </c>
      <c r="BV1" s="6">
        <f t="shared" si="0"/>
        <v>36</v>
      </c>
      <c r="BW1" s="6">
        <f t="shared" si="0"/>
        <v>37</v>
      </c>
      <c r="BX1" s="6">
        <f t="shared" si="0"/>
        <v>38</v>
      </c>
      <c r="BY1" s="6">
        <f t="shared" si="0"/>
        <v>39</v>
      </c>
      <c r="BZ1" s="6">
        <f t="shared" si="0"/>
        <v>40</v>
      </c>
      <c r="CA1" s="6">
        <f t="shared" si="0"/>
        <v>41</v>
      </c>
      <c r="CB1" s="6">
        <f t="shared" si="0"/>
        <v>42</v>
      </c>
      <c r="CC1" s="6">
        <f t="shared" si="0"/>
        <v>43</v>
      </c>
      <c r="CD1" s="6">
        <f t="shared" si="0"/>
        <v>44</v>
      </c>
      <c r="CE1" s="6">
        <f t="shared" si="0"/>
        <v>45</v>
      </c>
      <c r="CF1" s="6">
        <f t="shared" si="0"/>
        <v>46</v>
      </c>
      <c r="CG1" s="6">
        <f t="shared" si="0"/>
        <v>47</v>
      </c>
      <c r="CH1" s="6">
        <f t="shared" si="0"/>
        <v>48</v>
      </c>
      <c r="CI1" s="6">
        <f t="shared" si="0"/>
        <v>49</v>
      </c>
      <c r="CJ1" s="6">
        <f t="shared" si="0"/>
        <v>50</v>
      </c>
      <c r="CK1" s="6">
        <f t="shared" si="0"/>
        <v>51</v>
      </c>
      <c r="CL1" s="6">
        <f t="shared" si="0"/>
        <v>52</v>
      </c>
      <c r="CM1" s="6">
        <f t="shared" si="0"/>
        <v>53</v>
      </c>
      <c r="CN1" s="6">
        <f t="shared" si="0"/>
        <v>54</v>
      </c>
      <c r="CO1" s="6">
        <f t="shared" si="0"/>
        <v>55</v>
      </c>
      <c r="CP1" s="6">
        <f t="shared" si="0"/>
        <v>56</v>
      </c>
      <c r="CQ1" s="6">
        <f t="shared" si="0"/>
        <v>57</v>
      </c>
      <c r="CR1" s="6">
        <f t="shared" si="0"/>
        <v>58</v>
      </c>
      <c r="CS1" s="6">
        <f t="shared" si="0"/>
        <v>59</v>
      </c>
      <c r="CT1" s="6">
        <f t="shared" si="0"/>
        <v>60</v>
      </c>
      <c r="CU1" s="6">
        <f t="shared" si="0"/>
        <v>61</v>
      </c>
      <c r="CV1" s="6">
        <f t="shared" si="0"/>
        <v>62</v>
      </c>
      <c r="CW1" s="6">
        <f t="shared" si="0"/>
        <v>63</v>
      </c>
      <c r="CX1" s="6">
        <f t="shared" si="0"/>
        <v>64</v>
      </c>
      <c r="CY1" s="6">
        <f t="shared" si="0"/>
        <v>65</v>
      </c>
      <c r="CZ1" s="6">
        <f t="shared" si="0"/>
        <v>66</v>
      </c>
      <c r="DA1" s="6">
        <f t="shared" ref="DA1:FL1" si="1">+CZ1+1</f>
        <v>67</v>
      </c>
      <c r="DB1" s="6">
        <f t="shared" si="1"/>
        <v>68</v>
      </c>
      <c r="DC1" s="6">
        <f t="shared" si="1"/>
        <v>69</v>
      </c>
      <c r="DD1" s="6">
        <f t="shared" si="1"/>
        <v>70</v>
      </c>
      <c r="DE1" s="6">
        <f t="shared" si="1"/>
        <v>71</v>
      </c>
      <c r="DF1" s="6">
        <f t="shared" si="1"/>
        <v>72</v>
      </c>
      <c r="DG1" s="6">
        <f t="shared" si="1"/>
        <v>73</v>
      </c>
      <c r="DH1" s="6">
        <f t="shared" si="1"/>
        <v>74</v>
      </c>
      <c r="DI1" s="6">
        <f t="shared" si="1"/>
        <v>75</v>
      </c>
      <c r="DJ1" s="6">
        <f t="shared" si="1"/>
        <v>76</v>
      </c>
      <c r="DK1" s="6">
        <f t="shared" si="1"/>
        <v>77</v>
      </c>
      <c r="DL1" s="6">
        <f t="shared" si="1"/>
        <v>78</v>
      </c>
      <c r="DM1" s="6">
        <f t="shared" si="1"/>
        <v>79</v>
      </c>
      <c r="DN1" s="6">
        <f t="shared" si="1"/>
        <v>80</v>
      </c>
      <c r="DO1" s="6">
        <f t="shared" si="1"/>
        <v>81</v>
      </c>
      <c r="DP1" s="6">
        <f t="shared" si="1"/>
        <v>82</v>
      </c>
      <c r="DQ1" s="6">
        <f t="shared" si="1"/>
        <v>83</v>
      </c>
      <c r="DR1" s="6">
        <f t="shared" si="1"/>
        <v>84</v>
      </c>
      <c r="DS1" s="6">
        <f t="shared" si="1"/>
        <v>85</v>
      </c>
      <c r="DT1" s="6">
        <f t="shared" si="1"/>
        <v>86</v>
      </c>
      <c r="DU1" s="6">
        <f t="shared" si="1"/>
        <v>87</v>
      </c>
      <c r="DV1" s="6">
        <f t="shared" si="1"/>
        <v>88</v>
      </c>
      <c r="DW1" s="6">
        <f t="shared" si="1"/>
        <v>89</v>
      </c>
      <c r="DX1" s="6">
        <f t="shared" si="1"/>
        <v>90</v>
      </c>
      <c r="DY1" s="6">
        <f t="shared" si="1"/>
        <v>91</v>
      </c>
      <c r="DZ1" s="6">
        <f t="shared" si="1"/>
        <v>92</v>
      </c>
      <c r="EA1" s="6">
        <f t="shared" si="1"/>
        <v>93</v>
      </c>
      <c r="EB1" s="6">
        <f t="shared" si="1"/>
        <v>94</v>
      </c>
      <c r="EC1" s="6">
        <f t="shared" si="1"/>
        <v>95</v>
      </c>
      <c r="ED1" s="6">
        <f t="shared" si="1"/>
        <v>96</v>
      </c>
      <c r="EE1" s="6">
        <f t="shared" si="1"/>
        <v>97</v>
      </c>
      <c r="EF1" s="6">
        <f t="shared" si="1"/>
        <v>98</v>
      </c>
      <c r="EG1" s="6">
        <f t="shared" si="1"/>
        <v>99</v>
      </c>
      <c r="EH1" s="6">
        <f t="shared" si="1"/>
        <v>100</v>
      </c>
      <c r="EI1" s="6">
        <f t="shared" si="1"/>
        <v>101</v>
      </c>
      <c r="EJ1" s="6">
        <f t="shared" si="1"/>
        <v>102</v>
      </c>
      <c r="EK1" s="6">
        <f t="shared" si="1"/>
        <v>103</v>
      </c>
      <c r="EL1" s="6">
        <f t="shared" si="1"/>
        <v>104</v>
      </c>
      <c r="EM1" s="6">
        <f t="shared" si="1"/>
        <v>105</v>
      </c>
      <c r="EN1" s="6">
        <f t="shared" si="1"/>
        <v>106</v>
      </c>
      <c r="EO1" s="6">
        <f t="shared" si="1"/>
        <v>107</v>
      </c>
      <c r="EP1" s="6">
        <f t="shared" si="1"/>
        <v>108</v>
      </c>
      <c r="EQ1" s="6">
        <f t="shared" si="1"/>
        <v>109</v>
      </c>
      <c r="ER1" s="6">
        <f t="shared" si="1"/>
        <v>110</v>
      </c>
      <c r="ES1" s="6">
        <f t="shared" si="1"/>
        <v>111</v>
      </c>
      <c r="ET1" s="6">
        <f t="shared" si="1"/>
        <v>112</v>
      </c>
      <c r="EU1" s="6">
        <f t="shared" si="1"/>
        <v>113</v>
      </c>
      <c r="EV1" s="6">
        <f t="shared" si="1"/>
        <v>114</v>
      </c>
      <c r="EW1" s="6">
        <f t="shared" si="1"/>
        <v>115</v>
      </c>
      <c r="EX1" s="6">
        <f t="shared" si="1"/>
        <v>116</v>
      </c>
      <c r="EY1" s="6">
        <f t="shared" si="1"/>
        <v>117</v>
      </c>
      <c r="EZ1" s="6">
        <f t="shared" si="1"/>
        <v>118</v>
      </c>
      <c r="FA1" s="6">
        <f t="shared" si="1"/>
        <v>119</v>
      </c>
      <c r="FB1" s="6">
        <f t="shared" si="1"/>
        <v>120</v>
      </c>
      <c r="FC1" s="6">
        <f t="shared" si="1"/>
        <v>121</v>
      </c>
      <c r="FD1" s="6">
        <f t="shared" si="1"/>
        <v>122</v>
      </c>
      <c r="FE1" s="6">
        <f t="shared" si="1"/>
        <v>123</v>
      </c>
      <c r="FF1" s="6">
        <f t="shared" si="1"/>
        <v>124</v>
      </c>
      <c r="FG1" s="6">
        <f t="shared" si="1"/>
        <v>125</v>
      </c>
      <c r="FH1" s="6">
        <f t="shared" si="1"/>
        <v>126</v>
      </c>
      <c r="FI1" s="6">
        <f t="shared" si="1"/>
        <v>127</v>
      </c>
      <c r="FJ1" s="6">
        <f t="shared" si="1"/>
        <v>128</v>
      </c>
      <c r="FK1" s="6">
        <f t="shared" si="1"/>
        <v>129</v>
      </c>
      <c r="FL1" s="6">
        <f t="shared" si="1"/>
        <v>130</v>
      </c>
      <c r="FM1" s="6">
        <f t="shared" ref="FM1:GO1" si="2">+FL1+1</f>
        <v>131</v>
      </c>
      <c r="FN1" s="6">
        <f t="shared" si="2"/>
        <v>132</v>
      </c>
      <c r="FO1" s="6">
        <f t="shared" si="2"/>
        <v>133</v>
      </c>
      <c r="FP1" s="6">
        <f t="shared" si="2"/>
        <v>134</v>
      </c>
      <c r="FQ1" s="6">
        <f t="shared" si="2"/>
        <v>135</v>
      </c>
      <c r="FR1" s="6">
        <f t="shared" si="2"/>
        <v>136</v>
      </c>
      <c r="FS1" s="6">
        <f t="shared" si="2"/>
        <v>137</v>
      </c>
      <c r="FT1" s="6">
        <f t="shared" si="2"/>
        <v>138</v>
      </c>
      <c r="FU1" s="6">
        <f t="shared" si="2"/>
        <v>139</v>
      </c>
      <c r="FV1" s="6">
        <f t="shared" si="2"/>
        <v>140</v>
      </c>
      <c r="FW1" s="6">
        <f t="shared" si="2"/>
        <v>141</v>
      </c>
      <c r="FX1" s="6">
        <f t="shared" si="2"/>
        <v>142</v>
      </c>
      <c r="FY1" s="6">
        <f t="shared" si="2"/>
        <v>143</v>
      </c>
      <c r="FZ1" s="6">
        <f t="shared" si="2"/>
        <v>144</v>
      </c>
      <c r="GA1" s="6">
        <f t="shared" si="2"/>
        <v>145</v>
      </c>
      <c r="GB1" s="6">
        <f t="shared" si="2"/>
        <v>146</v>
      </c>
      <c r="GC1" s="6">
        <f t="shared" si="2"/>
        <v>147</v>
      </c>
      <c r="GD1" s="6">
        <f t="shared" si="2"/>
        <v>148</v>
      </c>
      <c r="GE1" s="6">
        <f t="shared" si="2"/>
        <v>149</v>
      </c>
      <c r="GF1" s="6">
        <f t="shared" si="2"/>
        <v>150</v>
      </c>
      <c r="GG1" s="6">
        <f t="shared" si="2"/>
        <v>151</v>
      </c>
      <c r="GH1" s="6">
        <f t="shared" si="2"/>
        <v>152</v>
      </c>
      <c r="GI1" s="6">
        <f t="shared" si="2"/>
        <v>153</v>
      </c>
      <c r="GJ1" s="6">
        <f t="shared" si="2"/>
        <v>154</v>
      </c>
      <c r="GK1" s="6">
        <f t="shared" si="2"/>
        <v>155</v>
      </c>
      <c r="GL1" s="6">
        <f t="shared" si="2"/>
        <v>156</v>
      </c>
      <c r="GM1" s="6">
        <f t="shared" si="2"/>
        <v>157</v>
      </c>
      <c r="GN1" s="6">
        <f t="shared" si="2"/>
        <v>158</v>
      </c>
      <c r="GO1" s="6">
        <f t="shared" si="2"/>
        <v>159</v>
      </c>
      <c r="GP1" s="6">
        <f t="shared" ref="GP1:GZ1" si="3">+GO1+1</f>
        <v>160</v>
      </c>
      <c r="GQ1" s="6">
        <f t="shared" si="3"/>
        <v>161</v>
      </c>
      <c r="GR1" s="6">
        <f t="shared" si="3"/>
        <v>162</v>
      </c>
      <c r="GS1" s="6">
        <f t="shared" si="3"/>
        <v>163</v>
      </c>
      <c r="GT1" s="6">
        <f t="shared" si="3"/>
        <v>164</v>
      </c>
      <c r="GU1" s="6">
        <f t="shared" si="3"/>
        <v>165</v>
      </c>
      <c r="GV1" s="6">
        <f t="shared" si="3"/>
        <v>166</v>
      </c>
      <c r="GW1" s="6">
        <f t="shared" si="3"/>
        <v>167</v>
      </c>
      <c r="GX1" s="6">
        <f t="shared" si="3"/>
        <v>168</v>
      </c>
      <c r="GY1" s="6">
        <f t="shared" si="3"/>
        <v>169</v>
      </c>
      <c r="GZ1" s="6">
        <f t="shared" si="3"/>
        <v>170</v>
      </c>
      <c r="HA1" s="6">
        <f t="shared" ref="HA1:HM1" si="4">+GZ1+1</f>
        <v>171</v>
      </c>
      <c r="HB1" s="6">
        <f t="shared" si="4"/>
        <v>172</v>
      </c>
      <c r="HC1" s="6">
        <f t="shared" si="4"/>
        <v>173</v>
      </c>
      <c r="HD1" s="6">
        <f t="shared" si="4"/>
        <v>174</v>
      </c>
      <c r="HE1" s="6">
        <f t="shared" si="4"/>
        <v>175</v>
      </c>
      <c r="HF1" s="6">
        <f t="shared" si="4"/>
        <v>176</v>
      </c>
      <c r="HG1" s="6">
        <f t="shared" si="4"/>
        <v>177</v>
      </c>
      <c r="HH1" s="6">
        <f t="shared" si="4"/>
        <v>178</v>
      </c>
      <c r="HI1" s="6">
        <f t="shared" si="4"/>
        <v>179</v>
      </c>
      <c r="HJ1" s="6">
        <f t="shared" si="4"/>
        <v>180</v>
      </c>
      <c r="HK1" s="6">
        <f t="shared" si="4"/>
        <v>181</v>
      </c>
      <c r="HL1" s="6">
        <f t="shared" si="4"/>
        <v>182</v>
      </c>
      <c r="HM1" s="6">
        <f t="shared" si="4"/>
        <v>183</v>
      </c>
      <c r="HN1" s="6">
        <f t="shared" ref="HN1:HW1" si="5">+HM1+1</f>
        <v>184</v>
      </c>
      <c r="HO1" s="6">
        <f t="shared" si="5"/>
        <v>185</v>
      </c>
      <c r="HP1" s="6">
        <f t="shared" si="5"/>
        <v>186</v>
      </c>
      <c r="HQ1" s="6">
        <f t="shared" si="5"/>
        <v>187</v>
      </c>
      <c r="HR1" s="6">
        <f t="shared" si="5"/>
        <v>188</v>
      </c>
      <c r="HS1" s="6">
        <f t="shared" si="5"/>
        <v>189</v>
      </c>
      <c r="HT1" s="6">
        <f t="shared" si="5"/>
        <v>190</v>
      </c>
      <c r="HU1" s="6">
        <f t="shared" si="5"/>
        <v>191</v>
      </c>
      <c r="HV1" s="6">
        <f t="shared" si="5"/>
        <v>192</v>
      </c>
      <c r="HW1" s="6">
        <f t="shared" si="5"/>
        <v>193</v>
      </c>
      <c r="HX1" s="6">
        <f t="shared" ref="HX1:IF1" si="6">+HW1+1</f>
        <v>194</v>
      </c>
      <c r="HY1" s="6">
        <f t="shared" si="6"/>
        <v>195</v>
      </c>
      <c r="HZ1" s="6">
        <f t="shared" si="6"/>
        <v>196</v>
      </c>
      <c r="IA1" s="6">
        <f t="shared" si="6"/>
        <v>197</v>
      </c>
      <c r="IB1" s="6">
        <f t="shared" si="6"/>
        <v>198</v>
      </c>
      <c r="IC1" s="6">
        <f t="shared" si="6"/>
        <v>199</v>
      </c>
      <c r="ID1" s="6">
        <f t="shared" si="6"/>
        <v>200</v>
      </c>
    </row>
    <row r="2" spans="2:240" s="2" customFormat="1" x14ac:dyDescent="0.2"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9" t="s">
        <v>16</v>
      </c>
      <c r="L2" s="9" t="s">
        <v>17</v>
      </c>
      <c r="M2" s="9" t="s">
        <v>19</v>
      </c>
      <c r="N2" s="9" t="s">
        <v>18</v>
      </c>
      <c r="O2" s="20"/>
      <c r="P2" s="20"/>
      <c r="Q2" s="20"/>
      <c r="R2" s="2">
        <v>2015</v>
      </c>
      <c r="S2" s="2">
        <f>+R2+1</f>
        <v>2016</v>
      </c>
      <c r="T2" s="2">
        <f t="shared" ref="T2:AB2" si="7">+S2+1</f>
        <v>2017</v>
      </c>
      <c r="U2" s="2">
        <f t="shared" si="7"/>
        <v>2018</v>
      </c>
      <c r="V2" s="2">
        <f t="shared" si="7"/>
        <v>2019</v>
      </c>
      <c r="W2" s="2">
        <f t="shared" si="7"/>
        <v>2020</v>
      </c>
      <c r="X2" s="2">
        <f t="shared" si="7"/>
        <v>2021</v>
      </c>
      <c r="Y2" s="2">
        <f t="shared" si="7"/>
        <v>2022</v>
      </c>
      <c r="Z2" s="2">
        <f t="shared" si="7"/>
        <v>2023</v>
      </c>
      <c r="AA2" s="2">
        <f t="shared" si="7"/>
        <v>2024</v>
      </c>
      <c r="AB2" s="2">
        <f t="shared" si="7"/>
        <v>2025</v>
      </c>
      <c r="AC2" s="26">
        <v>2026</v>
      </c>
      <c r="AD2" s="26">
        <v>2027</v>
      </c>
      <c r="AE2" s="26">
        <v>2028</v>
      </c>
      <c r="AF2" s="26">
        <v>2029</v>
      </c>
      <c r="AG2" s="26">
        <v>2030</v>
      </c>
      <c r="AH2" s="26">
        <v>2031</v>
      </c>
      <c r="AI2" s="26">
        <v>2032</v>
      </c>
      <c r="AJ2" s="26">
        <v>2032</v>
      </c>
      <c r="AK2" s="26">
        <v>2032</v>
      </c>
      <c r="AL2" s="26">
        <v>2032</v>
      </c>
      <c r="AM2" s="2">
        <f>+AL2+1</f>
        <v>2033</v>
      </c>
      <c r="AN2" s="2">
        <f>+AM2+1</f>
        <v>2034</v>
      </c>
      <c r="AO2" s="2">
        <f t="shared" ref="AO2:CZ2" si="8">+AN2+1</f>
        <v>2035</v>
      </c>
      <c r="AP2" s="2">
        <f t="shared" si="8"/>
        <v>2036</v>
      </c>
      <c r="AQ2" s="2">
        <f t="shared" si="8"/>
        <v>2037</v>
      </c>
      <c r="AR2" s="2">
        <f t="shared" si="8"/>
        <v>2038</v>
      </c>
      <c r="AS2" s="2">
        <f t="shared" si="8"/>
        <v>2039</v>
      </c>
      <c r="AT2" s="2">
        <f t="shared" si="8"/>
        <v>2040</v>
      </c>
      <c r="AU2" s="2">
        <f t="shared" si="8"/>
        <v>2041</v>
      </c>
      <c r="AV2" s="2">
        <f t="shared" si="8"/>
        <v>2042</v>
      </c>
      <c r="AW2" s="2">
        <f t="shared" si="8"/>
        <v>2043</v>
      </c>
      <c r="AX2" s="2">
        <f t="shared" si="8"/>
        <v>2044</v>
      </c>
      <c r="AY2" s="2">
        <f t="shared" si="8"/>
        <v>2045</v>
      </c>
      <c r="AZ2" s="2">
        <f t="shared" si="8"/>
        <v>2046</v>
      </c>
      <c r="BA2" s="2">
        <f t="shared" si="8"/>
        <v>2047</v>
      </c>
      <c r="BB2" s="2">
        <f t="shared" si="8"/>
        <v>2048</v>
      </c>
      <c r="BC2" s="2">
        <f t="shared" si="8"/>
        <v>2049</v>
      </c>
      <c r="BD2" s="2">
        <f t="shared" si="8"/>
        <v>2050</v>
      </c>
      <c r="BE2" s="2">
        <f t="shared" si="8"/>
        <v>2051</v>
      </c>
      <c r="BF2" s="2">
        <f t="shared" si="8"/>
        <v>2052</v>
      </c>
      <c r="BG2" s="2">
        <f t="shared" si="8"/>
        <v>2053</v>
      </c>
      <c r="BH2" s="2">
        <f t="shared" si="8"/>
        <v>2054</v>
      </c>
      <c r="BI2" s="2">
        <f t="shared" si="8"/>
        <v>2055</v>
      </c>
      <c r="BJ2" s="2">
        <f t="shared" si="8"/>
        <v>2056</v>
      </c>
      <c r="BK2" s="2">
        <f t="shared" si="8"/>
        <v>2057</v>
      </c>
      <c r="BL2" s="2">
        <f t="shared" si="8"/>
        <v>2058</v>
      </c>
      <c r="BM2" s="2">
        <f t="shared" si="8"/>
        <v>2059</v>
      </c>
      <c r="BN2" s="2">
        <f t="shared" si="8"/>
        <v>2060</v>
      </c>
      <c r="BO2" s="2">
        <f t="shared" si="8"/>
        <v>2061</v>
      </c>
      <c r="BP2" s="2">
        <f t="shared" si="8"/>
        <v>2062</v>
      </c>
      <c r="BQ2" s="2">
        <f t="shared" si="8"/>
        <v>2063</v>
      </c>
      <c r="BR2" s="2">
        <f t="shared" si="8"/>
        <v>2064</v>
      </c>
      <c r="BS2" s="2">
        <f t="shared" si="8"/>
        <v>2065</v>
      </c>
      <c r="BT2" s="2">
        <f t="shared" si="8"/>
        <v>2066</v>
      </c>
      <c r="BU2" s="2">
        <f t="shared" si="8"/>
        <v>2067</v>
      </c>
      <c r="BV2" s="2">
        <f t="shared" si="8"/>
        <v>2068</v>
      </c>
      <c r="BW2" s="2">
        <f t="shared" si="8"/>
        <v>2069</v>
      </c>
      <c r="BX2" s="2">
        <f t="shared" si="8"/>
        <v>2070</v>
      </c>
      <c r="BY2" s="2">
        <f t="shared" si="8"/>
        <v>2071</v>
      </c>
      <c r="BZ2" s="2">
        <f t="shared" si="8"/>
        <v>2072</v>
      </c>
      <c r="CA2" s="2">
        <f t="shared" si="8"/>
        <v>2073</v>
      </c>
      <c r="CB2" s="2">
        <f t="shared" si="8"/>
        <v>2074</v>
      </c>
      <c r="CC2" s="2">
        <f t="shared" si="8"/>
        <v>2075</v>
      </c>
      <c r="CD2" s="2">
        <f t="shared" si="8"/>
        <v>2076</v>
      </c>
      <c r="CE2" s="2">
        <f t="shared" si="8"/>
        <v>2077</v>
      </c>
      <c r="CF2" s="2">
        <f t="shared" si="8"/>
        <v>2078</v>
      </c>
      <c r="CG2" s="2">
        <f t="shared" si="8"/>
        <v>2079</v>
      </c>
      <c r="CH2" s="2">
        <f t="shared" si="8"/>
        <v>2080</v>
      </c>
      <c r="CI2" s="2">
        <f t="shared" si="8"/>
        <v>2081</v>
      </c>
      <c r="CJ2" s="2">
        <f t="shared" si="8"/>
        <v>2082</v>
      </c>
      <c r="CK2" s="2">
        <f t="shared" si="8"/>
        <v>2083</v>
      </c>
      <c r="CL2" s="2">
        <f t="shared" si="8"/>
        <v>2084</v>
      </c>
      <c r="CM2" s="2">
        <f t="shared" si="8"/>
        <v>2085</v>
      </c>
      <c r="CN2" s="2">
        <f t="shared" si="8"/>
        <v>2086</v>
      </c>
      <c r="CO2" s="2">
        <f t="shared" si="8"/>
        <v>2087</v>
      </c>
      <c r="CP2" s="2">
        <f t="shared" si="8"/>
        <v>2088</v>
      </c>
      <c r="CQ2" s="2">
        <f t="shared" si="8"/>
        <v>2089</v>
      </c>
      <c r="CR2" s="2">
        <f t="shared" si="8"/>
        <v>2090</v>
      </c>
      <c r="CS2" s="2">
        <f t="shared" si="8"/>
        <v>2091</v>
      </c>
      <c r="CT2" s="2">
        <f t="shared" si="8"/>
        <v>2092</v>
      </c>
      <c r="CU2" s="2">
        <f t="shared" si="8"/>
        <v>2093</v>
      </c>
      <c r="CV2" s="2">
        <f t="shared" si="8"/>
        <v>2094</v>
      </c>
      <c r="CW2" s="2">
        <f t="shared" si="8"/>
        <v>2095</v>
      </c>
      <c r="CX2" s="2">
        <f t="shared" si="8"/>
        <v>2096</v>
      </c>
      <c r="CY2" s="2">
        <f t="shared" si="8"/>
        <v>2097</v>
      </c>
      <c r="CZ2" s="2">
        <f t="shared" si="8"/>
        <v>2098</v>
      </c>
      <c r="DA2" s="2">
        <f t="shared" ref="DA2:FL2" si="9">+CZ2+1</f>
        <v>2099</v>
      </c>
      <c r="DB2" s="2">
        <f t="shared" si="9"/>
        <v>2100</v>
      </c>
      <c r="DC2" s="2">
        <f t="shared" si="9"/>
        <v>2101</v>
      </c>
      <c r="DD2" s="2">
        <f t="shared" si="9"/>
        <v>2102</v>
      </c>
      <c r="DE2" s="2">
        <f t="shared" si="9"/>
        <v>2103</v>
      </c>
      <c r="DF2" s="2">
        <f t="shared" si="9"/>
        <v>2104</v>
      </c>
      <c r="DG2" s="2">
        <f t="shared" si="9"/>
        <v>2105</v>
      </c>
      <c r="DH2" s="2">
        <f t="shared" si="9"/>
        <v>2106</v>
      </c>
      <c r="DI2" s="2">
        <f t="shared" si="9"/>
        <v>2107</v>
      </c>
      <c r="DJ2" s="2">
        <f t="shared" si="9"/>
        <v>2108</v>
      </c>
      <c r="DK2" s="2">
        <f t="shared" si="9"/>
        <v>2109</v>
      </c>
      <c r="DL2" s="2">
        <f t="shared" si="9"/>
        <v>2110</v>
      </c>
      <c r="DM2" s="2">
        <f t="shared" si="9"/>
        <v>2111</v>
      </c>
      <c r="DN2" s="2">
        <f t="shared" si="9"/>
        <v>2112</v>
      </c>
      <c r="DO2" s="2">
        <f t="shared" si="9"/>
        <v>2113</v>
      </c>
      <c r="DP2" s="2">
        <f t="shared" si="9"/>
        <v>2114</v>
      </c>
      <c r="DQ2" s="2">
        <f t="shared" si="9"/>
        <v>2115</v>
      </c>
      <c r="DR2" s="2">
        <f t="shared" si="9"/>
        <v>2116</v>
      </c>
      <c r="DS2" s="2">
        <f t="shared" si="9"/>
        <v>2117</v>
      </c>
      <c r="DT2" s="2">
        <f t="shared" si="9"/>
        <v>2118</v>
      </c>
      <c r="DU2" s="2">
        <f t="shared" si="9"/>
        <v>2119</v>
      </c>
      <c r="DV2" s="2">
        <f t="shared" si="9"/>
        <v>2120</v>
      </c>
      <c r="DW2" s="2">
        <f t="shared" si="9"/>
        <v>2121</v>
      </c>
      <c r="DX2" s="2">
        <f t="shared" si="9"/>
        <v>2122</v>
      </c>
      <c r="DY2" s="2">
        <f t="shared" si="9"/>
        <v>2123</v>
      </c>
      <c r="DZ2" s="2">
        <f t="shared" si="9"/>
        <v>2124</v>
      </c>
      <c r="EA2" s="2">
        <f t="shared" si="9"/>
        <v>2125</v>
      </c>
      <c r="EB2" s="2">
        <f t="shared" si="9"/>
        <v>2126</v>
      </c>
      <c r="EC2" s="2">
        <f t="shared" si="9"/>
        <v>2127</v>
      </c>
      <c r="ED2" s="2">
        <f t="shared" si="9"/>
        <v>2128</v>
      </c>
      <c r="EE2" s="2">
        <f t="shared" si="9"/>
        <v>2129</v>
      </c>
      <c r="EF2" s="2">
        <f t="shared" si="9"/>
        <v>2130</v>
      </c>
      <c r="EG2" s="2">
        <f t="shared" si="9"/>
        <v>2131</v>
      </c>
      <c r="EH2" s="2">
        <f t="shared" si="9"/>
        <v>2132</v>
      </c>
      <c r="EI2" s="2">
        <f t="shared" si="9"/>
        <v>2133</v>
      </c>
      <c r="EJ2" s="2">
        <f t="shared" si="9"/>
        <v>2134</v>
      </c>
      <c r="EK2" s="2">
        <f t="shared" si="9"/>
        <v>2135</v>
      </c>
      <c r="EL2" s="2">
        <f t="shared" si="9"/>
        <v>2136</v>
      </c>
      <c r="EM2" s="2">
        <f t="shared" si="9"/>
        <v>2137</v>
      </c>
      <c r="EN2" s="2">
        <f t="shared" si="9"/>
        <v>2138</v>
      </c>
      <c r="EO2" s="2">
        <f t="shared" si="9"/>
        <v>2139</v>
      </c>
      <c r="EP2" s="2">
        <f t="shared" si="9"/>
        <v>2140</v>
      </c>
      <c r="EQ2" s="2">
        <f t="shared" si="9"/>
        <v>2141</v>
      </c>
      <c r="ER2" s="2">
        <f t="shared" si="9"/>
        <v>2142</v>
      </c>
      <c r="ES2" s="2">
        <f t="shared" si="9"/>
        <v>2143</v>
      </c>
      <c r="ET2" s="2">
        <f t="shared" si="9"/>
        <v>2144</v>
      </c>
      <c r="EU2" s="2">
        <f t="shared" si="9"/>
        <v>2145</v>
      </c>
      <c r="EV2" s="2">
        <f t="shared" si="9"/>
        <v>2146</v>
      </c>
      <c r="EW2" s="2">
        <f t="shared" si="9"/>
        <v>2147</v>
      </c>
      <c r="EX2" s="2">
        <f t="shared" si="9"/>
        <v>2148</v>
      </c>
      <c r="EY2" s="2">
        <f t="shared" si="9"/>
        <v>2149</v>
      </c>
      <c r="EZ2" s="2">
        <f t="shared" si="9"/>
        <v>2150</v>
      </c>
      <c r="FA2" s="2">
        <f t="shared" si="9"/>
        <v>2151</v>
      </c>
      <c r="FB2" s="2">
        <f t="shared" si="9"/>
        <v>2152</v>
      </c>
      <c r="FC2" s="2">
        <f t="shared" si="9"/>
        <v>2153</v>
      </c>
      <c r="FD2" s="2">
        <f t="shared" si="9"/>
        <v>2154</v>
      </c>
      <c r="FE2" s="2">
        <f t="shared" si="9"/>
        <v>2155</v>
      </c>
      <c r="FF2" s="2">
        <f t="shared" si="9"/>
        <v>2156</v>
      </c>
      <c r="FG2" s="2">
        <f t="shared" si="9"/>
        <v>2157</v>
      </c>
      <c r="FH2" s="2">
        <f t="shared" si="9"/>
        <v>2158</v>
      </c>
      <c r="FI2" s="2">
        <f t="shared" si="9"/>
        <v>2159</v>
      </c>
      <c r="FJ2" s="2">
        <f t="shared" si="9"/>
        <v>2160</v>
      </c>
      <c r="FK2" s="2">
        <f t="shared" si="9"/>
        <v>2161</v>
      </c>
      <c r="FL2" s="2">
        <f t="shared" si="9"/>
        <v>2162</v>
      </c>
      <c r="FM2" s="2">
        <f t="shared" ref="FM2:GO2" si="10">+FL2+1</f>
        <v>2163</v>
      </c>
      <c r="FN2" s="2">
        <f t="shared" si="10"/>
        <v>2164</v>
      </c>
      <c r="FO2" s="2">
        <f t="shared" si="10"/>
        <v>2165</v>
      </c>
      <c r="FP2" s="2">
        <f t="shared" si="10"/>
        <v>2166</v>
      </c>
      <c r="FQ2" s="2">
        <f t="shared" si="10"/>
        <v>2167</v>
      </c>
      <c r="FR2" s="2">
        <f t="shared" si="10"/>
        <v>2168</v>
      </c>
      <c r="FS2" s="2">
        <f t="shared" si="10"/>
        <v>2169</v>
      </c>
      <c r="FT2" s="2">
        <f t="shared" si="10"/>
        <v>2170</v>
      </c>
      <c r="FU2" s="2">
        <f t="shared" si="10"/>
        <v>2171</v>
      </c>
      <c r="FV2" s="2">
        <f t="shared" si="10"/>
        <v>2172</v>
      </c>
      <c r="FW2" s="2">
        <f t="shared" si="10"/>
        <v>2173</v>
      </c>
      <c r="FX2" s="2">
        <f t="shared" si="10"/>
        <v>2174</v>
      </c>
      <c r="FY2" s="2">
        <f t="shared" si="10"/>
        <v>2175</v>
      </c>
      <c r="FZ2" s="2">
        <f t="shared" si="10"/>
        <v>2176</v>
      </c>
      <c r="GA2" s="2">
        <f t="shared" si="10"/>
        <v>2177</v>
      </c>
      <c r="GB2" s="2">
        <f t="shared" si="10"/>
        <v>2178</v>
      </c>
      <c r="GC2" s="2">
        <f t="shared" si="10"/>
        <v>2179</v>
      </c>
      <c r="GD2" s="2">
        <f t="shared" si="10"/>
        <v>2180</v>
      </c>
      <c r="GE2" s="2">
        <f t="shared" si="10"/>
        <v>2181</v>
      </c>
      <c r="GF2" s="2">
        <f t="shared" si="10"/>
        <v>2182</v>
      </c>
      <c r="GG2" s="2">
        <f t="shared" si="10"/>
        <v>2183</v>
      </c>
      <c r="GH2" s="2">
        <f t="shared" si="10"/>
        <v>2184</v>
      </c>
      <c r="GI2" s="2">
        <f t="shared" si="10"/>
        <v>2185</v>
      </c>
      <c r="GJ2" s="2">
        <f t="shared" si="10"/>
        <v>2186</v>
      </c>
      <c r="GK2" s="2">
        <f t="shared" si="10"/>
        <v>2187</v>
      </c>
      <c r="GL2" s="2">
        <f t="shared" si="10"/>
        <v>2188</v>
      </c>
      <c r="GM2" s="2">
        <f t="shared" si="10"/>
        <v>2189</v>
      </c>
      <c r="GN2" s="2">
        <f t="shared" si="10"/>
        <v>2190</v>
      </c>
      <c r="GO2" s="2">
        <f t="shared" si="10"/>
        <v>2191</v>
      </c>
      <c r="GP2" s="2">
        <f t="shared" ref="GP2:GZ2" si="11">+GO2+1</f>
        <v>2192</v>
      </c>
      <c r="GQ2" s="2">
        <f t="shared" si="11"/>
        <v>2193</v>
      </c>
      <c r="GR2" s="2">
        <f t="shared" si="11"/>
        <v>2194</v>
      </c>
      <c r="GS2" s="2">
        <f t="shared" si="11"/>
        <v>2195</v>
      </c>
      <c r="GT2" s="2">
        <f t="shared" si="11"/>
        <v>2196</v>
      </c>
      <c r="GU2" s="2">
        <f t="shared" si="11"/>
        <v>2197</v>
      </c>
      <c r="GV2" s="2">
        <f t="shared" si="11"/>
        <v>2198</v>
      </c>
      <c r="GW2" s="2">
        <f t="shared" si="11"/>
        <v>2199</v>
      </c>
      <c r="GX2" s="2">
        <f t="shared" si="11"/>
        <v>2200</v>
      </c>
      <c r="GY2" s="2">
        <f t="shared" si="11"/>
        <v>2201</v>
      </c>
      <c r="GZ2" s="2">
        <f t="shared" si="11"/>
        <v>2202</v>
      </c>
      <c r="HA2" s="2">
        <f t="shared" ref="HA2:HM2" si="12">+GZ2+1</f>
        <v>2203</v>
      </c>
      <c r="HB2" s="2">
        <f t="shared" si="12"/>
        <v>2204</v>
      </c>
      <c r="HC2" s="2">
        <f t="shared" si="12"/>
        <v>2205</v>
      </c>
      <c r="HD2" s="2">
        <f t="shared" si="12"/>
        <v>2206</v>
      </c>
      <c r="HE2" s="2">
        <f t="shared" si="12"/>
        <v>2207</v>
      </c>
      <c r="HF2" s="2">
        <f t="shared" si="12"/>
        <v>2208</v>
      </c>
      <c r="HG2" s="2">
        <f t="shared" si="12"/>
        <v>2209</v>
      </c>
      <c r="HH2" s="2">
        <f t="shared" si="12"/>
        <v>2210</v>
      </c>
      <c r="HI2" s="2">
        <f t="shared" si="12"/>
        <v>2211</v>
      </c>
      <c r="HJ2" s="2">
        <f t="shared" si="12"/>
        <v>2212</v>
      </c>
      <c r="HK2" s="2">
        <f t="shared" si="12"/>
        <v>2213</v>
      </c>
      <c r="HL2" s="2">
        <f t="shared" si="12"/>
        <v>2214</v>
      </c>
      <c r="HM2" s="2">
        <f t="shared" si="12"/>
        <v>2215</v>
      </c>
      <c r="HN2" s="2">
        <f t="shared" ref="HN2:HW2" si="13">+HM2+1</f>
        <v>2216</v>
      </c>
      <c r="HO2" s="2">
        <f t="shared" si="13"/>
        <v>2217</v>
      </c>
      <c r="HP2" s="2">
        <f t="shared" si="13"/>
        <v>2218</v>
      </c>
      <c r="HQ2" s="2">
        <f t="shared" si="13"/>
        <v>2219</v>
      </c>
      <c r="HR2" s="2">
        <f t="shared" si="13"/>
        <v>2220</v>
      </c>
      <c r="HS2" s="2">
        <f t="shared" si="13"/>
        <v>2221</v>
      </c>
      <c r="HT2" s="2">
        <f t="shared" si="13"/>
        <v>2222</v>
      </c>
      <c r="HU2" s="2">
        <f t="shared" si="13"/>
        <v>2223</v>
      </c>
      <c r="HV2" s="2">
        <f t="shared" si="13"/>
        <v>2224</v>
      </c>
      <c r="HW2" s="2">
        <f t="shared" si="13"/>
        <v>2225</v>
      </c>
      <c r="HX2" s="2">
        <f t="shared" ref="HX2:IF2" si="14">+HW2+1</f>
        <v>2226</v>
      </c>
      <c r="HY2" s="2">
        <f t="shared" si="14"/>
        <v>2227</v>
      </c>
      <c r="HZ2" s="2">
        <f t="shared" si="14"/>
        <v>2228</v>
      </c>
      <c r="IA2" s="2">
        <f t="shared" si="14"/>
        <v>2229</v>
      </c>
      <c r="IB2" s="2">
        <f t="shared" si="14"/>
        <v>2230</v>
      </c>
      <c r="IC2" s="2">
        <f t="shared" si="14"/>
        <v>2231</v>
      </c>
      <c r="ID2" s="2">
        <f t="shared" si="14"/>
        <v>2232</v>
      </c>
    </row>
    <row r="3" spans="2:240" s="2" customFormat="1" x14ac:dyDescent="0.2">
      <c r="B3" s="6" t="s">
        <v>38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28"/>
      <c r="P3" s="28"/>
      <c r="Q3" s="28"/>
      <c r="R3" s="18"/>
      <c r="S3" s="18"/>
      <c r="T3" s="18"/>
      <c r="U3" s="18"/>
      <c r="V3" s="18"/>
      <c r="W3" s="18"/>
      <c r="X3" s="18"/>
      <c r="Y3" s="18"/>
      <c r="Z3" s="18">
        <v>22000</v>
      </c>
      <c r="AA3" s="18">
        <v>21000</v>
      </c>
      <c r="AB3" s="18">
        <v>21000</v>
      </c>
      <c r="AC3" s="46">
        <v>21000</v>
      </c>
      <c r="AD3" s="46">
        <v>21000</v>
      </c>
      <c r="AE3" s="46">
        <v>21000</v>
      </c>
      <c r="AF3" s="46">
        <v>21000</v>
      </c>
      <c r="AG3" s="46">
        <v>21000</v>
      </c>
      <c r="AH3" s="46">
        <v>21000</v>
      </c>
      <c r="AI3" s="46">
        <v>21000</v>
      </c>
      <c r="AJ3" s="46">
        <v>21000</v>
      </c>
      <c r="AK3" s="46">
        <v>21000</v>
      </c>
      <c r="AL3" s="46">
        <v>21000</v>
      </c>
    </row>
    <row r="4" spans="2:240" s="45" customFormat="1" x14ac:dyDescent="0.2">
      <c r="B4" s="4" t="s">
        <v>39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1"/>
      <c r="P4" s="41"/>
      <c r="Q4" s="41"/>
      <c r="R4" s="42"/>
      <c r="S4" s="42"/>
      <c r="T4" s="42"/>
      <c r="U4" s="42"/>
      <c r="V4" s="42"/>
      <c r="W4" s="42"/>
      <c r="X4" s="42"/>
      <c r="Y4" s="42"/>
      <c r="Z4" s="43">
        <f>+Z10/Z3</f>
        <v>0.54559090909090913</v>
      </c>
      <c r="AA4" s="43">
        <f>+AA10/AA3</f>
        <v>0.56433333333333335</v>
      </c>
      <c r="AB4" s="43">
        <f>+AB10/AB3</f>
        <v>0.59319047619047616</v>
      </c>
      <c r="AC4" s="47">
        <f>+AB4</f>
        <v>0.59319047619047616</v>
      </c>
      <c r="AD4" s="44"/>
      <c r="AE4" s="44"/>
      <c r="AF4" s="44"/>
      <c r="AG4" s="44"/>
      <c r="AH4" s="44"/>
      <c r="AI4" s="44"/>
      <c r="AJ4" s="44"/>
      <c r="AK4" s="44"/>
      <c r="AL4" s="44"/>
    </row>
    <row r="5" spans="2:240" s="34" customFormat="1" x14ac:dyDescent="0.2">
      <c r="B5" s="8" t="s">
        <v>33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6"/>
      <c r="S5" s="36"/>
      <c r="T5" s="36"/>
      <c r="U5" s="36"/>
      <c r="V5" s="36"/>
      <c r="W5" s="36"/>
      <c r="X5" s="36"/>
      <c r="Y5" s="36"/>
      <c r="Z5" s="39"/>
      <c r="AA5" s="35">
        <f>+AA4/Z4-1</f>
        <v>3.4352522980366063E-2</v>
      </c>
      <c r="AB5" s="35">
        <f>+AB4/AA4-1</f>
        <v>5.1134925322757541E-2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</row>
    <row r="6" spans="2:240" s="36" customFormat="1" x14ac:dyDescent="0.2">
      <c r="B6" s="5" t="s">
        <v>41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8"/>
      <c r="P6" s="38"/>
      <c r="Q6" s="38"/>
      <c r="Z6" s="18">
        <v>41000</v>
      </c>
      <c r="AA6" s="18">
        <v>40000</v>
      </c>
      <c r="AB6" s="18">
        <v>40000</v>
      </c>
      <c r="AC6" s="6">
        <v>40000</v>
      </c>
      <c r="AD6" s="6">
        <v>40000</v>
      </c>
      <c r="AE6" s="6">
        <v>40000</v>
      </c>
      <c r="AF6" s="6">
        <v>40000</v>
      </c>
      <c r="AG6" s="6">
        <v>40000</v>
      </c>
      <c r="AH6" s="6">
        <v>40000</v>
      </c>
      <c r="AI6" s="6">
        <v>40000</v>
      </c>
      <c r="AJ6" s="6">
        <v>40000</v>
      </c>
      <c r="AK6" s="6">
        <v>40000</v>
      </c>
      <c r="AL6" s="6">
        <v>40000</v>
      </c>
    </row>
    <row r="7" spans="2:240" s="2" customFormat="1" x14ac:dyDescent="0.2">
      <c r="B7" s="2" t="s">
        <v>40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30"/>
      <c r="P7" s="30"/>
      <c r="Q7" s="30"/>
      <c r="R7" s="31"/>
      <c r="S7" s="31"/>
      <c r="T7" s="31"/>
      <c r="U7" s="31"/>
      <c r="V7" s="31"/>
      <c r="W7" s="31"/>
      <c r="X7" s="31"/>
      <c r="Y7" s="31"/>
      <c r="Z7" s="31">
        <v>292</v>
      </c>
      <c r="AA7" s="31">
        <v>300</v>
      </c>
      <c r="AB7" s="31">
        <v>312</v>
      </c>
      <c r="AC7" s="27">
        <f>+AB7*1.04</f>
        <v>324.48</v>
      </c>
      <c r="AD7" s="27">
        <f t="shared" ref="AD7:AL7" si="15">+AC7*1.04</f>
        <v>337.45920000000001</v>
      </c>
      <c r="AE7" s="27">
        <f t="shared" si="15"/>
        <v>350.95756800000004</v>
      </c>
      <c r="AF7" s="27">
        <f t="shared" si="15"/>
        <v>364.99587072000003</v>
      </c>
      <c r="AG7" s="27">
        <f t="shared" si="15"/>
        <v>379.59570554880003</v>
      </c>
      <c r="AH7" s="27">
        <f t="shared" si="15"/>
        <v>394.77953377075204</v>
      </c>
      <c r="AI7" s="27">
        <f t="shared" si="15"/>
        <v>410.57071512158211</v>
      </c>
      <c r="AJ7" s="27">
        <f t="shared" si="15"/>
        <v>426.99354372644541</v>
      </c>
      <c r="AK7" s="27">
        <f t="shared" si="15"/>
        <v>444.07328547550327</v>
      </c>
      <c r="AL7" s="27">
        <f t="shared" si="15"/>
        <v>461.83621689452343</v>
      </c>
    </row>
    <row r="8" spans="2:240" s="34" customFormat="1" x14ac:dyDescent="0.2">
      <c r="B8" s="8" t="s">
        <v>33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3"/>
      <c r="P8" s="33"/>
      <c r="Q8" s="33"/>
      <c r="AA8" s="35">
        <f>+AA7/Z7-1</f>
        <v>2.7397260273972712E-2</v>
      </c>
      <c r="AB8" s="35">
        <f>+AB7/AA7-1</f>
        <v>4.0000000000000036E-2</v>
      </c>
      <c r="AC8" s="35">
        <f t="shared" ref="AC8:AL8" si="16">+AC7/AB7-1</f>
        <v>4.0000000000000036E-2</v>
      </c>
      <c r="AD8" s="35">
        <f t="shared" si="16"/>
        <v>4.0000000000000036E-2</v>
      </c>
      <c r="AE8" s="35">
        <f t="shared" si="16"/>
        <v>4.0000000000000036E-2</v>
      </c>
      <c r="AF8" s="35">
        <f t="shared" si="16"/>
        <v>4.0000000000000036E-2</v>
      </c>
      <c r="AG8" s="35">
        <f t="shared" si="16"/>
        <v>4.0000000000000036E-2</v>
      </c>
      <c r="AH8" s="35">
        <f t="shared" si="16"/>
        <v>4.0000000000000036E-2</v>
      </c>
      <c r="AI8" s="35">
        <f t="shared" si="16"/>
        <v>4.0000000000000036E-2</v>
      </c>
      <c r="AJ8" s="35">
        <f t="shared" si="16"/>
        <v>4.0000000000000036E-2</v>
      </c>
      <c r="AK8" s="35">
        <f t="shared" si="16"/>
        <v>4.0000000000000036E-2</v>
      </c>
      <c r="AL8" s="35">
        <f t="shared" si="16"/>
        <v>4.0000000000000036E-2</v>
      </c>
    </row>
    <row r="9" spans="2:240" s="2" customFormat="1" x14ac:dyDescent="0.2"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20"/>
      <c r="P9" s="20"/>
      <c r="Q9" s="20"/>
    </row>
    <row r="10" spans="2:240" s="4" customFormat="1" x14ac:dyDescent="0.2">
      <c r="B10" s="3" t="s">
        <v>21</v>
      </c>
      <c r="C10" s="17">
        <v>2729</v>
      </c>
      <c r="D10" s="17">
        <v>3117</v>
      </c>
      <c r="E10" s="17">
        <v>2884</v>
      </c>
      <c r="F10" s="17">
        <f>+AA10-SUM(C10:E10)</f>
        <v>3121</v>
      </c>
      <c r="G10" s="17">
        <v>2730</v>
      </c>
      <c r="H10" s="17">
        <v>3273</v>
      </c>
      <c r="I10" s="17">
        <v>3117</v>
      </c>
      <c r="J10" s="17">
        <f>+AB10-SUM(G10:I10)</f>
        <v>3337</v>
      </c>
      <c r="K10" s="10"/>
      <c r="L10" s="10"/>
      <c r="M10" s="10"/>
      <c r="N10" s="10"/>
      <c r="O10" s="21"/>
      <c r="P10" s="21"/>
      <c r="Q10" s="21"/>
      <c r="R10" s="3"/>
      <c r="S10" s="3"/>
      <c r="T10" s="3"/>
      <c r="U10" s="3"/>
      <c r="V10" s="3"/>
      <c r="W10" s="3"/>
      <c r="X10" s="19">
        <v>13708</v>
      </c>
      <c r="Y10" s="19">
        <v>12218</v>
      </c>
      <c r="Z10" s="19">
        <v>12003</v>
      </c>
      <c r="AA10" s="19">
        <v>11851</v>
      </c>
      <c r="AB10" s="19">
        <v>12457</v>
      </c>
      <c r="AC10" s="3">
        <f>+AC6*AC7/1000</f>
        <v>12979.2</v>
      </c>
      <c r="AD10" s="3">
        <f t="shared" ref="AD10:AL10" si="17">+AD6*AD7/1000</f>
        <v>13498.368</v>
      </c>
      <c r="AE10" s="3">
        <f t="shared" si="17"/>
        <v>14038.302720000002</v>
      </c>
      <c r="AF10" s="3">
        <f t="shared" si="17"/>
        <v>14599.8348288</v>
      </c>
      <c r="AG10" s="3">
        <f t="shared" si="17"/>
        <v>15183.828221952001</v>
      </c>
      <c r="AH10" s="3">
        <f t="shared" si="17"/>
        <v>15791.181350830082</v>
      </c>
      <c r="AI10" s="3">
        <f t="shared" si="17"/>
        <v>16422.828604863284</v>
      </c>
      <c r="AJ10" s="3">
        <f t="shared" si="17"/>
        <v>17079.741749057819</v>
      </c>
      <c r="AK10" s="3">
        <f t="shared" si="17"/>
        <v>17762.931419020133</v>
      </c>
      <c r="AL10" s="3">
        <f t="shared" si="17"/>
        <v>18473.448675780935</v>
      </c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</row>
    <row r="11" spans="2:240" s="5" customFormat="1" ht="14" x14ac:dyDescent="0.15">
      <c r="B11" s="5" t="s">
        <v>32</v>
      </c>
      <c r="C11" s="11"/>
      <c r="D11" s="12">
        <f t="shared" ref="D11:I11" si="18">+D10/C10-1</f>
        <v>0.14217662147306709</v>
      </c>
      <c r="E11" s="12">
        <f t="shared" si="18"/>
        <v>-7.4751363490535794E-2</v>
      </c>
      <c r="F11" s="12">
        <f t="shared" si="18"/>
        <v>8.2177531206657495E-2</v>
      </c>
      <c r="G11" s="12">
        <f t="shared" si="18"/>
        <v>-0.12528035885933997</v>
      </c>
      <c r="H11" s="12">
        <f t="shared" si="18"/>
        <v>0.19890109890109886</v>
      </c>
      <c r="I11" s="12">
        <f t="shared" si="18"/>
        <v>-4.7662694775435388E-2</v>
      </c>
      <c r="J11" s="12">
        <f>+J10/I10-1</f>
        <v>7.0580686557587313E-2</v>
      </c>
      <c r="K11" s="11"/>
      <c r="L11" s="11"/>
      <c r="M11" s="11"/>
      <c r="N11" s="11"/>
      <c r="O11" s="22"/>
      <c r="P11" s="22"/>
      <c r="Q11" s="22"/>
    </row>
    <row r="12" spans="2:240" s="8" customFormat="1" ht="14" x14ac:dyDescent="0.15">
      <c r="B12" s="8" t="s">
        <v>33</v>
      </c>
      <c r="C12" s="12"/>
      <c r="D12" s="12"/>
      <c r="E12" s="12"/>
      <c r="F12" s="12"/>
      <c r="G12" s="12">
        <f t="shared" ref="G12:I12" si="19">+G10/C10-1</f>
        <v>3.6643459142537971E-4</v>
      </c>
      <c r="H12" s="12">
        <f t="shared" si="19"/>
        <v>5.0048123195380212E-2</v>
      </c>
      <c r="I12" s="12">
        <f t="shared" si="19"/>
        <v>8.07905686546464E-2</v>
      </c>
      <c r="J12" s="12">
        <f>+J10/F10-1</f>
        <v>6.9208586991349019E-2</v>
      </c>
      <c r="K12" s="12"/>
      <c r="L12" s="12"/>
      <c r="M12" s="12"/>
      <c r="N12" s="12"/>
      <c r="O12" s="23"/>
      <c r="P12" s="23"/>
      <c r="Q12" s="23"/>
      <c r="Y12" s="8">
        <f>+Y10/X10-1</f>
        <v>-0.10869565217391308</v>
      </c>
      <c r="Z12" s="8">
        <f>+Z10/Y10-1</f>
        <v>-1.7596988050417428E-2</v>
      </c>
      <c r="AA12" s="8">
        <f>+AA10/Z10-1</f>
        <v>-1.2663500791468829E-2</v>
      </c>
      <c r="AB12" s="8">
        <f>+AB10/AA10-1</f>
        <v>5.1134925322757541E-2</v>
      </c>
      <c r="AC12" s="8">
        <f>+AC10/AB10-1</f>
        <v>4.1920205506943864E-2</v>
      </c>
      <c r="AD12" s="8">
        <f t="shared" ref="AD12:AL12" si="20">+AD10/AC10-1</f>
        <v>4.0000000000000036E-2</v>
      </c>
      <c r="AE12" s="8">
        <f t="shared" si="20"/>
        <v>4.0000000000000036E-2</v>
      </c>
      <c r="AF12" s="8">
        <f t="shared" si="20"/>
        <v>3.9999999999999813E-2</v>
      </c>
      <c r="AG12" s="8">
        <f t="shared" si="20"/>
        <v>4.0000000000000036E-2</v>
      </c>
      <c r="AH12" s="8">
        <f t="shared" si="20"/>
        <v>4.0000000000000036E-2</v>
      </c>
      <c r="AI12" s="8">
        <f t="shared" si="20"/>
        <v>3.9999999999999813E-2</v>
      </c>
      <c r="AJ12" s="8">
        <f t="shared" si="20"/>
        <v>4.0000000000000258E-2</v>
      </c>
      <c r="AK12" s="8">
        <f t="shared" si="20"/>
        <v>4.0000000000000036E-2</v>
      </c>
      <c r="AL12" s="8">
        <f t="shared" si="20"/>
        <v>3.9999999999999813E-2</v>
      </c>
    </row>
    <row r="15" spans="2:240" x14ac:dyDescent="0.2">
      <c r="B15" s="6" t="s">
        <v>3</v>
      </c>
      <c r="C15" s="16">
        <v>1910</v>
      </c>
      <c r="D15" s="16">
        <v>2176</v>
      </c>
      <c r="E15" s="16">
        <v>2011</v>
      </c>
      <c r="F15" s="16">
        <f>+AA15-SUM(C15:E15)</f>
        <v>2180</v>
      </c>
      <c r="G15" s="16">
        <v>1893</v>
      </c>
      <c r="H15" s="16">
        <v>2289</v>
      </c>
      <c r="I15" s="16">
        <v>2183</v>
      </c>
      <c r="J15" s="16">
        <f>+AB15-SUM(G15:I15)</f>
        <v>2327</v>
      </c>
      <c r="X15" s="18">
        <v>9813</v>
      </c>
      <c r="Y15" s="18">
        <v>8802</v>
      </c>
      <c r="Z15" s="18">
        <v>8336</v>
      </c>
      <c r="AA15" s="18">
        <v>8277</v>
      </c>
      <c r="AB15" s="18">
        <v>8692</v>
      </c>
      <c r="AC15" s="6">
        <f>+AC$10*(AB15/AB$10)</f>
        <v>9056.3704262663578</v>
      </c>
      <c r="AD15" s="6">
        <f t="shared" ref="AD15:AL15" si="21">+AD$10*(AC15/AC$10)</f>
        <v>9418.6252433170121</v>
      </c>
      <c r="AE15" s="6">
        <f t="shared" si="21"/>
        <v>9795.3702530496939</v>
      </c>
      <c r="AF15" s="6">
        <f t="shared" si="21"/>
        <v>10187.185063171681</v>
      </c>
      <c r="AG15" s="6">
        <f t="shared" si="21"/>
        <v>10594.672465698548</v>
      </c>
      <c r="AH15" s="6">
        <f t="shared" si="21"/>
        <v>11018.459364326491</v>
      </c>
      <c r="AI15" s="6">
        <f t="shared" si="21"/>
        <v>11459.197738899549</v>
      </c>
      <c r="AJ15" s="6">
        <f t="shared" si="21"/>
        <v>11917.565648455535</v>
      </c>
      <c r="AK15" s="6">
        <f t="shared" si="21"/>
        <v>12394.268274393757</v>
      </c>
      <c r="AL15" s="6">
        <f t="shared" si="21"/>
        <v>12890.039005369505</v>
      </c>
    </row>
    <row r="16" spans="2:240" x14ac:dyDescent="0.2">
      <c r="B16" s="6" t="s">
        <v>23</v>
      </c>
      <c r="C16" s="16">
        <v>117</v>
      </c>
      <c r="D16" s="16">
        <v>121</v>
      </c>
      <c r="E16" s="16">
        <v>112</v>
      </c>
      <c r="F16" s="16">
        <f t="shared" ref="F16:F24" si="22">+AA16-SUM(C16:E16)</f>
        <v>120</v>
      </c>
      <c r="G16" s="16">
        <v>107</v>
      </c>
      <c r="H16" s="16">
        <v>121</v>
      </c>
      <c r="I16" s="16">
        <v>118</v>
      </c>
      <c r="J16" s="16">
        <f t="shared" ref="J16:J24" si="23">+AB16-SUM(G16:I16)</f>
        <v>125</v>
      </c>
      <c r="X16" s="18">
        <v>584</v>
      </c>
      <c r="Y16" s="18">
        <v>632</v>
      </c>
      <c r="Z16" s="18">
        <v>557</v>
      </c>
      <c r="AA16" s="18">
        <v>470</v>
      </c>
      <c r="AB16" s="18">
        <v>471</v>
      </c>
      <c r="AC16" s="6">
        <f>+AC$10*(AB16/AB$10)</f>
        <v>490.7444167937706</v>
      </c>
      <c r="AD16" s="6">
        <f t="shared" ref="AD16:AL16" si="24">+AD$10*(AC16/AC$10)</f>
        <v>510.37419346552139</v>
      </c>
      <c r="AE16" s="6">
        <f t="shared" si="24"/>
        <v>530.78916120414226</v>
      </c>
      <c r="AF16" s="6">
        <f t="shared" si="24"/>
        <v>552.02072765230787</v>
      </c>
      <c r="AG16" s="6">
        <f t="shared" si="24"/>
        <v>574.10155675840031</v>
      </c>
      <c r="AH16" s="6">
        <f t="shared" si="24"/>
        <v>597.06561902873636</v>
      </c>
      <c r="AI16" s="6">
        <f t="shared" si="24"/>
        <v>620.94824378988574</v>
      </c>
      <c r="AJ16" s="6">
        <f t="shared" si="24"/>
        <v>645.78617354148128</v>
      </c>
      <c r="AK16" s="6">
        <f t="shared" si="24"/>
        <v>671.61762048314063</v>
      </c>
      <c r="AL16" s="6">
        <f t="shared" si="24"/>
        <v>698.48232530246617</v>
      </c>
    </row>
    <row r="17" spans="2:238" x14ac:dyDescent="0.2">
      <c r="B17" s="6" t="s">
        <v>24</v>
      </c>
      <c r="C17" s="16">
        <v>324</v>
      </c>
      <c r="D17" s="16">
        <v>365</v>
      </c>
      <c r="E17" s="16">
        <v>354</v>
      </c>
      <c r="F17" s="16">
        <f t="shared" si="22"/>
        <v>429</v>
      </c>
      <c r="G17" s="16">
        <v>344</v>
      </c>
      <c r="H17" s="16">
        <v>372</v>
      </c>
      <c r="I17" s="16">
        <v>330</v>
      </c>
      <c r="J17" s="16">
        <f t="shared" si="23"/>
        <v>379</v>
      </c>
      <c r="X17" s="18">
        <v>1378</v>
      </c>
      <c r="Y17" s="18">
        <v>1473</v>
      </c>
      <c r="Z17" s="18">
        <v>1397</v>
      </c>
      <c r="AA17" s="18">
        <v>1472</v>
      </c>
      <c r="AB17" s="18">
        <v>1425</v>
      </c>
      <c r="AC17" s="6">
        <f>+AC$10*(AB17/AB$10)</f>
        <v>1484.7362928473951</v>
      </c>
      <c r="AD17" s="6">
        <f t="shared" ref="AD17:AL17" si="25">+AD$10*(AC17/AC$10)</f>
        <v>1544.125744561291</v>
      </c>
      <c r="AE17" s="6">
        <f t="shared" si="25"/>
        <v>1605.8907743437428</v>
      </c>
      <c r="AF17" s="6">
        <f t="shared" si="25"/>
        <v>1670.1264053174923</v>
      </c>
      <c r="AG17" s="6">
        <f t="shared" si="25"/>
        <v>1736.9314615301921</v>
      </c>
      <c r="AH17" s="6">
        <f t="shared" si="25"/>
        <v>1806.4087199913999</v>
      </c>
      <c r="AI17" s="6">
        <f t="shared" si="25"/>
        <v>1878.6650687910555</v>
      </c>
      <c r="AJ17" s="6">
        <f t="shared" si="25"/>
        <v>1953.8116715426984</v>
      </c>
      <c r="AK17" s="6">
        <f t="shared" si="25"/>
        <v>2031.9641384044064</v>
      </c>
      <c r="AL17" s="6">
        <f t="shared" si="25"/>
        <v>2113.2427039405825</v>
      </c>
    </row>
    <row r="18" spans="2:238" x14ac:dyDescent="0.2">
      <c r="B18" s="6" t="s">
        <v>25</v>
      </c>
      <c r="C18" s="16">
        <v>534</v>
      </c>
      <c r="D18" s="16">
        <v>489</v>
      </c>
      <c r="E18" s="16">
        <v>480</v>
      </c>
      <c r="F18" s="16">
        <f t="shared" si="22"/>
        <v>-526</v>
      </c>
      <c r="G18" s="16">
        <v>429</v>
      </c>
      <c r="H18" s="16">
        <v>465</v>
      </c>
      <c r="I18" s="16">
        <v>445</v>
      </c>
      <c r="J18" s="16">
        <f t="shared" si="23"/>
        <v>437</v>
      </c>
      <c r="X18" s="18">
        <v>2015</v>
      </c>
      <c r="Y18" s="18">
        <v>2625</v>
      </c>
      <c r="Z18" s="18">
        <v>2447</v>
      </c>
      <c r="AA18" s="18">
        <v>977</v>
      </c>
      <c r="AB18" s="18">
        <v>1776</v>
      </c>
      <c r="AC18" s="6">
        <f>+AC$10*(AB18/AB$10)</f>
        <v>1850.4502849803323</v>
      </c>
      <c r="AD18" s="6">
        <f t="shared" ref="AD18:AL18" si="26">+AD$10*(AC18/AC$10)</f>
        <v>1924.4682963795456</v>
      </c>
      <c r="AE18" s="6">
        <f t="shared" si="26"/>
        <v>2001.4470282347277</v>
      </c>
      <c r="AF18" s="6">
        <f t="shared" si="26"/>
        <v>2081.5049093641164</v>
      </c>
      <c r="AG18" s="6">
        <f t="shared" si="26"/>
        <v>2164.7651057386811</v>
      </c>
      <c r="AH18" s="6">
        <f t="shared" si="26"/>
        <v>2251.3557099682284</v>
      </c>
      <c r="AI18" s="6">
        <f t="shared" si="26"/>
        <v>2341.4099383669577</v>
      </c>
      <c r="AJ18" s="6">
        <f t="shared" si="26"/>
        <v>2435.0663359016366</v>
      </c>
      <c r="AK18" s="6">
        <f t="shared" si="26"/>
        <v>2532.4689893377022</v>
      </c>
      <c r="AL18" s="6">
        <f t="shared" si="26"/>
        <v>2633.7677489112098</v>
      </c>
    </row>
    <row r="19" spans="2:238" s="4" customFormat="1" x14ac:dyDescent="0.2">
      <c r="B19" s="4" t="s">
        <v>26</v>
      </c>
      <c r="C19" s="14">
        <f>+C10-SUM(C15:C18)</f>
        <v>-156</v>
      </c>
      <c r="D19" s="14">
        <f>+D10-SUM(D15:D18)</f>
        <v>-34</v>
      </c>
      <c r="E19" s="14">
        <f>+E10-SUM(E15:E18)</f>
        <v>-73</v>
      </c>
      <c r="F19" s="14">
        <f t="shared" si="22"/>
        <v>918</v>
      </c>
      <c r="G19" s="14">
        <f>+G10-SUM(G15:G18)</f>
        <v>-43</v>
      </c>
      <c r="H19" s="14">
        <f>+H10-SUM(H15:H18)</f>
        <v>26</v>
      </c>
      <c r="I19" s="14">
        <f>+I10-SUM(I15:I18)</f>
        <v>41</v>
      </c>
      <c r="J19" s="14">
        <f t="shared" si="23"/>
        <v>69</v>
      </c>
      <c r="K19" s="14"/>
      <c r="L19" s="14"/>
      <c r="M19" s="14"/>
      <c r="N19" s="14"/>
      <c r="O19" s="21"/>
      <c r="P19" s="21"/>
      <c r="Q19" s="21"/>
      <c r="X19" s="4">
        <f>+X10-SUM(X15:X18)</f>
        <v>-82</v>
      </c>
      <c r="Y19" s="4">
        <f>+Y10-SUM(Y15:Y18)</f>
        <v>-1314</v>
      </c>
      <c r="Z19" s="4">
        <f>+Z10-SUM(Z15:Z18)</f>
        <v>-734</v>
      </c>
      <c r="AA19" s="4">
        <f>+AA10-SUM(AA15:AA18)</f>
        <v>655</v>
      </c>
      <c r="AB19" s="4">
        <f>+AB10-SUM(AB15:AB18)</f>
        <v>93</v>
      </c>
      <c r="AC19" s="4">
        <f>+AC10-SUM(AC15:AC18)</f>
        <v>96.898579112144944</v>
      </c>
      <c r="AD19" s="4">
        <f t="shared" ref="AD19:AL19" si="27">+AD10-SUM(AD15:AD18)</f>
        <v>100.7745222766298</v>
      </c>
      <c r="AE19" s="4">
        <f t="shared" si="27"/>
        <v>104.80550316769404</v>
      </c>
      <c r="AF19" s="4">
        <f t="shared" si="27"/>
        <v>108.99772329440202</v>
      </c>
      <c r="AG19" s="4">
        <f t="shared" si="27"/>
        <v>113.3576322261797</v>
      </c>
      <c r="AH19" s="4">
        <f t="shared" si="27"/>
        <v>117.89193751522726</v>
      </c>
      <c r="AI19" s="4">
        <f t="shared" si="27"/>
        <v>122.60761501583511</v>
      </c>
      <c r="AJ19" s="4">
        <f t="shared" si="27"/>
        <v>127.51191961646691</v>
      </c>
      <c r="AK19" s="4">
        <f t="shared" si="27"/>
        <v>132.61239640112763</v>
      </c>
      <c r="AL19" s="4">
        <f t="shared" si="27"/>
        <v>137.91689225717346</v>
      </c>
    </row>
    <row r="20" spans="2:238" x14ac:dyDescent="0.2">
      <c r="B20" s="6" t="s">
        <v>27</v>
      </c>
      <c r="C20" s="16">
        <v>-6</v>
      </c>
      <c r="D20" s="16">
        <v>-4</v>
      </c>
      <c r="E20" s="16">
        <v>-5</v>
      </c>
      <c r="F20" s="16">
        <f t="shared" si="22"/>
        <v>-14</v>
      </c>
      <c r="G20" s="16">
        <v>-23</v>
      </c>
      <c r="H20" s="16">
        <v>-29</v>
      </c>
      <c r="I20" s="16">
        <v>-31</v>
      </c>
      <c r="J20" s="16">
        <f t="shared" si="23"/>
        <v>-36</v>
      </c>
      <c r="X20" s="18">
        <v>-94</v>
      </c>
      <c r="Y20" s="18">
        <v>-27</v>
      </c>
      <c r="Z20" s="18">
        <v>-17</v>
      </c>
      <c r="AA20" s="18">
        <v>-29</v>
      </c>
      <c r="AB20" s="18">
        <v>-119</v>
      </c>
      <c r="AC20" s="6">
        <f>+AB20</f>
        <v>-119</v>
      </c>
      <c r="AD20" s="6">
        <f t="shared" ref="AD20:AL20" si="28">+AC20</f>
        <v>-119</v>
      </c>
      <c r="AE20" s="6">
        <f t="shared" si="28"/>
        <v>-119</v>
      </c>
      <c r="AF20" s="6">
        <f t="shared" si="28"/>
        <v>-119</v>
      </c>
      <c r="AG20" s="6">
        <f t="shared" si="28"/>
        <v>-119</v>
      </c>
      <c r="AH20" s="6">
        <f t="shared" si="28"/>
        <v>-119</v>
      </c>
      <c r="AI20" s="6">
        <f t="shared" si="28"/>
        <v>-119</v>
      </c>
      <c r="AJ20" s="6">
        <f t="shared" si="28"/>
        <v>-119</v>
      </c>
      <c r="AK20" s="6">
        <f t="shared" si="28"/>
        <v>-119</v>
      </c>
      <c r="AL20" s="6">
        <f t="shared" si="28"/>
        <v>-119</v>
      </c>
    </row>
    <row r="21" spans="2:238" x14ac:dyDescent="0.2">
      <c r="B21" s="6" t="s">
        <v>28</v>
      </c>
      <c r="C21" s="16">
        <v>-4</v>
      </c>
      <c r="D21" s="16">
        <v>-1</v>
      </c>
      <c r="E21" s="16">
        <v>8</v>
      </c>
      <c r="F21" s="16">
        <f t="shared" si="22"/>
        <v>-24</v>
      </c>
      <c r="G21" s="16">
        <v>10</v>
      </c>
      <c r="H21" s="16">
        <v>23</v>
      </c>
      <c r="I21" s="16">
        <v>-5</v>
      </c>
      <c r="J21" s="16">
        <f t="shared" si="23"/>
        <v>3</v>
      </c>
      <c r="X21" s="18">
        <v>-32</v>
      </c>
      <c r="Y21" s="18">
        <v>-4</v>
      </c>
      <c r="Z21" s="18">
        <v>1</v>
      </c>
      <c r="AA21" s="18">
        <v>-21</v>
      </c>
      <c r="AB21" s="18">
        <v>31</v>
      </c>
      <c r="AC21" s="6">
        <f>+AB21</f>
        <v>31</v>
      </c>
      <c r="AD21" s="6">
        <f t="shared" ref="AD21:AL21" si="29">+AC21</f>
        <v>31</v>
      </c>
      <c r="AE21" s="6">
        <f t="shared" si="29"/>
        <v>31</v>
      </c>
      <c r="AF21" s="6">
        <f t="shared" si="29"/>
        <v>31</v>
      </c>
      <c r="AG21" s="6">
        <f t="shared" si="29"/>
        <v>31</v>
      </c>
      <c r="AH21" s="6">
        <f t="shared" si="29"/>
        <v>31</v>
      </c>
      <c r="AI21" s="6">
        <f t="shared" si="29"/>
        <v>31</v>
      </c>
      <c r="AJ21" s="6">
        <f t="shared" si="29"/>
        <v>31</v>
      </c>
      <c r="AK21" s="6">
        <f t="shared" si="29"/>
        <v>31</v>
      </c>
      <c r="AL21" s="6">
        <f t="shared" si="29"/>
        <v>31</v>
      </c>
    </row>
    <row r="22" spans="2:238" s="4" customFormat="1" x14ac:dyDescent="0.2">
      <c r="B22" s="4" t="s">
        <v>29</v>
      </c>
      <c r="C22" s="14">
        <f>+SUM(C19:C21)</f>
        <v>-166</v>
      </c>
      <c r="D22" s="14">
        <f>+SUM(D19:D21)</f>
        <v>-39</v>
      </c>
      <c r="E22" s="14">
        <f>+SUM(E19:E21)</f>
        <v>-70</v>
      </c>
      <c r="F22" s="14">
        <f t="shared" si="22"/>
        <v>880</v>
      </c>
      <c r="G22" s="14">
        <f>+SUM(G19:G21)</f>
        <v>-56</v>
      </c>
      <c r="H22" s="14">
        <f>+SUM(H19:H21)</f>
        <v>20</v>
      </c>
      <c r="I22" s="14">
        <f>+SUM(I19:I21)</f>
        <v>5</v>
      </c>
      <c r="J22" s="14">
        <f t="shared" si="23"/>
        <v>36</v>
      </c>
      <c r="K22" s="14"/>
      <c r="L22" s="14"/>
      <c r="M22" s="14"/>
      <c r="N22" s="14"/>
      <c r="O22" s="21"/>
      <c r="P22" s="21"/>
      <c r="Q22" s="21"/>
      <c r="X22" s="4">
        <f>+SUM(X19:X21)</f>
        <v>-208</v>
      </c>
      <c r="Y22" s="4">
        <f>+SUM(Y19:Y21)</f>
        <v>-1345</v>
      </c>
      <c r="Z22" s="4">
        <f>+SUM(Z19:Z21)</f>
        <v>-750</v>
      </c>
      <c r="AA22" s="4">
        <f>+SUM(AA19:AA21)</f>
        <v>605</v>
      </c>
      <c r="AB22" s="4">
        <f>+SUM(AB19:AB21)</f>
        <v>5</v>
      </c>
      <c r="AC22" s="4">
        <f>+SUM(AC19:AC21)</f>
        <v>8.8985791121449438</v>
      </c>
      <c r="AD22" s="4">
        <f t="shared" ref="AD22:AL22" si="30">+SUM(AD19:AD21)</f>
        <v>12.774522276629796</v>
      </c>
      <c r="AE22" s="4">
        <f t="shared" si="30"/>
        <v>16.805503167694042</v>
      </c>
      <c r="AF22" s="4">
        <f t="shared" si="30"/>
        <v>20.997723294402022</v>
      </c>
      <c r="AG22" s="4">
        <f t="shared" si="30"/>
        <v>25.357632226179703</v>
      </c>
      <c r="AH22" s="4">
        <f t="shared" si="30"/>
        <v>29.891937515227255</v>
      </c>
      <c r="AI22" s="4">
        <f t="shared" si="30"/>
        <v>34.607615015835108</v>
      </c>
      <c r="AJ22" s="4">
        <f t="shared" si="30"/>
        <v>39.511919616466912</v>
      </c>
      <c r="AK22" s="4">
        <f t="shared" si="30"/>
        <v>44.612396401127626</v>
      </c>
      <c r="AL22" s="4">
        <f t="shared" si="30"/>
        <v>49.916892257173458</v>
      </c>
    </row>
    <row r="23" spans="2:238" x14ac:dyDescent="0.2">
      <c r="B23" s="6" t="s">
        <v>30</v>
      </c>
      <c r="C23" s="16">
        <v>3</v>
      </c>
      <c r="D23" s="16">
        <v>2</v>
      </c>
      <c r="E23" s="16">
        <v>3</v>
      </c>
      <c r="F23" s="16">
        <f t="shared" si="22"/>
        <v>2</v>
      </c>
      <c r="G23" s="16">
        <v>3</v>
      </c>
      <c r="H23" s="16">
        <v>2</v>
      </c>
      <c r="I23" s="16">
        <v>2</v>
      </c>
      <c r="J23" s="16">
        <f t="shared" si="23"/>
        <v>2</v>
      </c>
      <c r="X23" s="18">
        <v>1</v>
      </c>
      <c r="Y23" s="18">
        <v>12</v>
      </c>
      <c r="Z23" s="18">
        <v>9</v>
      </c>
      <c r="AA23" s="18">
        <v>10</v>
      </c>
      <c r="AB23" s="18">
        <v>9</v>
      </c>
      <c r="AC23" s="6">
        <f>+AC22*0.25</f>
        <v>2.2246447780362359</v>
      </c>
      <c r="AD23" s="6">
        <f t="shared" ref="AD23:AL23" si="31">+AD22*0.25</f>
        <v>3.1936305691574489</v>
      </c>
      <c r="AE23" s="6">
        <f t="shared" si="31"/>
        <v>4.2013757919235104</v>
      </c>
      <c r="AF23" s="6">
        <f t="shared" si="31"/>
        <v>5.2494308236005054</v>
      </c>
      <c r="AG23" s="6">
        <f t="shared" si="31"/>
        <v>6.3394080565449258</v>
      </c>
      <c r="AH23" s="6">
        <f t="shared" si="31"/>
        <v>7.4729843788068138</v>
      </c>
      <c r="AI23" s="6">
        <f t="shared" si="31"/>
        <v>8.6519037539587771</v>
      </c>
      <c r="AJ23" s="6">
        <f t="shared" si="31"/>
        <v>9.877979904116728</v>
      </c>
      <c r="AK23" s="6">
        <f t="shared" si="31"/>
        <v>11.153099100281906</v>
      </c>
      <c r="AL23" s="6">
        <f t="shared" si="31"/>
        <v>12.479223064293365</v>
      </c>
    </row>
    <row r="24" spans="2:238" s="4" customFormat="1" x14ac:dyDescent="0.2">
      <c r="B24" s="4" t="s">
        <v>31</v>
      </c>
      <c r="C24" s="14">
        <f>+C22-C23</f>
        <v>-169</v>
      </c>
      <c r="D24" s="14">
        <f>+D22-D23</f>
        <v>-41</v>
      </c>
      <c r="E24" s="14">
        <f>+E22-E23</f>
        <v>-73</v>
      </c>
      <c r="F24" s="14">
        <f t="shared" si="22"/>
        <v>878</v>
      </c>
      <c r="G24" s="14">
        <f>+G22-G23</f>
        <v>-59</v>
      </c>
      <c r="H24" s="14">
        <f>+H22-H23</f>
        <v>18</v>
      </c>
      <c r="I24" s="14">
        <f>+I22-I23</f>
        <v>3</v>
      </c>
      <c r="J24" s="14">
        <f t="shared" si="23"/>
        <v>34</v>
      </c>
      <c r="K24" s="14"/>
      <c r="L24" s="14"/>
      <c r="M24" s="14"/>
      <c r="N24" s="14"/>
      <c r="O24" s="21"/>
      <c r="P24" s="21"/>
      <c r="Q24" s="21"/>
      <c r="X24" s="4">
        <f>+X22-X23</f>
        <v>-209</v>
      </c>
      <c r="Y24" s="4">
        <f>+Y22-Y23</f>
        <v>-1357</v>
      </c>
      <c r="Z24" s="4">
        <f>+Z22-Z23</f>
        <v>-759</v>
      </c>
      <c r="AA24" s="4">
        <f>+AA22-AA23</f>
        <v>595</v>
      </c>
      <c r="AB24" s="4">
        <f>+AB22-AB23</f>
        <v>-4</v>
      </c>
      <c r="AC24" s="4">
        <f>+AC22-AC23</f>
        <v>6.6739343341087078</v>
      </c>
      <c r="AD24" s="4">
        <f t="shared" ref="AD24:AL24" si="32">+AD22-AD23</f>
        <v>9.5808917074723468</v>
      </c>
      <c r="AE24" s="4">
        <f t="shared" si="32"/>
        <v>12.604127375770531</v>
      </c>
      <c r="AF24" s="4">
        <f t="shared" si="32"/>
        <v>15.748292470801516</v>
      </c>
      <c r="AG24" s="4">
        <f t="shared" si="32"/>
        <v>19.018224169634777</v>
      </c>
      <c r="AH24" s="4">
        <f t="shared" si="32"/>
        <v>22.418953136420441</v>
      </c>
      <c r="AI24" s="4">
        <f t="shared" si="32"/>
        <v>25.955711261876331</v>
      </c>
      <c r="AJ24" s="4">
        <f t="shared" si="32"/>
        <v>29.633939712350184</v>
      </c>
      <c r="AK24" s="4">
        <f t="shared" si="32"/>
        <v>33.459297300845719</v>
      </c>
      <c r="AL24" s="4">
        <f t="shared" si="32"/>
        <v>37.437669192880094</v>
      </c>
      <c r="AM24" s="4">
        <f>+AL24*(1+$AP$32)</f>
        <v>37.812045884808896</v>
      </c>
      <c r="AN24" s="4">
        <f>+AM24*(1+$AP$32)</f>
        <v>38.190166343656983</v>
      </c>
      <c r="AO24" s="4">
        <f t="shared" ref="AO24:CZ24" si="33">+AN24*(1+$AP$32)</f>
        <v>38.572068007093556</v>
      </c>
      <c r="AP24" s="4">
        <f t="shared" si="33"/>
        <v>38.957788687164495</v>
      </c>
      <c r="AQ24" s="4">
        <f t="shared" si="33"/>
        <v>39.347366574036137</v>
      </c>
      <c r="AR24" s="4">
        <f t="shared" si="33"/>
        <v>39.740840239776496</v>
      </c>
      <c r="AS24" s="4">
        <f t="shared" si="33"/>
        <v>40.138248642174261</v>
      </c>
      <c r="AT24" s="4">
        <f t="shared" si="33"/>
        <v>40.539631128596007</v>
      </c>
      <c r="AU24" s="4">
        <f t="shared" si="33"/>
        <v>40.945027439881969</v>
      </c>
      <c r="AV24" s="4">
        <f t="shared" si="33"/>
        <v>41.35447771428079</v>
      </c>
      <c r="AW24" s="4">
        <f t="shared" si="33"/>
        <v>41.768022491423601</v>
      </c>
      <c r="AX24" s="4">
        <f t="shared" si="33"/>
        <v>42.185702716337836</v>
      </c>
      <c r="AY24" s="4">
        <f t="shared" si="33"/>
        <v>42.607559743501213</v>
      </c>
      <c r="AZ24" s="4">
        <f t="shared" si="33"/>
        <v>43.033635340936222</v>
      </c>
      <c r="BA24" s="4">
        <f t="shared" si="33"/>
        <v>43.463971694345581</v>
      </c>
      <c r="BB24" s="4">
        <f t="shared" si="33"/>
        <v>43.898611411289039</v>
      </c>
      <c r="BC24" s="4">
        <f t="shared" si="33"/>
        <v>44.337597525401932</v>
      </c>
      <c r="BD24" s="4">
        <f t="shared" si="33"/>
        <v>44.780973500655954</v>
      </c>
      <c r="BE24" s="4">
        <f t="shared" si="33"/>
        <v>45.228783235662512</v>
      </c>
      <c r="BF24" s="4">
        <f t="shared" si="33"/>
        <v>45.681071068019136</v>
      </c>
      <c r="BG24" s="4">
        <f t="shared" si="33"/>
        <v>46.137881778699331</v>
      </c>
      <c r="BH24" s="4">
        <f t="shared" si="33"/>
        <v>46.599260596486324</v>
      </c>
      <c r="BI24" s="4">
        <f t="shared" si="33"/>
        <v>47.065253202451188</v>
      </c>
      <c r="BJ24" s="4">
        <f t="shared" si="33"/>
        <v>47.535905734475698</v>
      </c>
      <c r="BK24" s="4">
        <f t="shared" si="33"/>
        <v>48.011264791820452</v>
      </c>
      <c r="BL24" s="4">
        <f t="shared" si="33"/>
        <v>48.491377439738656</v>
      </c>
      <c r="BM24" s="4">
        <f t="shared" si="33"/>
        <v>48.97629121413604</v>
      </c>
      <c r="BN24" s="4">
        <f t="shared" si="33"/>
        <v>49.466054126277399</v>
      </c>
      <c r="BO24" s="4">
        <f t="shared" si="33"/>
        <v>49.960714667540174</v>
      </c>
      <c r="BP24" s="4">
        <f t="shared" si="33"/>
        <v>50.460321814215575</v>
      </c>
      <c r="BQ24" s="4">
        <f t="shared" si="33"/>
        <v>50.964925032357733</v>
      </c>
      <c r="BR24" s="4">
        <f t="shared" si="33"/>
        <v>51.47457428268131</v>
      </c>
      <c r="BS24" s="4">
        <f t="shared" si="33"/>
        <v>51.989320025508121</v>
      </c>
      <c r="BT24" s="4">
        <f t="shared" si="33"/>
        <v>52.509213225763204</v>
      </c>
      <c r="BU24" s="4">
        <f t="shared" si="33"/>
        <v>53.034305358020838</v>
      </c>
      <c r="BV24" s="4">
        <f t="shared" si="33"/>
        <v>53.564648411601048</v>
      </c>
      <c r="BW24" s="4">
        <f t="shared" si="33"/>
        <v>54.100294895717056</v>
      </c>
      <c r="BX24" s="4">
        <f t="shared" si="33"/>
        <v>54.641297844674227</v>
      </c>
      <c r="BY24" s="4">
        <f t="shared" si="33"/>
        <v>55.187710823120973</v>
      </c>
      <c r="BZ24" s="4">
        <f t="shared" si="33"/>
        <v>55.739587931352183</v>
      </c>
      <c r="CA24" s="4">
        <f t="shared" si="33"/>
        <v>56.296983810665708</v>
      </c>
      <c r="CB24" s="4">
        <f t="shared" si="33"/>
        <v>56.859953648772368</v>
      </c>
      <c r="CC24" s="4">
        <f t="shared" si="33"/>
        <v>57.428553185260093</v>
      </c>
      <c r="CD24" s="4">
        <f t="shared" si="33"/>
        <v>58.002838717112695</v>
      </c>
      <c r="CE24" s="4">
        <f t="shared" si="33"/>
        <v>58.582867104283821</v>
      </c>
      <c r="CF24" s="4">
        <f t="shared" si="33"/>
        <v>59.168695775326661</v>
      </c>
      <c r="CG24" s="4">
        <f t="shared" si="33"/>
        <v>59.760382733079929</v>
      </c>
      <c r="CH24" s="4">
        <f t="shared" si="33"/>
        <v>60.35798656041073</v>
      </c>
      <c r="CI24" s="4">
        <f t="shared" si="33"/>
        <v>60.961566426014841</v>
      </c>
      <c r="CJ24" s="4">
        <f t="shared" si="33"/>
        <v>61.571182090274988</v>
      </c>
      <c r="CK24" s="4">
        <f t="shared" si="33"/>
        <v>62.186893911177741</v>
      </c>
      <c r="CL24" s="4">
        <f t="shared" si="33"/>
        <v>62.808762850289519</v>
      </c>
      <c r="CM24" s="4">
        <f t="shared" si="33"/>
        <v>63.436850478792415</v>
      </c>
      <c r="CN24" s="4">
        <f t="shared" si="33"/>
        <v>64.071218983580337</v>
      </c>
      <c r="CO24" s="4">
        <f t="shared" si="33"/>
        <v>64.711931173416147</v>
      </c>
      <c r="CP24" s="4">
        <f t="shared" si="33"/>
        <v>65.359050485150306</v>
      </c>
      <c r="CQ24" s="4">
        <f t="shared" si="33"/>
        <v>66.012640990001813</v>
      </c>
      <c r="CR24" s="4">
        <f t="shared" si="33"/>
        <v>66.672767399901829</v>
      </c>
      <c r="CS24" s="4">
        <f t="shared" si="33"/>
        <v>67.339495073900849</v>
      </c>
      <c r="CT24" s="4">
        <f t="shared" si="33"/>
        <v>68.012890024639859</v>
      </c>
      <c r="CU24" s="4">
        <f t="shared" si="33"/>
        <v>68.69301892488626</v>
      </c>
      <c r="CV24" s="4">
        <f t="shared" si="33"/>
        <v>69.37994911413513</v>
      </c>
      <c r="CW24" s="4">
        <f t="shared" si="33"/>
        <v>70.073748605276478</v>
      </c>
      <c r="CX24" s="4">
        <f t="shared" si="33"/>
        <v>70.774486091329237</v>
      </c>
      <c r="CY24" s="4">
        <f t="shared" si="33"/>
        <v>71.482230952242531</v>
      </c>
      <c r="CZ24" s="4">
        <f t="shared" si="33"/>
        <v>72.197053261764964</v>
      </c>
      <c r="DA24" s="4">
        <f t="shared" ref="DA24:FL24" si="34">+CZ24*(1+$AP$32)</f>
        <v>72.919023794382611</v>
      </c>
      <c r="DB24" s="4">
        <f t="shared" si="34"/>
        <v>73.648214032326436</v>
      </c>
      <c r="DC24" s="4">
        <f t="shared" si="34"/>
        <v>74.384696172649697</v>
      </c>
      <c r="DD24" s="4">
        <f t="shared" si="34"/>
        <v>75.128543134376201</v>
      </c>
      <c r="DE24" s="4">
        <f t="shared" si="34"/>
        <v>75.879828565719961</v>
      </c>
      <c r="DF24" s="4">
        <f t="shared" si="34"/>
        <v>76.638626851377168</v>
      </c>
      <c r="DG24" s="4">
        <f t="shared" si="34"/>
        <v>77.405013119890938</v>
      </c>
      <c r="DH24" s="4">
        <f t="shared" si="34"/>
        <v>78.179063251089843</v>
      </c>
      <c r="DI24" s="4">
        <f t="shared" si="34"/>
        <v>78.960853883600748</v>
      </c>
      <c r="DJ24" s="4">
        <f t="shared" si="34"/>
        <v>79.750462422436755</v>
      </c>
      <c r="DK24" s="4">
        <f t="shared" si="34"/>
        <v>80.547967046661128</v>
      </c>
      <c r="DL24" s="4">
        <f t="shared" si="34"/>
        <v>81.353446717127738</v>
      </c>
      <c r="DM24" s="4">
        <f t="shared" si="34"/>
        <v>82.166981184299019</v>
      </c>
      <c r="DN24" s="4">
        <f t="shared" si="34"/>
        <v>82.988650996142013</v>
      </c>
      <c r="DO24" s="4">
        <f t="shared" si="34"/>
        <v>83.818537506103439</v>
      </c>
      <c r="DP24" s="4">
        <f t="shared" si="34"/>
        <v>84.65672288116447</v>
      </c>
      <c r="DQ24" s="4">
        <f t="shared" si="34"/>
        <v>85.50329010997612</v>
      </c>
      <c r="DR24" s="4">
        <f t="shared" si="34"/>
        <v>86.358323011075882</v>
      </c>
      <c r="DS24" s="4">
        <f t="shared" si="34"/>
        <v>87.221906241186645</v>
      </c>
      <c r="DT24" s="4">
        <f t="shared" si="34"/>
        <v>88.094125303598517</v>
      </c>
      <c r="DU24" s="4">
        <f t="shared" si="34"/>
        <v>88.975066556634502</v>
      </c>
      <c r="DV24" s="4">
        <f t="shared" si="34"/>
        <v>89.864817222200841</v>
      </c>
      <c r="DW24" s="4">
        <f t="shared" si="34"/>
        <v>90.763465394422852</v>
      </c>
      <c r="DX24" s="4">
        <f t="shared" si="34"/>
        <v>91.67110004836708</v>
      </c>
      <c r="DY24" s="4">
        <f t="shared" si="34"/>
        <v>92.587811048850753</v>
      </c>
      <c r="DZ24" s="4">
        <f t="shared" si="34"/>
        <v>93.513689159339265</v>
      </c>
      <c r="EA24" s="4">
        <f t="shared" si="34"/>
        <v>94.448826050932652</v>
      </c>
      <c r="EB24" s="4">
        <f t="shared" si="34"/>
        <v>95.393314311441983</v>
      </c>
      <c r="EC24" s="4">
        <f t="shared" si="34"/>
        <v>96.34724745455641</v>
      </c>
      <c r="ED24" s="4">
        <f t="shared" si="34"/>
        <v>97.310719929101978</v>
      </c>
      <c r="EE24" s="4">
        <f t="shared" si="34"/>
        <v>98.283827128393</v>
      </c>
      <c r="EF24" s="4">
        <f t="shared" si="34"/>
        <v>99.266665399676924</v>
      </c>
      <c r="EG24" s="4">
        <f t="shared" si="34"/>
        <v>100.25933205367369</v>
      </c>
      <c r="EH24" s="4">
        <f t="shared" si="34"/>
        <v>101.26192537421042</v>
      </c>
      <c r="EI24" s="4">
        <f t="shared" si="34"/>
        <v>102.27454462795252</v>
      </c>
      <c r="EJ24" s="4">
        <f t="shared" si="34"/>
        <v>103.29729007423205</v>
      </c>
      <c r="EK24" s="4">
        <f t="shared" si="34"/>
        <v>104.33026297497437</v>
      </c>
      <c r="EL24" s="4">
        <f t="shared" si="34"/>
        <v>105.37356560472412</v>
      </c>
      <c r="EM24" s="4">
        <f t="shared" si="34"/>
        <v>106.42730126077136</v>
      </c>
      <c r="EN24" s="4">
        <f t="shared" si="34"/>
        <v>107.49157427337907</v>
      </c>
      <c r="EO24" s="4">
        <f t="shared" si="34"/>
        <v>108.56649001611287</v>
      </c>
      <c r="EP24" s="4">
        <f t="shared" si="34"/>
        <v>109.652154916274</v>
      </c>
      <c r="EQ24" s="4">
        <f t="shared" si="34"/>
        <v>110.74867646543674</v>
      </c>
      <c r="ER24" s="4">
        <f t="shared" si="34"/>
        <v>111.85616323009111</v>
      </c>
      <c r="ES24" s="4">
        <f t="shared" si="34"/>
        <v>112.97472486239202</v>
      </c>
      <c r="ET24" s="4">
        <f t="shared" si="34"/>
        <v>114.10447211101594</v>
      </c>
      <c r="EU24" s="4">
        <f t="shared" si="34"/>
        <v>115.2455168321261</v>
      </c>
      <c r="EV24" s="4">
        <f t="shared" si="34"/>
        <v>116.39797200044737</v>
      </c>
      <c r="EW24" s="4">
        <f t="shared" si="34"/>
        <v>117.56195172045184</v>
      </c>
      <c r="EX24" s="4">
        <f t="shared" si="34"/>
        <v>118.73757123765637</v>
      </c>
      <c r="EY24" s="4">
        <f t="shared" si="34"/>
        <v>119.92494695003293</v>
      </c>
      <c r="EZ24" s="4">
        <f t="shared" si="34"/>
        <v>121.12419641953326</v>
      </c>
      <c r="FA24" s="4">
        <f t="shared" si="34"/>
        <v>122.3354383837286</v>
      </c>
      <c r="FB24" s="4">
        <f t="shared" si="34"/>
        <v>123.55879276756589</v>
      </c>
      <c r="FC24" s="4">
        <f t="shared" si="34"/>
        <v>124.79438069524156</v>
      </c>
      <c r="FD24" s="4">
        <f t="shared" si="34"/>
        <v>126.04232450219398</v>
      </c>
      <c r="FE24" s="4">
        <f t="shared" si="34"/>
        <v>127.30274774721592</v>
      </c>
      <c r="FF24" s="4">
        <f t="shared" si="34"/>
        <v>128.57577522468807</v>
      </c>
      <c r="FG24" s="4">
        <f t="shared" si="34"/>
        <v>129.86153297693497</v>
      </c>
      <c r="FH24" s="4">
        <f t="shared" si="34"/>
        <v>131.16014830670431</v>
      </c>
      <c r="FI24" s="4">
        <f t="shared" si="34"/>
        <v>132.47174978977137</v>
      </c>
      <c r="FJ24" s="4">
        <f t="shared" si="34"/>
        <v>133.79646728766909</v>
      </c>
      <c r="FK24" s="4">
        <f t="shared" si="34"/>
        <v>135.13443196054578</v>
      </c>
      <c r="FL24" s="4">
        <f t="shared" si="34"/>
        <v>136.48577628015124</v>
      </c>
      <c r="FM24" s="4">
        <f t="shared" ref="FM24:GO24" si="35">+FL24*(1+$AP$32)</f>
        <v>137.85063404295275</v>
      </c>
      <c r="FN24" s="4">
        <f t="shared" si="35"/>
        <v>139.22914038338229</v>
      </c>
      <c r="FO24" s="4">
        <f t="shared" si="35"/>
        <v>140.62143178721612</v>
      </c>
      <c r="FP24" s="4">
        <f t="shared" si="35"/>
        <v>142.02764610508828</v>
      </c>
      <c r="FQ24" s="4">
        <f t="shared" si="35"/>
        <v>143.44792256613917</v>
      </c>
      <c r="FR24" s="4">
        <f t="shared" si="35"/>
        <v>144.88240179180056</v>
      </c>
      <c r="FS24" s="4">
        <f t="shared" si="35"/>
        <v>146.33122580971857</v>
      </c>
      <c r="FT24" s="4">
        <f t="shared" si="35"/>
        <v>147.79453806781575</v>
      </c>
      <c r="FU24" s="4">
        <f t="shared" si="35"/>
        <v>149.27248344849392</v>
      </c>
      <c r="FV24" s="4">
        <f t="shared" si="35"/>
        <v>150.76520828297885</v>
      </c>
      <c r="FW24" s="4">
        <f t="shared" si="35"/>
        <v>152.27286036580864</v>
      </c>
      <c r="FX24" s="4">
        <f t="shared" si="35"/>
        <v>153.79558896946673</v>
      </c>
      <c r="FY24" s="4">
        <f t="shared" si="35"/>
        <v>155.33354485916141</v>
      </c>
      <c r="FZ24" s="4">
        <f t="shared" si="35"/>
        <v>156.88688030775302</v>
      </c>
      <c r="GA24" s="4">
        <f t="shared" si="35"/>
        <v>158.45574911083054</v>
      </c>
      <c r="GB24" s="4">
        <f t="shared" si="35"/>
        <v>160.04030660193885</v>
      </c>
      <c r="GC24" s="4">
        <f t="shared" si="35"/>
        <v>161.64070966795825</v>
      </c>
      <c r="GD24" s="4">
        <f t="shared" si="35"/>
        <v>163.25711676463783</v>
      </c>
      <c r="GE24" s="4">
        <f t="shared" si="35"/>
        <v>164.8896879322842</v>
      </c>
      <c r="GF24" s="4">
        <f t="shared" si="35"/>
        <v>166.53858481160705</v>
      </c>
      <c r="GG24" s="4">
        <f t="shared" si="35"/>
        <v>168.20397065972313</v>
      </c>
      <c r="GH24" s="4">
        <f t="shared" si="35"/>
        <v>169.88601036632036</v>
      </c>
      <c r="GI24" s="4">
        <f t="shared" si="35"/>
        <v>171.58487046998357</v>
      </c>
      <c r="GJ24" s="4">
        <f t="shared" si="35"/>
        <v>173.30071917468339</v>
      </c>
      <c r="GK24" s="4">
        <f t="shared" si="35"/>
        <v>175.03372636643022</v>
      </c>
      <c r="GL24" s="4">
        <f t="shared" si="35"/>
        <v>176.78406363009452</v>
      </c>
      <c r="GM24" s="4">
        <f t="shared" si="35"/>
        <v>178.55190426639547</v>
      </c>
      <c r="GN24" s="4">
        <f t="shared" si="35"/>
        <v>180.33742330905943</v>
      </c>
      <c r="GO24" s="4">
        <f t="shared" si="35"/>
        <v>182.14079754215004</v>
      </c>
      <c r="GP24" s="4">
        <f t="shared" ref="GP24:GZ24" si="36">+GO24*(1+$AP$32)</f>
        <v>183.96220551757153</v>
      </c>
      <c r="GQ24" s="4">
        <f t="shared" si="36"/>
        <v>185.80182757274724</v>
      </c>
      <c r="GR24" s="4">
        <f t="shared" si="36"/>
        <v>187.6598458484747</v>
      </c>
      <c r="GS24" s="4">
        <f t="shared" si="36"/>
        <v>189.53644430695945</v>
      </c>
      <c r="GT24" s="4">
        <f t="shared" si="36"/>
        <v>191.43180875002906</v>
      </c>
      <c r="GU24" s="4">
        <f t="shared" si="36"/>
        <v>193.34612683752937</v>
      </c>
      <c r="GV24" s="4">
        <f t="shared" si="36"/>
        <v>195.27958810590465</v>
      </c>
      <c r="GW24" s="4">
        <f t="shared" si="36"/>
        <v>197.2323839869637</v>
      </c>
      <c r="GX24" s="4">
        <f t="shared" si="36"/>
        <v>199.20470782683333</v>
      </c>
      <c r="GY24" s="4">
        <f t="shared" si="36"/>
        <v>201.19675490510167</v>
      </c>
      <c r="GZ24" s="4">
        <f t="shared" si="36"/>
        <v>203.20872245415268</v>
      </c>
      <c r="HA24" s="4">
        <f t="shared" ref="HA24:HM24" si="37">+GZ24*(1+$AP$32)</f>
        <v>205.24080967869421</v>
      </c>
      <c r="HB24" s="4">
        <f t="shared" si="37"/>
        <v>207.29321777548114</v>
      </c>
      <c r="HC24" s="4">
        <f t="shared" si="37"/>
        <v>209.36614995323595</v>
      </c>
      <c r="HD24" s="4">
        <f t="shared" si="37"/>
        <v>211.45981145276832</v>
      </c>
      <c r="HE24" s="4">
        <f t="shared" si="37"/>
        <v>213.57440956729602</v>
      </c>
      <c r="HF24" s="4">
        <f t="shared" si="37"/>
        <v>215.71015366296899</v>
      </c>
      <c r="HG24" s="4">
        <f t="shared" si="37"/>
        <v>217.86725519959867</v>
      </c>
      <c r="HH24" s="4">
        <f t="shared" si="37"/>
        <v>220.04592775159466</v>
      </c>
      <c r="HI24" s="4">
        <f t="shared" si="37"/>
        <v>222.24638702911062</v>
      </c>
      <c r="HJ24" s="4">
        <f t="shared" si="37"/>
        <v>224.46885089940173</v>
      </c>
      <c r="HK24" s="4">
        <f t="shared" si="37"/>
        <v>226.71353940839575</v>
      </c>
      <c r="HL24" s="4">
        <f t="shared" si="37"/>
        <v>228.98067480247971</v>
      </c>
      <c r="HM24" s="4">
        <f t="shared" si="37"/>
        <v>231.27048155050451</v>
      </c>
      <c r="HN24" s="4">
        <f t="shared" ref="HN24:HW24" si="38">+HM24*(1+$AP$32)</f>
        <v>233.58318636600956</v>
      </c>
      <c r="HO24" s="4">
        <f t="shared" si="38"/>
        <v>235.91901822966966</v>
      </c>
      <c r="HP24" s="4">
        <f t="shared" si="38"/>
        <v>238.27820841196635</v>
      </c>
      <c r="HQ24" s="4">
        <f t="shared" si="38"/>
        <v>240.66099049608601</v>
      </c>
      <c r="HR24" s="4">
        <f t="shared" si="38"/>
        <v>243.06760040104689</v>
      </c>
      <c r="HS24" s="4">
        <f t="shared" si="38"/>
        <v>245.49827640505737</v>
      </c>
      <c r="HT24" s="4">
        <f t="shared" si="38"/>
        <v>247.95325916910795</v>
      </c>
      <c r="HU24" s="4">
        <f t="shared" si="38"/>
        <v>250.43279176079903</v>
      </c>
      <c r="HV24" s="4">
        <f t="shared" si="38"/>
        <v>252.93711967840702</v>
      </c>
      <c r="HW24" s="4">
        <f t="shared" si="38"/>
        <v>255.46649087519108</v>
      </c>
      <c r="HX24" s="4">
        <f t="shared" ref="HX24:IF24" si="39">+HW24*(1+$AP$32)</f>
        <v>258.02115578394302</v>
      </c>
      <c r="HY24" s="4">
        <f t="shared" si="39"/>
        <v>260.60136734178246</v>
      </c>
      <c r="HZ24" s="4">
        <f t="shared" si="39"/>
        <v>263.20738101520027</v>
      </c>
      <c r="IA24" s="4">
        <f t="shared" si="39"/>
        <v>265.83945482535228</v>
      </c>
      <c r="IB24" s="4">
        <f t="shared" si="39"/>
        <v>268.49784937360579</v>
      </c>
      <c r="IC24" s="4">
        <f t="shared" si="39"/>
        <v>271.18282786734187</v>
      </c>
      <c r="ID24" s="4">
        <f t="shared" si="39"/>
        <v>273.89465614601528</v>
      </c>
    </row>
    <row r="25" spans="2:238" x14ac:dyDescent="0.2">
      <c r="B25" s="6" t="s">
        <v>37</v>
      </c>
      <c r="C25" s="16">
        <v>120</v>
      </c>
      <c r="D25" s="16">
        <v>122</v>
      </c>
      <c r="E25" s="16">
        <v>123</v>
      </c>
      <c r="F25" s="16">
        <v>123</v>
      </c>
      <c r="G25" s="16">
        <v>127</v>
      </c>
      <c r="H25" s="16">
        <v>129</v>
      </c>
      <c r="I25" s="16">
        <v>130</v>
      </c>
      <c r="J25" s="16">
        <v>128</v>
      </c>
    </row>
    <row r="27" spans="2:238" x14ac:dyDescent="0.2">
      <c r="B27" s="4" t="s">
        <v>22</v>
      </c>
    </row>
    <row r="28" spans="2:238" s="7" customFormat="1" x14ac:dyDescent="0.2">
      <c r="B28" s="7" t="s">
        <v>21</v>
      </c>
      <c r="C28" s="15"/>
      <c r="D28" s="15"/>
      <c r="E28" s="15"/>
      <c r="F28" s="15"/>
      <c r="G28" s="15">
        <f>+G10/C10-1</f>
        <v>3.6643459142537971E-4</v>
      </c>
      <c r="H28" s="15">
        <f>+H10/D10-1</f>
        <v>5.0048123195380212E-2</v>
      </c>
      <c r="I28" s="15">
        <f>+I10/E10-1</f>
        <v>8.07905686546464E-2</v>
      </c>
      <c r="J28" s="15">
        <f>+J10/F10-1</f>
        <v>6.9208586991349019E-2</v>
      </c>
      <c r="K28" s="15"/>
      <c r="L28" s="15"/>
      <c r="M28" s="15"/>
      <c r="N28" s="15"/>
      <c r="O28" s="25"/>
      <c r="P28" s="25"/>
      <c r="Q28" s="25"/>
      <c r="Y28" s="7">
        <f>+Y10/X10-1</f>
        <v>-0.10869565217391308</v>
      </c>
      <c r="Z28" s="7">
        <f>+Z10/Y10-1</f>
        <v>-1.7596988050417428E-2</v>
      </c>
      <c r="AA28" s="7">
        <f>+AA10/Z10-1</f>
        <v>-1.2663500791468829E-2</v>
      </c>
      <c r="AB28" s="7">
        <f>+AB10/AA10-1</f>
        <v>5.1134925322757541E-2</v>
      </c>
      <c r="AC28" s="7">
        <f t="shared" ref="AC28:AM28" si="40">+AC10/AB10-1</f>
        <v>4.1920205506943864E-2</v>
      </c>
      <c r="AD28" s="7">
        <f t="shared" si="40"/>
        <v>4.0000000000000036E-2</v>
      </c>
      <c r="AE28" s="7">
        <f t="shared" si="40"/>
        <v>4.0000000000000036E-2</v>
      </c>
      <c r="AF28" s="7">
        <f t="shared" si="40"/>
        <v>3.9999999999999813E-2</v>
      </c>
      <c r="AG28" s="7">
        <f t="shared" si="40"/>
        <v>4.0000000000000036E-2</v>
      </c>
      <c r="AH28" s="7">
        <f t="shared" si="40"/>
        <v>4.0000000000000036E-2</v>
      </c>
      <c r="AI28" s="7">
        <f t="shared" si="40"/>
        <v>3.9999999999999813E-2</v>
      </c>
      <c r="AJ28" s="7">
        <f t="shared" si="40"/>
        <v>4.0000000000000258E-2</v>
      </c>
      <c r="AK28" s="7">
        <f t="shared" si="40"/>
        <v>4.0000000000000036E-2</v>
      </c>
      <c r="AL28" s="7">
        <f t="shared" si="40"/>
        <v>3.9999999999999813E-2</v>
      </c>
    </row>
    <row r="30" spans="2:238" s="4" customFormat="1" x14ac:dyDescent="0.2">
      <c r="B30" s="4" t="s">
        <v>34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21"/>
      <c r="P30" s="21"/>
      <c r="Q30" s="21"/>
    </row>
    <row r="31" spans="2:238" x14ac:dyDescent="0.2">
      <c r="B31" s="6" t="s">
        <v>35</v>
      </c>
      <c r="C31" s="15">
        <f>IF(C10 = "", "", (C10-C15)/C10)</f>
        <v>0.30010993037742761</v>
      </c>
      <c r="D31" s="15">
        <f>IF(D10 = "", "", (D10-D15)/D10)</f>
        <v>0.3018928456849535</v>
      </c>
      <c r="E31" s="15">
        <f>IF(E10 = "", "", (E10-E15)/E10)</f>
        <v>0.30270457697642161</v>
      </c>
      <c r="F31" s="15">
        <f>IF(F10 = "", "", (F10-F15)/F10)</f>
        <v>0.30150592758731176</v>
      </c>
      <c r="G31" s="15">
        <f t="shared" ref="G31" si="41">IF(G10 = "", "", (G10-G15)/G10)</f>
        <v>0.30659340659340661</v>
      </c>
      <c r="H31" s="15">
        <f>IF(H10 = "", "", (H10-H15)/H10)</f>
        <v>0.30064161319890009</v>
      </c>
      <c r="I31" s="15">
        <f>IF(I10 = "", "", (I10-I15)/I10)</f>
        <v>0.29964709656721206</v>
      </c>
      <c r="J31" s="15">
        <f>IF(J10 = "", "", (J10-J15)/J10)</f>
        <v>0.30266706622715012</v>
      </c>
      <c r="K31" s="15" t="str">
        <f>IF(K10 = "", "", (K10-K15)/K10)</f>
        <v/>
      </c>
      <c r="L31" s="15" t="str">
        <f>IF(L10 = "", "", (L10-L15)/L10)</f>
        <v/>
      </c>
      <c r="M31" s="15" t="str">
        <f>IF(M10 = "", "", (M10-M15)/M10)</f>
        <v/>
      </c>
      <c r="N31" s="15"/>
      <c r="O31" s="25"/>
      <c r="P31" s="25"/>
      <c r="Q31" s="25"/>
      <c r="R31" s="7" t="str">
        <f>IF(R10 = "", "", (R10-R15)/R10)</f>
        <v/>
      </c>
      <c r="S31" s="7" t="str">
        <f>IF(S10 = "", "", (S10-S15)/S10)</f>
        <v/>
      </c>
      <c r="T31" s="7" t="str">
        <f>IF(T10 = "", "", (T10-T15)/T10)</f>
        <v/>
      </c>
      <c r="U31" s="7" t="str">
        <f>IF(U10 = "", "", (U10-U15)/U10)</f>
        <v/>
      </c>
      <c r="V31" s="7" t="str">
        <f>IF(V10 = "", "", (V10-V15)/V10)</f>
        <v/>
      </c>
      <c r="W31" s="7" t="str">
        <f>IF(W10 = "", "", (W10-W15)/W10)</f>
        <v/>
      </c>
      <c r="X31" s="7">
        <f>IF(X10 = "", "", (X10-X15)/X10)</f>
        <v>0.2841406477969069</v>
      </c>
      <c r="Y31" s="7">
        <f>IF(Y10 = "", "", (Y10-Y15)/Y10)</f>
        <v>0.27958749386151582</v>
      </c>
      <c r="Z31" s="7">
        <f>IF(Z10 = "", "", (Z10-Z15)/Z10)</f>
        <v>0.30550695659418481</v>
      </c>
      <c r="AA31" s="7">
        <f>IF(AA10 = "", "", (AA10-AA15)/AA10)</f>
        <v>0.30157792591342503</v>
      </c>
      <c r="AB31" s="7">
        <f>IF(AB10 = "", "", (AB10-AB15)/AB10)</f>
        <v>0.30223970458376814</v>
      </c>
      <c r="AC31" s="7">
        <f>IF(AC10 = "", "", (AC10-AC15)/AC10)</f>
        <v>0.30223970458376809</v>
      </c>
      <c r="AD31" s="7">
        <f t="shared" ref="AD31:AL31" si="42">IF(AD10 = "", "", (AD10-AD15)/AD10)</f>
        <v>0.30223970458376809</v>
      </c>
      <c r="AE31" s="7">
        <f t="shared" si="42"/>
        <v>0.30223970458376803</v>
      </c>
      <c r="AF31" s="7">
        <f t="shared" si="42"/>
        <v>0.30223970458376803</v>
      </c>
      <c r="AG31" s="7">
        <f t="shared" si="42"/>
        <v>0.30223970458376803</v>
      </c>
      <c r="AH31" s="7">
        <f t="shared" si="42"/>
        <v>0.30223970458376803</v>
      </c>
      <c r="AI31" s="7">
        <f t="shared" si="42"/>
        <v>0.30223970458376803</v>
      </c>
      <c r="AJ31" s="7">
        <f t="shared" si="42"/>
        <v>0.30223970458376803</v>
      </c>
      <c r="AK31" s="7">
        <f t="shared" si="42"/>
        <v>0.30223970458376803</v>
      </c>
      <c r="AL31" s="7">
        <f t="shared" si="42"/>
        <v>0.30223970458376803</v>
      </c>
    </row>
    <row r="32" spans="2:238" x14ac:dyDescent="0.2">
      <c r="B32" s="6" t="s">
        <v>3</v>
      </c>
      <c r="C32" s="15">
        <f>IF(C15 = "", "", C15/C10)</f>
        <v>0.69989006962257239</v>
      </c>
      <c r="D32" s="15">
        <f>IF(D15 = "", "", D15/D10)</f>
        <v>0.69810715431504655</v>
      </c>
      <c r="E32" s="15">
        <f>IF(E15 = "", "", E15/E10)</f>
        <v>0.69729542302357839</v>
      </c>
      <c r="F32" s="15">
        <f>IF(F15 = "", "", F15/F10)</f>
        <v>0.69849407241268824</v>
      </c>
      <c r="G32" s="15">
        <f t="shared" ref="G32" si="43">IF(G15 = "", "", G15/G10)</f>
        <v>0.69340659340659339</v>
      </c>
      <c r="H32" s="15">
        <f>IF(H15 = "", "", H15/H10)</f>
        <v>0.69935838680109996</v>
      </c>
      <c r="I32" s="15">
        <f>IF(I15 = "", "", I15/I10)</f>
        <v>0.70035290343278789</v>
      </c>
      <c r="J32" s="15">
        <f>IF(J15 = "", "", J15/J10)</f>
        <v>0.69733293377284988</v>
      </c>
      <c r="K32" s="15" t="str">
        <f>IF(K15 = "", "", K15/K10)</f>
        <v/>
      </c>
      <c r="L32" s="15" t="str">
        <f>IF(L15 = "", "", L15/L10)</f>
        <v/>
      </c>
      <c r="M32" s="15" t="str">
        <f>IF(M15 = "", "", M15/M10)</f>
        <v/>
      </c>
      <c r="N32" s="15"/>
      <c r="O32" s="25"/>
      <c r="P32" s="25"/>
      <c r="Q32" s="25"/>
      <c r="R32" s="7" t="str">
        <f>IF(R15 = "", "", R15/R10)</f>
        <v/>
      </c>
      <c r="S32" s="7" t="str">
        <f>IF(S15 = "", "", S15/S10)</f>
        <v/>
      </c>
      <c r="T32" s="7" t="str">
        <f>IF(T15 = "", "", T15/T10)</f>
        <v/>
      </c>
      <c r="U32" s="7" t="str">
        <f>IF(U15 = "", "", U15/U10)</f>
        <v/>
      </c>
      <c r="V32" s="7" t="str">
        <f>IF(V15 = "", "", V15/V10)</f>
        <v/>
      </c>
      <c r="W32" s="7" t="str">
        <f>IF(W15 = "", "", W15/W10)</f>
        <v/>
      </c>
      <c r="X32" s="7">
        <f>IF(X15 = "", "", X15/X10)</f>
        <v>0.71585935220309305</v>
      </c>
      <c r="Y32" s="7">
        <f>IF(Y15 = "", "", Y15/Y10)</f>
        <v>0.72041250613848418</v>
      </c>
      <c r="Z32" s="7">
        <f>IF(Z15 = "", "", Z15/Z10)</f>
        <v>0.69449304340581519</v>
      </c>
      <c r="AA32" s="7">
        <f>IF(AA15 = "", "", AA15/AA10)</f>
        <v>0.69842207408657497</v>
      </c>
      <c r="AB32" s="7">
        <f>IF(AB15 = "", "", AB15/AB10)</f>
        <v>0.69776029541623186</v>
      </c>
      <c r="AC32" s="7">
        <f>IF(AC15 = "", "", AC15/AC10)</f>
        <v>0.69776029541623197</v>
      </c>
      <c r="AD32" s="7">
        <f t="shared" ref="AD32:AL32" si="44">IF(AD15 = "", "", AD15/AD10)</f>
        <v>0.69776029541623197</v>
      </c>
      <c r="AE32" s="7">
        <f t="shared" si="44"/>
        <v>0.69776029541623197</v>
      </c>
      <c r="AF32" s="7">
        <f t="shared" si="44"/>
        <v>0.69776029541623197</v>
      </c>
      <c r="AG32" s="7">
        <f t="shared" si="44"/>
        <v>0.69776029541623197</v>
      </c>
      <c r="AH32" s="7">
        <f t="shared" si="44"/>
        <v>0.69776029541623197</v>
      </c>
      <c r="AI32" s="7">
        <f t="shared" si="44"/>
        <v>0.69776029541623197</v>
      </c>
      <c r="AJ32" s="7">
        <f t="shared" si="44"/>
        <v>0.69776029541623197</v>
      </c>
      <c r="AK32" s="7">
        <f t="shared" si="44"/>
        <v>0.69776029541623197</v>
      </c>
      <c r="AL32" s="7">
        <f t="shared" si="44"/>
        <v>0.69776029541623197</v>
      </c>
      <c r="AO32" s="6" t="s">
        <v>42</v>
      </c>
      <c r="AP32" s="7">
        <v>0.01</v>
      </c>
    </row>
    <row r="33" spans="2:238" x14ac:dyDescent="0.2">
      <c r="B33" s="6" t="s">
        <v>23</v>
      </c>
      <c r="C33" s="15">
        <f>+IF(C16 = "", "", C16/C10)</f>
        <v>4.2872847196775372E-2</v>
      </c>
      <c r="D33" s="15">
        <f>+IF(D16 = "", "", D16/D10)</f>
        <v>3.8819377606673082E-2</v>
      </c>
      <c r="E33" s="15">
        <f>+IF(E16 = "", "", E16/E10)</f>
        <v>3.8834951456310676E-2</v>
      </c>
      <c r="F33" s="15">
        <f>+IF(F16 = "", "", F16/F10)</f>
        <v>3.8449214995193846E-2</v>
      </c>
      <c r="G33" s="15">
        <f t="shared" ref="G33" si="45">+IF(G16 = "", "", G16/G10)</f>
        <v>3.9194139194139194E-2</v>
      </c>
      <c r="H33" s="15">
        <f>+IF(H16 = "", "", H16/H10)</f>
        <v>3.6969141460433855E-2</v>
      </c>
      <c r="I33" s="15">
        <f>+IF(I16 = "", "", I16/I10)</f>
        <v>3.7856913699069621E-2</v>
      </c>
      <c r="J33" s="15">
        <f>+IF(J16 = "", "", J16/J10)</f>
        <v>3.7458795325142347E-2</v>
      </c>
      <c r="K33" s="15" t="str">
        <f>+IF(K16 = "", "", K16/K10)</f>
        <v/>
      </c>
      <c r="L33" s="15" t="str">
        <f>+IF(L16 = "", "", L16/L10)</f>
        <v/>
      </c>
      <c r="M33" s="15" t="str">
        <f>+IF(M16 = "", "", M16/M10)</f>
        <v/>
      </c>
      <c r="N33" s="15"/>
      <c r="O33" s="25"/>
      <c r="P33" s="25"/>
      <c r="Q33" s="25"/>
      <c r="R33" s="7" t="str">
        <f>+IF(R16 = "", "", R16/R10)</f>
        <v/>
      </c>
      <c r="S33" s="7" t="str">
        <f>+IF(S16 = "", "", S16/S10)</f>
        <v/>
      </c>
      <c r="T33" s="7" t="str">
        <f>+IF(T16 = "", "", T16/T10)</f>
        <v/>
      </c>
      <c r="U33" s="7" t="str">
        <f>+IF(U16 = "", "", U16/U10)</f>
        <v/>
      </c>
      <c r="V33" s="7" t="str">
        <f>+IF(V16 = "", "", V16/V10)</f>
        <v/>
      </c>
      <c r="W33" s="7" t="str">
        <f>+IF(W16 = "", "", W16/W10)</f>
        <v/>
      </c>
      <c r="X33" s="7">
        <f>+IF(X16 = "", "", X16/X10)</f>
        <v>4.2602859644003503E-2</v>
      </c>
      <c r="Y33" s="7">
        <f>+IF(Y16 = "", "", Y16/Y10)</f>
        <v>5.172696022262236E-2</v>
      </c>
      <c r="Z33" s="7">
        <f>+IF(Z16 = "", "", Z16/Z10)</f>
        <v>4.6405065400316588E-2</v>
      </c>
      <c r="AA33" s="7">
        <f>+IF(AA16 = "", "", AA16/AA10)</f>
        <v>3.9659100497848286E-2</v>
      </c>
      <c r="AB33" s="7">
        <f>+IF(AB16 = "", "", AB16/AB10)</f>
        <v>3.7810066629204463E-2</v>
      </c>
      <c r="AC33" s="7">
        <f>+IF(AC16 = "", "", AC16/AC10)</f>
        <v>3.7810066629204463E-2</v>
      </c>
      <c r="AD33" s="7">
        <f t="shared" ref="AD33:AL33" si="46">+IF(AD16 = "", "", AD16/AD10)</f>
        <v>3.7810066629204463E-2</v>
      </c>
      <c r="AE33" s="7">
        <f t="shared" si="46"/>
        <v>3.7810066629204463E-2</v>
      </c>
      <c r="AF33" s="7">
        <f t="shared" si="46"/>
        <v>3.7810066629204463E-2</v>
      </c>
      <c r="AG33" s="7">
        <f t="shared" si="46"/>
        <v>3.7810066629204463E-2</v>
      </c>
      <c r="AH33" s="7">
        <f t="shared" si="46"/>
        <v>3.7810066629204463E-2</v>
      </c>
      <c r="AI33" s="7">
        <f t="shared" si="46"/>
        <v>3.7810066629204463E-2</v>
      </c>
      <c r="AJ33" s="7">
        <f t="shared" si="46"/>
        <v>3.7810066629204463E-2</v>
      </c>
      <c r="AK33" s="7">
        <f t="shared" si="46"/>
        <v>3.7810066629204463E-2</v>
      </c>
      <c r="AL33" s="7">
        <f t="shared" si="46"/>
        <v>3.7810066629204463E-2</v>
      </c>
      <c r="AO33" s="6" t="s">
        <v>43</v>
      </c>
      <c r="AP33" s="48">
        <v>0.08</v>
      </c>
    </row>
    <row r="34" spans="2:238" x14ac:dyDescent="0.2">
      <c r="B34" s="6" t="s">
        <v>24</v>
      </c>
      <c r="C34" s="15">
        <f>+IF(C17 = "","", C17/C10)</f>
        <v>0.1187248076218395</v>
      </c>
      <c r="D34" s="15">
        <f>+IF(D17 = "","", D17/D10)</f>
        <v>0.11709977542508823</v>
      </c>
      <c r="E34" s="15">
        <f>+IF(E17 = "","", E17/E10)</f>
        <v>0.12274618585298197</v>
      </c>
      <c r="F34" s="15">
        <f>+IF(F17 = "","", F17/F10)</f>
        <v>0.13745594360781802</v>
      </c>
      <c r="G34" s="15">
        <f t="shared" ref="G34" si="47">+IF(G17 = "","", G17/G10)</f>
        <v>0.126007326007326</v>
      </c>
      <c r="H34" s="15">
        <f>+IF(H17 = "","", H17/H10)</f>
        <v>0.11365719523373052</v>
      </c>
      <c r="I34" s="15">
        <f>+IF(I17 = "","", I17/I10)</f>
        <v>0.10587102983638114</v>
      </c>
      <c r="J34" s="15">
        <f>+IF(J17 = "","", J17/J10)</f>
        <v>0.11357506742583158</v>
      </c>
      <c r="K34" s="15" t="str">
        <f>+IF(K17 = "","", K17/K10)</f>
        <v/>
      </c>
      <c r="L34" s="15" t="str">
        <f>+IF(L17 = "","", L17/L10)</f>
        <v/>
      </c>
      <c r="M34" s="15" t="str">
        <f>+IF(M17 = "","", M17/M10)</f>
        <v/>
      </c>
      <c r="N34" s="15"/>
      <c r="O34" s="25"/>
      <c r="P34" s="25"/>
      <c r="Q34" s="25"/>
      <c r="R34" s="7" t="str">
        <f>+IF(R17 = "","", R17/R10)</f>
        <v/>
      </c>
      <c r="S34" s="7" t="str">
        <f>+IF(S17 = "","", S17/S10)</f>
        <v/>
      </c>
      <c r="T34" s="7" t="str">
        <f>+IF(T17 = "","", T17/T10)</f>
        <v/>
      </c>
      <c r="U34" s="7" t="str">
        <f>+IF(U17 = "","", U17/U10)</f>
        <v/>
      </c>
      <c r="V34" s="7" t="str">
        <f>+IF(V17 = "","", V17/V10)</f>
        <v/>
      </c>
      <c r="W34" s="7" t="str">
        <f>+IF(W17 = "","", W17/W10)</f>
        <v/>
      </c>
      <c r="X34" s="7">
        <f>+IF(X17 = "","", X17/X10)</f>
        <v>0.10052524073533703</v>
      </c>
      <c r="Y34" s="7">
        <f>+IF(Y17 = "","", Y17/Y10)</f>
        <v>0.12055982975937142</v>
      </c>
      <c r="Z34" s="7">
        <f>+IF(Z17 = "","", Z17/Z10)</f>
        <v>0.11638756977422311</v>
      </c>
      <c r="AA34" s="7">
        <f>+IF(AA17 = "","", AA17/AA10)</f>
        <v>0.12420892751666526</v>
      </c>
      <c r="AB34" s="7">
        <f>+IF(AB17 = "","", AB17/AB10)</f>
        <v>0.11439351368708357</v>
      </c>
      <c r="AC34" s="7">
        <f>+IF(AC17 = "","", AC17/AC10)</f>
        <v>0.11439351368708357</v>
      </c>
      <c r="AD34" s="7">
        <f t="shared" ref="AD34:AL34" si="48">+IF(AD17 = "","", AD17/AD10)</f>
        <v>0.11439351368708357</v>
      </c>
      <c r="AE34" s="7">
        <f t="shared" si="48"/>
        <v>0.11439351368708357</v>
      </c>
      <c r="AF34" s="7">
        <f t="shared" si="48"/>
        <v>0.11439351368708357</v>
      </c>
      <c r="AG34" s="7">
        <f t="shared" si="48"/>
        <v>0.11439351368708357</v>
      </c>
      <c r="AH34" s="7">
        <f t="shared" si="48"/>
        <v>0.11439351368708357</v>
      </c>
      <c r="AI34" s="7">
        <f t="shared" si="48"/>
        <v>0.11439351368708357</v>
      </c>
      <c r="AJ34" s="7">
        <f t="shared" si="48"/>
        <v>0.11439351368708357</v>
      </c>
      <c r="AK34" s="7">
        <f t="shared" si="48"/>
        <v>0.11439351368708357</v>
      </c>
      <c r="AL34" s="7">
        <f t="shared" si="48"/>
        <v>0.11439351368708359</v>
      </c>
      <c r="AO34" s="6" t="s">
        <v>44</v>
      </c>
      <c r="AP34" s="6">
        <f>NPV(AP33,AC24:ID24)</f>
        <v>378.48377491130049</v>
      </c>
    </row>
    <row r="35" spans="2:238" x14ac:dyDescent="0.2">
      <c r="B35" s="6" t="s">
        <v>36</v>
      </c>
      <c r="C35" s="15">
        <f>IF(C19 = "", "", C19/C10)</f>
        <v>-5.7163796262367166E-2</v>
      </c>
      <c r="D35" s="15">
        <f>IF(D19 = "", "", D19/D10)</f>
        <v>-1.0907924286172602E-2</v>
      </c>
      <c r="E35" s="15">
        <f>IF(E19 = "", "", E19/E10)</f>
        <v>-2.5312066574202496E-2</v>
      </c>
      <c r="F35" s="15">
        <f>IF(F19 = "", "", F19/F10)</f>
        <v>0.29413649471323294</v>
      </c>
      <c r="G35" s="15">
        <f t="shared" ref="G35" si="49">IF(G19 = "", "", G19/G10)</f>
        <v>-1.575091575091575E-2</v>
      </c>
      <c r="H35" s="15">
        <f>IF(H19 = "", "", H19/H10)</f>
        <v>7.9437824625725635E-3</v>
      </c>
      <c r="I35" s="15">
        <f>IF(I19 = "", "", I19/I10)</f>
        <v>1.315367340391402E-2</v>
      </c>
      <c r="J35" s="15">
        <f>IF(J19 = "", "", J19/J10)</f>
        <v>2.0677255019478574E-2</v>
      </c>
      <c r="K35" s="15" t="str">
        <f>IF(K19 = "", "", K19/K10)</f>
        <v/>
      </c>
      <c r="L35" s="15" t="str">
        <f>IF(L19 = "", "", L19/L10)</f>
        <v/>
      </c>
      <c r="M35" s="15" t="str">
        <f>IF(M19 = "", "", M19/M10)</f>
        <v/>
      </c>
      <c r="N35" s="15"/>
      <c r="O35" s="25"/>
      <c r="P35" s="25"/>
      <c r="Q35" s="25"/>
      <c r="R35" s="7" t="str">
        <f>IF(R19 = "", "", R19/R10)</f>
        <v/>
      </c>
      <c r="S35" s="7" t="str">
        <f>IF(S19 = "", "", S19/S10)</f>
        <v/>
      </c>
      <c r="T35" s="7" t="str">
        <f>IF(T19 = "", "", T19/T10)</f>
        <v/>
      </c>
      <c r="U35" s="7" t="str">
        <f>IF(U19 = "", "", U19/U10)</f>
        <v/>
      </c>
      <c r="V35" s="7" t="str">
        <f>IF(V19 = "", "", V19/V10)</f>
        <v/>
      </c>
      <c r="W35" s="7" t="str">
        <f>IF(W19 = "", "", W19/W10)</f>
        <v/>
      </c>
      <c r="X35" s="7">
        <f>IF(X19 = "", "", X19/X10)</f>
        <v>-5.9819083746717244E-3</v>
      </c>
      <c r="Y35" s="7">
        <f>IF(Y19 = "", "", Y19/Y10)</f>
        <v>-0.10754624324766737</v>
      </c>
      <c r="Z35" s="7">
        <f>IF(Z19 = "", "", Z19/Z10)</f>
        <v>-6.1151378821961179E-2</v>
      </c>
      <c r="AA35" s="7">
        <f>IF(AA19 = "", "", AA19/AA10)</f>
        <v>5.5269597502320481E-2</v>
      </c>
      <c r="AB35" s="7">
        <f>IF(AB19 = "", "", AB19/AB10)</f>
        <v>7.4656819458938746E-3</v>
      </c>
      <c r="AC35" s="7">
        <f>IF(AC19 = "", "", AC19/AC10)</f>
        <v>7.4656819458938104E-3</v>
      </c>
      <c r="AD35" s="7">
        <f t="shared" ref="AD35:AL35" si="50">IF(AD19 = "", "", AD19/AD10)</f>
        <v>7.4656819458937401E-3</v>
      </c>
      <c r="AE35" s="7">
        <f t="shared" si="50"/>
        <v>7.4656819458936725E-3</v>
      </c>
      <c r="AF35" s="7">
        <f t="shared" si="50"/>
        <v>7.4656819458936881E-3</v>
      </c>
      <c r="AG35" s="7">
        <f t="shared" si="50"/>
        <v>7.465681945893793E-3</v>
      </c>
      <c r="AH35" s="7">
        <f t="shared" si="50"/>
        <v>7.4656819458938156E-3</v>
      </c>
      <c r="AI35" s="7">
        <f t="shared" si="50"/>
        <v>7.465681945893741E-3</v>
      </c>
      <c r="AJ35" s="7">
        <f t="shared" si="50"/>
        <v>7.4656819458936456E-3</v>
      </c>
      <c r="AK35" s="7">
        <f t="shared" si="50"/>
        <v>7.4656819458937592E-3</v>
      </c>
      <c r="AL35" s="7">
        <f t="shared" si="50"/>
        <v>7.4656819458938E-3</v>
      </c>
      <c r="AO35" s="6" t="s">
        <v>45</v>
      </c>
      <c r="AP35" s="6">
        <f>+Main!H8</f>
        <v>130.74786269999998</v>
      </c>
    </row>
    <row r="36" spans="2:238" x14ac:dyDescent="0.2">
      <c r="Z36" s="7"/>
      <c r="AA36" s="7"/>
      <c r="AB36" s="7"/>
      <c r="AO36" s="4" t="s">
        <v>46</v>
      </c>
      <c r="AP36" s="6">
        <f>+AP34/AP35</f>
        <v>2.8947607027407303</v>
      </c>
    </row>
    <row r="37" spans="2:238" x14ac:dyDescent="0.2">
      <c r="AO37" s="6" t="s">
        <v>47</v>
      </c>
      <c r="AP37" s="6">
        <f>+Main!H7</f>
        <v>76.33</v>
      </c>
    </row>
    <row r="39" spans="2:238" x14ac:dyDescent="0.2">
      <c r="B39" s="6" t="s">
        <v>48</v>
      </c>
      <c r="Z39" s="6">
        <v>349</v>
      </c>
      <c r="AA39" s="6">
        <v>317</v>
      </c>
      <c r="AB39" s="6">
        <v>534</v>
      </c>
    </row>
    <row r="40" spans="2:238" x14ac:dyDescent="0.2">
      <c r="B40" s="6" t="s">
        <v>49</v>
      </c>
      <c r="Z40" s="6">
        <v>-148</v>
      </c>
      <c r="AA40" s="6">
        <v>-73</v>
      </c>
      <c r="AB40" s="6">
        <v>-70</v>
      </c>
    </row>
    <row r="41" spans="2:238" x14ac:dyDescent="0.2">
      <c r="B41" s="6" t="s">
        <v>50</v>
      </c>
      <c r="Z41" s="6">
        <f>+Z39+Z40</f>
        <v>201</v>
      </c>
      <c r="AA41" s="6">
        <f>+AA39+AA40</f>
        <v>244</v>
      </c>
      <c r="AB41" s="6">
        <f>+AB39+AB40</f>
        <v>464</v>
      </c>
      <c r="AC41" s="6">
        <f>+AB41*1.02</f>
        <v>473.28000000000003</v>
      </c>
      <c r="AD41" s="6">
        <f t="shared" ref="AD41:AL41" si="51">+AC41*1.02</f>
        <v>482.74560000000002</v>
      </c>
      <c r="AE41" s="6">
        <f t="shared" si="51"/>
        <v>492.40051200000005</v>
      </c>
      <c r="AF41" s="6">
        <f t="shared" si="51"/>
        <v>502.24852224000006</v>
      </c>
      <c r="AG41" s="6">
        <f t="shared" si="51"/>
        <v>512.29349268480007</v>
      </c>
      <c r="AH41" s="6">
        <f t="shared" si="51"/>
        <v>522.53936253849611</v>
      </c>
      <c r="AI41" s="6">
        <f t="shared" si="51"/>
        <v>532.99014978926607</v>
      </c>
      <c r="AJ41" s="6">
        <f t="shared" si="51"/>
        <v>543.64995278505137</v>
      </c>
      <c r="AK41" s="6">
        <f t="shared" si="51"/>
        <v>554.5229518407524</v>
      </c>
      <c r="AL41" s="6">
        <f t="shared" si="51"/>
        <v>565.6134108775675</v>
      </c>
      <c r="AM41" s="4">
        <f>+AL41*(1+$AP$32)</f>
        <v>571.26954498634313</v>
      </c>
      <c r="AN41" s="4">
        <f t="shared" ref="AN41:CY41" si="52">+AM41*(1+$AP$32)</f>
        <v>576.98224043620655</v>
      </c>
      <c r="AO41" s="4">
        <f t="shared" si="52"/>
        <v>582.75206284056867</v>
      </c>
      <c r="AP41" s="4">
        <f t="shared" si="52"/>
        <v>588.57958346897431</v>
      </c>
      <c r="AQ41" s="4">
        <f t="shared" si="52"/>
        <v>594.46537930366401</v>
      </c>
      <c r="AR41" s="4">
        <f t="shared" si="52"/>
        <v>600.41003309670066</v>
      </c>
      <c r="AS41" s="4">
        <f t="shared" si="52"/>
        <v>606.41413342766771</v>
      </c>
      <c r="AT41" s="4">
        <f t="shared" si="52"/>
        <v>612.47827476194436</v>
      </c>
      <c r="AU41" s="4">
        <f t="shared" si="52"/>
        <v>618.60305750956377</v>
      </c>
      <c r="AV41" s="4">
        <f t="shared" si="52"/>
        <v>624.7890880846594</v>
      </c>
      <c r="AW41" s="4">
        <f t="shared" si="52"/>
        <v>631.03697896550602</v>
      </c>
      <c r="AX41" s="4">
        <f t="shared" si="52"/>
        <v>637.34734875516108</v>
      </c>
      <c r="AY41" s="4">
        <f t="shared" si="52"/>
        <v>643.72082224271264</v>
      </c>
      <c r="AZ41" s="4">
        <f t="shared" si="52"/>
        <v>650.15803046513975</v>
      </c>
      <c r="BA41" s="4">
        <f t="shared" si="52"/>
        <v>656.65961076979113</v>
      </c>
      <c r="BB41" s="4">
        <f t="shared" si="52"/>
        <v>663.22620687748906</v>
      </c>
      <c r="BC41" s="4">
        <f t="shared" si="52"/>
        <v>669.858468946264</v>
      </c>
      <c r="BD41" s="4">
        <f t="shared" si="52"/>
        <v>676.55705363572667</v>
      </c>
      <c r="BE41" s="4">
        <f t="shared" si="52"/>
        <v>683.32262417208392</v>
      </c>
      <c r="BF41" s="4">
        <f t="shared" si="52"/>
        <v>690.15585041380473</v>
      </c>
      <c r="BG41" s="4">
        <f t="shared" si="52"/>
        <v>697.05740891794278</v>
      </c>
      <c r="BH41" s="4">
        <f t="shared" si="52"/>
        <v>704.0279830071222</v>
      </c>
      <c r="BI41" s="4">
        <f t="shared" si="52"/>
        <v>711.0682628371934</v>
      </c>
      <c r="BJ41" s="4">
        <f t="shared" si="52"/>
        <v>718.17894546556533</v>
      </c>
      <c r="BK41" s="4">
        <f t="shared" si="52"/>
        <v>725.36073492022103</v>
      </c>
      <c r="BL41" s="4">
        <f t="shared" si="52"/>
        <v>732.61434226942322</v>
      </c>
      <c r="BM41" s="4">
        <f t="shared" si="52"/>
        <v>739.94048569211748</v>
      </c>
      <c r="BN41" s="4">
        <f t="shared" si="52"/>
        <v>747.33989054903861</v>
      </c>
      <c r="BO41" s="4">
        <f t="shared" si="52"/>
        <v>754.81328945452901</v>
      </c>
      <c r="BP41" s="4">
        <f t="shared" si="52"/>
        <v>762.36142234907436</v>
      </c>
      <c r="BQ41" s="4">
        <f t="shared" si="52"/>
        <v>769.98503657256515</v>
      </c>
      <c r="BR41" s="4">
        <f t="shared" si="52"/>
        <v>777.68488693829079</v>
      </c>
      <c r="BS41" s="4">
        <f t="shared" si="52"/>
        <v>785.46173580767368</v>
      </c>
      <c r="BT41" s="4">
        <f t="shared" si="52"/>
        <v>793.31635316575046</v>
      </c>
      <c r="BU41" s="4">
        <f t="shared" si="52"/>
        <v>801.24951669740801</v>
      </c>
      <c r="BV41" s="4">
        <f t="shared" si="52"/>
        <v>809.26201186438209</v>
      </c>
      <c r="BW41" s="4">
        <f t="shared" si="52"/>
        <v>817.35463198302591</v>
      </c>
      <c r="BX41" s="4">
        <f t="shared" si="52"/>
        <v>825.52817830285619</v>
      </c>
      <c r="BY41" s="4">
        <f t="shared" si="52"/>
        <v>833.78346008588471</v>
      </c>
      <c r="BZ41" s="4">
        <f t="shared" si="52"/>
        <v>842.12129468674357</v>
      </c>
      <c r="CA41" s="4">
        <f t="shared" si="52"/>
        <v>850.54250763361097</v>
      </c>
      <c r="CB41" s="4">
        <f t="shared" si="52"/>
        <v>859.04793270994708</v>
      </c>
      <c r="CC41" s="4">
        <f t="shared" si="52"/>
        <v>867.63841203704658</v>
      </c>
      <c r="CD41" s="4">
        <f t="shared" si="52"/>
        <v>876.31479615741705</v>
      </c>
      <c r="CE41" s="4">
        <f t="shared" si="52"/>
        <v>885.07794411899124</v>
      </c>
      <c r="CF41" s="4">
        <f t="shared" si="52"/>
        <v>893.9287235601812</v>
      </c>
      <c r="CG41" s="4">
        <f t="shared" si="52"/>
        <v>902.86801079578299</v>
      </c>
      <c r="CH41" s="4">
        <f t="shared" si="52"/>
        <v>911.89669090374082</v>
      </c>
      <c r="CI41" s="4">
        <f t="shared" si="52"/>
        <v>921.01565781277827</v>
      </c>
      <c r="CJ41" s="4">
        <f t="shared" si="52"/>
        <v>930.22581439090607</v>
      </c>
      <c r="CK41" s="4">
        <f t="shared" si="52"/>
        <v>939.52807253481512</v>
      </c>
      <c r="CL41" s="4">
        <f t="shared" si="52"/>
        <v>948.92335326016325</v>
      </c>
      <c r="CM41" s="4">
        <f t="shared" si="52"/>
        <v>958.41258679276484</v>
      </c>
      <c r="CN41" s="4">
        <f t="shared" si="52"/>
        <v>967.99671266069254</v>
      </c>
      <c r="CO41" s="4">
        <f t="shared" si="52"/>
        <v>977.67667978729946</v>
      </c>
      <c r="CP41" s="4">
        <f t="shared" si="52"/>
        <v>987.45344658517251</v>
      </c>
      <c r="CQ41" s="4">
        <f t="shared" si="52"/>
        <v>997.32798105102427</v>
      </c>
      <c r="CR41" s="4">
        <f t="shared" si="52"/>
        <v>1007.3012608615345</v>
      </c>
      <c r="CS41" s="4">
        <f t="shared" si="52"/>
        <v>1017.3742734701499</v>
      </c>
      <c r="CT41" s="4">
        <f t="shared" si="52"/>
        <v>1027.5480162048514</v>
      </c>
      <c r="CU41" s="4">
        <f t="shared" si="52"/>
        <v>1037.8234963668999</v>
      </c>
      <c r="CV41" s="4">
        <f t="shared" si="52"/>
        <v>1048.2017313305689</v>
      </c>
      <c r="CW41" s="4">
        <f t="shared" si="52"/>
        <v>1058.6837486438747</v>
      </c>
      <c r="CX41" s="4">
        <f t="shared" si="52"/>
        <v>1069.2705861303134</v>
      </c>
      <c r="CY41" s="4">
        <f t="shared" si="52"/>
        <v>1079.9632919916166</v>
      </c>
      <c r="CZ41" s="4">
        <f t="shared" ref="CZ41:FK41" si="53">+CY41*(1+$AP$32)</f>
        <v>1090.7629249115328</v>
      </c>
      <c r="DA41" s="4">
        <f t="shared" si="53"/>
        <v>1101.6705541606482</v>
      </c>
      <c r="DB41" s="4">
        <f t="shared" si="53"/>
        <v>1112.6872597022548</v>
      </c>
      <c r="DC41" s="4">
        <f t="shared" si="53"/>
        <v>1123.8141322992774</v>
      </c>
      <c r="DD41" s="4">
        <f t="shared" si="53"/>
        <v>1135.0522736222701</v>
      </c>
      <c r="DE41" s="4">
        <f t="shared" si="53"/>
        <v>1146.4027963584929</v>
      </c>
      <c r="DF41" s="4">
        <f t="shared" si="53"/>
        <v>1157.8668243220777</v>
      </c>
      <c r="DG41" s="4">
        <f t="shared" si="53"/>
        <v>1169.4454925652985</v>
      </c>
      <c r="DH41" s="4">
        <f t="shared" si="53"/>
        <v>1181.1399474909515</v>
      </c>
      <c r="DI41" s="4">
        <f t="shared" si="53"/>
        <v>1192.9513469658609</v>
      </c>
      <c r="DJ41" s="4">
        <f t="shared" si="53"/>
        <v>1204.8808604355195</v>
      </c>
      <c r="DK41" s="4">
        <f t="shared" si="53"/>
        <v>1216.9296690398746</v>
      </c>
      <c r="DL41" s="4">
        <f t="shared" si="53"/>
        <v>1229.0989657302734</v>
      </c>
      <c r="DM41" s="4">
        <f t="shared" si="53"/>
        <v>1241.3899553875763</v>
      </c>
      <c r="DN41" s="4">
        <f t="shared" si="53"/>
        <v>1253.8038549414521</v>
      </c>
      <c r="DO41" s="4">
        <f t="shared" si="53"/>
        <v>1266.3418934908666</v>
      </c>
      <c r="DP41" s="4">
        <f t="shared" si="53"/>
        <v>1279.0053124257752</v>
      </c>
      <c r="DQ41" s="4">
        <f t="shared" si="53"/>
        <v>1291.795365550033</v>
      </c>
      <c r="DR41" s="4">
        <f t="shared" si="53"/>
        <v>1304.7133192055333</v>
      </c>
      <c r="DS41" s="4">
        <f t="shared" si="53"/>
        <v>1317.7604523975886</v>
      </c>
      <c r="DT41" s="4">
        <f t="shared" si="53"/>
        <v>1330.9380569215643</v>
      </c>
      <c r="DU41" s="4">
        <f t="shared" si="53"/>
        <v>1344.2474374907799</v>
      </c>
      <c r="DV41" s="4">
        <f t="shared" si="53"/>
        <v>1357.6899118656877</v>
      </c>
      <c r="DW41" s="4">
        <f t="shared" si="53"/>
        <v>1371.2668109843446</v>
      </c>
      <c r="DX41" s="4">
        <f t="shared" si="53"/>
        <v>1384.979479094188</v>
      </c>
      <c r="DY41" s="4">
        <f t="shared" si="53"/>
        <v>1398.8292738851299</v>
      </c>
      <c r="DZ41" s="4">
        <f t="shared" si="53"/>
        <v>1412.8175666239811</v>
      </c>
      <c r="EA41" s="4">
        <f t="shared" si="53"/>
        <v>1426.9457422902208</v>
      </c>
      <c r="EB41" s="4">
        <f t="shared" si="53"/>
        <v>1441.215199713123</v>
      </c>
      <c r="EC41" s="4">
        <f t="shared" si="53"/>
        <v>1455.6273517102543</v>
      </c>
      <c r="ED41" s="4">
        <f t="shared" si="53"/>
        <v>1470.1836252273567</v>
      </c>
      <c r="EE41" s="4">
        <f t="shared" si="53"/>
        <v>1484.8854614796303</v>
      </c>
      <c r="EF41" s="4">
        <f t="shared" si="53"/>
        <v>1499.7343160944265</v>
      </c>
      <c r="EG41" s="4">
        <f t="shared" si="53"/>
        <v>1514.7316592553707</v>
      </c>
      <c r="EH41" s="4">
        <f t="shared" si="53"/>
        <v>1529.8789758479245</v>
      </c>
      <c r="EI41" s="4">
        <f t="shared" si="53"/>
        <v>1545.1777656064037</v>
      </c>
      <c r="EJ41" s="4">
        <f t="shared" si="53"/>
        <v>1560.6295432624677</v>
      </c>
      <c r="EK41" s="4">
        <f t="shared" si="53"/>
        <v>1576.2358386950923</v>
      </c>
      <c r="EL41" s="4">
        <f t="shared" si="53"/>
        <v>1591.9981970820431</v>
      </c>
      <c r="EM41" s="4">
        <f t="shared" si="53"/>
        <v>1607.9181790528635</v>
      </c>
      <c r="EN41" s="4">
        <f t="shared" si="53"/>
        <v>1623.997360843392</v>
      </c>
      <c r="EO41" s="4">
        <f t="shared" si="53"/>
        <v>1640.237334451826</v>
      </c>
      <c r="EP41" s="4">
        <f t="shared" si="53"/>
        <v>1656.6397077963443</v>
      </c>
      <c r="EQ41" s="4">
        <f t="shared" si="53"/>
        <v>1673.2061048743078</v>
      </c>
      <c r="ER41" s="4">
        <f t="shared" si="53"/>
        <v>1689.938165923051</v>
      </c>
      <c r="ES41" s="4">
        <f t="shared" si="53"/>
        <v>1706.8375475822816</v>
      </c>
      <c r="ET41" s="4">
        <f t="shared" si="53"/>
        <v>1723.9059230581045</v>
      </c>
      <c r="EU41" s="4">
        <f t="shared" si="53"/>
        <v>1741.1449822886855</v>
      </c>
      <c r="EV41" s="4">
        <f t="shared" si="53"/>
        <v>1758.5564321115723</v>
      </c>
      <c r="EW41" s="4">
        <f t="shared" si="53"/>
        <v>1776.1419964326881</v>
      </c>
      <c r="EX41" s="4">
        <f t="shared" si="53"/>
        <v>1793.903416397015</v>
      </c>
      <c r="EY41" s="4">
        <f t="shared" si="53"/>
        <v>1811.8424505609851</v>
      </c>
      <c r="EZ41" s="4">
        <f t="shared" si="53"/>
        <v>1829.960875066595</v>
      </c>
      <c r="FA41" s="4">
        <f t="shared" si="53"/>
        <v>1848.260483817261</v>
      </c>
      <c r="FB41" s="4">
        <f t="shared" si="53"/>
        <v>1866.7430886554337</v>
      </c>
      <c r="FC41" s="4">
        <f t="shared" si="53"/>
        <v>1885.4105195419879</v>
      </c>
      <c r="FD41" s="4">
        <f t="shared" si="53"/>
        <v>1904.2646247374078</v>
      </c>
      <c r="FE41" s="4">
        <f t="shared" si="53"/>
        <v>1923.3072709847818</v>
      </c>
      <c r="FF41" s="4">
        <f t="shared" si="53"/>
        <v>1942.5403436946297</v>
      </c>
      <c r="FG41" s="4">
        <f t="shared" si="53"/>
        <v>1961.9657471315759</v>
      </c>
      <c r="FH41" s="4">
        <f t="shared" si="53"/>
        <v>1981.5854046028917</v>
      </c>
      <c r="FI41" s="4">
        <f t="shared" si="53"/>
        <v>2001.4012586489207</v>
      </c>
      <c r="FJ41" s="4">
        <f t="shared" si="53"/>
        <v>2021.4152712354098</v>
      </c>
      <c r="FK41" s="4">
        <f t="shared" si="53"/>
        <v>2041.6294239477638</v>
      </c>
      <c r="FL41" s="4">
        <f t="shared" ref="FL41:HW41" si="54">+FK41*(1+$AP$32)</f>
        <v>2062.0457181872416</v>
      </c>
      <c r="FM41" s="4">
        <f t="shared" si="54"/>
        <v>2082.6661753691142</v>
      </c>
      <c r="FN41" s="4">
        <f t="shared" si="54"/>
        <v>2103.4928371228052</v>
      </c>
      <c r="FO41" s="4">
        <f t="shared" si="54"/>
        <v>2124.5277654940332</v>
      </c>
      <c r="FP41" s="4">
        <f t="shared" si="54"/>
        <v>2145.7730431489736</v>
      </c>
      <c r="FQ41" s="4">
        <f t="shared" si="54"/>
        <v>2167.2307735804634</v>
      </c>
      <c r="FR41" s="4">
        <f t="shared" si="54"/>
        <v>2188.9030813162681</v>
      </c>
      <c r="FS41" s="4">
        <f t="shared" si="54"/>
        <v>2210.7921121294307</v>
      </c>
      <c r="FT41" s="4">
        <f t="shared" si="54"/>
        <v>2232.9000332507248</v>
      </c>
      <c r="FU41" s="4">
        <f t="shared" si="54"/>
        <v>2255.2290335832322</v>
      </c>
      <c r="FV41" s="4">
        <f t="shared" si="54"/>
        <v>2277.7813239190646</v>
      </c>
      <c r="FW41" s="4">
        <f t="shared" si="54"/>
        <v>2300.5591371582555</v>
      </c>
      <c r="FX41" s="4">
        <f t="shared" si="54"/>
        <v>2323.5647285298382</v>
      </c>
      <c r="FY41" s="4">
        <f t="shared" si="54"/>
        <v>2346.8003758151367</v>
      </c>
      <c r="FZ41" s="4">
        <f t="shared" si="54"/>
        <v>2370.2683795732883</v>
      </c>
      <c r="GA41" s="4">
        <f t="shared" si="54"/>
        <v>2393.9710633690211</v>
      </c>
      <c r="GB41" s="4">
        <f t="shared" si="54"/>
        <v>2417.9107740027112</v>
      </c>
      <c r="GC41" s="4">
        <f t="shared" si="54"/>
        <v>2442.0898817427383</v>
      </c>
      <c r="GD41" s="4">
        <f t="shared" si="54"/>
        <v>2466.5107805601656</v>
      </c>
      <c r="GE41" s="4">
        <f t="shared" si="54"/>
        <v>2491.1758883657672</v>
      </c>
      <c r="GF41" s="4">
        <f t="shared" si="54"/>
        <v>2516.0876472494247</v>
      </c>
      <c r="GG41" s="4">
        <f t="shared" si="54"/>
        <v>2541.2485237219189</v>
      </c>
      <c r="GH41" s="4">
        <f t="shared" si="54"/>
        <v>2566.6610089591381</v>
      </c>
      <c r="GI41" s="4">
        <f t="shared" si="54"/>
        <v>2592.3276190487295</v>
      </c>
      <c r="GJ41" s="4">
        <f t="shared" si="54"/>
        <v>2618.2508952392168</v>
      </c>
      <c r="GK41" s="4">
        <f t="shared" si="54"/>
        <v>2644.433404191609</v>
      </c>
      <c r="GL41" s="4">
        <f t="shared" si="54"/>
        <v>2670.8777382335252</v>
      </c>
      <c r="GM41" s="4">
        <f t="shared" si="54"/>
        <v>2697.5865156158607</v>
      </c>
      <c r="GN41" s="4">
        <f t="shared" si="54"/>
        <v>2724.5623807720194</v>
      </c>
      <c r="GO41" s="4">
        <f t="shared" si="54"/>
        <v>2751.8080045797396</v>
      </c>
      <c r="GP41" s="4">
        <f t="shared" si="54"/>
        <v>2779.3260846255371</v>
      </c>
      <c r="GQ41" s="4">
        <f t="shared" si="54"/>
        <v>2807.1193454717923</v>
      </c>
      <c r="GR41" s="4">
        <f t="shared" si="54"/>
        <v>2835.1905389265103</v>
      </c>
      <c r="GS41" s="4">
        <f t="shared" si="54"/>
        <v>2863.5424443157754</v>
      </c>
      <c r="GT41" s="4">
        <f t="shared" si="54"/>
        <v>2892.1778687589331</v>
      </c>
      <c r="GU41" s="4">
        <f t="shared" si="54"/>
        <v>2921.0996474465223</v>
      </c>
      <c r="GV41" s="4">
        <f t="shared" si="54"/>
        <v>2950.3106439209878</v>
      </c>
      <c r="GW41" s="4">
        <f t="shared" si="54"/>
        <v>2979.8137503601979</v>
      </c>
      <c r="GX41" s="4">
        <f t="shared" si="54"/>
        <v>3009.6118878637999</v>
      </c>
      <c r="GY41" s="4">
        <f t="shared" si="54"/>
        <v>3039.7080067424381</v>
      </c>
      <c r="GZ41" s="4">
        <f t="shared" si="54"/>
        <v>3070.1050868098623</v>
      </c>
      <c r="HA41" s="4">
        <f t="shared" si="54"/>
        <v>3100.806137677961</v>
      </c>
      <c r="HB41" s="4">
        <f t="shared" si="54"/>
        <v>3131.8141990547406</v>
      </c>
      <c r="HC41" s="4">
        <f t="shared" si="54"/>
        <v>3163.1323410452878</v>
      </c>
      <c r="HD41" s="4">
        <f t="shared" si="54"/>
        <v>3194.7636644557406</v>
      </c>
      <c r="HE41" s="4">
        <f t="shared" si="54"/>
        <v>3226.711301100298</v>
      </c>
      <c r="HF41" s="4">
        <f t="shared" si="54"/>
        <v>3258.9784141113009</v>
      </c>
      <c r="HG41" s="4">
        <f t="shared" si="54"/>
        <v>3291.5681982524138</v>
      </c>
      <c r="HH41" s="4">
        <f t="shared" si="54"/>
        <v>3324.4838802349382</v>
      </c>
      <c r="HI41" s="4">
        <f t="shared" si="54"/>
        <v>3357.7287190372876</v>
      </c>
      <c r="HJ41" s="4">
        <f t="shared" si="54"/>
        <v>3391.3060062276604</v>
      </c>
      <c r="HK41" s="4">
        <f t="shared" si="54"/>
        <v>3425.219066289937</v>
      </c>
      <c r="HL41" s="4">
        <f t="shared" si="54"/>
        <v>3459.4712569528365</v>
      </c>
      <c r="HM41" s="4">
        <f t="shared" si="54"/>
        <v>3494.0659695223649</v>
      </c>
      <c r="HN41" s="4">
        <f t="shared" si="54"/>
        <v>3529.0066292175884</v>
      </c>
      <c r="HO41" s="4">
        <f t="shared" si="54"/>
        <v>3564.2966955097645</v>
      </c>
      <c r="HP41" s="4">
        <f t="shared" si="54"/>
        <v>3599.9396624648621</v>
      </c>
      <c r="HQ41" s="4">
        <f t="shared" si="54"/>
        <v>3635.9390590895109</v>
      </c>
      <c r="HR41" s="4">
        <f t="shared" si="54"/>
        <v>3672.2984496804061</v>
      </c>
      <c r="HS41" s="4">
        <f t="shared" si="54"/>
        <v>3709.0214341772103</v>
      </c>
      <c r="HT41" s="4">
        <f t="shared" si="54"/>
        <v>3746.1116485189823</v>
      </c>
      <c r="HU41" s="4">
        <f t="shared" si="54"/>
        <v>3783.5727650041722</v>
      </c>
      <c r="HV41" s="4">
        <f t="shared" si="54"/>
        <v>3821.4084926542141</v>
      </c>
      <c r="HW41" s="4">
        <f t="shared" si="54"/>
        <v>3859.6225775807561</v>
      </c>
      <c r="HX41" s="4">
        <f t="shared" ref="HX41:ID41" si="55">+HW41*(1+$AP$32)</f>
        <v>3898.2188033565635</v>
      </c>
      <c r="HY41" s="4">
        <f t="shared" si="55"/>
        <v>3937.2009913901293</v>
      </c>
      <c r="HZ41" s="4">
        <f t="shared" si="55"/>
        <v>3976.5730013040306</v>
      </c>
      <c r="IA41" s="4">
        <f t="shared" si="55"/>
        <v>4016.3387313170711</v>
      </c>
      <c r="IB41" s="4">
        <f t="shared" si="55"/>
        <v>4056.502118630242</v>
      </c>
      <c r="IC41" s="4">
        <f t="shared" si="55"/>
        <v>4097.0671398165441</v>
      </c>
      <c r="ID41" s="4">
        <f t="shared" si="55"/>
        <v>4138.03781121471</v>
      </c>
    </row>
    <row r="42" spans="2:238" x14ac:dyDescent="0.2">
      <c r="Z42" s="6">
        <f>+Z24</f>
        <v>-759</v>
      </c>
      <c r="AA42" s="6">
        <f>+AA24</f>
        <v>595</v>
      </c>
      <c r="AB42" s="6">
        <f>+AB24</f>
        <v>-4</v>
      </c>
    </row>
    <row r="44" spans="2:238" x14ac:dyDescent="0.2">
      <c r="AO44" s="6" t="s">
        <v>42</v>
      </c>
      <c r="AP44" s="7">
        <v>0.01</v>
      </c>
    </row>
    <row r="45" spans="2:238" x14ac:dyDescent="0.2">
      <c r="AO45" s="6" t="s">
        <v>43</v>
      </c>
      <c r="AP45" s="48">
        <v>0.08</v>
      </c>
    </row>
    <row r="46" spans="2:238" x14ac:dyDescent="0.2">
      <c r="AO46" s="6" t="s">
        <v>44</v>
      </c>
      <c r="AP46" s="6">
        <f>NPV(AP45,AC41:ID41)</f>
        <v>7214.3097024797316</v>
      </c>
    </row>
    <row r="47" spans="2:238" x14ac:dyDescent="0.2">
      <c r="AO47" s="6" t="s">
        <v>45</v>
      </c>
      <c r="AP47" s="6">
        <f>+AP35</f>
        <v>130.74786269999998</v>
      </c>
    </row>
    <row r="48" spans="2:238" x14ac:dyDescent="0.2">
      <c r="AO48" s="4" t="s">
        <v>46</v>
      </c>
      <c r="AP48" s="6">
        <f>+AP46/AP47</f>
        <v>55.177266790455398</v>
      </c>
    </row>
    <row r="49" spans="41:42" x14ac:dyDescent="0.2">
      <c r="AO49" s="6" t="s">
        <v>47</v>
      </c>
      <c r="AP49" s="6">
        <f>+AP37</f>
        <v>76.33</v>
      </c>
    </row>
  </sheetData>
  <pageMargins left="0.7" right="0.7" top="0.75" bottom="0.75" header="0.3" footer="0.3"/>
  <pageSetup orientation="portrait" horizontalDpi="0" verticalDpi="0"/>
  <ignoredErrors>
    <ignoredError sqref="E19:F24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2026-02-28T03:46:44Z</dcterms:created>
  <dcterms:modified xsi:type="dcterms:W3CDTF">2026-02-28T04:36:11Z</dcterms:modified>
</cp:coreProperties>
</file>