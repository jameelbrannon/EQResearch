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jameelbrannon/Library/CloudStorage/Dropbox/models/BasicMaterials/"/>
    </mc:Choice>
  </mc:AlternateContent>
  <xr:revisionPtr revIDLastSave="0" documentId="13_ncr:1_{E43FF539-AF59-D244-8548-F2E93FA02B23}" xr6:coauthVersionLast="47" xr6:coauthVersionMax="47" xr10:uidLastSave="{00000000-0000-0000-0000-000000000000}"/>
  <bookViews>
    <workbookView xWindow="2260" yWindow="800" windowWidth="45660" windowHeight="28000" activeTab="1" xr2:uid="{B2EC2987-DCC0-5F4B-BB40-E197D267CD19}"/>
  </bookViews>
  <sheets>
    <sheet name="Main" sheetId="1" r:id="rId1"/>
    <sheet name="Model" sheetId="2" r:id="rId2"/>
    <sheet name="Definitions" sheetId="6" r:id="rId3"/>
    <sheet name="Key Questions" sheetId="7" r:id="rId4"/>
    <sheet name="Geology" sheetId="8" r:id="rId5"/>
    <sheet name="Operations" sheetId="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23" i="2" l="1"/>
  <c r="AD15" i="2"/>
  <c r="AF27" i="2"/>
  <c r="AF20" i="2"/>
  <c r="AF3" i="2"/>
  <c r="AG3" i="2" s="1"/>
  <c r="AH3" i="2" s="1"/>
  <c r="AI3" i="2" s="1"/>
  <c r="AJ3" i="2" s="1"/>
  <c r="AK3" i="2" s="1"/>
  <c r="AL3" i="2" s="1"/>
  <c r="AM3" i="2" s="1"/>
  <c r="AN3" i="2" s="1"/>
  <c r="AO3" i="2" s="1"/>
  <c r="AP3" i="2" s="1"/>
  <c r="AQ3" i="2" s="1"/>
  <c r="AR3" i="2" s="1"/>
  <c r="AE3" i="2"/>
  <c r="AC15" i="2"/>
  <c r="AB15" i="2"/>
  <c r="AA15" i="2"/>
  <c r="Z15" i="2"/>
  <c r="Y15" i="2"/>
  <c r="X15" i="2"/>
  <c r="W15" i="2"/>
  <c r="V15" i="2"/>
  <c r="V14" i="2"/>
  <c r="W14" i="2" s="1"/>
  <c r="X14" i="2" s="1"/>
  <c r="Y14" i="2" s="1"/>
  <c r="Z14" i="2" s="1"/>
  <c r="AA14" i="2" s="1"/>
  <c r="AB14" i="2" s="1"/>
  <c r="AC14" i="2" s="1"/>
  <c r="V13" i="2"/>
  <c r="W13" i="2" s="1"/>
  <c r="X13" i="2" s="1"/>
  <c r="Y13" i="2" s="1"/>
  <c r="Z13" i="2" s="1"/>
  <c r="AA13" i="2" s="1"/>
  <c r="AB13" i="2" s="1"/>
  <c r="AC13" i="2" s="1"/>
  <c r="V12" i="2"/>
  <c r="W12" i="2" s="1"/>
  <c r="X12" i="2" s="1"/>
  <c r="Y12" i="2" s="1"/>
  <c r="Z12" i="2" s="1"/>
  <c r="AA12" i="2" s="1"/>
  <c r="AB12" i="2" s="1"/>
  <c r="AC12" i="2" s="1"/>
  <c r="V11" i="2"/>
  <c r="W11" i="2" s="1"/>
  <c r="X11" i="2" s="1"/>
  <c r="Y11" i="2" s="1"/>
  <c r="Z11" i="2" s="1"/>
  <c r="AA11" i="2" s="1"/>
  <c r="AB11" i="2" s="1"/>
  <c r="AC11" i="2" s="1"/>
  <c r="U15" i="2"/>
  <c r="U14" i="2"/>
  <c r="U13" i="2"/>
  <c r="U12" i="2"/>
  <c r="U11" i="2"/>
  <c r="V9" i="2"/>
  <c r="U10" i="2"/>
  <c r="U9" i="2"/>
  <c r="AC8" i="2"/>
  <c r="AB8" i="2"/>
  <c r="AA8" i="2"/>
  <c r="Z8" i="2"/>
  <c r="Y8" i="2"/>
  <c r="X8" i="2"/>
  <c r="W8" i="2"/>
  <c r="V8" i="2"/>
  <c r="U8" i="2"/>
  <c r="V7" i="2"/>
  <c r="W7" i="2" s="1"/>
  <c r="X7" i="2" s="1"/>
  <c r="Y7" i="2" s="1"/>
  <c r="Z7" i="2" s="1"/>
  <c r="AA7" i="2" s="1"/>
  <c r="AB7" i="2" s="1"/>
  <c r="AC7" i="2" s="1"/>
  <c r="U7" i="2"/>
  <c r="V4" i="2"/>
  <c r="W4" i="2" s="1"/>
  <c r="X4" i="2" s="1"/>
  <c r="Y4" i="2" s="1"/>
  <c r="Z4" i="2" s="1"/>
  <c r="AA4" i="2" s="1"/>
  <c r="AB4" i="2" s="1"/>
  <c r="AC4" i="2" s="1"/>
  <c r="U4" i="2"/>
  <c r="V5" i="2"/>
  <c r="W5" i="2" s="1"/>
  <c r="X5" i="2" s="1"/>
  <c r="Y5" i="2" s="1"/>
  <c r="Z5" i="2" s="1"/>
  <c r="AA5" i="2" s="1"/>
  <c r="AB5" i="2" s="1"/>
  <c r="AC5" i="2" s="1"/>
  <c r="U5" i="2"/>
  <c r="T6" i="2"/>
  <c r="N4" i="2"/>
  <c r="M4" i="2"/>
  <c r="T8" i="2"/>
  <c r="T10" i="2"/>
  <c r="T15" i="2"/>
  <c r="T7" i="2"/>
  <c r="N7" i="2"/>
  <c r="M7" i="2"/>
  <c r="N6" i="2"/>
  <c r="N8" i="2" s="1"/>
  <c r="U3" i="2"/>
  <c r="V3" i="2" s="1"/>
  <c r="W3" i="2" s="1"/>
  <c r="X3" i="2" s="1"/>
  <c r="Y3" i="2" s="1"/>
  <c r="Z3" i="2" s="1"/>
  <c r="AA3" i="2" s="1"/>
  <c r="AB3" i="2" s="1"/>
  <c r="AC3" i="2" s="1"/>
  <c r="Q9" i="2"/>
  <c r="Q6" i="2"/>
  <c r="C9" i="2"/>
  <c r="R16" i="2"/>
  <c r="R14" i="2"/>
  <c r="R13" i="2"/>
  <c r="R12" i="2"/>
  <c r="R11" i="2"/>
  <c r="R4" i="2"/>
  <c r="D9" i="2"/>
  <c r="R9" i="2" s="1"/>
  <c r="F6" i="2"/>
  <c r="E6" i="2"/>
  <c r="D6" i="2"/>
  <c r="C6" i="2"/>
  <c r="S16" i="2"/>
  <c r="S14" i="2"/>
  <c r="S13" i="2"/>
  <c r="S12" i="2"/>
  <c r="S11" i="2"/>
  <c r="S9" i="2"/>
  <c r="S4" i="2"/>
  <c r="R3" i="2"/>
  <c r="S3" i="2" s="1"/>
  <c r="K6" i="2"/>
  <c r="J6" i="2"/>
  <c r="I6" i="2"/>
  <c r="H6" i="2"/>
  <c r="G6" i="2"/>
  <c r="L6" i="2"/>
  <c r="B6" i="8"/>
  <c r="B7" i="8" s="1"/>
  <c r="B8" i="8" s="1"/>
  <c r="B9" i="8" s="1"/>
  <c r="B10" i="8" s="1"/>
  <c r="B11" i="8" s="1"/>
  <c r="B12" i="8" s="1"/>
  <c r="B13" i="8" s="1"/>
  <c r="B5" i="8"/>
  <c r="C18" i="7"/>
  <c r="C20" i="7" s="1"/>
  <c r="C12" i="7"/>
  <c r="C11" i="7"/>
  <c r="C8" i="7"/>
  <c r="K6" i="1"/>
  <c r="C7" i="7" s="1"/>
  <c r="L7" i="1"/>
  <c r="L8" i="1" s="1"/>
  <c r="AE15" i="2" l="1"/>
  <c r="V10" i="2"/>
  <c r="W9" i="2"/>
  <c r="U6" i="2"/>
  <c r="V6" i="2"/>
  <c r="M6" i="2"/>
  <c r="M8" i="2" s="1"/>
  <c r="T4" i="2"/>
  <c r="M9" i="2"/>
  <c r="Q7" i="2"/>
  <c r="Q8" i="2" s="1"/>
  <c r="Q10" i="2" s="1"/>
  <c r="F7" i="2"/>
  <c r="F8" i="2"/>
  <c r="F10" i="2" s="1"/>
  <c r="F15" i="2" s="1"/>
  <c r="E7" i="2"/>
  <c r="E8" i="2" s="1"/>
  <c r="E10" i="2" s="1"/>
  <c r="E15" i="2" s="1"/>
  <c r="D7" i="2"/>
  <c r="D8" i="2" s="1"/>
  <c r="D10" i="2" s="1"/>
  <c r="D15" i="2" s="1"/>
  <c r="C7" i="2"/>
  <c r="R6" i="2"/>
  <c r="R5" i="2" s="1"/>
  <c r="C8" i="2"/>
  <c r="K7" i="2"/>
  <c r="K8" i="2" s="1"/>
  <c r="K10" i="2" s="1"/>
  <c r="K15" i="2" s="1"/>
  <c r="S6" i="2"/>
  <c r="S5" i="2" s="1"/>
  <c r="L7" i="2"/>
  <c r="L8" i="2" s="1"/>
  <c r="L10" i="2" s="1"/>
  <c r="L15" i="2" s="1"/>
  <c r="J7" i="2"/>
  <c r="J8" i="2" s="1"/>
  <c r="J10" i="2" s="1"/>
  <c r="J15" i="2" s="1"/>
  <c r="I7" i="2"/>
  <c r="I8" i="2" s="1"/>
  <c r="I10" i="2" s="1"/>
  <c r="I15" i="2" s="1"/>
  <c r="H7" i="2"/>
  <c r="H8" i="2" s="1"/>
  <c r="H10" i="2" s="1"/>
  <c r="H15" i="2" s="1"/>
  <c r="G7" i="2"/>
  <c r="G8" i="2" s="1"/>
  <c r="C9" i="7"/>
  <c r="C10" i="7" s="1"/>
  <c r="C14" i="7" s="1"/>
  <c r="C16" i="7" s="1"/>
  <c r="C22" i="7"/>
  <c r="C25" i="7" s="1"/>
  <c r="C27" i="7" s="1"/>
  <c r="K9" i="1"/>
  <c r="AF15" i="2" l="1"/>
  <c r="X9" i="2"/>
  <c r="W10" i="2"/>
  <c r="W6" i="2"/>
  <c r="M10" i="2"/>
  <c r="N9" i="2"/>
  <c r="N10" i="2" s="1"/>
  <c r="T9" i="2"/>
  <c r="R7" i="2"/>
  <c r="R8" i="2"/>
  <c r="C10" i="2"/>
  <c r="S7" i="2"/>
  <c r="G10" i="2"/>
  <c r="S8" i="2"/>
  <c r="AG15" i="2" l="1"/>
  <c r="AH15" i="2" s="1"/>
  <c r="Y9" i="2"/>
  <c r="X10" i="2"/>
  <c r="X6" i="2"/>
  <c r="M12" i="2"/>
  <c r="M11" i="2"/>
  <c r="M15" i="2" s="1"/>
  <c r="M14" i="2"/>
  <c r="M13" i="2"/>
  <c r="N11" i="2"/>
  <c r="R10" i="2"/>
  <c r="C15" i="2"/>
  <c r="G15" i="2"/>
  <c r="S10" i="2"/>
  <c r="AI15" i="2" l="1"/>
  <c r="Z9" i="2"/>
  <c r="Y10" i="2"/>
  <c r="Y6" i="2"/>
  <c r="N12" i="2"/>
  <c r="T12" i="2" s="1"/>
  <c r="N14" i="2"/>
  <c r="T14" i="2" s="1"/>
  <c r="N13" i="2"/>
  <c r="T13" i="2" s="1"/>
  <c r="T11" i="2"/>
  <c r="R15" i="2"/>
  <c r="R17" i="2" s="1"/>
  <c r="Q15" i="2"/>
  <c r="S15" i="2"/>
  <c r="S17" i="2" s="1"/>
  <c r="AJ15" i="2" l="1"/>
  <c r="AK15" i="2" s="1"/>
  <c r="AA9" i="2"/>
  <c r="Z10" i="2"/>
  <c r="Z6" i="2"/>
  <c r="N15" i="2"/>
  <c r="AL15" i="2" l="1"/>
  <c r="AM15" i="2" s="1"/>
  <c r="AN15" i="2" s="1"/>
  <c r="AO15" i="2" s="1"/>
  <c r="AP15" i="2" s="1"/>
  <c r="AQ15" i="2" s="1"/>
  <c r="AR15" i="2" s="1"/>
  <c r="AJ19" i="2"/>
  <c r="AJ21" i="2" s="1"/>
  <c r="AJ22" i="2" s="1"/>
  <c r="AF19" i="2"/>
  <c r="AF21" i="2" s="1"/>
  <c r="AG19" i="2"/>
  <c r="AG21" i="2" s="1"/>
  <c r="AG22" i="2" s="1"/>
  <c r="AI19" i="2"/>
  <c r="AI21" i="2" s="1"/>
  <c r="AI22" i="2" s="1"/>
  <c r="AH19" i="2"/>
  <c r="AH21" i="2" s="1"/>
  <c r="AH22" i="2" s="1"/>
  <c r="AB9" i="2"/>
  <c r="AA10" i="2"/>
  <c r="AA6" i="2"/>
  <c r="AF22" i="2" l="1"/>
  <c r="AF26" i="2"/>
  <c r="AF28" i="2" s="1"/>
  <c r="AC9" i="2"/>
  <c r="AC10" i="2" s="1"/>
  <c r="AB10" i="2"/>
  <c r="AC6" i="2"/>
  <c r="AB6" i="2"/>
  <c r="T5" i="2" l="1"/>
</calcChain>
</file>

<file path=xl/sharedStrings.xml><?xml version="1.0" encoding="utf-8"?>
<sst xmlns="http://schemas.openxmlformats.org/spreadsheetml/2006/main" count="270" uniqueCount="239">
  <si>
    <t>P</t>
  </si>
  <si>
    <t>S</t>
  </si>
  <si>
    <t>MC</t>
  </si>
  <si>
    <t>C</t>
  </si>
  <si>
    <t>D</t>
  </si>
  <si>
    <t>EV</t>
  </si>
  <si>
    <t>Q324</t>
  </si>
  <si>
    <t>Q124</t>
  </si>
  <si>
    <t>Q224</t>
  </si>
  <si>
    <t>Q424</t>
  </si>
  <si>
    <t>G&amp;A</t>
  </si>
  <si>
    <t>Taxes</t>
  </si>
  <si>
    <t>HQ: Denver, CO</t>
  </si>
  <si>
    <t>A$</t>
  </si>
  <si>
    <t>C$</t>
  </si>
  <si>
    <t>tonne</t>
  </si>
  <si>
    <t xml:space="preserve">Free Cash Flow </t>
  </si>
  <si>
    <t>NPV</t>
  </si>
  <si>
    <t xml:space="preserve">Net Cash </t>
  </si>
  <si>
    <t>Shares</t>
  </si>
  <si>
    <t>Estimate</t>
  </si>
  <si>
    <t>Upside</t>
  </si>
  <si>
    <t xml:space="preserve">CFO </t>
  </si>
  <si>
    <t xml:space="preserve">CEO </t>
  </si>
  <si>
    <t>News</t>
  </si>
  <si>
    <t xml:space="preserve">Contains </t>
  </si>
  <si>
    <t>selling Cripple Creek &amp; Victor operation in Colorado to SSR Mining  for up to $275m</t>
  </si>
  <si>
    <t xml:space="preserve">Tom Palmer </t>
  </si>
  <si>
    <t xml:space="preserve">selling Eleonore operation in Northern Quebec </t>
  </si>
  <si>
    <t>selling Musselwhite operation in Ontario, Canada</t>
  </si>
  <si>
    <t xml:space="preserve">1st battery ev large mining truck  deployed in cripple creek colorado </t>
  </si>
  <si>
    <t xml:space="preserve">announces Tom palmer as Internal council on Mining and Metald) ICMM chair </t>
  </si>
  <si>
    <t xml:space="preserve">selling Akyem operation in Repub of Ghana to Zijin Mining Group </t>
  </si>
  <si>
    <t xml:space="preserve">Q4 guidance: 1.8m oz of gold </t>
  </si>
  <si>
    <t xml:space="preserve">annual prod guide: 6.9m oz </t>
  </si>
  <si>
    <t>reaffirmed guide</t>
  </si>
  <si>
    <t>Press Releases</t>
  </si>
  <si>
    <t>early redemption of 5.3% notes due 2026</t>
  </si>
  <si>
    <t>sale of porcupine operation for up $425m</t>
  </si>
  <si>
    <t>Q325</t>
  </si>
  <si>
    <t>Q125</t>
  </si>
  <si>
    <t>Q225</t>
  </si>
  <si>
    <t>Q425</t>
  </si>
  <si>
    <t>Gold Oz Sold (koz)</t>
  </si>
  <si>
    <t>Q125 Results</t>
  </si>
  <si>
    <t>Q325 results</t>
  </si>
  <si>
    <t xml:space="preserve">New CEO </t>
  </si>
  <si>
    <t>Natascha Viljoen's</t>
  </si>
  <si>
    <t>Unit</t>
  </si>
  <si>
    <t>Unit of Measure</t>
  </si>
  <si>
    <t>$</t>
  </si>
  <si>
    <t>United States Dollar</t>
  </si>
  <si>
    <t>%</t>
  </si>
  <si>
    <t>Percent</t>
  </si>
  <si>
    <t>Australian Dollar</t>
  </si>
  <si>
    <t>Canadian Dollar</t>
  </si>
  <si>
    <t>gram</t>
  </si>
  <si>
    <t>Metric Gram</t>
  </si>
  <si>
    <t>ounce</t>
  </si>
  <si>
    <t>Troy Ounce</t>
  </si>
  <si>
    <t>pound</t>
  </si>
  <si>
    <t>United States Pound</t>
  </si>
  <si>
    <t>Metric Ton</t>
  </si>
  <si>
    <t>Abbreviation</t>
  </si>
  <si>
    <t>Description</t>
  </si>
  <si>
    <r>
      <t>AISC</t>
    </r>
    <r>
      <rPr>
        <b/>
        <sz val="4.8499999999999996"/>
        <color rgb="FF000000"/>
        <rFont val="Tahoma"/>
        <family val="2"/>
      </rPr>
      <t> (1)</t>
    </r>
  </si>
  <si>
    <t>All-In Sustaining Costs</t>
  </si>
  <si>
    <t>ARC</t>
  </si>
  <si>
    <t>Asset Retirement Cost</t>
  </si>
  <si>
    <t>ARS</t>
  </si>
  <si>
    <t>Argentine Peso</t>
  </si>
  <si>
    <t>ASC</t>
  </si>
  <si>
    <t>FASB Accounting Standard Codification</t>
  </si>
  <si>
    <t>ASU</t>
  </si>
  <si>
    <t>FASB Accounting Standard Update</t>
  </si>
  <si>
    <t>AUD</t>
  </si>
  <si>
    <t>CAD</t>
  </si>
  <si>
    <t>CAS</t>
  </si>
  <si>
    <t>Costs Applicable to Sales</t>
  </si>
  <si>
    <t>DTA</t>
  </si>
  <si>
    <t>Deferred tax asset</t>
  </si>
  <si>
    <t>DTL</t>
  </si>
  <si>
    <t>Deferred tax liability</t>
  </si>
  <si>
    <r>
      <t>EBITDA</t>
    </r>
    <r>
      <rPr>
        <b/>
        <sz val="4.8499999999999996"/>
        <color rgb="FF000000"/>
        <rFont val="Tahoma"/>
        <family val="2"/>
      </rPr>
      <t> (1)</t>
    </r>
  </si>
  <si>
    <t>Earnings Before Interest, Taxes, Depreciation and Amortization</t>
  </si>
  <si>
    <t>EIA</t>
  </si>
  <si>
    <t>Environmental Impact Assessment</t>
  </si>
  <si>
    <t>EPA</t>
  </si>
  <si>
    <t>U.S. Environmental Protection Agency</t>
  </si>
  <si>
    <t>ESG</t>
  </si>
  <si>
    <t>Environmental, Social and Governance</t>
  </si>
  <si>
    <t>Exchange Act</t>
  </si>
  <si>
    <t>U.S. Securities Exchange Act of 1934</t>
  </si>
  <si>
    <t>FASB</t>
  </si>
  <si>
    <t>Financial Accounting Standards Board</t>
  </si>
  <si>
    <t>GAAP</t>
  </si>
  <si>
    <t>U.S. Generally Accepted Accounting Principles</t>
  </si>
  <si>
    <r>
      <t>GEO</t>
    </r>
    <r>
      <rPr>
        <b/>
        <sz val="4.8499999999999996"/>
        <color rgb="FF000000"/>
        <rFont val="Tahoma"/>
        <family val="2"/>
      </rPr>
      <t> (2)</t>
    </r>
  </si>
  <si>
    <t>Gold Equivalent Ounces</t>
  </si>
  <si>
    <t>GHG</t>
  </si>
  <si>
    <t>Greenhouse Gases, which are defined by the EPA as gases that trap heat in the atmosphere</t>
  </si>
  <si>
    <t>GISTM</t>
  </si>
  <si>
    <t>Global Industry Standard on Tailings Management</t>
  </si>
  <si>
    <t>IASB</t>
  </si>
  <si>
    <t>International Accounting Standards Board</t>
  </si>
  <si>
    <t>IFRS</t>
  </si>
  <si>
    <t>International Financial Reporting Standards</t>
  </si>
  <si>
    <t>LIBOR</t>
  </si>
  <si>
    <t>London Interbank Offered Rate</t>
  </si>
  <si>
    <t>LBMA</t>
  </si>
  <si>
    <t>London Bullion Market Association</t>
  </si>
  <si>
    <t>LME</t>
  </si>
  <si>
    <t>London Metal Exchange</t>
  </si>
  <si>
    <t>MD&amp;A</t>
  </si>
  <si>
    <t>Management’s Discussion and Analysis of Consolidated Financial Condition and Results of Operations</t>
  </si>
  <si>
    <t>MINAM</t>
  </si>
  <si>
    <t>Ministry of the Environment of Peru</t>
  </si>
  <si>
    <t>Mine Act</t>
  </si>
  <si>
    <t>U.S. Federal Mine Safety and Health Act of 1977</t>
  </si>
  <si>
    <t>MINEM</t>
  </si>
  <si>
    <t>Ministry of Energy and Mines of Peru</t>
  </si>
  <si>
    <t>MSHA</t>
  </si>
  <si>
    <t>Federal Mine Safety and Health Administration</t>
  </si>
  <si>
    <t>MXN</t>
  </si>
  <si>
    <t>Mexican Peso</t>
  </si>
  <si>
    <t>NPDES</t>
  </si>
  <si>
    <t>National Pollutant Discharge Elimination System</t>
  </si>
  <si>
    <t>NSR</t>
  </si>
  <si>
    <t>Net Smelter Return</t>
  </si>
  <si>
    <t>PGK</t>
  </si>
  <si>
    <t>Papua New Guinea Kina</t>
  </si>
  <si>
    <t>PNG</t>
  </si>
  <si>
    <t>Papua New Guinea</t>
  </si>
  <si>
    <t>PSU</t>
  </si>
  <si>
    <t>Performance Leverage Stock Unit</t>
  </si>
  <si>
    <t>RSU</t>
  </si>
  <si>
    <t>Restricted Stock Unit</t>
  </si>
  <si>
    <t>SAG</t>
  </si>
  <si>
    <t>Semi-Autogenous Grinding</t>
  </si>
  <si>
    <t>SEC</t>
  </si>
  <si>
    <t>U.S. Securities and Exchange Commission</t>
  </si>
  <si>
    <t>Securities Act</t>
  </si>
  <si>
    <t>U.S. Securities Act of 1933</t>
  </si>
  <si>
    <t>SOFR</t>
  </si>
  <si>
    <t>Secured Overnight Financing Rate</t>
  </si>
  <si>
    <t>UN</t>
  </si>
  <si>
    <t>The United Nations</t>
  </si>
  <si>
    <t>UOP</t>
  </si>
  <si>
    <t>Units of Production</t>
  </si>
  <si>
    <t>U.S.</t>
  </si>
  <si>
    <t>The United States of America</t>
  </si>
  <si>
    <t>USD</t>
  </si>
  <si>
    <t>WTP</t>
  </si>
  <si>
    <t>Water Treatment Plant</t>
  </si>
  <si>
    <t xml:space="preserve">Heap Leaching </t>
  </si>
  <si>
    <t xml:space="preserve">Used when ore is low grade.  Process.  (1) Ore is crushed. </t>
  </si>
  <si>
    <t>P * Q</t>
  </si>
  <si>
    <t>P: LBMA (Gold),LME (Cu), Timing</t>
  </si>
  <si>
    <t>Q: Production capability (mine capacity, mill throughput, weather), recovery (metallurgy/cil/heap effic, Ownership)</t>
  </si>
  <si>
    <t>Equity Method Investments</t>
  </si>
  <si>
    <t>Pueblo Viejo Mine (50%)</t>
  </si>
  <si>
    <t>NuevaUnion Project (50%)</t>
  </si>
  <si>
    <t>Lundin Gold (32%)</t>
  </si>
  <si>
    <t>Norte Abierto Project (50%)</t>
  </si>
  <si>
    <t>Greatland (10%)</t>
  </si>
  <si>
    <t>What gold price is implicitly required to justify current market cap at a mid cycle multiple?</t>
  </si>
  <si>
    <t xml:space="preserve">MC </t>
  </si>
  <si>
    <t xml:space="preserve">assumes ~7x fcf </t>
  </si>
  <si>
    <t xml:space="preserve">Needed FCF </t>
  </si>
  <si>
    <t>Sustaining AISC</t>
  </si>
  <si>
    <t>FCF Per Oz Needed</t>
  </si>
  <si>
    <t xml:space="preserve">Required Gold Price </t>
  </si>
  <si>
    <t>Gold price - $1.603/oz = $2,854/oz</t>
  </si>
  <si>
    <t xml:space="preserve">FY25 Gold Sold </t>
  </si>
  <si>
    <t>Average of current realized Godl Prices</t>
  </si>
  <si>
    <t xml:space="preserve">Current LBMA Price </t>
  </si>
  <si>
    <t xml:space="preserve">Revenue Price Lag </t>
  </si>
  <si>
    <t>Incremental Rev</t>
  </si>
  <si>
    <t>Incremental Margin</t>
  </si>
  <si>
    <t>After tax Conversion</t>
  </si>
  <si>
    <t>Incremental FCF</t>
  </si>
  <si>
    <t>Adjusted FCF</t>
  </si>
  <si>
    <t>Capex Normalization (Post Buildouts)</t>
  </si>
  <si>
    <t>overtime  4Q FCF should approach thise as Godl stays around $4k/oz</t>
  </si>
  <si>
    <t>Notes</t>
  </si>
  <si>
    <t>Model</t>
  </si>
  <si>
    <t>$M</t>
  </si>
  <si>
    <t xml:space="preserve">If gold can stay above $4,000, business will naturally strengthen </t>
  </si>
  <si>
    <t>IR</t>
  </si>
  <si>
    <t>Reserves and Resources</t>
  </si>
  <si>
    <t xml:space="preserve">Lifecycle of a Mine </t>
  </si>
  <si>
    <t xml:space="preserve">Reading Material </t>
  </si>
  <si>
    <t xml:space="preserve">Mining Process </t>
  </si>
  <si>
    <t xml:space="preserve">What we Mine </t>
  </si>
  <si>
    <t>Africa Asia Pacific</t>
  </si>
  <si>
    <t>Africa</t>
  </si>
  <si>
    <t>Ahafo North, Ghana</t>
  </si>
  <si>
    <t>Ahafo South, Ghana</t>
  </si>
  <si>
    <t>Australia</t>
  </si>
  <si>
    <t>Boddington, Australia</t>
  </si>
  <si>
    <t>Cadia, Australia</t>
  </si>
  <si>
    <t>Tanami, Australia</t>
  </si>
  <si>
    <t>Lihir, Papua New Guinea</t>
  </si>
  <si>
    <t>Americas</t>
  </si>
  <si>
    <t>Canada</t>
  </si>
  <si>
    <t>Brucejack, Canada</t>
  </si>
  <si>
    <t>Red Chris, Canada</t>
  </si>
  <si>
    <t>Latin America</t>
  </si>
  <si>
    <t>Cerro Negro, Argentina</t>
  </si>
  <si>
    <t>Merian, Suriname</t>
  </si>
  <si>
    <t>Peñasquito, Mexico</t>
  </si>
  <si>
    <t>Pueblo Viejo JV, Dominican Republic</t>
  </si>
  <si>
    <t>Yanacocha, Peru</t>
  </si>
  <si>
    <t>Nevada Gold Mines JV, United States</t>
  </si>
  <si>
    <t>Projects</t>
  </si>
  <si>
    <t>Reserves &amp; Resources</t>
  </si>
  <si>
    <t>Health and Safety</t>
  </si>
  <si>
    <t>Q226</t>
  </si>
  <si>
    <t>Main</t>
  </si>
  <si>
    <t>Q126</t>
  </si>
  <si>
    <t>Q326</t>
  </si>
  <si>
    <t>Q426</t>
  </si>
  <si>
    <t xml:space="preserve">Mine Level Cash Margin </t>
  </si>
  <si>
    <t>Gold Revenue</t>
  </si>
  <si>
    <t xml:space="preserve">Interest </t>
  </si>
  <si>
    <t>Realized Gold Price ($/oz)</t>
  </si>
  <si>
    <t>CapEx</t>
  </si>
  <si>
    <t xml:space="preserve">Reported Free Cash Flow </t>
  </si>
  <si>
    <t>Difference</t>
  </si>
  <si>
    <t xml:space="preserve">Other Metals </t>
  </si>
  <si>
    <t xml:space="preserve">Total Revenue </t>
  </si>
  <si>
    <t xml:space="preserve">Q226 results </t>
  </si>
  <si>
    <t xml:space="preserve">Actuals </t>
  </si>
  <si>
    <t xml:space="preserve">Discount </t>
  </si>
  <si>
    <t xml:space="preserve">Estimate </t>
  </si>
  <si>
    <t xml:space="preserve">Current </t>
  </si>
  <si>
    <t xml:space="preserve">Upside </t>
  </si>
  <si>
    <t>P(x)</t>
  </si>
  <si>
    <t>Terminal (15yrs)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</si>
</sst>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0&quot;/oz&quot;"/>
    <numFmt numFmtId="166" formatCode="0.0%"/>
  </numFmts>
  <fonts count="19">
    <font>
      <sz val="10"/>
      <color theme="1"/>
      <name val="ArialMT"/>
      <family val="2"/>
    </font>
    <font>
      <b/>
      <sz val="10"/>
      <color theme="1"/>
      <name val="ArialMT"/>
    </font>
    <font>
      <u/>
      <sz val="10"/>
      <color theme="1"/>
      <name val="ArialMT"/>
      <family val="2"/>
    </font>
    <font>
      <sz val="10"/>
      <color theme="1"/>
      <name val="ArialMT"/>
    </font>
    <font>
      <u/>
      <sz val="10"/>
      <color theme="10"/>
      <name val="ArialMT"/>
      <family val="2"/>
    </font>
    <font>
      <i/>
      <sz val="10"/>
      <color theme="1"/>
      <name val="ArialMT"/>
    </font>
    <font>
      <sz val="10"/>
      <color theme="1"/>
      <name val="Arial"/>
      <family val="2"/>
    </font>
    <font>
      <b/>
      <sz val="10"/>
      <color theme="1"/>
      <name val="Arial"/>
      <family val="2"/>
    </font>
    <font>
      <sz val="10"/>
      <color rgb="FF021FFD"/>
      <name val="Arial"/>
      <family val="2"/>
    </font>
    <font>
      <i/>
      <sz val="10"/>
      <color theme="1"/>
      <name val="Arial"/>
      <family val="2"/>
    </font>
    <font>
      <sz val="10"/>
      <name val="Arial"/>
      <family val="2"/>
    </font>
    <font>
      <b/>
      <sz val="7.5"/>
      <color rgb="FF000000"/>
      <name val="Tahoma"/>
      <family val="2"/>
    </font>
    <font>
      <sz val="7.5"/>
      <color rgb="FF000000"/>
      <name val="Tahoma"/>
      <family val="2"/>
    </font>
    <font>
      <b/>
      <sz val="4.8499999999999996"/>
      <color rgb="FF000000"/>
      <name val="Tahoma"/>
      <family val="2"/>
    </font>
    <font>
      <u/>
      <sz val="19"/>
      <color rgb="FF003087"/>
      <name val="Arial"/>
      <family val="2"/>
    </font>
    <font>
      <sz val="10"/>
      <color theme="0"/>
      <name val="Arial"/>
      <family val="2"/>
    </font>
    <font>
      <u/>
      <sz val="8"/>
      <color theme="10"/>
      <name val="ArialMT"/>
      <family val="2"/>
    </font>
    <font>
      <sz val="8"/>
      <color theme="1"/>
      <name val="Arial"/>
      <family val="2"/>
    </font>
    <font>
      <i/>
      <sz val="10"/>
      <color rgb="FF021FFD"/>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3" tint="-0.499984740745262"/>
        <bgColor indexed="64"/>
      </patternFill>
    </fill>
  </fills>
  <borders count="13">
    <border>
      <left/>
      <right/>
      <top/>
      <bottom/>
      <diagonal/>
    </border>
    <border>
      <left style="thin">
        <color indexed="64"/>
      </left>
      <right/>
      <top style="thin">
        <color indexed="64"/>
      </top>
      <bottom/>
      <diagonal/>
    </border>
    <border>
      <left style="thin">
        <color theme="0"/>
      </left>
      <right style="thin">
        <color theme="0"/>
      </right>
      <top style="thin">
        <color theme="0"/>
      </top>
      <bottom style="thin">
        <color theme="0"/>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69">
    <xf numFmtId="0" fontId="0" fillId="0" borderId="0" xfId="0"/>
    <xf numFmtId="3" fontId="0" fillId="0" borderId="0" xfId="0" applyNumberFormat="1"/>
    <xf numFmtId="4" fontId="0" fillId="0" borderId="0" xfId="0" applyNumberFormat="1"/>
    <xf numFmtId="3" fontId="1" fillId="0" borderId="0" xfId="0" applyNumberFormat="1" applyFont="1"/>
    <xf numFmtId="1" fontId="0" fillId="0" borderId="0" xfId="0" applyNumberFormat="1"/>
    <xf numFmtId="14" fontId="0" fillId="0" borderId="0" xfId="0" applyNumberFormat="1"/>
    <xf numFmtId="14" fontId="4" fillId="0" borderId="0" xfId="1" applyNumberFormat="1"/>
    <xf numFmtId="14" fontId="2" fillId="0" borderId="0" xfId="0" applyNumberFormat="1" applyFont="1"/>
    <xf numFmtId="3" fontId="5" fillId="0" borderId="0" xfId="0" applyNumberFormat="1" applyFont="1"/>
    <xf numFmtId="3" fontId="4" fillId="0" borderId="0" xfId="1" applyNumberFormat="1"/>
    <xf numFmtId="1" fontId="0" fillId="0" borderId="0" xfId="0" applyNumberFormat="1" applyAlignment="1">
      <alignment horizontal="center"/>
    </xf>
    <xf numFmtId="1" fontId="6" fillId="0" borderId="0" xfId="0" applyNumberFormat="1" applyFont="1"/>
    <xf numFmtId="3" fontId="6" fillId="0" borderId="0" xfId="0" applyNumberFormat="1" applyFont="1"/>
    <xf numFmtId="0" fontId="11" fillId="0" borderId="0" xfId="0" applyFont="1"/>
    <xf numFmtId="0" fontId="12" fillId="0" borderId="0" xfId="0" applyFont="1"/>
    <xf numFmtId="0" fontId="1" fillId="0" borderId="0" xfId="0" applyFont="1"/>
    <xf numFmtId="1" fontId="2" fillId="0" borderId="0" xfId="0" applyNumberFormat="1" applyFont="1"/>
    <xf numFmtId="164" fontId="0" fillId="0" borderId="0" xfId="0" applyNumberFormat="1"/>
    <xf numFmtId="1" fontId="6" fillId="0" borderId="0" xfId="0" applyNumberFormat="1" applyFont="1" applyAlignment="1">
      <alignment horizontal="center"/>
    </xf>
    <xf numFmtId="3" fontId="6" fillId="0" borderId="0" xfId="0" applyNumberFormat="1" applyFont="1" applyAlignment="1">
      <alignment horizontal="center"/>
    </xf>
    <xf numFmtId="3" fontId="8" fillId="2" borderId="2" xfId="0" applyNumberFormat="1" applyFont="1" applyFill="1" applyBorder="1" applyAlignment="1">
      <alignment horizontal="center"/>
    </xf>
    <xf numFmtId="9" fontId="6" fillId="0" borderId="0" xfId="0" applyNumberFormat="1" applyFont="1" applyAlignment="1">
      <alignment horizontal="center"/>
    </xf>
    <xf numFmtId="3" fontId="10" fillId="2" borderId="2" xfId="0" applyNumberFormat="1" applyFont="1" applyFill="1" applyBorder="1" applyAlignment="1">
      <alignment horizontal="center"/>
    </xf>
    <xf numFmtId="165" fontId="0" fillId="0" borderId="0" xfId="0" applyNumberFormat="1"/>
    <xf numFmtId="1" fontId="1" fillId="0" borderId="0" xfId="0" applyNumberFormat="1" applyFont="1"/>
    <xf numFmtId="0" fontId="5" fillId="0" borderId="0" xfId="0" applyFont="1"/>
    <xf numFmtId="14" fontId="5" fillId="0" borderId="0" xfId="0" applyNumberFormat="1" applyFont="1"/>
    <xf numFmtId="0" fontId="3" fillId="0" borderId="0" xfId="0" applyFont="1"/>
    <xf numFmtId="165" fontId="10" fillId="2" borderId="2" xfId="0" applyNumberFormat="1" applyFont="1" applyFill="1" applyBorder="1" applyAlignment="1">
      <alignment horizontal="center"/>
    </xf>
    <xf numFmtId="3" fontId="10" fillId="2" borderId="2" xfId="0" applyNumberFormat="1" applyFont="1" applyFill="1" applyBorder="1" applyAlignment="1">
      <alignment horizontal="left"/>
    </xf>
    <xf numFmtId="165" fontId="8" fillId="2" borderId="2" xfId="0" applyNumberFormat="1" applyFont="1" applyFill="1" applyBorder="1" applyAlignment="1">
      <alignment horizontal="center"/>
    </xf>
    <xf numFmtId="9" fontId="8" fillId="2" borderId="2" xfId="0" applyNumberFormat="1" applyFont="1" applyFill="1" applyBorder="1" applyAlignment="1">
      <alignment horizontal="center"/>
    </xf>
    <xf numFmtId="0" fontId="4" fillId="0" borderId="0" xfId="1"/>
    <xf numFmtId="0" fontId="14" fillId="0" borderId="0" xfId="0" applyFont="1"/>
    <xf numFmtId="0" fontId="0" fillId="0" borderId="0" xfId="0" applyAlignment="1">
      <alignment horizontal="left"/>
    </xf>
    <xf numFmtId="0" fontId="4" fillId="0" borderId="0" xfId="1" applyAlignment="1">
      <alignment horizontal="left"/>
    </xf>
    <xf numFmtId="3" fontId="6" fillId="0" borderId="4" xfId="0" applyNumberFormat="1" applyFont="1" applyBorder="1" applyAlignment="1">
      <alignment horizontal="center"/>
    </xf>
    <xf numFmtId="3" fontId="6" fillId="0" borderId="0" xfId="0" applyNumberFormat="1" applyFont="1" applyAlignment="1">
      <alignment horizontal="right"/>
    </xf>
    <xf numFmtId="3" fontId="8" fillId="0" borderId="0" xfId="0" applyNumberFormat="1" applyFont="1" applyAlignment="1">
      <alignment horizontal="right"/>
    </xf>
    <xf numFmtId="3" fontId="6" fillId="0" borderId="4" xfId="0" applyNumberFormat="1" applyFont="1" applyBorder="1" applyAlignment="1">
      <alignment horizontal="right"/>
    </xf>
    <xf numFmtId="9" fontId="9" fillId="0" borderId="0" xfId="0" applyNumberFormat="1" applyFont="1"/>
    <xf numFmtId="9" fontId="9" fillId="0" borderId="0" xfId="0" applyNumberFormat="1" applyFont="1" applyAlignment="1">
      <alignment horizontal="right"/>
    </xf>
    <xf numFmtId="9" fontId="9" fillId="0" borderId="0" xfId="0" applyNumberFormat="1" applyFont="1" applyAlignment="1">
      <alignment horizontal="center"/>
    </xf>
    <xf numFmtId="1" fontId="15" fillId="3" borderId="0" xfId="0" applyNumberFormat="1" applyFont="1" applyFill="1"/>
    <xf numFmtId="1" fontId="15" fillId="3" borderId="0" xfId="0" applyNumberFormat="1" applyFont="1" applyFill="1" applyAlignment="1">
      <alignment horizontal="right"/>
    </xf>
    <xf numFmtId="9" fontId="6" fillId="0" borderId="0" xfId="0" applyNumberFormat="1" applyFont="1" applyAlignment="1">
      <alignment horizontal="right"/>
    </xf>
    <xf numFmtId="3" fontId="16" fillId="0" borderId="0" xfId="1" applyNumberFormat="1" applyFont="1"/>
    <xf numFmtId="3" fontId="17" fillId="0" borderId="0" xfId="0" applyNumberFormat="1" applyFont="1"/>
    <xf numFmtId="3" fontId="17" fillId="0" borderId="0" xfId="0" applyNumberFormat="1" applyFont="1" applyAlignment="1">
      <alignment horizontal="center"/>
    </xf>
    <xf numFmtId="3" fontId="17" fillId="0" borderId="0" xfId="0" applyNumberFormat="1" applyFont="1" applyAlignment="1">
      <alignment horizontal="right"/>
    </xf>
    <xf numFmtId="3" fontId="6" fillId="0" borderId="0" xfId="0" applyNumberFormat="1" applyFont="1" applyAlignment="1">
      <alignment horizontal="left"/>
    </xf>
    <xf numFmtId="3" fontId="6" fillId="0" borderId="7" xfId="0" applyNumberFormat="1" applyFont="1" applyBorder="1" applyAlignment="1">
      <alignment horizontal="center"/>
    </xf>
    <xf numFmtId="3" fontId="7" fillId="0" borderId="7" xfId="0" applyNumberFormat="1" applyFont="1" applyBorder="1" applyAlignment="1">
      <alignment horizontal="center"/>
    </xf>
    <xf numFmtId="4" fontId="6" fillId="0" borderId="0" xfId="0" applyNumberFormat="1" applyFont="1"/>
    <xf numFmtId="9" fontId="9" fillId="0" borderId="1" xfId="0" applyNumberFormat="1" applyFont="1" applyBorder="1"/>
    <xf numFmtId="9" fontId="18" fillId="0" borderId="3" xfId="0" applyNumberFormat="1" applyFont="1" applyBorder="1" applyAlignment="1">
      <alignment horizontal="center"/>
    </xf>
    <xf numFmtId="9" fontId="9" fillId="0" borderId="3" xfId="0" applyNumberFormat="1" applyFont="1" applyBorder="1"/>
    <xf numFmtId="9" fontId="9" fillId="0" borderId="8" xfId="0" applyNumberFormat="1" applyFont="1" applyBorder="1"/>
    <xf numFmtId="3" fontId="6" fillId="0" borderId="9" xfId="0" applyNumberFormat="1" applyFont="1" applyBorder="1"/>
    <xf numFmtId="166" fontId="8" fillId="0" borderId="0" xfId="0" applyNumberFormat="1" applyFont="1" applyAlignment="1">
      <alignment horizontal="center"/>
    </xf>
    <xf numFmtId="166" fontId="8" fillId="0" borderId="10" xfId="0" applyNumberFormat="1" applyFont="1" applyBorder="1" applyAlignment="1">
      <alignment horizontal="center"/>
    </xf>
    <xf numFmtId="3" fontId="6" fillId="0" borderId="10" xfId="0" applyNumberFormat="1" applyFont="1" applyBorder="1"/>
    <xf numFmtId="9" fontId="6" fillId="0" borderId="0" xfId="0" applyNumberFormat="1" applyFont="1"/>
    <xf numFmtId="9" fontId="6" fillId="0" borderId="10" xfId="0" applyNumberFormat="1" applyFont="1" applyBorder="1"/>
    <xf numFmtId="3" fontId="6" fillId="0" borderId="11" xfId="0" applyNumberFormat="1" applyFont="1" applyBorder="1"/>
    <xf numFmtId="9" fontId="8" fillId="0" borderId="5" xfId="0" applyNumberFormat="1" applyFont="1" applyBorder="1" applyAlignment="1">
      <alignment horizontal="center"/>
    </xf>
    <xf numFmtId="9" fontId="8" fillId="0" borderId="12" xfId="0" applyNumberFormat="1" applyFont="1" applyBorder="1" applyAlignment="1">
      <alignment horizontal="center"/>
    </xf>
    <xf numFmtId="3" fontId="6" fillId="0" borderId="6" xfId="0" applyNumberFormat="1" applyFont="1" applyBorder="1"/>
    <xf numFmtId="3" fontId="6" fillId="0" borderId="6" xfId="0" applyNumberFormat="1" applyFont="1" applyBorder="1" applyAlignment="1">
      <alignment horizontal="left"/>
    </xf>
  </cellXfs>
  <cellStyles count="2">
    <cellStyle name="Hyperlink" xfId="1" builtinId="8"/>
    <cellStyle name="Normal" xfId="0" builtinId="0"/>
  </cellStyles>
  <dxfs count="0"/>
  <tableStyles count="0" defaultTableStyle="TableStyleMedium2" defaultPivotStyle="PivotStyleLight16"/>
  <colors>
    <mruColors>
      <color rgb="FF021F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newmont.com/investors/news-release/news-details/2024/Newmont-Reports-Second-Quarter-2024-Results/default.aspx" TargetMode="External"/><Relationship Id="rId13" Type="http://schemas.openxmlformats.org/officeDocument/2006/relationships/hyperlink" Target="https://s24.q4cdn.com/382246808/files/doc_earnings/2025/q3/earnings-result/Newmont-Q3-2025-Earnings-Release_Final.pdf" TargetMode="External"/><Relationship Id="rId3" Type="http://schemas.openxmlformats.org/officeDocument/2006/relationships/hyperlink" Target="https://www.newmont.com/investors/news-release/news-details/2024/Newmont-Announces-Sale-of-Musselwhite-for-up-to-850-Million/default.aspx" TargetMode="External"/><Relationship Id="rId7" Type="http://schemas.openxmlformats.org/officeDocument/2006/relationships/hyperlink" Target="https://www.newmont.com/investors/news-release/news-details/2024/Newmont-Reports-Third-Quarter-2024-Results/default.aspx" TargetMode="External"/><Relationship Id="rId12" Type="http://schemas.openxmlformats.org/officeDocument/2006/relationships/hyperlink" Target="https://s24.q4cdn.com/382246808/files/doc_earnings/2025/q1/earnings-result/Newmont-Q1-2025-Earnings-Release_Final.pdf" TargetMode="External"/><Relationship Id="rId2" Type="http://schemas.openxmlformats.org/officeDocument/2006/relationships/hyperlink" Target="Announced%20Divestitures%20to%20Date%20Expected%20to%20Generate%20up%20to%20$3.6%20Billion%20in%20Gross%20Proceeds%20%20DENVER--(BUSINESS%20WIRE)--%20Newmont%20Corporation%20(NYSE:%20NEM,%20TSX:%20NGT,%20ASX:%20NEM,%20PNGX:%20NEM)%20(&#8220;Newmont&#8221;%20or%20the%20&#8220;Company&#8221;)%20announced%20today%20that%20it%20has%20agreed%20to%20sell%20its%20&#201;l&#233;onore%20operation%20in%20Northern%20Quebec,%20Canada,%20to%20Dhilmar%20Ltd%20(&#8220;Dhilmar&#8221;)%20for%20$795%20million%20in%20cash%20consideration.%20The%20transaction%20is%20expected%20to%20close%20in%20the%20first%20quarter%20of%202025,%20subject%20to%20certain%20conditions%20being%20satisfied.%201%20Upon%20closing%20the%20announced%20transactions,%20Newmont%20will%20have%20delivered%20up%20to%20$3.6%20billion%20in%20gross%20proceeds%20from%20non-core%20asset%20divestitures%20and%20investment%20sales.%202%20%20&#8220;Today&#8217;s%20announcement%20is%20another%20step%20forward%20in%20Newmont&#8217;s%20journey%20to%20create%20a%20go-forward%20portfolio%20of%20Tier%201%20gold%20and%20copper%20assets,%20each%20with%20the%20scale%20and%20mine%20life%20to%20generate%20strong%20free%20cash%20flows%20for%20several%20decades,&#8221;%20said%20Tom%20Palmer,%20Newmont's%20President%20and%20Chief%20Executive%20Officer%20.%20&#8220;When%20we%20announced%20the%20acquisition%20of%20Newcrest%20in%202023,%20we%20committed%20to%20generating%20at%20least%20$2%20billion%20in%20cash%20through%20portfolio%20optimization.%20With%20this%20announced%20sale,%20we%20have%20meaningfully%20exceeded%20our%20target%20by%20more%20than%20$1.5%20billion%20to%20date.%20Proceeds%20from%20this%20transaction%20will%20support%20Newmont&#8217;s%20comprehensive%20approach%20to%20capital%20allocation,%20which%20includes%20strengthening%20our%20investment-grade%20balance%20sheet%20and%20returning%20capital%20to%20shareholders.&#8221;%20%20&#8220;We%20are%20pleased%20to%20be%20selling%20this%20operation%20to%20Dhilmar,&#8221;%20Tom%20Palmer%20added.%20&#8220;They%20have%20a%20wealth%20of%20experience%20in%20gold%20and%20copper%20mining%20and%20we%20believe%20Dhilmar%20will%20be%20excellent%20stewards%20of%20this%20asset.&#8221;%252" TargetMode="External"/><Relationship Id="rId1" Type="http://schemas.openxmlformats.org/officeDocument/2006/relationships/hyperlink" Target="https://www.newmont.com/investors/news-release/news-details/2024/Newmont-Announces-Agreement-to-Divest-CCV-for-up-to-275-Million/default.aspx" TargetMode="External"/><Relationship Id="rId6" Type="http://schemas.openxmlformats.org/officeDocument/2006/relationships/hyperlink" Target="https://www.newmont.com/investors/news-release/news-details/2024/Newmont-Announces-Definitive-Agreement-to-Divest-Akyem-for-up-to-1-Billion/default.aspx" TargetMode="External"/><Relationship Id="rId11" Type="http://schemas.openxmlformats.org/officeDocument/2006/relationships/hyperlink" Target="https://www.newmont.com/investors/news-release/news-details/2025/Newmont-Announces-Sale-of-Porcupine-Operation-for-up-to-425-Million/default.aspx" TargetMode="External"/><Relationship Id="rId5" Type="http://schemas.openxmlformats.org/officeDocument/2006/relationships/hyperlink" Target="https://www.newmont.com/investors/news-release/news-details/2024/ICMM-Announces-Newmont-CEO-Tom-Palmer-as-New-Chair/default.aspx" TargetMode="External"/><Relationship Id="rId15" Type="http://schemas.openxmlformats.org/officeDocument/2006/relationships/hyperlink" Target="https://www.newmont.com/investors/news-release/news-details/2026/Newmont-Reports-Robust-Second-Quarter-2026-Results-Remains-on-Track-to-Achieve-Full-Year-Guidance/default.aspx" TargetMode="External"/><Relationship Id="rId10" Type="http://schemas.openxmlformats.org/officeDocument/2006/relationships/hyperlink" Target="https://www.newmont.com/investors/news-release/news-details/2025/Newmont-Announces-Early-Redemption-of-its-5.30-Notes-Due-2026/default.aspx" TargetMode="External"/><Relationship Id="rId4" Type="http://schemas.openxmlformats.org/officeDocument/2006/relationships/hyperlink" Target="https://www.newmont.com/investors/news-release/news-details/2024/Newmont-Receives-First-Battery-Electric-Large-Mining-Truck/default.aspx" TargetMode="External"/><Relationship Id="rId9" Type="http://schemas.openxmlformats.org/officeDocument/2006/relationships/hyperlink" Target="https://www.newmont.com/investors/news-release/news-details/2024/Newmont-Reports-First-Quarter-2024-Results/default.aspx" TargetMode="External"/><Relationship Id="rId14" Type="http://schemas.openxmlformats.org/officeDocument/2006/relationships/hyperlink" Target="https://www.newmont.com/investors/reports-and-filings/default.aspx"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operations.newmont.com/_doc/Newmont-2017-Reserves-and-Resources-Release.pdf" TargetMode="External"/><Relationship Id="rId13" Type="http://schemas.openxmlformats.org/officeDocument/2006/relationships/hyperlink" Target="https://www.newmont.com/about-us/about-mining/Mining-at-Newmont/what-we-mine/default.aspx" TargetMode="External"/><Relationship Id="rId3" Type="http://schemas.openxmlformats.org/officeDocument/2006/relationships/hyperlink" Target="https://operations.newmont.com/_doc/Newmont-2022-Reserves-and-Resources-Release.pdf" TargetMode="External"/><Relationship Id="rId7" Type="http://schemas.openxmlformats.org/officeDocument/2006/relationships/hyperlink" Target="https://operations.newmont.com/_doc/Newmont-2018-Reserves-and-Resources-Release.pdf" TargetMode="External"/><Relationship Id="rId12" Type="http://schemas.openxmlformats.org/officeDocument/2006/relationships/hyperlink" Target="https://www.newmont.com/about-us/about-mining/Mining-at-Newmont/the-mining-process/default.aspx" TargetMode="External"/><Relationship Id="rId2" Type="http://schemas.openxmlformats.org/officeDocument/2006/relationships/hyperlink" Target="https://operations.newmont.com/_doc/Newmont-2023-Reserves-and-Resources-Release.pdf" TargetMode="External"/><Relationship Id="rId1" Type="http://schemas.openxmlformats.org/officeDocument/2006/relationships/hyperlink" Target="https://operations.newmont.com/_doc/Newmont-2024-Reserves-and-Resources-Release.pdf" TargetMode="External"/><Relationship Id="rId6" Type="http://schemas.openxmlformats.org/officeDocument/2006/relationships/hyperlink" Target="https://operations.newmont.com/_doc/Newmont-2019-Reserves-and-Resources-Release.pdf" TargetMode="External"/><Relationship Id="rId11" Type="http://schemas.openxmlformats.org/officeDocument/2006/relationships/hyperlink" Target="https://www.newmont.com/about-us/about-mining/Mining-at-Newmont/life-cycle-of-a-mine/default.aspx" TargetMode="External"/><Relationship Id="rId5" Type="http://schemas.openxmlformats.org/officeDocument/2006/relationships/hyperlink" Target="https://operations.newmont.com/_doc/Newmont-2020-Reserves-and-Resources-Release.pdf" TargetMode="External"/><Relationship Id="rId10" Type="http://schemas.openxmlformats.org/officeDocument/2006/relationships/hyperlink" Target="https://operations.newmont.com/_doc/Newmont-2015-Reserves-and-Resources-Release.pdf" TargetMode="External"/><Relationship Id="rId4" Type="http://schemas.openxmlformats.org/officeDocument/2006/relationships/hyperlink" Target="https://operations.newmont.com/_doc/Newmont-2021-Reserves-and-Resources-Release.pdf" TargetMode="External"/><Relationship Id="rId9" Type="http://schemas.openxmlformats.org/officeDocument/2006/relationships/hyperlink" Target="https://operations.newmont.com/_doc/Newmont-2016-Reserves-and-Resources-Release.pdf"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operations.newmont.com/papua-new-guinea" TargetMode="External"/><Relationship Id="rId13" Type="http://schemas.openxmlformats.org/officeDocument/2006/relationships/hyperlink" Target="https://operations.newmont.com/latac" TargetMode="External"/><Relationship Id="rId18" Type="http://schemas.openxmlformats.org/officeDocument/2006/relationships/hyperlink" Target="https://operations.newmont.com/latac/yanacocha-peru" TargetMode="External"/><Relationship Id="rId3" Type="http://schemas.openxmlformats.org/officeDocument/2006/relationships/hyperlink" Target="https://operations.newmont.com/africa/ahafo-south-ghana" TargetMode="External"/><Relationship Id="rId21" Type="http://schemas.openxmlformats.org/officeDocument/2006/relationships/hyperlink" Target="https://operations.newmont.com/reserves-and-resources" TargetMode="External"/><Relationship Id="rId7" Type="http://schemas.openxmlformats.org/officeDocument/2006/relationships/hyperlink" Target="https://operations.newmont.com/australia/tanami" TargetMode="External"/><Relationship Id="rId12" Type="http://schemas.openxmlformats.org/officeDocument/2006/relationships/hyperlink" Target="https://operations.newmont.com/north-america/red-chris-canada" TargetMode="External"/><Relationship Id="rId17" Type="http://schemas.openxmlformats.org/officeDocument/2006/relationships/hyperlink" Target="https://operations.newmont.com/latac/pueblo-viejo-dominican-replublic" TargetMode="External"/><Relationship Id="rId2" Type="http://schemas.openxmlformats.org/officeDocument/2006/relationships/hyperlink" Target="https://operations.newmont.com/africa/ahafo-north-ghana" TargetMode="External"/><Relationship Id="rId16" Type="http://schemas.openxmlformats.org/officeDocument/2006/relationships/hyperlink" Target="https://operations.newmont.com/latac/penasquito-mexico" TargetMode="External"/><Relationship Id="rId20" Type="http://schemas.openxmlformats.org/officeDocument/2006/relationships/hyperlink" Target="https://operations.newmont.com/exploration-and-projects" TargetMode="External"/><Relationship Id="rId1" Type="http://schemas.openxmlformats.org/officeDocument/2006/relationships/hyperlink" Target="https://operations.newmont.com/africa" TargetMode="External"/><Relationship Id="rId6" Type="http://schemas.openxmlformats.org/officeDocument/2006/relationships/hyperlink" Target="https://operations.newmont.com/australia/cadia" TargetMode="External"/><Relationship Id="rId11" Type="http://schemas.openxmlformats.org/officeDocument/2006/relationships/hyperlink" Target="https://operations.newmont.com/north-america/brucejack-canada" TargetMode="External"/><Relationship Id="rId5" Type="http://schemas.openxmlformats.org/officeDocument/2006/relationships/hyperlink" Target="https://operations.newmont.com/australia/boddington" TargetMode="External"/><Relationship Id="rId15" Type="http://schemas.openxmlformats.org/officeDocument/2006/relationships/hyperlink" Target="https://operations.newmont.com/latac/merian-suriname" TargetMode="External"/><Relationship Id="rId10" Type="http://schemas.openxmlformats.org/officeDocument/2006/relationships/hyperlink" Target="https://operations.newmont.com/north-america" TargetMode="External"/><Relationship Id="rId19" Type="http://schemas.openxmlformats.org/officeDocument/2006/relationships/hyperlink" Target="https://operations.newmont.com/north-america/nevada-usa" TargetMode="External"/><Relationship Id="rId4" Type="http://schemas.openxmlformats.org/officeDocument/2006/relationships/hyperlink" Target="https://operations.newmont.com/australia" TargetMode="External"/><Relationship Id="rId9" Type="http://schemas.openxmlformats.org/officeDocument/2006/relationships/hyperlink" Target="https://operations.newmont.com/papua-new-guinea/lihir" TargetMode="External"/><Relationship Id="rId14" Type="http://schemas.openxmlformats.org/officeDocument/2006/relationships/hyperlink" Target="https://operations.newmont.com/latac/cerro-negro-argentina" TargetMode="External"/><Relationship Id="rId22" Type="http://schemas.openxmlformats.org/officeDocument/2006/relationships/hyperlink" Target="https://operations.newmont.com/health-and-safe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F6176-5046-B347-9799-FB3433A5174B}">
  <dimension ref="B1:O40"/>
  <sheetViews>
    <sheetView showGridLines="0" zoomScale="206" workbookViewId="0">
      <selection activeCell="H15" sqref="H15"/>
    </sheetView>
  </sheetViews>
  <sheetFormatPr baseColWidth="10" defaultRowHeight="13"/>
  <cols>
    <col min="1" max="1" width="1.6640625" style="1" customWidth="1"/>
    <col min="2" max="2" width="11.33203125" style="1" customWidth="1"/>
    <col min="3" max="3" width="5.6640625" style="1" bestFit="1" customWidth="1"/>
    <col min="4" max="4" width="11.1640625" style="1" bestFit="1" customWidth="1"/>
    <col min="5" max="5" width="13.6640625" style="1" bestFit="1" customWidth="1"/>
    <col min="6" max="8" width="10.83203125" style="1"/>
    <col min="9" max="9" width="10.83203125" style="5"/>
    <col min="10" max="10" width="3.6640625" style="1" bestFit="1" customWidth="1"/>
    <col min="11" max="11" width="7.6640625" style="1" bestFit="1" customWidth="1"/>
    <col min="12" max="12" width="5.5" style="1" bestFit="1" customWidth="1"/>
    <col min="13" max="13" width="10.83203125" style="1"/>
    <col min="14" max="14" width="10.83203125" style="5"/>
    <col min="15" max="16384" width="10.83203125" style="1"/>
  </cols>
  <sheetData>
    <row r="1" spans="2:15">
      <c r="B1" s="9" t="s">
        <v>188</v>
      </c>
    </row>
    <row r="2" spans="2:15">
      <c r="B2" s="9"/>
    </row>
    <row r="3" spans="2:15">
      <c r="B3" s="1" t="s">
        <v>12</v>
      </c>
    </row>
    <row r="4" spans="2:15">
      <c r="B4" s="1" t="s">
        <v>23</v>
      </c>
      <c r="C4" s="1" t="s">
        <v>27</v>
      </c>
      <c r="J4" s="1" t="s">
        <v>0</v>
      </c>
      <c r="K4" s="2">
        <v>115.47</v>
      </c>
      <c r="N4" s="5" t="s">
        <v>24</v>
      </c>
      <c r="O4" s="1" t="s">
        <v>25</v>
      </c>
    </row>
    <row r="5" spans="2:15">
      <c r="B5" s="1" t="s">
        <v>46</v>
      </c>
      <c r="C5" s="1" t="s">
        <v>47</v>
      </c>
      <c r="J5" s="1" t="s">
        <v>1</v>
      </c>
      <c r="K5" s="1">
        <v>1053.6922709999999</v>
      </c>
      <c r="L5" s="1" t="s">
        <v>217</v>
      </c>
      <c r="N5" s="6">
        <v>45632</v>
      </c>
      <c r="O5" s="1" t="s">
        <v>26</v>
      </c>
    </row>
    <row r="6" spans="2:15">
      <c r="B6" s="1" t="s">
        <v>22</v>
      </c>
      <c r="J6" s="1" t="s">
        <v>2</v>
      </c>
      <c r="K6" s="1">
        <f>+K4*K5</f>
        <v>121669.84653236999</v>
      </c>
      <c r="N6" s="6">
        <v>45621</v>
      </c>
      <c r="O6" s="1" t="s">
        <v>28</v>
      </c>
    </row>
    <row r="7" spans="2:15">
      <c r="B7" s="8"/>
      <c r="J7" s="1" t="s">
        <v>3</v>
      </c>
      <c r="K7" s="1">
        <v>9009</v>
      </c>
      <c r="L7" s="1" t="str">
        <f>+L5</f>
        <v>Q226</v>
      </c>
      <c r="N7" s="6">
        <v>45614</v>
      </c>
      <c r="O7" s="1" t="s">
        <v>29</v>
      </c>
    </row>
    <row r="8" spans="2:15">
      <c r="B8" s="1" t="s">
        <v>156</v>
      </c>
      <c r="J8" s="1" t="s">
        <v>4</v>
      </c>
      <c r="K8" s="1">
        <v>5083</v>
      </c>
      <c r="L8" s="1" t="str">
        <f>+L7</f>
        <v>Q226</v>
      </c>
      <c r="N8" s="6">
        <v>45594</v>
      </c>
      <c r="O8" s="1" t="s">
        <v>30</v>
      </c>
    </row>
    <row r="9" spans="2:15">
      <c r="B9" s="4" t="s">
        <v>157</v>
      </c>
      <c r="C9" s="4"/>
      <c r="D9" s="4"/>
      <c r="E9" s="4"/>
      <c r="F9" s="4"/>
      <c r="G9" s="4"/>
      <c r="J9" s="1" t="s">
        <v>5</v>
      </c>
      <c r="K9" s="1">
        <f>+K6-K7+K8</f>
        <v>117743.84653236999</v>
      </c>
      <c r="N9" s="6">
        <v>45573</v>
      </c>
      <c r="O9" s="1" t="s">
        <v>32</v>
      </c>
    </row>
    <row r="10" spans="2:15">
      <c r="B10" s="4" t="s">
        <v>158</v>
      </c>
      <c r="C10" s="4"/>
      <c r="D10" s="4"/>
      <c r="E10" s="4"/>
      <c r="F10" s="4"/>
      <c r="G10" s="4"/>
      <c r="N10" s="6">
        <v>45568</v>
      </c>
      <c r="O10" s="1" t="s">
        <v>31</v>
      </c>
    </row>
    <row r="11" spans="2:15">
      <c r="B11" s="16"/>
      <c r="C11" s="4"/>
      <c r="D11" s="4"/>
      <c r="E11" s="4"/>
      <c r="F11" s="4"/>
      <c r="G11" s="4"/>
      <c r="N11" s="6">
        <v>45588</v>
      </c>
      <c r="O11" s="1" t="s">
        <v>33</v>
      </c>
    </row>
    <row r="12" spans="2:15">
      <c r="B12" s="3" t="s">
        <v>159</v>
      </c>
      <c r="C12" s="4"/>
      <c r="D12" s="4"/>
      <c r="E12" s="4"/>
      <c r="F12" s="4"/>
      <c r="G12" s="4"/>
      <c r="N12" s="6">
        <v>45497</v>
      </c>
      <c r="O12" s="1" t="s">
        <v>34</v>
      </c>
    </row>
    <row r="13" spans="2:15">
      <c r="B13" s="1" t="s">
        <v>160</v>
      </c>
      <c r="D13" s="17"/>
      <c r="N13" s="6">
        <v>45407</v>
      </c>
      <c r="O13" s="1" t="s">
        <v>35</v>
      </c>
    </row>
    <row r="14" spans="2:15">
      <c r="B14" s="1" t="s">
        <v>161</v>
      </c>
      <c r="D14" s="17"/>
    </row>
    <row r="15" spans="2:15">
      <c r="B15" s="1" t="s">
        <v>162</v>
      </c>
      <c r="D15" s="17"/>
    </row>
    <row r="16" spans="2:15">
      <c r="B16" s="1" t="s">
        <v>163</v>
      </c>
      <c r="D16" s="17"/>
      <c r="N16" s="7" t="s">
        <v>36</v>
      </c>
    </row>
    <row r="17" spans="2:15">
      <c r="B17" s="1" t="s">
        <v>164</v>
      </c>
      <c r="N17" s="6">
        <v>45953</v>
      </c>
      <c r="O17" s="1" t="s">
        <v>45</v>
      </c>
    </row>
    <row r="18" spans="2:15">
      <c r="N18" s="6">
        <v>45770</v>
      </c>
      <c r="O18" s="1" t="s">
        <v>44</v>
      </c>
    </row>
    <row r="19" spans="2:15">
      <c r="N19" s="6">
        <v>45684</v>
      </c>
      <c r="O19" s="1" t="s">
        <v>37</v>
      </c>
    </row>
    <row r="20" spans="2:15">
      <c r="B20" s="3"/>
      <c r="N20" s="6">
        <v>45684</v>
      </c>
      <c r="O20" s="1" t="s">
        <v>38</v>
      </c>
    </row>
    <row r="21" spans="2:15">
      <c r="N21" s="6" t="s">
        <v>231</v>
      </c>
    </row>
    <row r="33" spans="4:4">
      <c r="D33" s="10"/>
    </row>
    <row r="34" spans="4:4">
      <c r="D34" s="10"/>
    </row>
    <row r="35" spans="4:4">
      <c r="D35" s="10"/>
    </row>
    <row r="36" spans="4:4">
      <c r="D36" s="10"/>
    </row>
    <row r="37" spans="4:4">
      <c r="D37" s="10"/>
    </row>
    <row r="38" spans="4:4">
      <c r="D38" s="10"/>
    </row>
    <row r="39" spans="4:4">
      <c r="D39" s="10"/>
    </row>
    <row r="40" spans="4:4">
      <c r="D40" s="4"/>
    </row>
  </sheetData>
  <hyperlinks>
    <hyperlink ref="N5" r:id="rId1" display="https://www.newmont.com/investors/news-release/news-details/2024/Newmont-Announces-Agreement-to-Divest-CCV-for-up-to-275-Million/default.aspx" xr:uid="{0EEE0FA4-6717-7E4A-9FEE-6E985C929F51}"/>
    <hyperlink ref="N6" r:id="rId2" display="Announced Divestitures to Date Expected to Generate up to $3.6 Billion in Gross Proceeds  DENVER--(BUSINESS WIRE)-- Newmont Corporation (NYSE: NEM, TSX: NGT, ASX: NEM, PNGX: NEM) (“Newmont” or the “Company”) announced today that it has agreed to sell its Éléonore operation in Northern Quebec, Canada, to Dhilmar Ltd (“Dhilmar”) for $795 million in cash consideration. The transaction is expected to close in the first quarter of 2025, subject to certain conditions being satisfied. 1 Upon closing the announced transactions, Newmont will have delivered up to $3.6 billion in gross proceeds from non-core asset divestitures and investment sales. 2  “Today’s announcement is another step forward in Newmont’s journey to create a go-forward portfolio of Tier 1 gold and copper assets, each with the scale and mine life to generate strong free cash flows for several decades,” said Tom Palmer, Newmont's President and Chief Executive Officer . “When we announced the acquisition of Newcrest in 2023, we committed to generating at least $2 billion in cash through portfolio optimization. With this announced sale, we have meaningfully exceeded our target by more than $1.5 billion to date. Proceeds from this transaction will support Newmont’s comprehensive approach to capital allocation, which includes strengthening our investment-grade balance sheet and returning capital to shareholders.”  “We are pleased to be selling this operation to Dhilmar,” Tom Palmer added. “They have a wealth of experience in gold and copper mining and we believe Dhilmar will be excellent stewards of this asset.”  Dhilmar is a newly incorporated, UK-based private mining company. The company is led by its CEO and Managing Director, Alexander Ramlie, and supported by board members with decades of mining experience across a range of commodities and with both surface and underground operations. Mr. Ramlie and his team worked closely with Newmont in 2016 to acquire the Batu Hijau copper and gold mine in Indonesia on behalf of PT Amman Mineral Internasional Tbk (“Amman”). Under Mr. Ramlie’s leadership" xr:uid="{3678E5E0-0E33-A84A-8525-5443776CA24C}"/>
    <hyperlink ref="N7" r:id="rId3" display="https://www.newmont.com/investors/news-release/news-details/2024/Newmont-Announces-Sale-of-Musselwhite-for-up-to-850-Million/default.aspx" xr:uid="{A2319C70-D986-7C4B-A073-80DC002C6211}"/>
    <hyperlink ref="N8" r:id="rId4" display="https://www.newmont.com/investors/news-release/news-details/2024/Newmont-Receives-First-Battery-Electric-Large-Mining-Truck/default.aspx" xr:uid="{C19ED3E4-079D-394B-A4D7-C7502CDF5F9E}"/>
    <hyperlink ref="N10" r:id="rId5" display="https://www.newmont.com/investors/news-release/news-details/2024/ICMM-Announces-Newmont-CEO-Tom-Palmer-as-New-Chair/default.aspx" xr:uid="{5D7FE4A5-C7B5-C149-9C20-EC22B906F268}"/>
    <hyperlink ref="N9" r:id="rId6" display="https://www.newmont.com/investors/news-release/news-details/2024/Newmont-Announces-Definitive-Agreement-to-Divest-Akyem-for-up-to-1-Billion/default.aspx" xr:uid="{02541908-76D0-D74C-8E0E-A28F6F2E4113}"/>
    <hyperlink ref="N11" r:id="rId7" display="https://www.newmont.com/investors/news-release/news-details/2024/Newmont-Reports-Third-Quarter-2024-Results/default.aspx" xr:uid="{EF55054F-D56C-CA42-9B1B-45239C1E0BC8}"/>
    <hyperlink ref="N12" r:id="rId8" display="https://www.newmont.com/investors/news-release/news-details/2024/Newmont-Reports-Second-Quarter-2024-Results/default.aspx" xr:uid="{971B3D71-D616-FC42-8233-B5615621450B}"/>
    <hyperlink ref="N13" r:id="rId9" display="https://www.newmont.com/investors/news-release/news-details/2024/Newmont-Reports-First-Quarter-2024-Results/default.aspx" xr:uid="{7309356A-003B-3743-ABFD-75D0012BE0E5}"/>
    <hyperlink ref="N19" r:id="rId10" display="https://www.newmont.com/investors/news-release/news-details/2025/Newmont-Announces-Early-Redemption-of-its-5.30-Notes-Due-2026/default.aspx" xr:uid="{91415562-D90D-9F41-919B-81F167525045}"/>
    <hyperlink ref="N20" r:id="rId11" display="https://www.newmont.com/investors/news-release/news-details/2025/Newmont-Announces-Sale-of-Porcupine-Operation-for-up-to-425-Million/default.aspx" xr:uid="{BCEE418D-02E6-F349-9DC3-A07160367451}"/>
    <hyperlink ref="N18" r:id="rId12" display="https://s24.q4cdn.com/382246808/files/doc_earnings/2025/q1/earnings-result/Newmont-Q1-2025-Earnings-Release_Final.pdf" xr:uid="{CFA51989-8EC3-8D4A-B928-38D26BA3A421}"/>
    <hyperlink ref="N17" r:id="rId13" display="https://s24.q4cdn.com/382246808/files/doc_earnings/2025/q3/earnings-result/Newmont-Q3-2025-Earnings-Release_Final.pdf" xr:uid="{063ECDDD-26A1-4340-886F-3661A8D4F1DA}"/>
    <hyperlink ref="B1" r:id="rId14" xr:uid="{E34D7CFB-04C3-3B44-AF20-CFF5266702DD}"/>
    <hyperlink ref="N21" r:id="rId15" xr:uid="{B404EF9D-371D-214E-9BD7-DCD24B8E781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F9C18-0665-8544-9D72-75FA852EFC7A}">
  <dimension ref="A1:JW28"/>
  <sheetViews>
    <sheetView showGridLines="0" tabSelected="1" zoomScale="150" zoomScaleNormal="180" workbookViewId="0">
      <pane xSplit="2" ySplit="3" topLeftCell="C4" activePane="bottomRight" state="frozen"/>
      <selection pane="topRight" activeCell="C1" sqref="C1"/>
      <selection pane="bottomLeft" activeCell="A3" sqref="A3"/>
      <selection pane="bottomRight" activeCell="AE31" sqref="AE31"/>
    </sheetView>
  </sheetViews>
  <sheetFormatPr baseColWidth="10" defaultRowHeight="13"/>
  <cols>
    <col min="1" max="1" width="4.83203125" style="12" bestFit="1" customWidth="1"/>
    <col min="2" max="2" width="21.6640625" style="12" bestFit="1" customWidth="1"/>
    <col min="3" max="6" width="5.6640625" style="12" bestFit="1" customWidth="1"/>
    <col min="7" max="14" width="5.6640625" style="37" bestFit="1" customWidth="1"/>
    <col min="15" max="16" width="1.83203125" style="19" customWidth="1"/>
    <col min="17" max="29" width="6.6640625" style="37" bestFit="1" customWidth="1"/>
    <col min="30" max="30" width="6.6640625" style="19" bestFit="1" customWidth="1"/>
    <col min="31" max="31" width="13.1640625" style="19" customWidth="1"/>
    <col min="32" max="32" width="7.6640625" style="19" bestFit="1" customWidth="1"/>
    <col min="33" max="104" width="6.6640625" style="12" bestFit="1" customWidth="1"/>
    <col min="105" max="283" width="5.6640625" style="12" bestFit="1" customWidth="1"/>
    <col min="284" max="16384" width="10.83203125" style="12"/>
  </cols>
  <sheetData>
    <row r="1" spans="1:283">
      <c r="A1" s="9" t="s">
        <v>218</v>
      </c>
      <c r="T1" s="45"/>
    </row>
    <row r="2" spans="1:283" s="47" customFormat="1" ht="11">
      <c r="A2" s="46"/>
      <c r="C2" s="48" t="s">
        <v>232</v>
      </c>
      <c r="D2" s="48" t="s">
        <v>232</v>
      </c>
      <c r="E2" s="48" t="s">
        <v>232</v>
      </c>
      <c r="F2" s="48" t="s">
        <v>232</v>
      </c>
      <c r="G2" s="48" t="s">
        <v>232</v>
      </c>
      <c r="H2" s="48" t="s">
        <v>232</v>
      </c>
      <c r="I2" s="48" t="s">
        <v>232</v>
      </c>
      <c r="J2" s="48" t="s">
        <v>232</v>
      </c>
      <c r="K2" s="48" t="s">
        <v>232</v>
      </c>
      <c r="L2" s="48" t="s">
        <v>232</v>
      </c>
      <c r="M2" s="48" t="s">
        <v>20</v>
      </c>
      <c r="N2" s="48" t="s">
        <v>20</v>
      </c>
      <c r="O2" s="48"/>
      <c r="P2" s="48"/>
      <c r="Q2" s="49" t="s">
        <v>232</v>
      </c>
      <c r="R2" s="49" t="s">
        <v>232</v>
      </c>
      <c r="S2" s="49" t="s">
        <v>232</v>
      </c>
      <c r="T2" s="49" t="s">
        <v>20</v>
      </c>
      <c r="U2" s="49" t="s">
        <v>20</v>
      </c>
      <c r="V2" s="49" t="s">
        <v>20</v>
      </c>
      <c r="W2" s="49" t="s">
        <v>20</v>
      </c>
      <c r="X2" s="49" t="s">
        <v>20</v>
      </c>
      <c r="Y2" s="49" t="s">
        <v>20</v>
      </c>
      <c r="Z2" s="49" t="s">
        <v>20</v>
      </c>
      <c r="AA2" s="49" t="s">
        <v>20</v>
      </c>
      <c r="AB2" s="49" t="s">
        <v>20</v>
      </c>
      <c r="AC2" s="49" t="s">
        <v>20</v>
      </c>
      <c r="AD2" s="48"/>
      <c r="AE2" s="48"/>
      <c r="AF2" s="48"/>
    </row>
    <row r="3" spans="1:283" s="11" customFormat="1">
      <c r="B3" s="43"/>
      <c r="C3" s="43" t="s">
        <v>7</v>
      </c>
      <c r="D3" s="43" t="s">
        <v>8</v>
      </c>
      <c r="E3" s="43" t="s">
        <v>6</v>
      </c>
      <c r="F3" s="43" t="s">
        <v>9</v>
      </c>
      <c r="G3" s="44" t="s">
        <v>40</v>
      </c>
      <c r="H3" s="44" t="s">
        <v>41</v>
      </c>
      <c r="I3" s="44" t="s">
        <v>39</v>
      </c>
      <c r="J3" s="44" t="s">
        <v>42</v>
      </c>
      <c r="K3" s="44" t="s">
        <v>219</v>
      </c>
      <c r="L3" s="44" t="s">
        <v>217</v>
      </c>
      <c r="M3" s="44" t="s">
        <v>220</v>
      </c>
      <c r="N3" s="44" t="s">
        <v>221</v>
      </c>
      <c r="O3" s="18"/>
      <c r="P3" s="18"/>
      <c r="Q3" s="44">
        <v>2023</v>
      </c>
      <c r="R3" s="44">
        <f>+Q3+1</f>
        <v>2024</v>
      </c>
      <c r="S3" s="44">
        <f>+R3+1</f>
        <v>2025</v>
      </c>
      <c r="T3" s="44">
        <v>2026</v>
      </c>
      <c r="U3" s="44">
        <f>+T3+1</f>
        <v>2027</v>
      </c>
      <c r="V3" s="44">
        <f t="shared" ref="V3:AC3" si="0">+U3+1</f>
        <v>2028</v>
      </c>
      <c r="W3" s="44">
        <f t="shared" si="0"/>
        <v>2029</v>
      </c>
      <c r="X3" s="44">
        <f t="shared" si="0"/>
        <v>2030</v>
      </c>
      <c r="Y3" s="44">
        <f t="shared" si="0"/>
        <v>2031</v>
      </c>
      <c r="Z3" s="44">
        <f t="shared" si="0"/>
        <v>2032</v>
      </c>
      <c r="AA3" s="44">
        <f t="shared" si="0"/>
        <v>2033</v>
      </c>
      <c r="AB3" s="44">
        <f t="shared" si="0"/>
        <v>2034</v>
      </c>
      <c r="AC3" s="44">
        <f t="shared" si="0"/>
        <v>2035</v>
      </c>
      <c r="AD3" s="18">
        <v>1</v>
      </c>
      <c r="AE3" s="18">
        <f>+AD3+1</f>
        <v>2</v>
      </c>
      <c r="AF3" s="18">
        <f t="shared" ref="AF3:AR3" si="1">+AE3+1</f>
        <v>3</v>
      </c>
      <c r="AG3" s="18">
        <f t="shared" si="1"/>
        <v>4</v>
      </c>
      <c r="AH3" s="18">
        <f t="shared" si="1"/>
        <v>5</v>
      </c>
      <c r="AI3" s="18">
        <f t="shared" si="1"/>
        <v>6</v>
      </c>
      <c r="AJ3" s="18">
        <f t="shared" si="1"/>
        <v>7</v>
      </c>
      <c r="AK3" s="18">
        <f t="shared" si="1"/>
        <v>8</v>
      </c>
      <c r="AL3" s="18">
        <f t="shared" si="1"/>
        <v>9</v>
      </c>
      <c r="AM3" s="18">
        <f t="shared" si="1"/>
        <v>10</v>
      </c>
      <c r="AN3" s="18">
        <f t="shared" si="1"/>
        <v>11</v>
      </c>
      <c r="AO3" s="18">
        <f t="shared" si="1"/>
        <v>12</v>
      </c>
      <c r="AP3" s="18">
        <f t="shared" si="1"/>
        <v>13</v>
      </c>
      <c r="AQ3" s="18">
        <f t="shared" si="1"/>
        <v>14</v>
      </c>
      <c r="AR3" s="18">
        <f t="shared" si="1"/>
        <v>15</v>
      </c>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18"/>
      <c r="DP3" s="18"/>
      <c r="DQ3" s="18"/>
      <c r="DR3" s="18"/>
      <c r="DS3" s="18"/>
      <c r="DT3" s="18"/>
      <c r="DU3" s="18"/>
      <c r="DV3" s="18"/>
      <c r="DW3" s="18"/>
      <c r="DX3" s="18"/>
      <c r="DY3" s="18"/>
      <c r="DZ3" s="18"/>
      <c r="EA3" s="18"/>
      <c r="EB3" s="18"/>
      <c r="EC3" s="18"/>
      <c r="ED3" s="18"/>
      <c r="EE3" s="18"/>
      <c r="EF3" s="18"/>
      <c r="EG3" s="18"/>
      <c r="EH3" s="18"/>
      <c r="EI3" s="18"/>
      <c r="EJ3" s="18"/>
      <c r="EK3" s="18"/>
      <c r="EL3" s="18"/>
      <c r="EM3" s="18"/>
      <c r="EN3" s="18"/>
      <c r="EO3" s="18"/>
      <c r="EP3" s="18"/>
      <c r="EQ3" s="18"/>
      <c r="ER3" s="18"/>
      <c r="ES3" s="18"/>
      <c r="ET3" s="18"/>
      <c r="EU3" s="18"/>
      <c r="EV3" s="18"/>
      <c r="EW3" s="18"/>
      <c r="EX3" s="18"/>
      <c r="EY3" s="18"/>
      <c r="EZ3" s="18"/>
      <c r="FA3" s="18"/>
      <c r="FB3" s="18"/>
      <c r="FC3" s="18"/>
      <c r="FD3" s="18"/>
      <c r="FE3" s="18"/>
      <c r="FF3" s="18"/>
      <c r="FG3" s="18"/>
      <c r="FH3" s="18"/>
      <c r="FI3" s="18"/>
      <c r="FJ3" s="18"/>
      <c r="FK3" s="18"/>
      <c r="FL3" s="18"/>
      <c r="FM3" s="18"/>
      <c r="FN3" s="18"/>
      <c r="FO3" s="18"/>
      <c r="FP3" s="18"/>
      <c r="FQ3" s="18"/>
      <c r="FR3" s="18"/>
      <c r="FS3" s="18"/>
      <c r="FT3" s="18"/>
      <c r="FU3" s="18"/>
      <c r="FV3" s="18"/>
      <c r="FW3" s="18"/>
      <c r="FX3" s="18"/>
      <c r="FY3" s="18"/>
      <c r="FZ3" s="18"/>
      <c r="GA3" s="18"/>
      <c r="GB3" s="18"/>
      <c r="GC3" s="18"/>
      <c r="GD3" s="18"/>
      <c r="GE3" s="18"/>
      <c r="GF3" s="18"/>
      <c r="GG3" s="18"/>
      <c r="GH3" s="18"/>
      <c r="GI3" s="18"/>
      <c r="GJ3" s="18"/>
      <c r="GK3" s="18"/>
      <c r="GL3" s="18"/>
      <c r="GM3" s="18"/>
      <c r="GN3" s="18"/>
      <c r="GO3" s="18"/>
      <c r="GP3" s="18"/>
      <c r="GQ3" s="18"/>
      <c r="GR3" s="18"/>
      <c r="GS3" s="18"/>
      <c r="GT3" s="18"/>
      <c r="GU3" s="18"/>
      <c r="GV3" s="18"/>
      <c r="GW3" s="18"/>
      <c r="GX3" s="18"/>
      <c r="GY3" s="18"/>
      <c r="GZ3" s="18"/>
      <c r="HA3" s="18"/>
      <c r="HB3" s="18"/>
      <c r="HC3" s="18"/>
      <c r="HD3" s="18"/>
      <c r="HE3" s="18"/>
      <c r="HF3" s="18"/>
      <c r="HG3" s="18"/>
      <c r="HH3" s="18"/>
      <c r="HI3" s="18"/>
      <c r="HJ3" s="18"/>
      <c r="HK3" s="18"/>
      <c r="HL3" s="18"/>
      <c r="HM3" s="18"/>
      <c r="HN3" s="18"/>
      <c r="HO3" s="18"/>
      <c r="HP3" s="18"/>
      <c r="HQ3" s="18"/>
      <c r="HR3" s="18"/>
      <c r="HS3" s="18"/>
      <c r="HT3" s="18"/>
      <c r="HU3" s="18"/>
      <c r="HV3" s="18"/>
      <c r="HW3" s="18"/>
      <c r="HX3" s="18"/>
      <c r="HY3" s="18"/>
      <c r="HZ3" s="18"/>
      <c r="IA3" s="18"/>
      <c r="IB3" s="18"/>
      <c r="IC3" s="18"/>
      <c r="ID3" s="18"/>
      <c r="IE3" s="18"/>
      <c r="IF3" s="18"/>
      <c r="IG3" s="18"/>
      <c r="IH3" s="18"/>
      <c r="II3" s="18"/>
      <c r="IJ3" s="18"/>
      <c r="IK3" s="18"/>
      <c r="IL3" s="18"/>
      <c r="IM3" s="18"/>
      <c r="IN3" s="18"/>
      <c r="IO3" s="18"/>
      <c r="IP3" s="18"/>
      <c r="IQ3" s="18"/>
      <c r="IR3" s="18"/>
      <c r="IS3" s="18"/>
      <c r="IT3" s="18"/>
      <c r="IU3" s="18"/>
      <c r="IV3" s="18"/>
      <c r="IW3" s="18"/>
      <c r="IX3" s="18"/>
      <c r="IY3" s="18"/>
      <c r="IZ3" s="18"/>
      <c r="JA3" s="18"/>
      <c r="JB3" s="18"/>
      <c r="JC3" s="18"/>
      <c r="JD3" s="18"/>
      <c r="JE3" s="18"/>
      <c r="JF3" s="18"/>
      <c r="JG3" s="18"/>
      <c r="JH3" s="18"/>
      <c r="JI3" s="18"/>
      <c r="JJ3" s="18"/>
      <c r="JK3" s="18"/>
      <c r="JL3" s="18"/>
      <c r="JM3" s="18"/>
      <c r="JN3" s="18"/>
      <c r="JO3" s="18"/>
      <c r="JP3" s="18"/>
      <c r="JQ3" s="18"/>
      <c r="JR3" s="18"/>
      <c r="JS3" s="18"/>
      <c r="JT3" s="18"/>
      <c r="JU3" s="18"/>
      <c r="JV3" s="18"/>
      <c r="JW3" s="18"/>
    </row>
    <row r="4" spans="1:283">
      <c r="B4" s="12" t="s">
        <v>43</v>
      </c>
      <c r="C4" s="38">
        <v>1581</v>
      </c>
      <c r="D4" s="38">
        <v>1528</v>
      </c>
      <c r="E4" s="38">
        <v>1551</v>
      </c>
      <c r="F4" s="38">
        <v>1811</v>
      </c>
      <c r="G4" s="38">
        <v>1442</v>
      </c>
      <c r="H4" s="38">
        <v>1380</v>
      </c>
      <c r="I4" s="38">
        <v>1319</v>
      </c>
      <c r="J4" s="38">
        <v>1378</v>
      </c>
      <c r="K4" s="38">
        <v>1232</v>
      </c>
      <c r="L4" s="38">
        <v>1195</v>
      </c>
      <c r="M4" s="38">
        <f>+I4*0.9</f>
        <v>1187.1000000000001</v>
      </c>
      <c r="N4" s="38">
        <f>+J4*0.9</f>
        <v>1240.2</v>
      </c>
      <c r="Q4" s="38">
        <v>5340</v>
      </c>
      <c r="R4" s="37">
        <f>SUM(C4:F4)</f>
        <v>6471</v>
      </c>
      <c r="S4" s="37">
        <f>SUM(G4:J4)</f>
        <v>5519</v>
      </c>
      <c r="T4" s="37">
        <f>SUM(K4:N4)</f>
        <v>4854.3</v>
      </c>
      <c r="U4" s="37">
        <f>+T4-1.1</f>
        <v>4853.2</v>
      </c>
      <c r="V4" s="37">
        <f t="shared" ref="V4:AC4" si="2">+U4-1.1</f>
        <v>4852.0999999999995</v>
      </c>
      <c r="W4" s="37">
        <f t="shared" si="2"/>
        <v>4850.9999999999991</v>
      </c>
      <c r="X4" s="37">
        <f t="shared" si="2"/>
        <v>4849.8999999999987</v>
      </c>
      <c r="Y4" s="37">
        <f t="shared" si="2"/>
        <v>4848.7999999999984</v>
      </c>
      <c r="Z4" s="37">
        <f t="shared" si="2"/>
        <v>4847.699999999998</v>
      </c>
      <c r="AA4" s="37">
        <f t="shared" si="2"/>
        <v>4846.5999999999976</v>
      </c>
      <c r="AB4" s="37">
        <f t="shared" si="2"/>
        <v>4845.4999999999973</v>
      </c>
      <c r="AC4" s="37">
        <f t="shared" si="2"/>
        <v>4844.3999999999969</v>
      </c>
    </row>
    <row r="5" spans="1:283">
      <c r="B5" s="12" t="s">
        <v>225</v>
      </c>
      <c r="C5" s="38">
        <v>2090</v>
      </c>
      <c r="D5" s="38">
        <v>2347</v>
      </c>
      <c r="E5" s="38">
        <v>2518</v>
      </c>
      <c r="F5" s="38">
        <v>2643</v>
      </c>
      <c r="G5" s="38">
        <v>2944</v>
      </c>
      <c r="H5" s="38">
        <v>3320</v>
      </c>
      <c r="I5" s="38">
        <v>3539</v>
      </c>
      <c r="J5" s="38">
        <v>4216</v>
      </c>
      <c r="K5" s="38">
        <v>4900</v>
      </c>
      <c r="L5" s="38">
        <v>4414</v>
      </c>
      <c r="M5" s="38">
        <v>4300</v>
      </c>
      <c r="N5" s="38">
        <v>4500</v>
      </c>
      <c r="Q5" s="38">
        <v>1954</v>
      </c>
      <c r="R5" s="37">
        <f>+R6/R4 * 10^3</f>
        <v>2408.0353886570852</v>
      </c>
      <c r="S5" s="37">
        <f>+S6/S4 * 10^3</f>
        <v>3497.8142779489044</v>
      </c>
      <c r="T5" s="37">
        <f>+T6/T4 * 10^3</f>
        <v>4345.8354448633172</v>
      </c>
      <c r="U5" s="37">
        <f>+T5*1.02</f>
        <v>4432.7521537605835</v>
      </c>
      <c r="V5" s="37">
        <f t="shared" ref="V5:AC5" si="3">+U5*1.02</f>
        <v>4521.4071968357948</v>
      </c>
      <c r="W5" s="37">
        <f t="shared" si="3"/>
        <v>4611.8353407725108</v>
      </c>
      <c r="X5" s="37">
        <f t="shared" si="3"/>
        <v>4704.0720475879607</v>
      </c>
      <c r="Y5" s="37">
        <f t="shared" si="3"/>
        <v>4798.1534885397195</v>
      </c>
      <c r="Z5" s="37">
        <f t="shared" si="3"/>
        <v>4894.1165583105139</v>
      </c>
      <c r="AA5" s="37">
        <f t="shared" si="3"/>
        <v>4991.9988894767239</v>
      </c>
      <c r="AB5" s="37">
        <f t="shared" si="3"/>
        <v>5091.8388672662586</v>
      </c>
      <c r="AC5" s="37">
        <f t="shared" si="3"/>
        <v>5193.6756446115842</v>
      </c>
    </row>
    <row r="6" spans="1:283">
      <c r="B6" s="12" t="s">
        <v>223</v>
      </c>
      <c r="C6" s="39">
        <f t="shared" ref="C6" si="4">+(C4*C5) / 10^3</f>
        <v>3304.29</v>
      </c>
      <c r="D6" s="39">
        <f t="shared" ref="D6" si="5">+(D4*D5) / 10^3</f>
        <v>3586.2159999999999</v>
      </c>
      <c r="E6" s="39">
        <f t="shared" ref="E6" si="6">+(E4*E5) / 10^3</f>
        <v>3905.4180000000001</v>
      </c>
      <c r="F6" s="39">
        <f t="shared" ref="F6" si="7">+(F4*F5) / 10^3</f>
        <v>4786.473</v>
      </c>
      <c r="G6" s="39">
        <f t="shared" ref="G6:K6" si="8">+(G4*G5) / 10^3</f>
        <v>4245.2479999999996</v>
      </c>
      <c r="H6" s="39">
        <f t="shared" si="8"/>
        <v>4581.6000000000004</v>
      </c>
      <c r="I6" s="39">
        <f t="shared" si="8"/>
        <v>4667.9409999999998</v>
      </c>
      <c r="J6" s="39">
        <f t="shared" si="8"/>
        <v>5809.6480000000001</v>
      </c>
      <c r="K6" s="39">
        <f t="shared" si="8"/>
        <v>6036.8</v>
      </c>
      <c r="L6" s="39">
        <f>+(L4*L5) / 10^3</f>
        <v>5274.73</v>
      </c>
      <c r="M6" s="39">
        <f>+(M4*M5) / 10^3</f>
        <v>5104.5300000000007</v>
      </c>
      <c r="N6" s="39">
        <f>+(N4*N5) / 10^3</f>
        <v>5580.9</v>
      </c>
      <c r="Q6" s="39">
        <f>+(Q4*Q5) / 10^3</f>
        <v>10434.36</v>
      </c>
      <c r="R6" s="39">
        <f t="shared" ref="R6:R16" si="9">SUM(C6:F6)</f>
        <v>15582.396999999999</v>
      </c>
      <c r="S6" s="39">
        <f>SUM(G6:J6)</f>
        <v>19304.437000000002</v>
      </c>
      <c r="T6" s="39">
        <f>SUM(H6:K6)</f>
        <v>21095.989000000001</v>
      </c>
      <c r="U6" s="39">
        <f t="shared" ref="U6:AC6" si="10">+(U4*U5) / 10^3</f>
        <v>21513.032752630865</v>
      </c>
      <c r="V6" s="39">
        <f t="shared" si="10"/>
        <v>21938.319859766958</v>
      </c>
      <c r="W6" s="39">
        <f t="shared" si="10"/>
        <v>22372.013238087446</v>
      </c>
      <c r="X6" s="39">
        <f t="shared" si="10"/>
        <v>22814.279023596846</v>
      </c>
      <c r="Y6" s="39">
        <f t="shared" si="10"/>
        <v>23265.286635231383</v>
      </c>
      <c r="Z6" s="39">
        <f t="shared" si="10"/>
        <v>23725.208839721869</v>
      </c>
      <c r="AA6" s="39">
        <f t="shared" si="10"/>
        <v>24194.221817737878</v>
      </c>
      <c r="AB6" s="39">
        <f t="shared" si="10"/>
        <v>24672.505231338644</v>
      </c>
      <c r="AC6" s="39">
        <f t="shared" si="10"/>
        <v>25160.242292756342</v>
      </c>
    </row>
    <row r="7" spans="1:283">
      <c r="B7" s="12" t="s">
        <v>229</v>
      </c>
      <c r="C7" s="37">
        <f>4023-C6</f>
        <v>718.71</v>
      </c>
      <c r="D7" s="37">
        <f>4402-D6</f>
        <v>815.78400000000011</v>
      </c>
      <c r="E7" s="37">
        <f>4605-E6</f>
        <v>699.58199999999988</v>
      </c>
      <c r="F7" s="37">
        <f>5652-F6</f>
        <v>865.52700000000004</v>
      </c>
      <c r="G7" s="37">
        <f>5011-G6</f>
        <v>765.75200000000041</v>
      </c>
      <c r="H7" s="37">
        <f>5317-H6</f>
        <v>735.39999999999964</v>
      </c>
      <c r="I7" s="37">
        <f>5524-I6</f>
        <v>856.0590000000002</v>
      </c>
      <c r="J7" s="37">
        <f>6818-J6</f>
        <v>1008.3519999999999</v>
      </c>
      <c r="K7" s="37">
        <f>7307-K6</f>
        <v>1270.1999999999998</v>
      </c>
      <c r="L7" s="37">
        <f>6118-L6</f>
        <v>843.27000000000044</v>
      </c>
      <c r="M7" s="37">
        <f>AVERAGE(K7:L7)</f>
        <v>1056.7350000000001</v>
      </c>
      <c r="N7" s="37">
        <f>AVERAGE(L7:M7)</f>
        <v>950.00250000000028</v>
      </c>
      <c r="Q7" s="38">
        <f>11812-Q6</f>
        <v>1377.6399999999994</v>
      </c>
      <c r="R7" s="37">
        <f t="shared" si="9"/>
        <v>3099.6030000000001</v>
      </c>
      <c r="S7" s="37">
        <f t="shared" ref="S7:S16" si="11">SUM(G7:J7)</f>
        <v>3365.5630000000001</v>
      </c>
      <c r="T7" s="37">
        <f>SUM(K7:N7)</f>
        <v>4120.2075000000004</v>
      </c>
      <c r="U7" s="37">
        <f>+T7*1.01</f>
        <v>4161.4095750000006</v>
      </c>
      <c r="V7" s="37">
        <f t="shared" ref="V7:AC7" si="12">+U7*1.01</f>
        <v>4203.0236707500007</v>
      </c>
      <c r="W7" s="37">
        <f t="shared" si="12"/>
        <v>4245.0539074575008</v>
      </c>
      <c r="X7" s="37">
        <f t="shared" si="12"/>
        <v>4287.5044465320761</v>
      </c>
      <c r="Y7" s="37">
        <f t="shared" si="12"/>
        <v>4330.3794909973967</v>
      </c>
      <c r="Z7" s="37">
        <f t="shared" si="12"/>
        <v>4373.6832859073711</v>
      </c>
      <c r="AA7" s="37">
        <f t="shared" si="12"/>
        <v>4417.4201187664448</v>
      </c>
      <c r="AB7" s="37">
        <f t="shared" si="12"/>
        <v>4461.5943199541089</v>
      </c>
      <c r="AC7" s="37">
        <f t="shared" si="12"/>
        <v>4506.21026315365</v>
      </c>
    </row>
    <row r="8" spans="1:283">
      <c r="B8" s="12" t="s">
        <v>230</v>
      </c>
      <c r="C8" s="39">
        <f t="shared" ref="C8:N8" si="13">SUM(C6:C7)</f>
        <v>4023</v>
      </c>
      <c r="D8" s="39">
        <f t="shared" si="13"/>
        <v>4402</v>
      </c>
      <c r="E8" s="39">
        <f t="shared" si="13"/>
        <v>4605</v>
      </c>
      <c r="F8" s="39">
        <f t="shared" si="13"/>
        <v>5652</v>
      </c>
      <c r="G8" s="39">
        <f t="shared" si="13"/>
        <v>5011</v>
      </c>
      <c r="H8" s="39">
        <f t="shared" si="13"/>
        <v>5317</v>
      </c>
      <c r="I8" s="39">
        <f t="shared" si="13"/>
        <v>5524</v>
      </c>
      <c r="J8" s="39">
        <f t="shared" si="13"/>
        <v>6818</v>
      </c>
      <c r="K8" s="39">
        <f t="shared" si="13"/>
        <v>7307</v>
      </c>
      <c r="L8" s="39">
        <f t="shared" si="13"/>
        <v>6118</v>
      </c>
      <c r="M8" s="39">
        <f t="shared" si="13"/>
        <v>6161.2650000000012</v>
      </c>
      <c r="N8" s="39">
        <f t="shared" si="13"/>
        <v>6530.9025000000001</v>
      </c>
      <c r="Q8" s="39">
        <f>SUM(Q6:Q7)</f>
        <v>11812</v>
      </c>
      <c r="R8" s="39">
        <f t="shared" si="9"/>
        <v>18682</v>
      </c>
      <c r="S8" s="39">
        <f t="shared" si="11"/>
        <v>22670</v>
      </c>
      <c r="T8" s="39">
        <f>SUM(H8:K8)</f>
        <v>24966</v>
      </c>
      <c r="U8" s="39">
        <f>+SUM(U6:U7)</f>
        <v>25674.442327630866</v>
      </c>
      <c r="V8" s="39">
        <f t="shared" ref="V8:AC8" si="14">+SUM(V6:V7)</f>
        <v>26141.343530516959</v>
      </c>
      <c r="W8" s="39">
        <f t="shared" si="14"/>
        <v>26617.067145544948</v>
      </c>
      <c r="X8" s="39">
        <f t="shared" si="14"/>
        <v>27101.783470128921</v>
      </c>
      <c r="Y8" s="39">
        <f t="shared" si="14"/>
        <v>27595.666126228782</v>
      </c>
      <c r="Z8" s="39">
        <f t="shared" si="14"/>
        <v>28098.892125629238</v>
      </c>
      <c r="AA8" s="39">
        <f t="shared" si="14"/>
        <v>28611.641936504322</v>
      </c>
      <c r="AB8" s="39">
        <f t="shared" si="14"/>
        <v>29134.099551292755</v>
      </c>
      <c r="AC8" s="39">
        <f t="shared" si="14"/>
        <v>29666.452555909993</v>
      </c>
    </row>
    <row r="9" spans="1:283">
      <c r="B9" s="12" t="s">
        <v>78</v>
      </c>
      <c r="C9" s="38">
        <f>1690+416</f>
        <v>2106</v>
      </c>
      <c r="D9" s="38">
        <f>1777+379</f>
        <v>2156</v>
      </c>
      <c r="E9" s="38">
        <v>2310</v>
      </c>
      <c r="F9" s="38">
        <v>2391</v>
      </c>
      <c r="G9" s="38">
        <v>2106</v>
      </c>
      <c r="H9" s="38">
        <v>2001</v>
      </c>
      <c r="I9" s="38">
        <v>1951</v>
      </c>
      <c r="J9" s="38">
        <v>2027</v>
      </c>
      <c r="K9" s="38">
        <v>1937</v>
      </c>
      <c r="L9" s="38">
        <v>2088</v>
      </c>
      <c r="M9" s="38">
        <f>+M8*(L9/L8)</f>
        <v>2102.7658254331486</v>
      </c>
      <c r="N9" s="38">
        <f>+N8*(M9/M8)</f>
        <v>2228.9186694998366</v>
      </c>
      <c r="Q9" s="38">
        <f>5689+1010</f>
        <v>6699</v>
      </c>
      <c r="R9" s="37">
        <f t="shared" si="9"/>
        <v>8963</v>
      </c>
      <c r="S9" s="37">
        <f t="shared" si="11"/>
        <v>8085</v>
      </c>
      <c r="T9" s="37">
        <f>SUM(K9:N9)</f>
        <v>8356.6844949329861</v>
      </c>
      <c r="U9" s="37">
        <f>+U8*(T9/T8)</f>
        <v>8593.8161545847961</v>
      </c>
      <c r="V9" s="37">
        <f t="shared" ref="V9:AC9" si="15">+V8*(U9/U8)</f>
        <v>8750.0985403423765</v>
      </c>
      <c r="W9" s="37">
        <f t="shared" si="15"/>
        <v>8909.3339868527455</v>
      </c>
      <c r="X9" s="37">
        <f t="shared" si="15"/>
        <v>9071.5794965095502</v>
      </c>
      <c r="Y9" s="37">
        <f t="shared" si="15"/>
        <v>9236.8931845070674</v>
      </c>
      <c r="Z9" s="37">
        <f t="shared" si="15"/>
        <v>9405.3343006905543</v>
      </c>
      <c r="AA9" s="37">
        <f t="shared" si="15"/>
        <v>9576.9632518368999</v>
      </c>
      <c r="AB9" s="37">
        <f t="shared" si="15"/>
        <v>9751.8416243740376</v>
      </c>
      <c r="AC9" s="37">
        <f t="shared" si="15"/>
        <v>9930.0322075477889</v>
      </c>
    </row>
    <row r="10" spans="1:283">
      <c r="B10" s="12" t="s">
        <v>222</v>
      </c>
      <c r="C10" s="39">
        <f t="shared" ref="C10:F10" si="16">+C8-C9</f>
        <v>1917</v>
      </c>
      <c r="D10" s="39">
        <f t="shared" si="16"/>
        <v>2246</v>
      </c>
      <c r="E10" s="39">
        <f t="shared" si="16"/>
        <v>2295</v>
      </c>
      <c r="F10" s="39">
        <f t="shared" si="16"/>
        <v>3261</v>
      </c>
      <c r="G10" s="39">
        <f t="shared" ref="G10:N10" si="17">+G8-G9</f>
        <v>2905</v>
      </c>
      <c r="H10" s="39">
        <f t="shared" si="17"/>
        <v>3316</v>
      </c>
      <c r="I10" s="39">
        <f t="shared" si="17"/>
        <v>3573</v>
      </c>
      <c r="J10" s="39">
        <f t="shared" si="17"/>
        <v>4791</v>
      </c>
      <c r="K10" s="39">
        <f t="shared" si="17"/>
        <v>5370</v>
      </c>
      <c r="L10" s="39">
        <f t="shared" si="17"/>
        <v>4030</v>
      </c>
      <c r="M10" s="39">
        <f t="shared" si="17"/>
        <v>4058.4991745668526</v>
      </c>
      <c r="N10" s="39">
        <f t="shared" si="17"/>
        <v>4301.9838305001631</v>
      </c>
      <c r="Q10" s="39">
        <f>+Q8-Q9</f>
        <v>5113</v>
      </c>
      <c r="R10" s="39">
        <f t="shared" si="9"/>
        <v>9719</v>
      </c>
      <c r="S10" s="39">
        <f t="shared" si="11"/>
        <v>14585</v>
      </c>
      <c r="T10" s="39">
        <f>SUM(H10:K10)</f>
        <v>17050</v>
      </c>
      <c r="U10" s="39">
        <f>+U8-U9</f>
        <v>17080.626173046068</v>
      </c>
      <c r="V10" s="39">
        <f t="shared" ref="V10:AC10" si="18">+V8-V9</f>
        <v>17391.244990174582</v>
      </c>
      <c r="W10" s="39">
        <f t="shared" si="18"/>
        <v>17707.733158692201</v>
      </c>
      <c r="X10" s="39">
        <f t="shared" si="18"/>
        <v>18030.203973619369</v>
      </c>
      <c r="Y10" s="39">
        <f t="shared" si="18"/>
        <v>18358.772941721712</v>
      </c>
      <c r="Z10" s="39">
        <f t="shared" si="18"/>
        <v>18693.557824938682</v>
      </c>
      <c r="AA10" s="39">
        <f t="shared" si="18"/>
        <v>19034.678684667422</v>
      </c>
      <c r="AB10" s="39">
        <f t="shared" si="18"/>
        <v>19382.257926918719</v>
      </c>
      <c r="AC10" s="39">
        <f t="shared" si="18"/>
        <v>19736.420348362204</v>
      </c>
    </row>
    <row r="11" spans="1:283">
      <c r="B11" s="12" t="s">
        <v>226</v>
      </c>
      <c r="C11" s="38">
        <v>850</v>
      </c>
      <c r="D11" s="38">
        <v>800</v>
      </c>
      <c r="E11" s="38">
        <v>877</v>
      </c>
      <c r="F11" s="38">
        <v>875</v>
      </c>
      <c r="G11" s="38">
        <v>826</v>
      </c>
      <c r="H11" s="38">
        <v>674</v>
      </c>
      <c r="I11" s="38">
        <v>727</v>
      </c>
      <c r="J11" s="38">
        <v>808</v>
      </c>
      <c r="K11" s="38">
        <v>641</v>
      </c>
      <c r="L11" s="38">
        <v>719</v>
      </c>
      <c r="M11" s="38">
        <f>+M$10*(L11/L$10)</f>
        <v>724.08459218698931</v>
      </c>
      <c r="N11" s="38">
        <f>+N$10*(M11/M$10)</f>
        <v>767.52515487087283</v>
      </c>
      <c r="Q11" s="38">
        <v>2666</v>
      </c>
      <c r="R11" s="37">
        <f t="shared" si="9"/>
        <v>3402</v>
      </c>
      <c r="S11" s="37">
        <f t="shared" si="11"/>
        <v>3035</v>
      </c>
      <c r="T11" s="37">
        <f>SUM(K11:N11)</f>
        <v>2851.6097470578625</v>
      </c>
      <c r="U11" s="37">
        <f>+U$10*(T11/T$10)</f>
        <v>2856.7319695548272</v>
      </c>
      <c r="V11" s="37">
        <f t="shared" ref="V11:AC11" si="19">+V$10*(U11/U$10)</f>
        <v>2908.6829165661616</v>
      </c>
      <c r="W11" s="37">
        <f t="shared" si="19"/>
        <v>2961.6155116496416</v>
      </c>
      <c r="X11" s="37">
        <f t="shared" si="19"/>
        <v>3015.5487033791433</v>
      </c>
      <c r="Y11" s="37">
        <f t="shared" si="19"/>
        <v>3070.5018102425679</v>
      </c>
      <c r="Z11" s="37">
        <f t="shared" si="19"/>
        <v>3126.494527905274</v>
      </c>
      <c r="AA11" s="37">
        <f t="shared" si="19"/>
        <v>3183.5469366165485</v>
      </c>
      <c r="AB11" s="37">
        <f t="shared" si="19"/>
        <v>3241.6795087619316</v>
      </c>
      <c r="AC11" s="37">
        <f t="shared" si="19"/>
        <v>3300.9131165642693</v>
      </c>
    </row>
    <row r="12" spans="1:283">
      <c r="B12" s="12" t="s">
        <v>10</v>
      </c>
      <c r="C12" s="38">
        <v>101</v>
      </c>
      <c r="D12" s="38">
        <v>100</v>
      </c>
      <c r="E12" s="38">
        <v>113</v>
      </c>
      <c r="F12" s="38">
        <v>128</v>
      </c>
      <c r="G12" s="38">
        <v>110</v>
      </c>
      <c r="H12" s="38">
        <v>95</v>
      </c>
      <c r="I12" s="38">
        <v>86</v>
      </c>
      <c r="J12" s="38">
        <v>91</v>
      </c>
      <c r="K12" s="38">
        <v>79</v>
      </c>
      <c r="L12" s="38">
        <v>74</v>
      </c>
      <c r="M12" s="38">
        <f t="shared" ref="M12:N12" si="20">+M$10*(L12/L$10)</f>
        <v>74.523309905197792</v>
      </c>
      <c r="N12" s="38">
        <f t="shared" si="20"/>
        <v>78.994244033998029</v>
      </c>
      <c r="Q12" s="38">
        <v>299</v>
      </c>
      <c r="R12" s="37">
        <f t="shared" si="9"/>
        <v>442</v>
      </c>
      <c r="S12" s="37">
        <f t="shared" si="11"/>
        <v>382</v>
      </c>
      <c r="T12" s="37">
        <f>SUM(K12:N12)</f>
        <v>306.51755393919581</v>
      </c>
      <c r="U12" s="37">
        <f t="shared" ref="U12:AC14" si="21">+U$10*(T12/T$10)</f>
        <v>307.06813808280867</v>
      </c>
      <c r="V12" s="37">
        <f t="shared" si="21"/>
        <v>312.65230934578335</v>
      </c>
      <c r="W12" s="37">
        <f t="shared" si="21"/>
        <v>318.34199727919781</v>
      </c>
      <c r="X12" s="37">
        <f t="shared" si="21"/>
        <v>324.13923865211598</v>
      </c>
      <c r="Y12" s="37">
        <f t="shared" si="21"/>
        <v>330.04610999540375</v>
      </c>
      <c r="Z12" s="37">
        <f t="shared" si="21"/>
        <v>336.06472838247026</v>
      </c>
      <c r="AA12" s="37">
        <f t="shared" si="21"/>
        <v>342.1972522253846</v>
      </c>
      <c r="AB12" s="37">
        <f t="shared" si="21"/>
        <v>348.44588208666943</v>
      </c>
      <c r="AC12" s="37">
        <f t="shared" si="21"/>
        <v>354.81286150708235</v>
      </c>
    </row>
    <row r="13" spans="1:283">
      <c r="B13" s="12" t="s">
        <v>224</v>
      </c>
      <c r="C13" s="38">
        <v>93</v>
      </c>
      <c r="D13" s="38">
        <v>103</v>
      </c>
      <c r="E13" s="38">
        <v>86</v>
      </c>
      <c r="F13" s="38">
        <v>93</v>
      </c>
      <c r="G13" s="38">
        <v>79</v>
      </c>
      <c r="H13" s="38">
        <v>65</v>
      </c>
      <c r="I13" s="38">
        <v>52</v>
      </c>
      <c r="J13" s="38">
        <v>33</v>
      </c>
      <c r="K13" s="38">
        <v>39</v>
      </c>
      <c r="L13" s="38">
        <v>35</v>
      </c>
      <c r="M13" s="38">
        <f t="shared" ref="M13:N13" si="22">+M$10*(L13/L$10)</f>
        <v>35.247511441647603</v>
      </c>
      <c r="N13" s="38">
        <f t="shared" si="22"/>
        <v>37.362142448512586</v>
      </c>
      <c r="Q13" s="38">
        <v>243</v>
      </c>
      <c r="R13" s="37">
        <f t="shared" si="9"/>
        <v>375</v>
      </c>
      <c r="S13" s="37">
        <f t="shared" si="11"/>
        <v>229</v>
      </c>
      <c r="T13" s="37">
        <f>SUM(K13:N13)</f>
        <v>146.60965389016019</v>
      </c>
      <c r="U13" s="37">
        <f t="shared" si="21"/>
        <v>146.87300243152464</v>
      </c>
      <c r="V13" s="37">
        <f t="shared" si="21"/>
        <v>149.54395359111305</v>
      </c>
      <c r="W13" s="37">
        <f t="shared" si="21"/>
        <v>152.26537416863206</v>
      </c>
      <c r="X13" s="37">
        <f t="shared" si="21"/>
        <v>155.0382383660602</v>
      </c>
      <c r="Y13" s="37">
        <f t="shared" si="21"/>
        <v>157.86353940374534</v>
      </c>
      <c r="Z13" s="37">
        <f t="shared" si="21"/>
        <v>160.74228989383906</v>
      </c>
      <c r="AA13" s="37">
        <f t="shared" si="21"/>
        <v>163.67552222108506</v>
      </c>
      <c r="AB13" s="37">
        <f t="shared" si="21"/>
        <v>166.66428893110657</v>
      </c>
      <c r="AC13" s="37">
        <f t="shared" si="21"/>
        <v>169.70966312634002</v>
      </c>
    </row>
    <row r="14" spans="1:283">
      <c r="B14" s="12" t="s">
        <v>11</v>
      </c>
      <c r="C14" s="38">
        <v>260</v>
      </c>
      <c r="D14" s="38">
        <v>191</v>
      </c>
      <c r="E14" s="38">
        <v>244</v>
      </c>
      <c r="F14" s="38">
        <v>702</v>
      </c>
      <c r="G14" s="38">
        <v>647</v>
      </c>
      <c r="H14" s="38">
        <v>1092</v>
      </c>
      <c r="I14" s="38">
        <v>787</v>
      </c>
      <c r="J14" s="38">
        <v>2070</v>
      </c>
      <c r="K14" s="38">
        <v>1404</v>
      </c>
      <c r="L14" s="38">
        <v>952</v>
      </c>
      <c r="M14" s="38">
        <f t="shared" ref="M14:N14" si="23">+M$10*(L14/L$10)</f>
        <v>958.73231121281481</v>
      </c>
      <c r="N14" s="38">
        <f t="shared" si="23"/>
        <v>1016.2502745995423</v>
      </c>
      <c r="Q14" s="38">
        <v>526</v>
      </c>
      <c r="R14" s="37">
        <f t="shared" si="9"/>
        <v>1397</v>
      </c>
      <c r="S14" s="37">
        <f t="shared" si="11"/>
        <v>4596</v>
      </c>
      <c r="T14" s="37">
        <f>SUM(K14:N14)</f>
        <v>4330.9825858123568</v>
      </c>
      <c r="U14" s="37">
        <f t="shared" si="21"/>
        <v>4338.7621413626557</v>
      </c>
      <c r="V14" s="37">
        <f t="shared" si="21"/>
        <v>4417.6644690934017</v>
      </c>
      <c r="W14" s="37">
        <f t="shared" si="21"/>
        <v>4498.0577093553056</v>
      </c>
      <c r="X14" s="37">
        <f t="shared" si="21"/>
        <v>4579.9706409613045</v>
      </c>
      <c r="Y14" s="37">
        <f t="shared" si="21"/>
        <v>4663.4326045442713</v>
      </c>
      <c r="Z14" s="37">
        <f t="shared" si="21"/>
        <v>4748.4735135886067</v>
      </c>
      <c r="AA14" s="37">
        <f t="shared" si="21"/>
        <v>4835.1238656790765</v>
      </c>
      <c r="AB14" s="37">
        <f t="shared" si="21"/>
        <v>4923.4147539711721</v>
      </c>
      <c r="AC14" s="37">
        <f t="shared" si="21"/>
        <v>5013.3778788873524</v>
      </c>
    </row>
    <row r="15" spans="1:283">
      <c r="B15" s="12" t="s">
        <v>16</v>
      </c>
      <c r="C15" s="39">
        <f t="shared" ref="C15" si="24">+C10-SUM(C11:C14)</f>
        <v>613</v>
      </c>
      <c r="D15" s="39">
        <f t="shared" ref="D15" si="25">+D10-SUM(D11:D14)</f>
        <v>1052</v>
      </c>
      <c r="E15" s="39">
        <f t="shared" ref="E15" si="26">+E10-SUM(E11:E14)</f>
        <v>975</v>
      </c>
      <c r="F15" s="39">
        <f t="shared" ref="F15" si="27">+F10-SUM(F11:F14)</f>
        <v>1463</v>
      </c>
      <c r="G15" s="39">
        <f t="shared" ref="G15:K15" si="28">+G10-SUM(G11:G14)</f>
        <v>1243</v>
      </c>
      <c r="H15" s="39">
        <f t="shared" si="28"/>
        <v>1390</v>
      </c>
      <c r="I15" s="39">
        <f t="shared" si="28"/>
        <v>1921</v>
      </c>
      <c r="J15" s="39">
        <f t="shared" si="28"/>
        <v>1789</v>
      </c>
      <c r="K15" s="39">
        <f t="shared" si="28"/>
        <v>3207</v>
      </c>
      <c r="L15" s="39">
        <f>+L10-SUM(L11:L14)</f>
        <v>2250</v>
      </c>
      <c r="M15" s="39">
        <f>+M10-SUM(M11:M14)</f>
        <v>2265.911449820203</v>
      </c>
      <c r="N15" s="39">
        <f>+N10-SUM(N11:N14)</f>
        <v>2401.8520145472376</v>
      </c>
      <c r="Q15" s="39">
        <f>SUM(B15:E15)</f>
        <v>2640</v>
      </c>
      <c r="R15" s="39">
        <f t="shared" si="9"/>
        <v>4103</v>
      </c>
      <c r="S15" s="39">
        <f t="shared" si="11"/>
        <v>6343</v>
      </c>
      <c r="T15" s="39">
        <f>SUM(H15:K15)</f>
        <v>8307</v>
      </c>
      <c r="U15" s="39">
        <f>SUM(I15:L15)</f>
        <v>9167</v>
      </c>
      <c r="V15" s="39">
        <f t="shared" ref="V15:AC15" si="29">SUM(J15:M15)</f>
        <v>9511.9114498202034</v>
      </c>
      <c r="W15" s="39">
        <f t="shared" si="29"/>
        <v>10124.763464367441</v>
      </c>
      <c r="X15" s="39">
        <f t="shared" si="29"/>
        <v>6917.763464367441</v>
      </c>
      <c r="Y15" s="39">
        <f t="shared" si="29"/>
        <v>4667.763464367441</v>
      </c>
      <c r="Z15" s="39">
        <f t="shared" si="29"/>
        <v>5041.8520145472376</v>
      </c>
      <c r="AA15" s="39">
        <f t="shared" si="29"/>
        <v>6743</v>
      </c>
      <c r="AB15" s="39">
        <f t="shared" si="29"/>
        <v>13086</v>
      </c>
      <c r="AC15" s="39">
        <f t="shared" si="29"/>
        <v>21393</v>
      </c>
      <c r="AD15" s="19">
        <f>+AC15*(1+$AF$17)</f>
        <v>20323.349999999999</v>
      </c>
      <c r="AE15" s="19">
        <f t="shared" ref="AE15:AR15" si="30">+AD15*(1+$AF$17)</f>
        <v>19307.182499999999</v>
      </c>
      <c r="AF15" s="19">
        <f t="shared" si="30"/>
        <v>18341.823375</v>
      </c>
      <c r="AG15" s="19">
        <f t="shared" si="30"/>
        <v>17424.732206249999</v>
      </c>
      <c r="AH15" s="19">
        <f t="shared" si="30"/>
        <v>16553.495595937497</v>
      </c>
      <c r="AI15" s="19">
        <f t="shared" si="30"/>
        <v>15725.82081614062</v>
      </c>
      <c r="AJ15" s="19">
        <f t="shared" si="30"/>
        <v>14939.529775333589</v>
      </c>
      <c r="AK15" s="19">
        <f t="shared" si="30"/>
        <v>14192.553286566908</v>
      </c>
      <c r="AL15" s="19">
        <f t="shared" si="30"/>
        <v>13482.925622238563</v>
      </c>
      <c r="AM15" s="19">
        <f t="shared" si="30"/>
        <v>12808.779341126634</v>
      </c>
      <c r="AN15" s="19">
        <f t="shared" si="30"/>
        <v>12168.340374070302</v>
      </c>
      <c r="AO15" s="19">
        <f t="shared" si="30"/>
        <v>11559.923355366785</v>
      </c>
      <c r="AP15" s="19">
        <f t="shared" si="30"/>
        <v>10981.927187598445</v>
      </c>
      <c r="AQ15" s="19">
        <f t="shared" si="30"/>
        <v>10432.830828218523</v>
      </c>
      <c r="AR15" s="19">
        <f t="shared" si="30"/>
        <v>9911.1892868075956</v>
      </c>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19"/>
      <c r="DE15" s="19"/>
      <c r="DF15" s="19"/>
      <c r="DG15" s="19"/>
      <c r="DH15" s="19"/>
      <c r="DI15" s="19"/>
      <c r="DJ15" s="19"/>
      <c r="DK15" s="19"/>
      <c r="DL15" s="19"/>
      <c r="DM15" s="19"/>
      <c r="DN15" s="19"/>
      <c r="DO15" s="19"/>
      <c r="DP15" s="19"/>
      <c r="DQ15" s="19"/>
      <c r="DR15" s="19"/>
      <c r="DS15" s="19"/>
      <c r="DT15" s="19"/>
      <c r="DU15" s="19"/>
      <c r="DV15" s="19"/>
      <c r="DW15" s="19"/>
      <c r="DX15" s="19"/>
      <c r="DY15" s="19"/>
      <c r="DZ15" s="19"/>
      <c r="EA15" s="19"/>
      <c r="EB15" s="19"/>
      <c r="EC15" s="19"/>
      <c r="ED15" s="19"/>
      <c r="EE15" s="19"/>
      <c r="EF15" s="19"/>
      <c r="EG15" s="19"/>
      <c r="EH15" s="19"/>
      <c r="EI15" s="19"/>
      <c r="EJ15" s="19"/>
      <c r="EK15" s="19"/>
      <c r="EL15" s="19"/>
      <c r="EM15" s="19"/>
      <c r="EN15" s="19"/>
      <c r="EO15" s="19"/>
      <c r="EP15" s="19"/>
      <c r="EQ15" s="19"/>
      <c r="ER15" s="19"/>
      <c r="ES15" s="19"/>
      <c r="ET15" s="19"/>
      <c r="EU15" s="19"/>
      <c r="EV15" s="19"/>
      <c r="EW15" s="19"/>
      <c r="EX15" s="19"/>
      <c r="EY15" s="19"/>
      <c r="EZ15" s="19"/>
      <c r="FA15" s="19"/>
      <c r="FB15" s="19"/>
      <c r="FC15" s="19"/>
      <c r="FD15" s="19"/>
      <c r="FE15" s="19"/>
      <c r="FF15" s="19"/>
      <c r="FG15" s="19"/>
      <c r="FH15" s="19"/>
      <c r="FI15" s="19"/>
      <c r="FJ15" s="19"/>
      <c r="FK15" s="19"/>
      <c r="FL15" s="19"/>
      <c r="FM15" s="19"/>
      <c r="FN15" s="19"/>
      <c r="FO15" s="19"/>
      <c r="FP15" s="19"/>
      <c r="FQ15" s="19"/>
      <c r="FR15" s="19"/>
      <c r="FS15" s="19"/>
      <c r="FT15" s="19"/>
      <c r="FU15" s="19"/>
      <c r="FV15" s="19"/>
      <c r="FW15" s="19"/>
      <c r="FX15" s="19"/>
      <c r="FY15" s="19"/>
      <c r="FZ15" s="19"/>
      <c r="GA15" s="19"/>
      <c r="GB15" s="19"/>
      <c r="GC15" s="19"/>
      <c r="GD15" s="19"/>
      <c r="GE15" s="19"/>
      <c r="GF15" s="19"/>
      <c r="GG15" s="19"/>
      <c r="GH15" s="19"/>
      <c r="GI15" s="19"/>
      <c r="GJ15" s="19"/>
      <c r="GK15" s="19"/>
      <c r="GL15" s="19"/>
      <c r="GM15" s="19"/>
      <c r="GN15" s="19"/>
      <c r="GO15" s="19"/>
      <c r="GP15" s="19"/>
      <c r="GQ15" s="19"/>
      <c r="GR15" s="19"/>
      <c r="GS15" s="19"/>
      <c r="GT15" s="19"/>
      <c r="GU15" s="19"/>
      <c r="GV15" s="19"/>
      <c r="GW15" s="19"/>
      <c r="GX15" s="19"/>
      <c r="GY15" s="19"/>
      <c r="GZ15" s="19"/>
      <c r="HA15" s="19"/>
      <c r="HB15" s="19"/>
      <c r="HC15" s="19"/>
      <c r="HD15" s="19"/>
      <c r="HE15" s="19"/>
      <c r="HF15" s="19"/>
      <c r="HG15" s="19"/>
      <c r="HH15" s="19"/>
      <c r="HI15" s="19"/>
      <c r="HJ15" s="19"/>
      <c r="HK15" s="19"/>
      <c r="HL15" s="19"/>
      <c r="HM15" s="19"/>
      <c r="HN15" s="19"/>
      <c r="HO15" s="19"/>
      <c r="HP15" s="19"/>
      <c r="HQ15" s="19"/>
      <c r="HR15" s="19"/>
      <c r="HS15" s="19"/>
      <c r="HT15" s="19"/>
      <c r="HU15" s="19"/>
      <c r="HV15" s="19"/>
      <c r="HW15" s="19"/>
      <c r="HX15" s="19"/>
      <c r="HY15" s="19"/>
      <c r="HZ15" s="19"/>
      <c r="IA15" s="19"/>
      <c r="IB15" s="19"/>
      <c r="IC15" s="19"/>
      <c r="ID15" s="19"/>
      <c r="IE15" s="19"/>
      <c r="IF15" s="19"/>
      <c r="IG15" s="19"/>
      <c r="IH15" s="19"/>
      <c r="II15" s="19"/>
      <c r="IJ15" s="19"/>
      <c r="IK15" s="19"/>
      <c r="IL15" s="19"/>
      <c r="IM15" s="19"/>
      <c r="IN15" s="19"/>
      <c r="IO15" s="19"/>
      <c r="IP15" s="19"/>
      <c r="IQ15" s="19"/>
      <c r="IR15" s="19"/>
      <c r="IS15" s="19"/>
      <c r="IT15" s="19"/>
      <c r="IU15" s="19"/>
      <c r="IV15" s="19"/>
      <c r="IW15" s="19"/>
      <c r="IX15" s="19"/>
      <c r="IY15" s="19"/>
      <c r="IZ15" s="19"/>
      <c r="JA15" s="19"/>
      <c r="JB15" s="19"/>
      <c r="JC15" s="19"/>
      <c r="JD15" s="19"/>
      <c r="JE15" s="19"/>
      <c r="JF15" s="19"/>
      <c r="JG15" s="19"/>
      <c r="JH15" s="19"/>
      <c r="JI15" s="19"/>
      <c r="JJ15" s="19"/>
      <c r="JK15" s="19"/>
      <c r="JL15" s="19"/>
      <c r="JM15" s="19"/>
      <c r="JN15" s="19"/>
      <c r="JO15" s="19"/>
      <c r="JP15" s="19"/>
      <c r="JQ15" s="19"/>
      <c r="JR15" s="19"/>
      <c r="JS15" s="19"/>
      <c r="JT15" s="19"/>
      <c r="JU15" s="19"/>
      <c r="JV15" s="19"/>
      <c r="JW15" s="19"/>
    </row>
    <row r="16" spans="1:283">
      <c r="B16" s="12" t="s">
        <v>227</v>
      </c>
      <c r="C16" s="37">
        <v>-74</v>
      </c>
      <c r="D16" s="37">
        <v>594</v>
      </c>
      <c r="E16" s="37">
        <v>760</v>
      </c>
      <c r="F16" s="37">
        <v>1636</v>
      </c>
      <c r="G16" s="37">
        <v>1205</v>
      </c>
      <c r="H16" s="37">
        <v>1710</v>
      </c>
      <c r="I16" s="37">
        <v>1571</v>
      </c>
      <c r="J16" s="37">
        <v>2813</v>
      </c>
      <c r="K16" s="37">
        <v>3144</v>
      </c>
      <c r="L16" s="37">
        <v>2205</v>
      </c>
      <c r="Q16" s="37">
        <v>88</v>
      </c>
      <c r="R16" s="37">
        <f t="shared" si="9"/>
        <v>2916</v>
      </c>
      <c r="S16" s="37">
        <f t="shared" si="11"/>
        <v>7299</v>
      </c>
    </row>
    <row r="17" spans="2:37" s="40" customFormat="1">
      <c r="B17" s="40" t="s">
        <v>228</v>
      </c>
      <c r="C17" s="41"/>
      <c r="D17" s="41"/>
      <c r="E17" s="41"/>
      <c r="F17" s="41"/>
      <c r="G17" s="41"/>
      <c r="H17" s="41"/>
      <c r="I17" s="41"/>
      <c r="J17" s="41"/>
      <c r="K17" s="41"/>
      <c r="L17" s="41"/>
      <c r="M17" s="41"/>
      <c r="N17" s="41"/>
      <c r="O17" s="42"/>
      <c r="P17" s="42"/>
      <c r="Q17" s="41"/>
      <c r="R17" s="45">
        <f>+R15/R16-1</f>
        <v>0.40706447187928663</v>
      </c>
      <c r="S17" s="45">
        <f>+S15/S16-1</f>
        <v>-0.13097684614330729</v>
      </c>
      <c r="T17" s="41"/>
      <c r="U17" s="41"/>
      <c r="V17" s="41"/>
      <c r="W17" s="41"/>
      <c r="X17" s="41"/>
      <c r="Y17" s="41"/>
      <c r="Z17" s="41"/>
      <c r="AA17" s="41"/>
      <c r="AB17" s="41"/>
      <c r="AC17" s="41"/>
      <c r="AD17" s="42"/>
      <c r="AE17" s="54" t="s">
        <v>238</v>
      </c>
      <c r="AF17" s="55">
        <v>-0.05</v>
      </c>
      <c r="AG17" s="56"/>
      <c r="AH17" s="56"/>
      <c r="AI17" s="56"/>
      <c r="AJ17" s="57"/>
    </row>
    <row r="18" spans="2:37">
      <c r="AE18" s="58" t="s">
        <v>233</v>
      </c>
      <c r="AF18" s="59">
        <v>0.08</v>
      </c>
      <c r="AG18" s="59">
        <v>8.5000000000000006E-2</v>
      </c>
      <c r="AH18" s="59">
        <v>0.09</v>
      </c>
      <c r="AI18" s="59">
        <v>9.5000000000000001E-2</v>
      </c>
      <c r="AJ18" s="60">
        <v>0.1</v>
      </c>
    </row>
    <row r="19" spans="2:37">
      <c r="AE19" s="67" t="s">
        <v>17</v>
      </c>
      <c r="AF19" s="36">
        <f>NPV(AF18,$T$15:$AR$15)</f>
        <v>123070.48290577403</v>
      </c>
      <c r="AG19" s="36">
        <f>NPV(AG18,$T$15:$AR$15)</f>
        <v>117267.95224311738</v>
      </c>
      <c r="AH19" s="36">
        <f>NPV(AH18,$T$15:$AR$15)</f>
        <v>111858.26922383984</v>
      </c>
      <c r="AI19" s="36">
        <f>NPV(AI18,$T$15:$AR$15)</f>
        <v>106809.81460190896</v>
      </c>
      <c r="AJ19" s="51">
        <f>NPV(AJ18,$T$15:$AR$15)</f>
        <v>102093.82904257509</v>
      </c>
    </row>
    <row r="20" spans="2:37">
      <c r="AE20" s="58" t="s">
        <v>19</v>
      </c>
      <c r="AF20" s="19">
        <f>+Main!K5</f>
        <v>1053.6922709999999</v>
      </c>
      <c r="AJ20" s="61"/>
    </row>
    <row r="21" spans="2:37">
      <c r="AE21" s="58" t="s">
        <v>234</v>
      </c>
      <c r="AF21" s="19">
        <f>+AF19/AF20</f>
        <v>116.79926511084187</v>
      </c>
      <c r="AG21" s="12">
        <f>+AG19/$AF$20</f>
        <v>111.29241000489164</v>
      </c>
      <c r="AH21" s="12">
        <f t="shared" ref="AH21:AJ21" si="31">+AH19/$AF$20</f>
        <v>106.158384475651</v>
      </c>
      <c r="AI21" s="12">
        <f t="shared" si="31"/>
        <v>101.36718047722016</v>
      </c>
      <c r="AJ21" s="61">
        <f t="shared" si="31"/>
        <v>96.891504144453478</v>
      </c>
    </row>
    <row r="22" spans="2:37">
      <c r="AE22" s="58" t="s">
        <v>236</v>
      </c>
      <c r="AF22" s="21">
        <f>+AF21/AF27-1</f>
        <v>1.1511778910902271E-2</v>
      </c>
      <c r="AG22" s="62">
        <f>+AG21/$AF$27-1</f>
        <v>-3.617900749206171E-2</v>
      </c>
      <c r="AH22" s="62">
        <f>+AH21/$AF$27-1</f>
        <v>-8.0640993542469896E-2</v>
      </c>
      <c r="AI22" s="62">
        <f>+AI21/$AF$27-1</f>
        <v>-0.12213405666216193</v>
      </c>
      <c r="AJ22" s="63">
        <f>+AJ21/$AF$27-1</f>
        <v>-0.16089456876718211</v>
      </c>
    </row>
    <row r="23" spans="2:37">
      <c r="AE23" s="64" t="s">
        <v>237</v>
      </c>
      <c r="AF23" s="65">
        <v>1</v>
      </c>
      <c r="AG23" s="65">
        <v>0</v>
      </c>
      <c r="AH23" s="65">
        <v>0</v>
      </c>
      <c r="AI23" s="65">
        <v>0</v>
      </c>
      <c r="AJ23" s="66">
        <v>0</v>
      </c>
      <c r="AK23" s="53">
        <f>SUM(AF23:AJ23)</f>
        <v>1</v>
      </c>
    </row>
    <row r="25" spans="2:37">
      <c r="AG25" s="53"/>
    </row>
    <row r="26" spans="2:37">
      <c r="AE26" s="68" t="s">
        <v>234</v>
      </c>
      <c r="AF26" s="52">
        <f>(AF21*AF23)+(AG21*AG23)+(AH21*AH23)+(AI21*AI23)+(AJ21*AJ23)</f>
        <v>116.79926511084187</v>
      </c>
    </row>
    <row r="27" spans="2:37">
      <c r="AE27" s="50" t="s">
        <v>235</v>
      </c>
      <c r="AF27" s="19">
        <f>+Main!K4</f>
        <v>115.47</v>
      </c>
    </row>
    <row r="28" spans="2:37">
      <c r="AE28" s="50" t="s">
        <v>21</v>
      </c>
      <c r="AF28" s="21">
        <f>+AF26/AF27-1</f>
        <v>1.1511778910902271E-2</v>
      </c>
    </row>
  </sheetData>
  <hyperlinks>
    <hyperlink ref="A1" location="Main!A1" display="Main" xr:uid="{A6E4C2B9-36A6-674D-9BD1-1E9F8C27BF33}"/>
  </hyperlinks>
  <pageMargins left="0.7" right="0.7" top="0.75" bottom="0.75" header="0.3" footer="0.3"/>
  <ignoredErrors>
    <ignoredError sqref="R5:S5 T13:T15" formula="1"/>
    <ignoredError sqref="S4 Q21:R23 Q17 S6:S17 R4 R6 R7 R8 R9 R10 R12 R13 R14 R15 R11 R16 Q18:R20" formulaRange="1"/>
    <ignoredError sqref="T7:T12" formula="1"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5A610-E568-8D48-B281-ECE03994361E}">
  <dimension ref="B3:C59"/>
  <sheetViews>
    <sheetView topLeftCell="A22" zoomScale="206" workbookViewId="0">
      <selection activeCell="C59" sqref="C59"/>
    </sheetView>
  </sheetViews>
  <sheetFormatPr baseColWidth="10" defaultRowHeight="13"/>
  <sheetData>
    <row r="3" spans="2:3">
      <c r="B3" s="13" t="s">
        <v>48</v>
      </c>
      <c r="C3" s="13" t="s">
        <v>49</v>
      </c>
    </row>
    <row r="4" spans="2:3">
      <c r="B4" s="13" t="s">
        <v>50</v>
      </c>
      <c r="C4" s="14" t="s">
        <v>51</v>
      </c>
    </row>
    <row r="5" spans="2:3">
      <c r="B5" s="13" t="s">
        <v>52</v>
      </c>
      <c r="C5" s="14" t="s">
        <v>53</v>
      </c>
    </row>
    <row r="6" spans="2:3">
      <c r="B6" s="13" t="s">
        <v>13</v>
      </c>
      <c r="C6" s="14" t="s">
        <v>54</v>
      </c>
    </row>
    <row r="7" spans="2:3">
      <c r="B7" s="13" t="s">
        <v>14</v>
      </c>
      <c r="C7" s="14" t="s">
        <v>55</v>
      </c>
    </row>
    <row r="8" spans="2:3">
      <c r="B8" s="13" t="s">
        <v>56</v>
      </c>
      <c r="C8" s="14" t="s">
        <v>57</v>
      </c>
    </row>
    <row r="9" spans="2:3">
      <c r="B9" s="13" t="s">
        <v>58</v>
      </c>
      <c r="C9" s="14" t="s">
        <v>59</v>
      </c>
    </row>
    <row r="10" spans="2:3">
      <c r="B10" s="13" t="s">
        <v>60</v>
      </c>
      <c r="C10" s="14" t="s">
        <v>61</v>
      </c>
    </row>
    <row r="11" spans="2:3">
      <c r="B11" s="13" t="s">
        <v>15</v>
      </c>
      <c r="C11" s="14" t="s">
        <v>62</v>
      </c>
    </row>
    <row r="12" spans="2:3">
      <c r="B12" s="13" t="s">
        <v>63</v>
      </c>
      <c r="C12" s="13" t="s">
        <v>64</v>
      </c>
    </row>
    <row r="13" spans="2:3">
      <c r="B13" s="13" t="s">
        <v>65</v>
      </c>
      <c r="C13" s="14" t="s">
        <v>66</v>
      </c>
    </row>
    <row r="14" spans="2:3">
      <c r="B14" s="13" t="s">
        <v>67</v>
      </c>
      <c r="C14" s="14" t="s">
        <v>68</v>
      </c>
    </row>
    <row r="15" spans="2:3">
      <c r="B15" s="13" t="s">
        <v>69</v>
      </c>
      <c r="C15" s="14" t="s">
        <v>70</v>
      </c>
    </row>
    <row r="16" spans="2:3">
      <c r="B16" s="13" t="s">
        <v>71</v>
      </c>
      <c r="C16" s="14" t="s">
        <v>72</v>
      </c>
    </row>
    <row r="17" spans="2:3">
      <c r="B17" s="13" t="s">
        <v>73</v>
      </c>
      <c r="C17" s="14" t="s">
        <v>74</v>
      </c>
    </row>
    <row r="18" spans="2:3">
      <c r="B18" s="13" t="s">
        <v>75</v>
      </c>
      <c r="C18" s="14" t="s">
        <v>54</v>
      </c>
    </row>
    <row r="19" spans="2:3">
      <c r="B19" s="13" t="s">
        <v>76</v>
      </c>
      <c r="C19" s="14" t="s">
        <v>55</v>
      </c>
    </row>
    <row r="20" spans="2:3">
      <c r="B20" s="13" t="s">
        <v>77</v>
      </c>
      <c r="C20" s="14" t="s">
        <v>78</v>
      </c>
    </row>
    <row r="21" spans="2:3">
      <c r="B21" s="13" t="s">
        <v>79</v>
      </c>
      <c r="C21" s="14" t="s">
        <v>80</v>
      </c>
    </row>
    <row r="22" spans="2:3">
      <c r="B22" s="13" t="s">
        <v>81</v>
      </c>
      <c r="C22" s="14" t="s">
        <v>82</v>
      </c>
    </row>
    <row r="23" spans="2:3">
      <c r="B23" s="13" t="s">
        <v>83</v>
      </c>
      <c r="C23" s="14" t="s">
        <v>84</v>
      </c>
    </row>
    <row r="24" spans="2:3">
      <c r="B24" s="13" t="s">
        <v>85</v>
      </c>
      <c r="C24" s="14" t="s">
        <v>86</v>
      </c>
    </row>
    <row r="25" spans="2:3">
      <c r="B25" s="13" t="s">
        <v>87</v>
      </c>
      <c r="C25" s="14" t="s">
        <v>88</v>
      </c>
    </row>
    <row r="26" spans="2:3">
      <c r="B26" s="13" t="s">
        <v>89</v>
      </c>
      <c r="C26" s="14" t="s">
        <v>90</v>
      </c>
    </row>
    <row r="27" spans="2:3">
      <c r="B27" s="13" t="s">
        <v>91</v>
      </c>
      <c r="C27" s="14" t="s">
        <v>92</v>
      </c>
    </row>
    <row r="28" spans="2:3">
      <c r="B28" s="13" t="s">
        <v>93</v>
      </c>
      <c r="C28" s="14" t="s">
        <v>94</v>
      </c>
    </row>
    <row r="29" spans="2:3">
      <c r="B29" s="13" t="s">
        <v>95</v>
      </c>
      <c r="C29" s="14" t="s">
        <v>96</v>
      </c>
    </row>
    <row r="30" spans="2:3">
      <c r="B30" s="13" t="s">
        <v>97</v>
      </c>
      <c r="C30" s="14" t="s">
        <v>98</v>
      </c>
    </row>
    <row r="31" spans="2:3">
      <c r="B31" s="13" t="s">
        <v>99</v>
      </c>
      <c r="C31" s="14" t="s">
        <v>100</v>
      </c>
    </row>
    <row r="32" spans="2:3">
      <c r="B32" s="13" t="s">
        <v>101</v>
      </c>
      <c r="C32" s="14" t="s">
        <v>102</v>
      </c>
    </row>
    <row r="33" spans="2:3">
      <c r="B33" s="13" t="s">
        <v>103</v>
      </c>
      <c r="C33" s="14" t="s">
        <v>104</v>
      </c>
    </row>
    <row r="34" spans="2:3">
      <c r="B34" s="13" t="s">
        <v>105</v>
      </c>
      <c r="C34" s="14" t="s">
        <v>106</v>
      </c>
    </row>
    <row r="35" spans="2:3">
      <c r="B35" s="13" t="s">
        <v>107</v>
      </c>
      <c r="C35" s="14" t="s">
        <v>108</v>
      </c>
    </row>
    <row r="36" spans="2:3">
      <c r="B36" s="13" t="s">
        <v>109</v>
      </c>
      <c r="C36" s="14" t="s">
        <v>110</v>
      </c>
    </row>
    <row r="37" spans="2:3">
      <c r="B37" s="13" t="s">
        <v>111</v>
      </c>
      <c r="C37" s="14" t="s">
        <v>112</v>
      </c>
    </row>
    <row r="38" spans="2:3">
      <c r="B38" s="13" t="s">
        <v>113</v>
      </c>
      <c r="C38" s="14" t="s">
        <v>114</v>
      </c>
    </row>
    <row r="39" spans="2:3">
      <c r="B39" s="13" t="s">
        <v>115</v>
      </c>
      <c r="C39" s="14" t="s">
        <v>116</v>
      </c>
    </row>
    <row r="40" spans="2:3">
      <c r="B40" s="13" t="s">
        <v>117</v>
      </c>
      <c r="C40" s="14" t="s">
        <v>118</v>
      </c>
    </row>
    <row r="41" spans="2:3">
      <c r="B41" s="13" t="s">
        <v>119</v>
      </c>
      <c r="C41" s="14" t="s">
        <v>120</v>
      </c>
    </row>
    <row r="42" spans="2:3">
      <c r="B42" s="13" t="s">
        <v>121</v>
      </c>
      <c r="C42" s="14" t="s">
        <v>122</v>
      </c>
    </row>
    <row r="43" spans="2:3">
      <c r="B43" s="13" t="s">
        <v>123</v>
      </c>
      <c r="C43" s="14" t="s">
        <v>124</v>
      </c>
    </row>
    <row r="44" spans="2:3">
      <c r="B44" s="13" t="s">
        <v>125</v>
      </c>
      <c r="C44" s="14" t="s">
        <v>126</v>
      </c>
    </row>
    <row r="45" spans="2:3">
      <c r="B45" s="13" t="s">
        <v>127</v>
      </c>
      <c r="C45" s="14" t="s">
        <v>128</v>
      </c>
    </row>
    <row r="46" spans="2:3">
      <c r="B46" s="13" t="s">
        <v>129</v>
      </c>
      <c r="C46" s="14" t="s">
        <v>130</v>
      </c>
    </row>
    <row r="47" spans="2:3">
      <c r="B47" s="13" t="s">
        <v>131</v>
      </c>
      <c r="C47" s="14" t="s">
        <v>132</v>
      </c>
    </row>
    <row r="48" spans="2:3">
      <c r="B48" s="13" t="s">
        <v>133</v>
      </c>
      <c r="C48" s="14" t="s">
        <v>134</v>
      </c>
    </row>
    <row r="49" spans="2:3">
      <c r="B49" s="13" t="s">
        <v>135</v>
      </c>
      <c r="C49" s="14" t="s">
        <v>136</v>
      </c>
    </row>
    <row r="50" spans="2:3">
      <c r="B50" s="13" t="s">
        <v>137</v>
      </c>
      <c r="C50" s="14" t="s">
        <v>138</v>
      </c>
    </row>
    <row r="51" spans="2:3">
      <c r="B51" s="13" t="s">
        <v>139</v>
      </c>
      <c r="C51" s="14" t="s">
        <v>140</v>
      </c>
    </row>
    <row r="52" spans="2:3">
      <c r="B52" s="13" t="s">
        <v>141</v>
      </c>
      <c r="C52" s="14" t="s">
        <v>142</v>
      </c>
    </row>
    <row r="53" spans="2:3">
      <c r="B53" s="13" t="s">
        <v>143</v>
      </c>
      <c r="C53" s="14" t="s">
        <v>144</v>
      </c>
    </row>
    <row r="54" spans="2:3">
      <c r="B54" s="13" t="s">
        <v>145</v>
      </c>
      <c r="C54" s="14" t="s">
        <v>146</v>
      </c>
    </row>
    <row r="55" spans="2:3">
      <c r="B55" s="13" t="s">
        <v>147</v>
      </c>
      <c r="C55" s="14" t="s">
        <v>148</v>
      </c>
    </row>
    <row r="56" spans="2:3">
      <c r="B56" s="13" t="s">
        <v>149</v>
      </c>
      <c r="C56" s="14" t="s">
        <v>150</v>
      </c>
    </row>
    <row r="57" spans="2:3">
      <c r="B57" s="13" t="s">
        <v>151</v>
      </c>
      <c r="C57" s="14" t="s">
        <v>51</v>
      </c>
    </row>
    <row r="58" spans="2:3">
      <c r="B58" s="13" t="s">
        <v>152</v>
      </c>
      <c r="C58" s="14" t="s">
        <v>153</v>
      </c>
    </row>
    <row r="59" spans="2:3">
      <c r="B59" s="13" t="s">
        <v>154</v>
      </c>
      <c r="C59" s="14"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598C3-5D52-CC41-906A-7E2FD281D2C9}">
  <dimension ref="B2:D30"/>
  <sheetViews>
    <sheetView showGridLines="0" zoomScale="228" workbookViewId="0">
      <selection activeCell="B18" sqref="B18"/>
    </sheetView>
  </sheetViews>
  <sheetFormatPr baseColWidth="10" defaultRowHeight="13"/>
  <cols>
    <col min="2" max="2" width="29.83203125" customWidth="1"/>
  </cols>
  <sheetData>
    <row r="2" spans="2:4">
      <c r="B2" t="s">
        <v>186</v>
      </c>
    </row>
    <row r="3" spans="2:4">
      <c r="B3" s="24"/>
    </row>
    <row r="4" spans="2:4" ht="3" customHeight="1"/>
    <row r="5" spans="2:4">
      <c r="B5" s="3" t="s">
        <v>165</v>
      </c>
    </row>
    <row r="6" spans="2:4" s="27" customFormat="1">
      <c r="B6" s="29" t="s">
        <v>185</v>
      </c>
      <c r="C6" s="29"/>
      <c r="D6" s="27" t="s">
        <v>184</v>
      </c>
    </row>
    <row r="7" spans="2:4">
      <c r="B7" s="29" t="s">
        <v>166</v>
      </c>
      <c r="C7" s="22">
        <f>+Main!K6</f>
        <v>121669.84653236999</v>
      </c>
    </row>
    <row r="8" spans="2:4">
      <c r="B8" s="29" t="s">
        <v>18</v>
      </c>
      <c r="C8" s="22">
        <f>+Main!K7-Main!K8</f>
        <v>3926</v>
      </c>
      <c r="D8" s="25"/>
    </row>
    <row r="9" spans="2:4">
      <c r="B9" s="29" t="s">
        <v>5</v>
      </c>
      <c r="C9" s="22">
        <f>+C7-C8</f>
        <v>117743.84653236999</v>
      </c>
      <c r="D9" s="25"/>
    </row>
    <row r="10" spans="2:4">
      <c r="B10" s="29" t="s">
        <v>168</v>
      </c>
      <c r="C10" s="22">
        <f>+C9/7</f>
        <v>16820.549504624283</v>
      </c>
      <c r="D10" s="25" t="s">
        <v>167</v>
      </c>
    </row>
    <row r="11" spans="2:4">
      <c r="B11" s="29" t="s">
        <v>173</v>
      </c>
      <c r="C11" s="28" t="e">
        <f>SUM(Model!#REF!)</f>
        <v>#REF!</v>
      </c>
      <c r="D11" s="25"/>
    </row>
    <row r="12" spans="2:4">
      <c r="B12" s="29" t="s">
        <v>169</v>
      </c>
      <c r="C12" s="28">
        <f>AVERAGE(1651,1593,1566)</f>
        <v>1603.3333333333333</v>
      </c>
      <c r="D12" s="25"/>
    </row>
    <row r="13" spans="2:4">
      <c r="C13" s="1"/>
      <c r="D13" s="25"/>
    </row>
    <row r="14" spans="2:4">
      <c r="B14" s="29" t="s">
        <v>170</v>
      </c>
      <c r="C14" s="28" t="e">
        <f>+(C10/C11) * 1000</f>
        <v>#REF!</v>
      </c>
      <c r="D14" s="25"/>
    </row>
    <row r="15" spans="2:4">
      <c r="B15" s="29" t="s">
        <v>172</v>
      </c>
      <c r="C15" s="23"/>
      <c r="D15" s="25"/>
    </row>
    <row r="16" spans="2:4">
      <c r="B16" s="29" t="s">
        <v>171</v>
      </c>
      <c r="C16" s="28" t="e">
        <f>+C12+C14</f>
        <v>#REF!</v>
      </c>
      <c r="D16" s="25" t="s">
        <v>187</v>
      </c>
    </row>
    <row r="17" spans="2:4">
      <c r="C17" s="1"/>
      <c r="D17" s="25"/>
    </row>
    <row r="18" spans="2:4">
      <c r="B18" t="s">
        <v>174</v>
      </c>
      <c r="C18" s="28" t="e">
        <f>AVERAGE(Model!#REF!)</f>
        <v>#REF!</v>
      </c>
      <c r="D18" s="25"/>
    </row>
    <row r="19" spans="2:4">
      <c r="B19" t="s">
        <v>175</v>
      </c>
      <c r="C19" s="30">
        <v>4251.7</v>
      </c>
      <c r="D19" s="26">
        <v>46010</v>
      </c>
    </row>
    <row r="20" spans="2:4">
      <c r="B20" t="s">
        <v>176</v>
      </c>
      <c r="C20" s="28" t="e">
        <f>+C19-C18</f>
        <v>#REF!</v>
      </c>
      <c r="D20" s="25"/>
    </row>
    <row r="21" spans="2:4">
      <c r="D21" s="25"/>
    </row>
    <row r="22" spans="2:4">
      <c r="B22" t="s">
        <v>177</v>
      </c>
      <c r="C22" s="22" t="e">
        <f>+(C11*C20) / 10^3</f>
        <v>#REF!</v>
      </c>
      <c r="D22" s="25"/>
    </row>
    <row r="23" spans="2:4">
      <c r="B23" t="s">
        <v>178</v>
      </c>
      <c r="C23" s="31">
        <v>0.75</v>
      </c>
      <c r="D23" s="25"/>
    </row>
    <row r="24" spans="2:4">
      <c r="B24" t="s">
        <v>179</v>
      </c>
      <c r="C24" s="31">
        <v>0.7</v>
      </c>
      <c r="D24" s="25"/>
    </row>
    <row r="25" spans="2:4">
      <c r="B25" t="s">
        <v>180</v>
      </c>
      <c r="C25" s="22" t="e">
        <f>+C22*C23*C24</f>
        <v>#REF!</v>
      </c>
      <c r="D25" s="25"/>
    </row>
    <row r="26" spans="2:4">
      <c r="C26" s="1"/>
      <c r="D26" s="25"/>
    </row>
    <row r="27" spans="2:4">
      <c r="B27" s="15" t="s">
        <v>181</v>
      </c>
      <c r="C27" s="22" t="e">
        <f>+SUM(Model!#REF!,'Key Questions'!C25)</f>
        <v>#REF!</v>
      </c>
      <c r="D27" s="25" t="s">
        <v>183</v>
      </c>
    </row>
    <row r="28" spans="2:4">
      <c r="B28" t="s">
        <v>182</v>
      </c>
      <c r="C28" s="20">
        <v>1500</v>
      </c>
    </row>
    <row r="30" spans="2:4" s="27" customFormat="1">
      <c r="B30"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5B829-C44D-7648-B92C-43D8D777E11D}">
  <dimension ref="B2:B18"/>
  <sheetViews>
    <sheetView showGridLines="0" zoomScale="259" workbookViewId="0">
      <selection activeCell="D13" sqref="D13"/>
    </sheetView>
  </sheetViews>
  <sheetFormatPr baseColWidth="10" defaultRowHeight="13"/>
  <cols>
    <col min="2" max="2" width="10.83203125" style="34"/>
  </cols>
  <sheetData>
    <row r="2" spans="2:2">
      <c r="B2" s="34" t="s">
        <v>191</v>
      </c>
    </row>
    <row r="3" spans="2:2">
      <c r="B3" s="34" t="s">
        <v>189</v>
      </c>
    </row>
    <row r="4" spans="2:2">
      <c r="B4" s="35">
        <v>2024</v>
      </c>
    </row>
    <row r="5" spans="2:2">
      <c r="B5" s="35">
        <f>+B4-1</f>
        <v>2023</v>
      </c>
    </row>
    <row r="6" spans="2:2">
      <c r="B6" s="35">
        <f t="shared" ref="B6:B13" si="0">+B5-1</f>
        <v>2022</v>
      </c>
    </row>
    <row r="7" spans="2:2">
      <c r="B7" s="35">
        <f t="shared" si="0"/>
        <v>2021</v>
      </c>
    </row>
    <row r="8" spans="2:2">
      <c r="B8" s="35">
        <f t="shared" si="0"/>
        <v>2020</v>
      </c>
    </row>
    <row r="9" spans="2:2">
      <c r="B9" s="35">
        <f t="shared" si="0"/>
        <v>2019</v>
      </c>
    </row>
    <row r="10" spans="2:2">
      <c r="B10" s="35">
        <f t="shared" si="0"/>
        <v>2018</v>
      </c>
    </row>
    <row r="11" spans="2:2">
      <c r="B11" s="35">
        <f t="shared" si="0"/>
        <v>2017</v>
      </c>
    </row>
    <row r="12" spans="2:2">
      <c r="B12" s="35">
        <f t="shared" si="0"/>
        <v>2016</v>
      </c>
    </row>
    <row r="13" spans="2:2">
      <c r="B13" s="35">
        <f t="shared" si="0"/>
        <v>2015</v>
      </c>
    </row>
    <row r="16" spans="2:2">
      <c r="B16" s="35" t="s">
        <v>190</v>
      </c>
    </row>
    <row r="17" spans="2:2">
      <c r="B17" s="35" t="s">
        <v>192</v>
      </c>
    </row>
    <row r="18" spans="2:2">
      <c r="B18" s="35" t="s">
        <v>193</v>
      </c>
    </row>
  </sheetData>
  <hyperlinks>
    <hyperlink ref="B4" r:id="rId1" display="https://operations.newmont.com/_doc/Newmont-2024-Reserves-and-Resources-Release.pdf" xr:uid="{581D97D2-5892-4B49-88DA-A78C3BE15F42}"/>
    <hyperlink ref="B5" r:id="rId2" display="https://operations.newmont.com/_doc/Newmont-2023-Reserves-and-Resources-Release.pdf" xr:uid="{CCCF9743-B13B-074C-8EAE-88D11596703A}"/>
    <hyperlink ref="B6" r:id="rId3" display="https://operations.newmont.com/_doc/Newmont-2022-Reserves-and-Resources-Release.pdf" xr:uid="{5893DEEA-335B-F347-A6BF-853B057FCD13}"/>
    <hyperlink ref="B7" r:id="rId4" display="https://operations.newmont.com/_doc/Newmont-2021-Reserves-and-Resources-Release.pdf" xr:uid="{1E059BB3-F34E-DB43-845E-3DEB37F3A142}"/>
    <hyperlink ref="B8" r:id="rId5" display="https://operations.newmont.com/_doc/Newmont-2020-Reserves-and-Resources-Release.pdf" xr:uid="{E9C38F1B-B655-CC45-BAB1-6DA8558FDDB4}"/>
    <hyperlink ref="B9" r:id="rId6" display="https://operations.newmont.com/_doc/Newmont-2019-Reserves-and-Resources-Release.pdf" xr:uid="{A164E078-EB5B-524F-80EC-55E3EBA4F859}"/>
    <hyperlink ref="B10" r:id="rId7" display="https://operations.newmont.com/_doc/Newmont-2018-Reserves-and-Resources-Release.pdf" xr:uid="{369CAEBC-A5BA-524A-AAA1-329C30FC0FEF}"/>
    <hyperlink ref="B11" r:id="rId8" display="https://operations.newmont.com/_doc/Newmont-2017-Reserves-and-Resources-Release.pdf" xr:uid="{A92343C9-9676-E345-8D18-2069A89E5375}"/>
    <hyperlink ref="B12" r:id="rId9" display="https://operations.newmont.com/_doc/Newmont-2016-Reserves-and-Resources-Release.pdf" xr:uid="{35A6D884-1038-F84C-AF67-5B83D524CCE2}"/>
    <hyperlink ref="B13" r:id="rId10" display="https://operations.newmont.com/_doc/Newmont-2015-Reserves-and-Resources-Release.pdf" xr:uid="{08D2011C-D8F6-AC4A-A5F5-B0E7C9E4AF47}"/>
    <hyperlink ref="B16" r:id="rId11" xr:uid="{81A3C46E-70E0-304C-9A25-6FB0FA53B511}"/>
    <hyperlink ref="B17" r:id="rId12" xr:uid="{794431EE-2986-9F4F-ABC1-ABBD5824AB0E}"/>
    <hyperlink ref="B18" r:id="rId13" xr:uid="{D6FB0277-DCAF-B445-A6E6-AA5A5AA71F2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8FC99-ADFB-8847-A584-A7FCD5D95658}">
  <dimension ref="B9:B32"/>
  <sheetViews>
    <sheetView showGridLines="0" topLeftCell="A6" workbookViewId="0">
      <selection activeCell="G25" sqref="G25"/>
    </sheetView>
  </sheetViews>
  <sheetFormatPr baseColWidth="10" defaultRowHeight="13"/>
  <cols>
    <col min="2" max="2" width="30.83203125" bestFit="1" customWidth="1"/>
  </cols>
  <sheetData>
    <row r="9" spans="2:2" ht="24">
      <c r="B9" s="33" t="s">
        <v>194</v>
      </c>
    </row>
    <row r="10" spans="2:2">
      <c r="B10" s="32" t="s">
        <v>195</v>
      </c>
    </row>
    <row r="11" spans="2:2">
      <c r="B11" s="32" t="s">
        <v>196</v>
      </c>
    </row>
    <row r="12" spans="2:2">
      <c r="B12" s="32" t="s">
        <v>197</v>
      </c>
    </row>
    <row r="13" spans="2:2">
      <c r="B13" s="32" t="s">
        <v>198</v>
      </c>
    </row>
    <row r="14" spans="2:2">
      <c r="B14" s="32" t="s">
        <v>199</v>
      </c>
    </row>
    <row r="15" spans="2:2">
      <c r="B15" s="32" t="s">
        <v>200</v>
      </c>
    </row>
    <row r="16" spans="2:2">
      <c r="B16" s="32" t="s">
        <v>201</v>
      </c>
    </row>
    <row r="17" spans="2:2">
      <c r="B17" s="32" t="s">
        <v>132</v>
      </c>
    </row>
    <row r="18" spans="2:2">
      <c r="B18" s="32" t="s">
        <v>202</v>
      </c>
    </row>
    <row r="19" spans="2:2" ht="24">
      <c r="B19" s="33" t="s">
        <v>203</v>
      </c>
    </row>
    <row r="20" spans="2:2">
      <c r="B20" s="32" t="s">
        <v>204</v>
      </c>
    </row>
    <row r="21" spans="2:2">
      <c r="B21" s="32" t="s">
        <v>205</v>
      </c>
    </row>
    <row r="22" spans="2:2">
      <c r="B22" s="32" t="s">
        <v>206</v>
      </c>
    </row>
    <row r="23" spans="2:2">
      <c r="B23" s="32" t="s">
        <v>207</v>
      </c>
    </row>
    <row r="24" spans="2:2">
      <c r="B24" s="32" t="s">
        <v>208</v>
      </c>
    </row>
    <row r="25" spans="2:2">
      <c r="B25" s="32" t="s">
        <v>209</v>
      </c>
    </row>
    <row r="26" spans="2:2">
      <c r="B26" s="32" t="s">
        <v>210</v>
      </c>
    </row>
    <row r="27" spans="2:2">
      <c r="B27" s="32" t="s">
        <v>211</v>
      </c>
    </row>
    <row r="28" spans="2:2">
      <c r="B28" s="32" t="s">
        <v>212</v>
      </c>
    </row>
    <row r="29" spans="2:2">
      <c r="B29" s="32" t="s">
        <v>213</v>
      </c>
    </row>
    <row r="30" spans="2:2">
      <c r="B30" s="32" t="s">
        <v>214</v>
      </c>
    </row>
    <row r="31" spans="2:2">
      <c r="B31" s="32" t="s">
        <v>215</v>
      </c>
    </row>
    <row r="32" spans="2:2">
      <c r="B32" s="32" t="s">
        <v>216</v>
      </c>
    </row>
  </sheetData>
  <hyperlinks>
    <hyperlink ref="B10" r:id="rId1" display="https://operations.newmont.com/africa" xr:uid="{8BC00FD8-C1DC-224F-BAAD-A2941F801CA7}"/>
    <hyperlink ref="B11" r:id="rId2" display="https://operations.newmont.com/africa/ahafo-north-ghana" xr:uid="{90B955BF-4CE1-6048-9D49-8577B9A5234E}"/>
    <hyperlink ref="B12" r:id="rId3" display="https://operations.newmont.com/africa/ahafo-south-ghana" xr:uid="{171767AA-E5B0-3542-85FE-92857BEF5062}"/>
    <hyperlink ref="B13" r:id="rId4" display="https://operations.newmont.com/australia" xr:uid="{C4322914-F293-694E-AECC-37941E4811DF}"/>
    <hyperlink ref="B14" r:id="rId5" display="https://operations.newmont.com/australia/boddington" xr:uid="{13359DC8-7621-3343-903B-A3DC16795585}"/>
    <hyperlink ref="B15" r:id="rId6" display="https://operations.newmont.com/australia/cadia" xr:uid="{E2295A00-1739-4547-BA4F-44B6273745C4}"/>
    <hyperlink ref="B16" r:id="rId7" display="https://operations.newmont.com/australia/tanami" xr:uid="{B9A84244-F665-814D-934C-FF691FE12C11}"/>
    <hyperlink ref="B17" r:id="rId8" display="https://operations.newmont.com/papua-new-guinea" xr:uid="{DAFDBA8E-821E-6747-A5FF-F47CFD443E0C}"/>
    <hyperlink ref="B18" r:id="rId9" display="https://operations.newmont.com/papua-new-guinea/lihir" xr:uid="{E567D12B-18F3-E644-9651-6B055C9BDE41}"/>
    <hyperlink ref="B20" r:id="rId10" display="https://operations.newmont.com/north-america" xr:uid="{75212F94-909B-0246-AEB0-A05AF88695A6}"/>
    <hyperlink ref="B21" r:id="rId11" display="https://operations.newmont.com/north-america/brucejack-canada" xr:uid="{7AE32BE4-ACE4-0143-B8A7-6CCCAA2BFEBF}"/>
    <hyperlink ref="B22" r:id="rId12" display="https://operations.newmont.com/north-america/red-chris-canada" xr:uid="{F4A660E7-D51B-0A48-84A0-9CE7FCDFA910}"/>
    <hyperlink ref="B23" r:id="rId13" display="https://operations.newmont.com/latac" xr:uid="{90F0FEF4-F5CA-9A49-9AC7-BF4A58468E02}"/>
    <hyperlink ref="B24" r:id="rId14" display="https://operations.newmont.com/latac/cerro-negro-argentina" xr:uid="{61D81666-0696-624E-8A7F-AE18D6E9C7DC}"/>
    <hyperlink ref="B25" r:id="rId15" display="https://operations.newmont.com/latac/merian-suriname" xr:uid="{4DBA62EA-9B29-694F-8374-67CD7981A91B}"/>
    <hyperlink ref="B26" r:id="rId16" display="https://operations.newmont.com/latac/penasquito-mexico" xr:uid="{4BC8A5BA-3BA6-524F-B7D5-D6A47E8D4796}"/>
    <hyperlink ref="B27" r:id="rId17" display="https://operations.newmont.com/latac/pueblo-viejo-dominican-replublic" xr:uid="{30045677-480C-C845-86B5-E63F25D89D0F}"/>
    <hyperlink ref="B28" r:id="rId18" display="https://operations.newmont.com/latac/yanacocha-peru" xr:uid="{A810729A-CA52-5A45-9F66-C7A22404BEBB}"/>
    <hyperlink ref="B29" r:id="rId19" display="https://operations.newmont.com/north-america/nevada-usa" xr:uid="{875BB72D-EA53-4C4E-86AD-AF468CF94D5D}"/>
    <hyperlink ref="B30" r:id="rId20" display="https://operations.newmont.com/exploration-and-projects" xr:uid="{98F37115-C7E1-F347-AFBA-E32CE0984CB6}"/>
    <hyperlink ref="B31" r:id="rId21" display="https://operations.newmont.com/reserves-and-resources" xr:uid="{3C66CFE5-6FBF-CD4E-ACBE-1396943051CB}"/>
    <hyperlink ref="B32" r:id="rId22" display="https://operations.newmont.com/health-and-safety" xr:uid="{531E156D-7624-1445-B12F-9CBEC0D5FB2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Main</vt:lpstr>
      <vt:lpstr>Model</vt:lpstr>
      <vt:lpstr>Definitions</vt:lpstr>
      <vt:lpstr>Key Questions</vt:lpstr>
      <vt:lpstr>Geology</vt:lpstr>
      <vt:lpstr>Operations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jameel</dc:creator>
  <cp:lastModifiedBy>Jameel Brannon</cp:lastModifiedBy>
  <dcterms:created xsi:type="dcterms:W3CDTF">2024-12-05T04:29:29Z</dcterms:created>
  <dcterms:modified xsi:type="dcterms:W3CDTF">2026-10-12T00:35:34Z</dcterms:modified>
</cp:coreProperties>
</file>