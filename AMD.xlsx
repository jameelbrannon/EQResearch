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2663D715-5455-BA44-B582-D0F555DAC600}" xr6:coauthVersionLast="47" xr6:coauthVersionMax="47" xr10:uidLastSave="{00000000-0000-0000-0000-000000000000}"/>
  <bookViews>
    <workbookView xWindow="11720" yWindow="600" windowWidth="35100" windowHeight="21400" xr2:uid="{CDAA9B9D-33D3-1749-8A18-C4CDDC23E2E4}"/>
  </bookViews>
  <sheets>
    <sheet name="Main" sheetId="1" r:id="rId1"/>
    <sheet name="Compare" sheetId="3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2" l="1"/>
  <c r="AA8" i="2" s="1"/>
  <c r="AB8" i="2" s="1"/>
  <c r="AC8" i="2" s="1"/>
  <c r="AD8" i="2" s="1"/>
  <c r="AE8" i="2" s="1"/>
  <c r="AF8" i="2" s="1"/>
  <c r="AG8" i="2" s="1"/>
  <c r="AH8" i="2" s="1"/>
  <c r="AA4" i="2"/>
  <c r="AB21" i="2" s="1"/>
  <c r="Z4" i="2"/>
  <c r="Y21" i="2"/>
  <c r="Y4" i="2"/>
  <c r="R4" i="2"/>
  <c r="R21" i="2" s="1"/>
  <c r="Q4" i="2"/>
  <c r="Q21" i="2" s="1"/>
  <c r="P4" i="2"/>
  <c r="P21" i="2" s="1"/>
  <c r="O4" i="2"/>
  <c r="S5" i="2"/>
  <c r="G21" i="2"/>
  <c r="H21" i="2"/>
  <c r="I21" i="2"/>
  <c r="J21" i="2"/>
  <c r="K21" i="2"/>
  <c r="L21" i="2"/>
  <c r="M21" i="2"/>
  <c r="N21" i="2"/>
  <c r="AK29" i="2"/>
  <c r="AJ2" i="2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Q15" i="2"/>
  <c r="P15" i="2"/>
  <c r="O15" i="2"/>
  <c r="O8" i="2"/>
  <c r="L55" i="2"/>
  <c r="M55" i="2"/>
  <c r="H55" i="2"/>
  <c r="H56" i="2"/>
  <c r="L56" i="2"/>
  <c r="K57" i="2"/>
  <c r="G57" i="2"/>
  <c r="N52" i="2"/>
  <c r="M52" i="2"/>
  <c r="L52" i="2"/>
  <c r="K52" i="2"/>
  <c r="J52" i="2"/>
  <c r="K50" i="2"/>
  <c r="K38" i="2"/>
  <c r="K26" i="2"/>
  <c r="L50" i="2"/>
  <c r="L38" i="2"/>
  <c r="L26" i="2"/>
  <c r="M50" i="2"/>
  <c r="M38" i="2"/>
  <c r="M26" i="2"/>
  <c r="J26" i="2"/>
  <c r="I26" i="2"/>
  <c r="H26" i="2"/>
  <c r="G26" i="2"/>
  <c r="F26" i="2"/>
  <c r="E26" i="2"/>
  <c r="N26" i="2"/>
  <c r="J50" i="2"/>
  <c r="J38" i="2"/>
  <c r="N50" i="2"/>
  <c r="N38" i="2"/>
  <c r="N17" i="2"/>
  <c r="N15" i="2"/>
  <c r="R15" i="2" s="1"/>
  <c r="N14" i="2"/>
  <c r="N12" i="2"/>
  <c r="N11" i="2"/>
  <c r="N9" i="2"/>
  <c r="N7" i="2"/>
  <c r="N6" i="2"/>
  <c r="N5" i="2"/>
  <c r="N4" i="2"/>
  <c r="M8" i="2"/>
  <c r="Q8" i="2" s="1"/>
  <c r="X8" i="2"/>
  <c r="X3" i="2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HX3" i="2" s="1"/>
  <c r="HY3" i="2" s="1"/>
  <c r="HZ3" i="2" s="1"/>
  <c r="H7" i="1"/>
  <c r="H6" i="1"/>
  <c r="F7" i="2"/>
  <c r="F6" i="2"/>
  <c r="F5" i="2"/>
  <c r="F4" i="2"/>
  <c r="C8" i="2"/>
  <c r="D8" i="2"/>
  <c r="D10" i="2" s="1"/>
  <c r="D13" i="2" s="1"/>
  <c r="D16" i="2" s="1"/>
  <c r="D18" i="2" s="1"/>
  <c r="E8" i="2"/>
  <c r="I8" i="2"/>
  <c r="I10" i="2" s="1"/>
  <c r="I13" i="2" s="1"/>
  <c r="I16" i="2" s="1"/>
  <c r="I18" i="2" s="1"/>
  <c r="I58" i="2" s="1"/>
  <c r="J7" i="2"/>
  <c r="J6" i="2"/>
  <c r="J5" i="2"/>
  <c r="J4" i="2"/>
  <c r="G8" i="2"/>
  <c r="G10" i="2" s="1"/>
  <c r="G13" i="2" s="1"/>
  <c r="G16" i="2" s="1"/>
  <c r="G18" i="2" s="1"/>
  <c r="G58" i="2" s="1"/>
  <c r="H8" i="2"/>
  <c r="K8" i="2"/>
  <c r="L8" i="2"/>
  <c r="L10" i="2" s="1"/>
  <c r="L13" i="2" s="1"/>
  <c r="L16" i="2" s="1"/>
  <c r="L18" i="2" s="1"/>
  <c r="L58" i="2" s="1"/>
  <c r="W8" i="2"/>
  <c r="V8" i="2"/>
  <c r="F17" i="2"/>
  <c r="F15" i="2"/>
  <c r="F14" i="2"/>
  <c r="F12" i="2"/>
  <c r="F11" i="2"/>
  <c r="F9" i="2"/>
  <c r="U10" i="2"/>
  <c r="U13" i="2" s="1"/>
  <c r="U16" i="2" s="1"/>
  <c r="U18" i="2" s="1"/>
  <c r="J17" i="2"/>
  <c r="J15" i="2"/>
  <c r="J14" i="2"/>
  <c r="J12" i="2"/>
  <c r="J11" i="2"/>
  <c r="J9" i="2"/>
  <c r="H5" i="1"/>
  <c r="AA21" i="2" l="1"/>
  <c r="Z21" i="2"/>
  <c r="S6" i="2"/>
  <c r="O21" i="2"/>
  <c r="N55" i="2"/>
  <c r="X23" i="2"/>
  <c r="H23" i="2"/>
  <c r="P8" i="2"/>
  <c r="O12" i="2"/>
  <c r="O9" i="2"/>
  <c r="O10" i="2" s="1"/>
  <c r="O23" i="2"/>
  <c r="O11" i="2"/>
  <c r="Y15" i="2"/>
  <c r="Q9" i="2"/>
  <c r="Q10" i="2" s="1"/>
  <c r="Q24" i="2" s="1"/>
  <c r="Q11" i="2"/>
  <c r="Q23" i="2"/>
  <c r="Q12" i="2"/>
  <c r="I55" i="2"/>
  <c r="H57" i="2"/>
  <c r="I56" i="2"/>
  <c r="J56" i="2" s="1"/>
  <c r="L57" i="2"/>
  <c r="M56" i="2"/>
  <c r="M10" i="2"/>
  <c r="M23" i="2"/>
  <c r="X10" i="2"/>
  <c r="X24" i="2" s="1"/>
  <c r="K10" i="2"/>
  <c r="N8" i="2"/>
  <c r="R8" i="2" s="1"/>
  <c r="G23" i="2"/>
  <c r="I23" i="2"/>
  <c r="F8" i="2"/>
  <c r="J8" i="2"/>
  <c r="W23" i="2"/>
  <c r="W10" i="2"/>
  <c r="V23" i="2"/>
  <c r="V10" i="2"/>
  <c r="C10" i="2"/>
  <c r="E10" i="2"/>
  <c r="H8" i="1"/>
  <c r="K23" i="2"/>
  <c r="H10" i="2"/>
  <c r="H13" i="2" s="1"/>
  <c r="H16" i="2" s="1"/>
  <c r="H18" i="2" s="1"/>
  <c r="H58" i="2" s="1"/>
  <c r="L23" i="2"/>
  <c r="G24" i="2"/>
  <c r="I24" i="2"/>
  <c r="L24" i="2"/>
  <c r="D24" i="2"/>
  <c r="U24" i="2"/>
  <c r="P9" i="2" l="1"/>
  <c r="P10" i="2" s="1"/>
  <c r="P11" i="2"/>
  <c r="P12" i="2"/>
  <c r="P23" i="2"/>
  <c r="Q13" i="2"/>
  <c r="O24" i="2"/>
  <c r="O13" i="2"/>
  <c r="N56" i="2"/>
  <c r="N57" i="2" s="1"/>
  <c r="M57" i="2"/>
  <c r="N61" i="2" s="1"/>
  <c r="K13" i="2"/>
  <c r="K16" i="2" s="1"/>
  <c r="K18" i="2" s="1"/>
  <c r="K58" i="2" s="1"/>
  <c r="K24" i="2"/>
  <c r="R11" i="2"/>
  <c r="Y11" i="2" s="1"/>
  <c r="R12" i="2"/>
  <c r="R23" i="2"/>
  <c r="R9" i="2"/>
  <c r="Y8" i="2"/>
  <c r="Y9" i="2"/>
  <c r="R10" i="2"/>
  <c r="Y12" i="2"/>
  <c r="I57" i="2"/>
  <c r="J55" i="2"/>
  <c r="J57" i="2" s="1"/>
  <c r="M61" i="2" s="1"/>
  <c r="M24" i="2"/>
  <c r="M13" i="2"/>
  <c r="M16" i="2" s="1"/>
  <c r="M18" i="2" s="1"/>
  <c r="M58" i="2" s="1"/>
  <c r="N10" i="2"/>
  <c r="N24" i="2" s="1"/>
  <c r="X13" i="2"/>
  <c r="N23" i="2"/>
  <c r="J23" i="2"/>
  <c r="C13" i="2"/>
  <c r="C16" i="2" s="1"/>
  <c r="C18" i="2" s="1"/>
  <c r="C24" i="2"/>
  <c r="E13" i="2"/>
  <c r="E16" i="2" s="1"/>
  <c r="E18" i="2" s="1"/>
  <c r="E24" i="2"/>
  <c r="W13" i="2"/>
  <c r="W24" i="2"/>
  <c r="V13" i="2"/>
  <c r="F10" i="2"/>
  <c r="F24" i="2" s="1"/>
  <c r="V24" i="2"/>
  <c r="H24" i="2"/>
  <c r="J10" i="2"/>
  <c r="J24" i="2" s="1"/>
  <c r="P24" i="2" l="1"/>
  <c r="P13" i="2"/>
  <c r="Y23" i="2"/>
  <c r="J61" i="2"/>
  <c r="K61" i="2"/>
  <c r="L61" i="2"/>
  <c r="R24" i="2"/>
  <c r="R13" i="2"/>
  <c r="Y13" i="2" s="1"/>
  <c r="Y10" i="2"/>
  <c r="Y24" i="2" s="1"/>
  <c r="N13" i="2"/>
  <c r="O14" i="2" s="1"/>
  <c r="X16" i="2"/>
  <c r="J13" i="2"/>
  <c r="W16" i="2"/>
  <c r="F13" i="2"/>
  <c r="V16" i="2"/>
  <c r="Z9" i="2" l="1"/>
  <c r="Z10" i="2" s="1"/>
  <c r="Z11" i="2"/>
  <c r="Z12" i="2"/>
  <c r="Z23" i="2"/>
  <c r="P14" i="2"/>
  <c r="O16" i="2"/>
  <c r="O17" i="2" s="1"/>
  <c r="O18" i="2" s="1"/>
  <c r="N16" i="2"/>
  <c r="X18" i="2"/>
  <c r="N18" i="2" s="1"/>
  <c r="N58" i="2" s="1"/>
  <c r="N62" i="2" s="1"/>
  <c r="W18" i="2"/>
  <c r="J18" i="2" s="1"/>
  <c r="J58" i="2" s="1"/>
  <c r="J16" i="2"/>
  <c r="F16" i="2"/>
  <c r="V18" i="2"/>
  <c r="F18" i="2" s="1"/>
  <c r="Z24" i="2" l="1"/>
  <c r="Z13" i="2"/>
  <c r="Z15" i="2" s="1"/>
  <c r="AA12" i="2"/>
  <c r="AA23" i="2"/>
  <c r="AA9" i="2"/>
  <c r="AA10" i="2" s="1"/>
  <c r="AA11" i="2"/>
  <c r="AB11" i="2" s="1"/>
  <c r="Q14" i="2"/>
  <c r="P16" i="2"/>
  <c r="K62" i="2"/>
  <c r="J62" i="2"/>
  <c r="L62" i="2"/>
  <c r="M62" i="2"/>
  <c r="R14" i="2"/>
  <c r="Q16" i="2"/>
  <c r="P17" i="2"/>
  <c r="P18" i="2" s="1"/>
  <c r="AA13" i="2" l="1"/>
  <c r="AA15" i="2" s="1"/>
  <c r="AA24" i="2"/>
  <c r="AB9" i="2"/>
  <c r="AB10" i="2" s="1"/>
  <c r="AB23" i="2"/>
  <c r="AB12" i="2"/>
  <c r="R16" i="2"/>
  <c r="Y16" i="2" s="1"/>
  <c r="Y14" i="2"/>
  <c r="Z14" i="2" s="1"/>
  <c r="Q17" i="2"/>
  <c r="AB24" i="2" l="1"/>
  <c r="AB13" i="2"/>
  <c r="AB15" i="2" s="1"/>
  <c r="AC23" i="2"/>
  <c r="AC12" i="2"/>
  <c r="AC11" i="2"/>
  <c r="AC9" i="2"/>
  <c r="AC10" i="2" s="1"/>
  <c r="Z16" i="2"/>
  <c r="AA14" i="2"/>
  <c r="R17" i="2"/>
  <c r="Q18" i="2"/>
  <c r="AC13" i="2" l="1"/>
  <c r="AC15" i="2" s="1"/>
  <c r="AC24" i="2"/>
  <c r="AD11" i="2"/>
  <c r="AD12" i="2"/>
  <c r="AD9" i="2"/>
  <c r="AD10" i="2" s="1"/>
  <c r="AD23" i="2"/>
  <c r="R18" i="2"/>
  <c r="Y18" i="2" s="1"/>
  <c r="Y17" i="2"/>
  <c r="Z17" i="2" s="1"/>
  <c r="Z18" i="2" s="1"/>
  <c r="AB14" i="2"/>
  <c r="AA16" i="2"/>
  <c r="AD24" i="2" l="1"/>
  <c r="AD13" i="2"/>
  <c r="AD15" i="2" s="1"/>
  <c r="AE11" i="2"/>
  <c r="AE12" i="2"/>
  <c r="AE9" i="2"/>
  <c r="AE10" i="2" s="1"/>
  <c r="AE23" i="2"/>
  <c r="AA17" i="2"/>
  <c r="AA18" i="2" s="1"/>
  <c r="AC14" i="2"/>
  <c r="AB16" i="2"/>
  <c r="AE24" i="2" l="1"/>
  <c r="AE13" i="2"/>
  <c r="AE15" i="2" s="1"/>
  <c r="AF12" i="2"/>
  <c r="AF11" i="2"/>
  <c r="AF9" i="2"/>
  <c r="AF10" i="2" s="1"/>
  <c r="AF23" i="2"/>
  <c r="AB17" i="2"/>
  <c r="AB18" i="2" s="1"/>
  <c r="AC16" i="2"/>
  <c r="AD14" i="2"/>
  <c r="AF24" i="2" l="1"/>
  <c r="AF13" i="2"/>
  <c r="AF15" i="2" s="1"/>
  <c r="AG12" i="2"/>
  <c r="AG11" i="2"/>
  <c r="AG23" i="2"/>
  <c r="AG9" i="2"/>
  <c r="AG10" i="2" s="1"/>
  <c r="AC17" i="2"/>
  <c r="AC18" i="2" s="1"/>
  <c r="AD16" i="2"/>
  <c r="AE14" i="2"/>
  <c r="AG24" i="2" l="1"/>
  <c r="AG13" i="2"/>
  <c r="AG15" i="2" s="1"/>
  <c r="AH23" i="2"/>
  <c r="AH11" i="2"/>
  <c r="AH12" i="2"/>
  <c r="AH9" i="2"/>
  <c r="AH10" i="2" s="1"/>
  <c r="AD17" i="2"/>
  <c r="AD18" i="2" s="1"/>
  <c r="AF14" i="2"/>
  <c r="AE16" i="2"/>
  <c r="AH13" i="2" l="1"/>
  <c r="AH15" i="2" s="1"/>
  <c r="AH24" i="2"/>
  <c r="AG14" i="2"/>
  <c r="AF16" i="2"/>
  <c r="AE17" i="2"/>
  <c r="AE18" i="2" s="1"/>
  <c r="AG16" i="2" l="1"/>
  <c r="AH14" i="2"/>
  <c r="AH16" i="2" s="1"/>
  <c r="AF17" i="2"/>
  <c r="AF18" i="2" s="1"/>
  <c r="AG17" i="2" l="1"/>
  <c r="AH17" i="2" l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GY18" i="2" s="1"/>
  <c r="GZ18" i="2" s="1"/>
  <c r="HA18" i="2" s="1"/>
  <c r="HB18" i="2" s="1"/>
  <c r="HC18" i="2" s="1"/>
  <c r="HD18" i="2" s="1"/>
  <c r="HE18" i="2" s="1"/>
  <c r="HF18" i="2" s="1"/>
  <c r="HG18" i="2" s="1"/>
  <c r="HH18" i="2" s="1"/>
  <c r="HI18" i="2" s="1"/>
  <c r="HJ18" i="2" s="1"/>
  <c r="HK18" i="2" s="1"/>
  <c r="HL18" i="2" s="1"/>
  <c r="HM18" i="2" s="1"/>
  <c r="HN18" i="2" s="1"/>
  <c r="HO18" i="2" s="1"/>
  <c r="HP18" i="2" s="1"/>
  <c r="HQ18" i="2" s="1"/>
  <c r="HR18" i="2" s="1"/>
  <c r="HS18" i="2" s="1"/>
  <c r="HT18" i="2" s="1"/>
  <c r="HU18" i="2" s="1"/>
  <c r="HV18" i="2" s="1"/>
  <c r="HW18" i="2" s="1"/>
  <c r="HX18" i="2" s="1"/>
  <c r="HY18" i="2" s="1"/>
  <c r="HZ18" i="2" s="1"/>
  <c r="AG18" i="2"/>
  <c r="AK28" i="2" l="1"/>
  <c r="AK30" i="2" s="1"/>
</calcChain>
</file>

<file path=xl/sharedStrings.xml><?xml version="1.0" encoding="utf-8"?>
<sst xmlns="http://schemas.openxmlformats.org/spreadsheetml/2006/main" count="135" uniqueCount="126">
  <si>
    <t>P</t>
  </si>
  <si>
    <t>S</t>
  </si>
  <si>
    <t>MC</t>
  </si>
  <si>
    <t>C</t>
  </si>
  <si>
    <t>D</t>
  </si>
  <si>
    <t>EV</t>
  </si>
  <si>
    <t>Q225</t>
  </si>
  <si>
    <t xml:space="preserve">CEO </t>
  </si>
  <si>
    <t xml:space="preserve">CFO 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</si>
  <si>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</si>
  <si>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</si>
  <si>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</si>
  <si>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</si>
  <si>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</si>
  <si>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</si>
  <si>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</si>
  <si>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</si>
  <si>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</si>
  <si>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</si>
  <si>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</si>
  <si>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 xml:space="preserve">Revenue </t>
  </si>
  <si>
    <t xml:space="preserve">Gross Profit </t>
  </si>
  <si>
    <t>R&amp;d</t>
  </si>
  <si>
    <t>Marketing, G&amp;a</t>
  </si>
  <si>
    <t>Operating Income</t>
  </si>
  <si>
    <t>Other Income</t>
  </si>
  <si>
    <t xml:space="preserve">EBT </t>
  </si>
  <si>
    <t>Interest Expense</t>
  </si>
  <si>
    <t>Taxes</t>
  </si>
  <si>
    <t>Net Income</t>
  </si>
  <si>
    <t>Revenue Y/Y</t>
  </si>
  <si>
    <t>GM%</t>
  </si>
  <si>
    <t>Data Center</t>
  </si>
  <si>
    <t xml:space="preserve">Client </t>
  </si>
  <si>
    <t>Gaming</t>
  </si>
  <si>
    <t>Embedded</t>
  </si>
  <si>
    <t>Q126</t>
  </si>
  <si>
    <t>PR</t>
  </si>
  <si>
    <t>CPUs: EPYC series (e.g. Genao, bergamo)</t>
  </si>
  <si>
    <t>GPUs: (MI250, MI300A, MI300X)</t>
  </si>
  <si>
    <t>Key Comp: nvda</t>
  </si>
  <si>
    <t>Strengths</t>
  </si>
  <si>
    <t>price/performance: MI300x offers more vram (192GB) than NVDA H100 (80GB), oaften cheaper pr GB</t>
  </si>
  <si>
    <t>open ecosystem - ROCm software stack (open source alternative to CUDA)</t>
  </si>
  <si>
    <t xml:space="preserve">CPU+GPU synergy: can sell both EPYC CPUs and instinct GPUs in same rack </t>
  </si>
  <si>
    <t>Weaknesses</t>
  </si>
  <si>
    <t>Software moat: nvda CUDA ecosystem is mature and sticky; AMD ROCm adoption is improving but not mainstream</t>
  </si>
  <si>
    <t xml:space="preserve">Ecosystem inertia: ai developers are already trained on CUDA, switching costs are high </t>
  </si>
  <si>
    <t>Supply chain lead: nvda has first mover advantage on AI gpu production</t>
  </si>
  <si>
    <t xml:space="preserve">data centerL hyperscalers are gpu constrained, #2 option if nvda supply is short or pciign is too high </t>
  </si>
  <si>
    <t>PC CPUsL cyclical replacement demand, gamining performance wars</t>
  </si>
  <si>
    <t xml:space="preserve">Gaming consoles: fixed multi-year contracts </t>
  </si>
  <si>
    <t>Embedded: industrial customers have long product lifecycles</t>
  </si>
  <si>
    <t>GPU: MI300X</t>
  </si>
  <si>
    <t>VRAM: 192 GB HBM3 - fits larger models in fewer GPUs</t>
  </si>
  <si>
    <t>ComputeL 1.3 PFLOPS FP16</t>
  </si>
  <si>
    <t>Target Mkt: AI training &amp; inference for LLMs</t>
  </si>
  <si>
    <t>Sales Pitch: train bigger models with fewer GPUs; ideal for hyperscalers constrained on rack space or power.</t>
  </si>
  <si>
    <t>NVDA owns AI software hardware stack; AMD = hardware challenger with cheaper/more memory per GPU but weaker softwar eecosystem.</t>
  </si>
  <si>
    <t>Demand?</t>
  </si>
  <si>
    <t xml:space="preserve">Feature </t>
  </si>
  <si>
    <t xml:space="preserve">Launch </t>
  </si>
  <si>
    <t>NVDA H100 (SXM)</t>
  </si>
  <si>
    <t>NVDA B100 (Blackwll)</t>
  </si>
  <si>
    <t>AMD MI300x</t>
  </si>
  <si>
    <t>Process Node</t>
  </si>
  <si>
    <t>VRAM</t>
  </si>
  <si>
    <t xml:space="preserve">Memory </t>
  </si>
  <si>
    <t>FP16/BG16 Throughput</t>
  </si>
  <si>
    <t>Interconnect</t>
  </si>
  <si>
    <t>Power Draw</t>
  </si>
  <si>
    <t xml:space="preserve">Form Factor </t>
  </si>
  <si>
    <t>TSMC-4n</t>
  </si>
  <si>
    <t>TSMC 5nm+6nm</t>
  </si>
  <si>
    <t>80GB</t>
  </si>
  <si>
    <t>192GB</t>
  </si>
  <si>
    <t>3.35TB</t>
  </si>
  <si>
    <t>8TB?</t>
  </si>
  <si>
    <t>CUDA</t>
  </si>
  <si>
    <t>ROCm</t>
  </si>
  <si>
    <t>develoer base</t>
  </si>
  <si>
    <t>millions</t>
  </si>
  <si>
    <t>tens of thousands</t>
  </si>
  <si>
    <t xml:space="preserve">Real world performance </t>
  </si>
  <si>
    <t>H100: used for GPT class models; fully optmized major frameeorks</t>
  </si>
  <si>
    <t>MI300X: can't fit larger batch sizes or entire models in fewer GPUs due to 192GB; VRAM; still ags H100 in raw training throughput per GPU in many benchmnarks</t>
  </si>
  <si>
    <t>Q226</t>
  </si>
  <si>
    <t>Q326</t>
  </si>
  <si>
    <t>Q426</t>
  </si>
  <si>
    <t>E</t>
  </si>
  <si>
    <t>TL + E</t>
  </si>
  <si>
    <t>OLTL</t>
  </si>
  <si>
    <t>Deferred Tx Liab</t>
  </si>
  <si>
    <t>LT Op Lease</t>
  </si>
  <si>
    <t>LTD</t>
  </si>
  <si>
    <t>OCL</t>
  </si>
  <si>
    <t xml:space="preserve">Current Debt </t>
  </si>
  <si>
    <t>Accrued Liab</t>
  </si>
  <si>
    <t>A/P</t>
  </si>
  <si>
    <t>TA</t>
  </si>
  <si>
    <t>ONCA</t>
  </si>
  <si>
    <t xml:space="preserve">Investments </t>
  </si>
  <si>
    <t>A/R</t>
  </si>
  <si>
    <t xml:space="preserve">Inventories </t>
  </si>
  <si>
    <t>Prepaid Exp</t>
  </si>
  <si>
    <t>PPE</t>
  </si>
  <si>
    <t>Goodwill</t>
  </si>
  <si>
    <t>Acq-related intangibles</t>
  </si>
  <si>
    <t>Deferred Tx Assets</t>
  </si>
  <si>
    <t xml:space="preserve">Cash </t>
  </si>
  <si>
    <t>Assets held 4 sale</t>
  </si>
  <si>
    <t>Liabilities held 4 sale</t>
  </si>
  <si>
    <t xml:space="preserve">Net Cash </t>
  </si>
  <si>
    <t xml:space="preserve">Book Value </t>
  </si>
  <si>
    <t>CFFO</t>
  </si>
  <si>
    <t>Capex</t>
  </si>
  <si>
    <t>FCF</t>
  </si>
  <si>
    <t xml:space="preserve">NI </t>
  </si>
  <si>
    <t xml:space="preserve">Moving 4Q FCF </t>
  </si>
  <si>
    <t xml:space="preserve">Moving 4Q NI </t>
  </si>
  <si>
    <t>Terminal</t>
  </si>
  <si>
    <t>Discount</t>
  </si>
  <si>
    <t>NPV</t>
  </si>
  <si>
    <t>Shares</t>
  </si>
  <si>
    <t xml:space="preserve">Estimate </t>
  </si>
  <si>
    <t xml:space="preserve">Lisa Su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</si>
</sst>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9" fontId="1" fillId="0" borderId="0" xfId="0" applyNumberFormat="1" applyFont="1"/>
    <xf numFmtId="14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3" fontId="2" fillId="0" borderId="0" xfId="0" applyNumberFormat="1" applyFont="1" applyAlignment="1">
      <alignment horizontal="left" indent="1"/>
    </xf>
    <xf numFmtId="4" fontId="3" fillId="0" borderId="0" xfId="1" applyNumberFormat="1"/>
    <xf numFmtId="4" fontId="1" fillId="0" borderId="0" xfId="0" applyNumberFormat="1" applyFont="1"/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3" fontId="4" fillId="0" borderId="0" xfId="0" applyNumberFormat="1" applyFont="1" applyAlignment="1">
      <alignment horizontal="right"/>
    </xf>
    <xf numFmtId="3" fontId="5" fillId="0" borderId="0" xfId="0" applyNumberFormat="1" applyFont="1"/>
    <xf numFmtId="10" fontId="1" fillId="0" borderId="0" xfId="0" applyNumberFormat="1" applyFont="1"/>
    <xf numFmtId="10" fontId="0" fillId="0" borderId="0" xfId="0" applyNumberFormat="1"/>
    <xf numFmtId="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25401</xdr:colOff>
      <xdr:row>0</xdr:row>
      <xdr:rowOff>0</xdr:rowOff>
    </xdr:from>
    <xdr:to>
      <xdr:col>14</xdr:col>
      <xdr:colOff>28015</xdr:colOff>
      <xdr:row>77</xdr:row>
      <xdr:rowOff>177427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71614A8-5858-087E-1291-99E9F024AFA1}"/>
            </a:ext>
          </a:extLst>
        </xdr:cNvPr>
        <xdr:cNvCxnSpPr/>
      </xdr:nvCxnSpPr>
      <xdr:spPr>
        <a:xfrm>
          <a:off x="8523195" y="0"/>
          <a:ext cx="2614" cy="155855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16062</xdr:colOff>
      <xdr:row>0</xdr:row>
      <xdr:rowOff>0</xdr:rowOff>
    </xdr:from>
    <xdr:to>
      <xdr:col>24</xdr:col>
      <xdr:colOff>104962</xdr:colOff>
      <xdr:row>58</xdr:row>
      <xdr:rowOff>76200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E834012-FFCA-A64A-9FD8-0A0F97E90BCC}"/>
            </a:ext>
          </a:extLst>
        </xdr:cNvPr>
        <xdr:cNvCxnSpPr/>
      </xdr:nvCxnSpPr>
      <xdr:spPr>
        <a:xfrm>
          <a:off x="13584518" y="0"/>
          <a:ext cx="88900" cy="1158090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r.amd.com/news-events/press-releases/detail/1276/amd-reports-fourth-quarter-and-full-year-2025-financial-results" TargetMode="External"/><Relationship Id="rId1" Type="http://schemas.openxmlformats.org/officeDocument/2006/relationships/hyperlink" Target="https://ir.amd.com/news-events/press-releases/detail/1257/amd-reports-second-quarter-2025-financial-result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BA99-2962-D14A-8072-E8F9CDC314DB}">
  <dimension ref="B3:K40"/>
  <sheetViews>
    <sheetView tabSelected="1" zoomScale="119" zoomScaleNormal="119" workbookViewId="0">
      <selection activeCell="C4" sqref="C4"/>
    </sheetView>
  </sheetViews>
  <sheetFormatPr baseColWidth="10" defaultRowHeight="16" x14ac:dyDescent="0.2"/>
  <cols>
    <col min="1" max="1" width="2.33203125" style="1" customWidth="1"/>
    <col min="2" max="2" width="7.6640625" style="1" customWidth="1"/>
    <col min="3" max="6" width="10.83203125" style="1"/>
    <col min="7" max="7" width="4" style="1" bestFit="1" customWidth="1"/>
    <col min="8" max="8" width="7.6640625" style="1" bestFit="1" customWidth="1"/>
    <col min="9" max="9" width="5.5" style="1" bestFit="1" customWidth="1"/>
    <col min="10" max="16384" width="10.83203125" style="1"/>
  </cols>
  <sheetData>
    <row r="3" spans="2:11" x14ac:dyDescent="0.2">
      <c r="B3" s="1" t="s">
        <v>7</v>
      </c>
      <c r="C3" s="1" t="s">
        <v>125</v>
      </c>
      <c r="G3" s="1" t="s">
        <v>0</v>
      </c>
      <c r="H3" s="2">
        <v>214</v>
      </c>
    </row>
    <row r="4" spans="2:11" x14ac:dyDescent="0.2">
      <c r="B4" s="1" t="s">
        <v>8</v>
      </c>
      <c r="G4" s="1" t="s">
        <v>1</v>
      </c>
      <c r="H4" s="2">
        <v>1630.4108430000001</v>
      </c>
      <c r="I4" s="1" t="s">
        <v>19</v>
      </c>
    </row>
    <row r="5" spans="2:11" x14ac:dyDescent="0.2">
      <c r="G5" s="1" t="s">
        <v>2</v>
      </c>
      <c r="H5" s="2">
        <f>+H3*H4</f>
        <v>348907.92040200002</v>
      </c>
    </row>
    <row r="6" spans="2:11" x14ac:dyDescent="0.2">
      <c r="G6" s="1" t="s">
        <v>3</v>
      </c>
      <c r="H6" s="2">
        <f>5539+5013</f>
        <v>10552</v>
      </c>
      <c r="I6" s="1" t="s">
        <v>6</v>
      </c>
    </row>
    <row r="7" spans="2:11" x14ac:dyDescent="0.2">
      <c r="G7" s="1" t="s">
        <v>4</v>
      </c>
      <c r="H7" s="2">
        <f>874+2348</f>
        <v>3222</v>
      </c>
      <c r="I7" s="1" t="s">
        <v>6</v>
      </c>
    </row>
    <row r="8" spans="2:11" x14ac:dyDescent="0.2">
      <c r="B8" s="10" t="s">
        <v>37</v>
      </c>
      <c r="G8" s="1" t="s">
        <v>5</v>
      </c>
      <c r="H8" s="2">
        <f>+H5-H6+H7</f>
        <v>341577.92040200002</v>
      </c>
    </row>
    <row r="9" spans="2:11" x14ac:dyDescent="0.2">
      <c r="B9" s="9" t="s">
        <v>19</v>
      </c>
      <c r="H9" s="2"/>
      <c r="K9" s="1" t="s">
        <v>32</v>
      </c>
    </row>
    <row r="10" spans="2:11" x14ac:dyDescent="0.2">
      <c r="K10" s="1" t="s">
        <v>38</v>
      </c>
    </row>
    <row r="11" spans="2:11" x14ac:dyDescent="0.2">
      <c r="B11" s="9" t="s">
        <v>6</v>
      </c>
      <c r="K11" s="1" t="s">
        <v>39</v>
      </c>
    </row>
    <row r="15" spans="2:11" x14ac:dyDescent="0.2">
      <c r="K15" s="1" t="s">
        <v>40</v>
      </c>
    </row>
    <row r="16" spans="2:11" x14ac:dyDescent="0.2">
      <c r="K16" s="1" t="s">
        <v>41</v>
      </c>
    </row>
    <row r="17" spans="11:11" x14ac:dyDescent="0.2">
      <c r="K17" s="1" t="s">
        <v>42</v>
      </c>
    </row>
    <row r="18" spans="11:11" x14ac:dyDescent="0.2">
      <c r="K18" s="1" t="s">
        <v>43</v>
      </c>
    </row>
    <row r="19" spans="11:11" x14ac:dyDescent="0.2">
      <c r="K19" s="1" t="s">
        <v>44</v>
      </c>
    </row>
    <row r="21" spans="11:11" x14ac:dyDescent="0.2">
      <c r="K21" s="1" t="s">
        <v>45</v>
      </c>
    </row>
    <row r="22" spans="11:11" x14ac:dyDescent="0.2">
      <c r="K22" s="1" t="s">
        <v>46</v>
      </c>
    </row>
    <row r="23" spans="11:11" x14ac:dyDescent="0.2">
      <c r="K23" s="1" t="s">
        <v>47</v>
      </c>
    </row>
    <row r="24" spans="11:11" x14ac:dyDescent="0.2">
      <c r="K24" s="1" t="s">
        <v>48</v>
      </c>
    </row>
    <row r="26" spans="11:11" x14ac:dyDescent="0.2">
      <c r="K26" s="1" t="s">
        <v>59</v>
      </c>
    </row>
    <row r="27" spans="11:11" x14ac:dyDescent="0.2">
      <c r="K27" s="1" t="s">
        <v>49</v>
      </c>
    </row>
    <row r="28" spans="11:11" x14ac:dyDescent="0.2">
      <c r="K28" s="1" t="s">
        <v>50</v>
      </c>
    </row>
    <row r="29" spans="11:11" x14ac:dyDescent="0.2">
      <c r="K29" s="1" t="s">
        <v>51</v>
      </c>
    </row>
    <row r="30" spans="11:11" x14ac:dyDescent="0.2">
      <c r="K30" s="1" t="s">
        <v>52</v>
      </c>
    </row>
    <row r="34" spans="11:11" x14ac:dyDescent="0.2">
      <c r="K34" s="10" t="s">
        <v>53</v>
      </c>
    </row>
    <row r="35" spans="11:11" x14ac:dyDescent="0.2">
      <c r="K35" s="1" t="s">
        <v>54</v>
      </c>
    </row>
    <row r="36" spans="11:11" x14ac:dyDescent="0.2">
      <c r="K36" s="1" t="s">
        <v>55</v>
      </c>
    </row>
    <row r="37" spans="11:11" x14ac:dyDescent="0.2">
      <c r="K37" s="1" t="s">
        <v>56</v>
      </c>
    </row>
    <row r="38" spans="11:11" x14ac:dyDescent="0.2">
      <c r="K38" s="1" t="s">
        <v>57</v>
      </c>
    </row>
    <row r="40" spans="11:11" x14ac:dyDescent="0.2">
      <c r="K40" s="1" t="s">
        <v>58</v>
      </c>
    </row>
  </sheetData>
  <hyperlinks>
    <hyperlink ref="B11" r:id="rId1" display="Q126" xr:uid="{893A3790-5B39-624F-9CCD-078084653EFE}"/>
    <hyperlink ref="B9" r:id="rId2" xr:uid="{F0082CE4-46AA-4641-AE0C-947F973AE6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1A85-47E6-9643-BF90-9C207CE3F9CF}">
  <dimension ref="A3:E23"/>
  <sheetViews>
    <sheetView workbookViewId="0">
      <selection activeCell="B25" sqref="B25"/>
    </sheetView>
  </sheetViews>
  <sheetFormatPr baseColWidth="10" defaultRowHeight="16" x14ac:dyDescent="0.2"/>
  <cols>
    <col min="1" max="1" width="12.33203125" bestFit="1" customWidth="1"/>
  </cols>
  <sheetData>
    <row r="3" spans="2:5" x14ac:dyDescent="0.2">
      <c r="B3" t="s">
        <v>60</v>
      </c>
      <c r="C3" t="s">
        <v>62</v>
      </c>
      <c r="D3" t="s">
        <v>63</v>
      </c>
      <c r="E3" t="s">
        <v>64</v>
      </c>
    </row>
    <row r="4" spans="2:5" x14ac:dyDescent="0.2">
      <c r="B4" t="s">
        <v>61</v>
      </c>
      <c r="C4">
        <v>2022</v>
      </c>
    </row>
    <row r="5" spans="2:5" x14ac:dyDescent="0.2">
      <c r="B5" t="s">
        <v>65</v>
      </c>
      <c r="C5" t="s">
        <v>72</v>
      </c>
      <c r="D5" t="s">
        <v>72</v>
      </c>
      <c r="E5" t="s">
        <v>73</v>
      </c>
    </row>
    <row r="6" spans="2:5" x14ac:dyDescent="0.2">
      <c r="B6" t="s">
        <v>66</v>
      </c>
      <c r="C6" t="s">
        <v>74</v>
      </c>
      <c r="D6" t="s">
        <v>75</v>
      </c>
      <c r="E6" t="s">
        <v>75</v>
      </c>
    </row>
    <row r="7" spans="2:5" x14ac:dyDescent="0.2">
      <c r="B7" t="s">
        <v>67</v>
      </c>
      <c r="C7" t="s">
        <v>76</v>
      </c>
      <c r="D7" t="s">
        <v>77</v>
      </c>
    </row>
    <row r="8" spans="2:5" x14ac:dyDescent="0.2">
      <c r="B8" t="s">
        <v>68</v>
      </c>
    </row>
    <row r="9" spans="2:5" x14ac:dyDescent="0.2">
      <c r="B9" t="s">
        <v>69</v>
      </c>
    </row>
    <row r="10" spans="2:5" x14ac:dyDescent="0.2">
      <c r="B10" t="s">
        <v>70</v>
      </c>
    </row>
    <row r="11" spans="2:5" x14ac:dyDescent="0.2">
      <c r="B11" t="s">
        <v>71</v>
      </c>
    </row>
    <row r="16" spans="2:5" x14ac:dyDescent="0.2">
      <c r="B16" t="s">
        <v>78</v>
      </c>
      <c r="C16" t="s">
        <v>79</v>
      </c>
    </row>
    <row r="17" spans="1:3" x14ac:dyDescent="0.2">
      <c r="A17" t="s">
        <v>80</v>
      </c>
      <c r="B17" t="s">
        <v>81</v>
      </c>
      <c r="C17" t="s">
        <v>82</v>
      </c>
    </row>
    <row r="21" spans="1:3" x14ac:dyDescent="0.2">
      <c r="B21" t="s">
        <v>83</v>
      </c>
    </row>
    <row r="22" spans="1:3" x14ac:dyDescent="0.2">
      <c r="B22" t="s">
        <v>84</v>
      </c>
    </row>
    <row r="23" spans="1:3" x14ac:dyDescent="0.2">
      <c r="B23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E10E-D8F4-8947-B09B-BE562577082B}">
  <dimension ref="B2:JC62"/>
  <sheetViews>
    <sheetView zoomScale="136" workbookViewId="0">
      <pane xSplit="2" ySplit="3" topLeftCell="N4" activePane="bottomRight" state="frozen"/>
      <selection pane="topRight" activeCell="C1" sqref="C1"/>
      <selection pane="bottomLeft" activeCell="A3" sqref="A3"/>
      <selection pane="bottomRight" activeCell="Z24" sqref="Z24"/>
    </sheetView>
  </sheetViews>
  <sheetFormatPr baseColWidth="10" defaultRowHeight="16" x14ac:dyDescent="0.2"/>
  <cols>
    <col min="1" max="1" width="1.83203125" style="2" customWidth="1"/>
    <col min="2" max="2" width="20" style="2" bestFit="1" customWidth="1"/>
    <col min="3" max="4" width="6.5" style="13" bestFit="1" customWidth="1"/>
    <col min="5" max="5" width="7.5" style="13" bestFit="1" customWidth="1"/>
    <col min="6" max="6" width="8.5" style="13" bestFit="1" customWidth="1"/>
    <col min="7" max="9" width="7.5" style="13" bestFit="1" customWidth="1"/>
    <col min="10" max="10" width="8.5" style="13" bestFit="1" customWidth="1"/>
    <col min="11" max="13" width="7.5" style="13" bestFit="1" customWidth="1"/>
    <col min="14" max="14" width="8.5" style="13" bestFit="1" customWidth="1"/>
    <col min="15" max="16" width="5.6640625" style="13" bestFit="1" customWidth="1"/>
    <col min="17" max="18" width="6.6640625" style="13" bestFit="1" customWidth="1"/>
    <col min="19" max="19" width="5.83203125" style="2" bestFit="1" customWidth="1"/>
    <col min="20" max="20" width="5.6640625" style="2" customWidth="1"/>
    <col min="21" max="24" width="8.5" style="2" bestFit="1" customWidth="1"/>
    <col min="25" max="35" width="6.6640625" style="2" bestFit="1" customWidth="1"/>
    <col min="36" max="36" width="8.5" style="2" bestFit="1" customWidth="1"/>
    <col min="37" max="37" width="7.6640625" style="2" bestFit="1" customWidth="1"/>
    <col min="38" max="234" width="5.1640625" style="2" bestFit="1" customWidth="1"/>
    <col min="235" max="16384" width="10.83203125" style="2"/>
  </cols>
  <sheetData>
    <row r="2" spans="2:263" s="5" customFormat="1" x14ac:dyDescent="0.2">
      <c r="C2" s="11">
        <v>45017</v>
      </c>
      <c r="D2" s="11">
        <v>45108</v>
      </c>
      <c r="E2" s="11">
        <v>45199</v>
      </c>
      <c r="F2" s="11">
        <v>45290</v>
      </c>
      <c r="G2" s="11">
        <v>45381</v>
      </c>
      <c r="H2" s="11">
        <v>45472</v>
      </c>
      <c r="I2" s="11">
        <v>45563</v>
      </c>
      <c r="J2" s="11">
        <v>45654</v>
      </c>
      <c r="K2" s="11">
        <v>45745</v>
      </c>
      <c r="L2" s="11">
        <v>45836</v>
      </c>
      <c r="M2" s="11">
        <v>45927</v>
      </c>
      <c r="N2" s="5">
        <v>45654</v>
      </c>
      <c r="O2" s="11"/>
      <c r="P2" s="11"/>
      <c r="Q2" s="11"/>
      <c r="R2" s="11"/>
      <c r="U2" s="5">
        <v>44926</v>
      </c>
      <c r="V2" s="5">
        <v>45290</v>
      </c>
      <c r="W2" s="5">
        <v>45654</v>
      </c>
      <c r="X2" s="5">
        <v>45654</v>
      </c>
      <c r="AI2" s="6">
        <v>1</v>
      </c>
      <c r="AJ2" s="6">
        <f>+AI2+1</f>
        <v>2</v>
      </c>
      <c r="AK2" s="6">
        <f t="shared" ref="AK2:CV2" si="0">+AJ2+1</f>
        <v>3</v>
      </c>
      <c r="AL2" s="6">
        <f t="shared" si="0"/>
        <v>4</v>
      </c>
      <c r="AM2" s="6">
        <f t="shared" si="0"/>
        <v>5</v>
      </c>
      <c r="AN2" s="6">
        <f t="shared" si="0"/>
        <v>6</v>
      </c>
      <c r="AO2" s="6">
        <f t="shared" si="0"/>
        <v>7</v>
      </c>
      <c r="AP2" s="6">
        <f t="shared" si="0"/>
        <v>8</v>
      </c>
      <c r="AQ2" s="6">
        <f t="shared" si="0"/>
        <v>9</v>
      </c>
      <c r="AR2" s="6">
        <f t="shared" si="0"/>
        <v>10</v>
      </c>
      <c r="AS2" s="6">
        <f t="shared" si="0"/>
        <v>11</v>
      </c>
      <c r="AT2" s="6">
        <f t="shared" si="0"/>
        <v>12</v>
      </c>
      <c r="AU2" s="6">
        <f t="shared" si="0"/>
        <v>13</v>
      </c>
      <c r="AV2" s="6">
        <f t="shared" si="0"/>
        <v>14</v>
      </c>
      <c r="AW2" s="6">
        <f t="shared" si="0"/>
        <v>15</v>
      </c>
      <c r="AX2" s="6">
        <f t="shared" si="0"/>
        <v>16</v>
      </c>
      <c r="AY2" s="6">
        <f t="shared" si="0"/>
        <v>17</v>
      </c>
      <c r="AZ2" s="6">
        <f t="shared" si="0"/>
        <v>18</v>
      </c>
      <c r="BA2" s="6">
        <f t="shared" si="0"/>
        <v>19</v>
      </c>
      <c r="BB2" s="6">
        <f t="shared" si="0"/>
        <v>20</v>
      </c>
      <c r="BC2" s="6">
        <f t="shared" si="0"/>
        <v>21</v>
      </c>
      <c r="BD2" s="6">
        <f t="shared" si="0"/>
        <v>22</v>
      </c>
      <c r="BE2" s="6">
        <f t="shared" si="0"/>
        <v>23</v>
      </c>
      <c r="BF2" s="6">
        <f t="shared" si="0"/>
        <v>24</v>
      </c>
      <c r="BG2" s="6">
        <f t="shared" si="0"/>
        <v>25</v>
      </c>
      <c r="BH2" s="6">
        <f t="shared" si="0"/>
        <v>26</v>
      </c>
      <c r="BI2" s="6">
        <f t="shared" si="0"/>
        <v>27</v>
      </c>
      <c r="BJ2" s="6">
        <f t="shared" si="0"/>
        <v>28</v>
      </c>
      <c r="BK2" s="6">
        <f t="shared" si="0"/>
        <v>29</v>
      </c>
      <c r="BL2" s="6">
        <f t="shared" si="0"/>
        <v>30</v>
      </c>
      <c r="BM2" s="6">
        <f t="shared" si="0"/>
        <v>31</v>
      </c>
      <c r="BN2" s="6">
        <f t="shared" si="0"/>
        <v>32</v>
      </c>
      <c r="BO2" s="6">
        <f t="shared" si="0"/>
        <v>33</v>
      </c>
      <c r="BP2" s="6">
        <f t="shared" si="0"/>
        <v>34</v>
      </c>
      <c r="BQ2" s="6">
        <f t="shared" si="0"/>
        <v>35</v>
      </c>
      <c r="BR2" s="6">
        <f t="shared" si="0"/>
        <v>36</v>
      </c>
      <c r="BS2" s="6">
        <f t="shared" si="0"/>
        <v>37</v>
      </c>
      <c r="BT2" s="6">
        <f t="shared" si="0"/>
        <v>38</v>
      </c>
      <c r="BU2" s="6">
        <f t="shared" si="0"/>
        <v>39</v>
      </c>
      <c r="BV2" s="6">
        <f t="shared" si="0"/>
        <v>40</v>
      </c>
      <c r="BW2" s="6">
        <f t="shared" si="0"/>
        <v>41</v>
      </c>
      <c r="BX2" s="6">
        <f t="shared" si="0"/>
        <v>42</v>
      </c>
      <c r="BY2" s="6">
        <f t="shared" si="0"/>
        <v>43</v>
      </c>
      <c r="BZ2" s="6">
        <f t="shared" si="0"/>
        <v>44</v>
      </c>
      <c r="CA2" s="6">
        <f t="shared" si="0"/>
        <v>45</v>
      </c>
      <c r="CB2" s="6">
        <f t="shared" si="0"/>
        <v>46</v>
      </c>
      <c r="CC2" s="6">
        <f t="shared" si="0"/>
        <v>47</v>
      </c>
      <c r="CD2" s="6">
        <f t="shared" si="0"/>
        <v>48</v>
      </c>
      <c r="CE2" s="6">
        <f t="shared" si="0"/>
        <v>49</v>
      </c>
      <c r="CF2" s="6">
        <f t="shared" si="0"/>
        <v>50</v>
      </c>
      <c r="CG2" s="6">
        <f t="shared" si="0"/>
        <v>51</v>
      </c>
      <c r="CH2" s="6">
        <f t="shared" si="0"/>
        <v>52</v>
      </c>
      <c r="CI2" s="6">
        <f t="shared" si="0"/>
        <v>53</v>
      </c>
      <c r="CJ2" s="6">
        <f t="shared" si="0"/>
        <v>54</v>
      </c>
      <c r="CK2" s="6">
        <f t="shared" si="0"/>
        <v>55</v>
      </c>
      <c r="CL2" s="6">
        <f t="shared" si="0"/>
        <v>56</v>
      </c>
      <c r="CM2" s="6">
        <f t="shared" si="0"/>
        <v>57</v>
      </c>
      <c r="CN2" s="6">
        <f t="shared" si="0"/>
        <v>58</v>
      </c>
      <c r="CO2" s="6">
        <f t="shared" si="0"/>
        <v>59</v>
      </c>
      <c r="CP2" s="6">
        <f t="shared" si="0"/>
        <v>60</v>
      </c>
      <c r="CQ2" s="6">
        <f t="shared" si="0"/>
        <v>61</v>
      </c>
      <c r="CR2" s="6">
        <f t="shared" si="0"/>
        <v>62</v>
      </c>
      <c r="CS2" s="6">
        <f t="shared" si="0"/>
        <v>63</v>
      </c>
      <c r="CT2" s="6">
        <f t="shared" si="0"/>
        <v>64</v>
      </c>
      <c r="CU2" s="6">
        <f t="shared" si="0"/>
        <v>65</v>
      </c>
      <c r="CV2" s="6">
        <f t="shared" si="0"/>
        <v>66</v>
      </c>
      <c r="CW2" s="6">
        <f t="shared" ref="CW2:FH2" si="1">+CV2+1</f>
        <v>67</v>
      </c>
      <c r="CX2" s="6">
        <f t="shared" si="1"/>
        <v>68</v>
      </c>
      <c r="CY2" s="6">
        <f t="shared" si="1"/>
        <v>69</v>
      </c>
      <c r="CZ2" s="6">
        <f t="shared" si="1"/>
        <v>70</v>
      </c>
      <c r="DA2" s="6">
        <f t="shared" si="1"/>
        <v>71</v>
      </c>
      <c r="DB2" s="6">
        <f t="shared" si="1"/>
        <v>72</v>
      </c>
      <c r="DC2" s="6">
        <f t="shared" si="1"/>
        <v>73</v>
      </c>
      <c r="DD2" s="6">
        <f t="shared" si="1"/>
        <v>74</v>
      </c>
      <c r="DE2" s="6">
        <f t="shared" si="1"/>
        <v>75</v>
      </c>
      <c r="DF2" s="6">
        <f t="shared" si="1"/>
        <v>76</v>
      </c>
      <c r="DG2" s="6">
        <f t="shared" si="1"/>
        <v>77</v>
      </c>
      <c r="DH2" s="6">
        <f t="shared" si="1"/>
        <v>78</v>
      </c>
      <c r="DI2" s="6">
        <f t="shared" si="1"/>
        <v>79</v>
      </c>
      <c r="DJ2" s="6">
        <f t="shared" si="1"/>
        <v>80</v>
      </c>
      <c r="DK2" s="6">
        <f t="shared" si="1"/>
        <v>81</v>
      </c>
      <c r="DL2" s="6">
        <f t="shared" si="1"/>
        <v>82</v>
      </c>
      <c r="DM2" s="6">
        <f t="shared" si="1"/>
        <v>83</v>
      </c>
      <c r="DN2" s="6">
        <f t="shared" si="1"/>
        <v>84</v>
      </c>
      <c r="DO2" s="6">
        <f t="shared" si="1"/>
        <v>85</v>
      </c>
      <c r="DP2" s="6">
        <f t="shared" si="1"/>
        <v>86</v>
      </c>
      <c r="DQ2" s="6">
        <f t="shared" si="1"/>
        <v>87</v>
      </c>
      <c r="DR2" s="6">
        <f t="shared" si="1"/>
        <v>88</v>
      </c>
      <c r="DS2" s="6">
        <f t="shared" si="1"/>
        <v>89</v>
      </c>
      <c r="DT2" s="6">
        <f t="shared" si="1"/>
        <v>90</v>
      </c>
      <c r="DU2" s="6">
        <f t="shared" si="1"/>
        <v>91</v>
      </c>
      <c r="DV2" s="6">
        <f t="shared" si="1"/>
        <v>92</v>
      </c>
      <c r="DW2" s="6">
        <f t="shared" si="1"/>
        <v>93</v>
      </c>
      <c r="DX2" s="6">
        <f t="shared" si="1"/>
        <v>94</v>
      </c>
      <c r="DY2" s="6">
        <f t="shared" si="1"/>
        <v>95</v>
      </c>
      <c r="DZ2" s="6">
        <f t="shared" si="1"/>
        <v>96</v>
      </c>
      <c r="EA2" s="6">
        <f t="shared" si="1"/>
        <v>97</v>
      </c>
      <c r="EB2" s="6">
        <f t="shared" si="1"/>
        <v>98</v>
      </c>
      <c r="EC2" s="6">
        <f t="shared" si="1"/>
        <v>99</v>
      </c>
      <c r="ED2" s="6">
        <f t="shared" si="1"/>
        <v>100</v>
      </c>
      <c r="EE2" s="6">
        <f t="shared" si="1"/>
        <v>101</v>
      </c>
      <c r="EF2" s="6">
        <f t="shared" si="1"/>
        <v>102</v>
      </c>
      <c r="EG2" s="6">
        <f t="shared" si="1"/>
        <v>103</v>
      </c>
      <c r="EH2" s="6">
        <f t="shared" si="1"/>
        <v>104</v>
      </c>
      <c r="EI2" s="6">
        <f t="shared" si="1"/>
        <v>105</v>
      </c>
      <c r="EJ2" s="6">
        <f t="shared" si="1"/>
        <v>106</v>
      </c>
      <c r="EK2" s="6">
        <f t="shared" si="1"/>
        <v>107</v>
      </c>
      <c r="EL2" s="6">
        <f t="shared" si="1"/>
        <v>108</v>
      </c>
      <c r="EM2" s="6">
        <f t="shared" si="1"/>
        <v>109</v>
      </c>
      <c r="EN2" s="6">
        <f t="shared" si="1"/>
        <v>110</v>
      </c>
      <c r="EO2" s="6">
        <f t="shared" si="1"/>
        <v>111</v>
      </c>
      <c r="EP2" s="6">
        <f t="shared" si="1"/>
        <v>112</v>
      </c>
      <c r="EQ2" s="6">
        <f t="shared" si="1"/>
        <v>113</v>
      </c>
      <c r="ER2" s="6">
        <f t="shared" si="1"/>
        <v>114</v>
      </c>
      <c r="ES2" s="6">
        <f t="shared" si="1"/>
        <v>115</v>
      </c>
      <c r="ET2" s="6">
        <f t="shared" si="1"/>
        <v>116</v>
      </c>
      <c r="EU2" s="6">
        <f t="shared" si="1"/>
        <v>117</v>
      </c>
      <c r="EV2" s="6">
        <f t="shared" si="1"/>
        <v>118</v>
      </c>
      <c r="EW2" s="6">
        <f t="shared" si="1"/>
        <v>119</v>
      </c>
      <c r="EX2" s="6">
        <f t="shared" si="1"/>
        <v>120</v>
      </c>
      <c r="EY2" s="6">
        <f t="shared" si="1"/>
        <v>121</v>
      </c>
      <c r="EZ2" s="6">
        <f t="shared" si="1"/>
        <v>122</v>
      </c>
      <c r="FA2" s="6">
        <f t="shared" si="1"/>
        <v>123</v>
      </c>
      <c r="FB2" s="6">
        <f t="shared" si="1"/>
        <v>124</v>
      </c>
      <c r="FC2" s="6">
        <f t="shared" si="1"/>
        <v>125</v>
      </c>
      <c r="FD2" s="6">
        <f t="shared" si="1"/>
        <v>126</v>
      </c>
      <c r="FE2" s="6">
        <f t="shared" si="1"/>
        <v>127</v>
      </c>
      <c r="FF2" s="6">
        <f t="shared" si="1"/>
        <v>128</v>
      </c>
      <c r="FG2" s="6">
        <f t="shared" si="1"/>
        <v>129</v>
      </c>
      <c r="FH2" s="6">
        <f t="shared" si="1"/>
        <v>130</v>
      </c>
      <c r="FI2" s="6">
        <f t="shared" ref="FI2:FV2" si="2">+FH2+1</f>
        <v>131</v>
      </c>
      <c r="FJ2" s="6">
        <f t="shared" si="2"/>
        <v>132</v>
      </c>
      <c r="FK2" s="6">
        <f t="shared" si="2"/>
        <v>133</v>
      </c>
      <c r="FL2" s="6">
        <f t="shared" si="2"/>
        <v>134</v>
      </c>
      <c r="FM2" s="6">
        <f t="shared" si="2"/>
        <v>135</v>
      </c>
      <c r="FN2" s="6">
        <f t="shared" si="2"/>
        <v>136</v>
      </c>
      <c r="FO2" s="6">
        <f t="shared" si="2"/>
        <v>137</v>
      </c>
      <c r="FP2" s="6">
        <f t="shared" si="2"/>
        <v>138</v>
      </c>
      <c r="FQ2" s="6">
        <f t="shared" si="2"/>
        <v>139</v>
      </c>
      <c r="FR2" s="6">
        <f t="shared" si="2"/>
        <v>140</v>
      </c>
      <c r="FS2" s="6">
        <f t="shared" si="2"/>
        <v>141</v>
      </c>
      <c r="FT2" s="6">
        <f t="shared" si="2"/>
        <v>142</v>
      </c>
      <c r="FU2" s="6">
        <f t="shared" si="2"/>
        <v>143</v>
      </c>
      <c r="FV2" s="6">
        <f t="shared" si="2"/>
        <v>144</v>
      </c>
      <c r="FW2" s="6">
        <f t="shared" ref="FW2:HZ2" si="3">+FV2+1</f>
        <v>145</v>
      </c>
      <c r="FX2" s="6">
        <f t="shared" si="3"/>
        <v>146</v>
      </c>
      <c r="FY2" s="6">
        <f t="shared" si="3"/>
        <v>147</v>
      </c>
      <c r="FZ2" s="6">
        <f t="shared" si="3"/>
        <v>148</v>
      </c>
      <c r="GA2" s="6">
        <f t="shared" si="3"/>
        <v>149</v>
      </c>
      <c r="GB2" s="6">
        <f t="shared" si="3"/>
        <v>150</v>
      </c>
      <c r="GC2" s="6">
        <f t="shared" si="3"/>
        <v>151</v>
      </c>
      <c r="GD2" s="6">
        <f t="shared" si="3"/>
        <v>152</v>
      </c>
      <c r="GE2" s="6">
        <f t="shared" si="3"/>
        <v>153</v>
      </c>
      <c r="GF2" s="6">
        <f t="shared" si="3"/>
        <v>154</v>
      </c>
      <c r="GG2" s="6">
        <f t="shared" si="3"/>
        <v>155</v>
      </c>
      <c r="GH2" s="6">
        <f t="shared" si="3"/>
        <v>156</v>
      </c>
      <c r="GI2" s="6">
        <f t="shared" si="3"/>
        <v>157</v>
      </c>
      <c r="GJ2" s="6">
        <f t="shared" si="3"/>
        <v>158</v>
      </c>
      <c r="GK2" s="6">
        <f t="shared" si="3"/>
        <v>159</v>
      </c>
      <c r="GL2" s="6">
        <f t="shared" si="3"/>
        <v>160</v>
      </c>
      <c r="GM2" s="6">
        <f t="shared" si="3"/>
        <v>161</v>
      </c>
      <c r="GN2" s="6">
        <f t="shared" si="3"/>
        <v>162</v>
      </c>
      <c r="GO2" s="6">
        <f t="shared" si="3"/>
        <v>163</v>
      </c>
      <c r="GP2" s="6">
        <f t="shared" si="3"/>
        <v>164</v>
      </c>
      <c r="GQ2" s="6">
        <f t="shared" si="3"/>
        <v>165</v>
      </c>
      <c r="GR2" s="6">
        <f t="shared" si="3"/>
        <v>166</v>
      </c>
      <c r="GS2" s="6">
        <f t="shared" si="3"/>
        <v>167</v>
      </c>
      <c r="GT2" s="6">
        <f t="shared" si="3"/>
        <v>168</v>
      </c>
      <c r="GU2" s="6">
        <f t="shared" si="3"/>
        <v>169</v>
      </c>
      <c r="GV2" s="6">
        <f t="shared" si="3"/>
        <v>170</v>
      </c>
      <c r="GW2" s="6">
        <f t="shared" si="3"/>
        <v>171</v>
      </c>
      <c r="GX2" s="6">
        <f t="shared" si="3"/>
        <v>172</v>
      </c>
      <c r="GY2" s="6">
        <f t="shared" si="3"/>
        <v>173</v>
      </c>
      <c r="GZ2" s="6">
        <f t="shared" si="3"/>
        <v>174</v>
      </c>
      <c r="HA2" s="6">
        <f t="shared" si="3"/>
        <v>175</v>
      </c>
      <c r="HB2" s="6">
        <f t="shared" si="3"/>
        <v>176</v>
      </c>
      <c r="HC2" s="6">
        <f t="shared" si="3"/>
        <v>177</v>
      </c>
      <c r="HD2" s="6">
        <f t="shared" si="3"/>
        <v>178</v>
      </c>
      <c r="HE2" s="6">
        <f t="shared" si="3"/>
        <v>179</v>
      </c>
      <c r="HF2" s="6">
        <f t="shared" si="3"/>
        <v>180</v>
      </c>
      <c r="HG2" s="6">
        <f t="shared" si="3"/>
        <v>181</v>
      </c>
      <c r="HH2" s="6">
        <f t="shared" si="3"/>
        <v>182</v>
      </c>
      <c r="HI2" s="6">
        <f t="shared" si="3"/>
        <v>183</v>
      </c>
      <c r="HJ2" s="6">
        <f t="shared" si="3"/>
        <v>184</v>
      </c>
      <c r="HK2" s="6">
        <f t="shared" si="3"/>
        <v>185</v>
      </c>
      <c r="HL2" s="6">
        <f t="shared" si="3"/>
        <v>186</v>
      </c>
      <c r="HM2" s="6">
        <f t="shared" si="3"/>
        <v>187</v>
      </c>
      <c r="HN2" s="6">
        <f t="shared" si="3"/>
        <v>188</v>
      </c>
      <c r="HO2" s="6">
        <f t="shared" si="3"/>
        <v>189</v>
      </c>
      <c r="HP2" s="6">
        <f t="shared" si="3"/>
        <v>190</v>
      </c>
      <c r="HQ2" s="6">
        <f t="shared" si="3"/>
        <v>191</v>
      </c>
      <c r="HR2" s="6">
        <f t="shared" si="3"/>
        <v>192</v>
      </c>
      <c r="HS2" s="6">
        <f t="shared" si="3"/>
        <v>193</v>
      </c>
      <c r="HT2" s="6">
        <f t="shared" si="3"/>
        <v>194</v>
      </c>
      <c r="HU2" s="6">
        <f t="shared" si="3"/>
        <v>195</v>
      </c>
      <c r="HV2" s="6">
        <f t="shared" si="3"/>
        <v>196</v>
      </c>
      <c r="HW2" s="6">
        <f t="shared" si="3"/>
        <v>197</v>
      </c>
      <c r="HX2" s="6">
        <f t="shared" si="3"/>
        <v>198</v>
      </c>
      <c r="HY2" s="6">
        <f t="shared" si="3"/>
        <v>199</v>
      </c>
      <c r="HZ2" s="6">
        <f t="shared" si="3"/>
        <v>200</v>
      </c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</row>
    <row r="3" spans="2:263" s="6" customFormat="1" x14ac:dyDescent="0.2"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6</v>
      </c>
      <c r="M3" s="12" t="s">
        <v>18</v>
      </c>
      <c r="N3" s="12" t="s">
        <v>19</v>
      </c>
      <c r="O3" s="12" t="s">
        <v>36</v>
      </c>
      <c r="P3" s="12" t="s">
        <v>86</v>
      </c>
      <c r="Q3" s="12" t="s">
        <v>87</v>
      </c>
      <c r="R3" s="12" t="s">
        <v>88</v>
      </c>
      <c r="U3" s="6">
        <v>2022</v>
      </c>
      <c r="V3" s="6">
        <v>2023</v>
      </c>
      <c r="W3" s="6">
        <v>2024</v>
      </c>
      <c r="X3" s="6">
        <f>+W3+1</f>
        <v>2025</v>
      </c>
      <c r="Y3" s="6">
        <f t="shared" ref="Y3:CJ3" si="4">+X3+1</f>
        <v>2026</v>
      </c>
      <c r="Z3" s="6">
        <f t="shared" si="4"/>
        <v>2027</v>
      </c>
      <c r="AA3" s="6">
        <f t="shared" si="4"/>
        <v>2028</v>
      </c>
      <c r="AB3" s="6">
        <f t="shared" si="4"/>
        <v>2029</v>
      </c>
      <c r="AC3" s="6">
        <f t="shared" si="4"/>
        <v>2030</v>
      </c>
      <c r="AD3" s="6">
        <f t="shared" si="4"/>
        <v>2031</v>
      </c>
      <c r="AE3" s="6">
        <f t="shared" si="4"/>
        <v>2032</v>
      </c>
      <c r="AF3" s="6">
        <f t="shared" si="4"/>
        <v>2033</v>
      </c>
      <c r="AG3" s="6">
        <f t="shared" si="4"/>
        <v>2034</v>
      </c>
      <c r="AH3" s="6">
        <f t="shared" si="4"/>
        <v>2035</v>
      </c>
      <c r="AI3" s="6">
        <f t="shared" si="4"/>
        <v>2036</v>
      </c>
      <c r="AJ3" s="6">
        <f t="shared" si="4"/>
        <v>2037</v>
      </c>
      <c r="AK3" s="6">
        <f t="shared" si="4"/>
        <v>2038</v>
      </c>
      <c r="AL3" s="6">
        <f t="shared" si="4"/>
        <v>2039</v>
      </c>
      <c r="AM3" s="6">
        <f t="shared" si="4"/>
        <v>2040</v>
      </c>
      <c r="AN3" s="6">
        <f t="shared" si="4"/>
        <v>2041</v>
      </c>
      <c r="AO3" s="6">
        <f t="shared" si="4"/>
        <v>2042</v>
      </c>
      <c r="AP3" s="6">
        <f t="shared" si="4"/>
        <v>2043</v>
      </c>
      <c r="AQ3" s="6">
        <f t="shared" si="4"/>
        <v>2044</v>
      </c>
      <c r="AR3" s="6">
        <f t="shared" si="4"/>
        <v>2045</v>
      </c>
      <c r="AS3" s="6">
        <f t="shared" si="4"/>
        <v>2046</v>
      </c>
      <c r="AT3" s="6">
        <f t="shared" si="4"/>
        <v>2047</v>
      </c>
      <c r="AU3" s="6">
        <f t="shared" si="4"/>
        <v>2048</v>
      </c>
      <c r="AV3" s="6">
        <f t="shared" si="4"/>
        <v>2049</v>
      </c>
      <c r="AW3" s="6">
        <f t="shared" si="4"/>
        <v>2050</v>
      </c>
      <c r="AX3" s="6">
        <f t="shared" si="4"/>
        <v>2051</v>
      </c>
      <c r="AY3" s="6">
        <f t="shared" si="4"/>
        <v>2052</v>
      </c>
      <c r="AZ3" s="6">
        <f t="shared" si="4"/>
        <v>2053</v>
      </c>
      <c r="BA3" s="6">
        <f t="shared" si="4"/>
        <v>2054</v>
      </c>
      <c r="BB3" s="6">
        <f t="shared" si="4"/>
        <v>2055</v>
      </c>
      <c r="BC3" s="6">
        <f t="shared" si="4"/>
        <v>2056</v>
      </c>
      <c r="BD3" s="6">
        <f t="shared" si="4"/>
        <v>2057</v>
      </c>
      <c r="BE3" s="6">
        <f t="shared" si="4"/>
        <v>2058</v>
      </c>
      <c r="BF3" s="6">
        <f t="shared" si="4"/>
        <v>2059</v>
      </c>
      <c r="BG3" s="6">
        <f t="shared" si="4"/>
        <v>2060</v>
      </c>
      <c r="BH3" s="6">
        <f t="shared" si="4"/>
        <v>2061</v>
      </c>
      <c r="BI3" s="6">
        <f t="shared" si="4"/>
        <v>2062</v>
      </c>
      <c r="BJ3" s="6">
        <f t="shared" si="4"/>
        <v>2063</v>
      </c>
      <c r="BK3" s="6">
        <f t="shared" si="4"/>
        <v>2064</v>
      </c>
      <c r="BL3" s="6">
        <f t="shared" si="4"/>
        <v>2065</v>
      </c>
      <c r="BM3" s="6">
        <f t="shared" si="4"/>
        <v>2066</v>
      </c>
      <c r="BN3" s="6">
        <f t="shared" si="4"/>
        <v>2067</v>
      </c>
      <c r="BO3" s="6">
        <f t="shared" si="4"/>
        <v>2068</v>
      </c>
      <c r="BP3" s="6">
        <f t="shared" si="4"/>
        <v>2069</v>
      </c>
      <c r="BQ3" s="6">
        <f t="shared" si="4"/>
        <v>2070</v>
      </c>
      <c r="BR3" s="6">
        <f t="shared" si="4"/>
        <v>2071</v>
      </c>
      <c r="BS3" s="6">
        <f t="shared" si="4"/>
        <v>2072</v>
      </c>
      <c r="BT3" s="6">
        <f t="shared" si="4"/>
        <v>2073</v>
      </c>
      <c r="BU3" s="6">
        <f t="shared" si="4"/>
        <v>2074</v>
      </c>
      <c r="BV3" s="6">
        <f t="shared" si="4"/>
        <v>2075</v>
      </c>
      <c r="BW3" s="6">
        <f t="shared" si="4"/>
        <v>2076</v>
      </c>
      <c r="BX3" s="6">
        <f t="shared" si="4"/>
        <v>2077</v>
      </c>
      <c r="BY3" s="6">
        <f t="shared" si="4"/>
        <v>2078</v>
      </c>
      <c r="BZ3" s="6">
        <f t="shared" si="4"/>
        <v>2079</v>
      </c>
      <c r="CA3" s="6">
        <f t="shared" si="4"/>
        <v>2080</v>
      </c>
      <c r="CB3" s="6">
        <f t="shared" si="4"/>
        <v>2081</v>
      </c>
      <c r="CC3" s="6">
        <f t="shared" si="4"/>
        <v>2082</v>
      </c>
      <c r="CD3" s="6">
        <f t="shared" si="4"/>
        <v>2083</v>
      </c>
      <c r="CE3" s="6">
        <f t="shared" si="4"/>
        <v>2084</v>
      </c>
      <c r="CF3" s="6">
        <f t="shared" si="4"/>
        <v>2085</v>
      </c>
      <c r="CG3" s="6">
        <f t="shared" si="4"/>
        <v>2086</v>
      </c>
      <c r="CH3" s="6">
        <f t="shared" si="4"/>
        <v>2087</v>
      </c>
      <c r="CI3" s="6">
        <f t="shared" si="4"/>
        <v>2088</v>
      </c>
      <c r="CJ3" s="6">
        <f t="shared" si="4"/>
        <v>2089</v>
      </c>
      <c r="CK3" s="6">
        <f t="shared" ref="CK3:EV3" si="5">+CJ3+1</f>
        <v>2090</v>
      </c>
      <c r="CL3" s="6">
        <f t="shared" si="5"/>
        <v>2091</v>
      </c>
      <c r="CM3" s="6">
        <f t="shared" si="5"/>
        <v>2092</v>
      </c>
      <c r="CN3" s="6">
        <f t="shared" si="5"/>
        <v>2093</v>
      </c>
      <c r="CO3" s="6">
        <f t="shared" si="5"/>
        <v>2094</v>
      </c>
      <c r="CP3" s="6">
        <f t="shared" si="5"/>
        <v>2095</v>
      </c>
      <c r="CQ3" s="6">
        <f t="shared" si="5"/>
        <v>2096</v>
      </c>
      <c r="CR3" s="6">
        <f t="shared" si="5"/>
        <v>2097</v>
      </c>
      <c r="CS3" s="6">
        <f t="shared" si="5"/>
        <v>2098</v>
      </c>
      <c r="CT3" s="6">
        <f t="shared" si="5"/>
        <v>2099</v>
      </c>
      <c r="CU3" s="6">
        <f t="shared" si="5"/>
        <v>2100</v>
      </c>
      <c r="CV3" s="6">
        <f t="shared" si="5"/>
        <v>2101</v>
      </c>
      <c r="CW3" s="6">
        <f t="shared" si="5"/>
        <v>2102</v>
      </c>
      <c r="CX3" s="6">
        <f t="shared" si="5"/>
        <v>2103</v>
      </c>
      <c r="CY3" s="6">
        <f t="shared" si="5"/>
        <v>2104</v>
      </c>
      <c r="CZ3" s="6">
        <f t="shared" si="5"/>
        <v>2105</v>
      </c>
      <c r="DA3" s="6">
        <f t="shared" si="5"/>
        <v>2106</v>
      </c>
      <c r="DB3" s="6">
        <f t="shared" si="5"/>
        <v>2107</v>
      </c>
      <c r="DC3" s="6">
        <f t="shared" si="5"/>
        <v>2108</v>
      </c>
      <c r="DD3" s="6">
        <f t="shared" si="5"/>
        <v>2109</v>
      </c>
      <c r="DE3" s="6">
        <f t="shared" si="5"/>
        <v>2110</v>
      </c>
      <c r="DF3" s="6">
        <f t="shared" si="5"/>
        <v>2111</v>
      </c>
      <c r="DG3" s="6">
        <f t="shared" si="5"/>
        <v>2112</v>
      </c>
      <c r="DH3" s="6">
        <f t="shared" si="5"/>
        <v>2113</v>
      </c>
      <c r="DI3" s="6">
        <f t="shared" si="5"/>
        <v>2114</v>
      </c>
      <c r="DJ3" s="6">
        <f t="shared" si="5"/>
        <v>2115</v>
      </c>
      <c r="DK3" s="6">
        <f t="shared" si="5"/>
        <v>2116</v>
      </c>
      <c r="DL3" s="6">
        <f t="shared" si="5"/>
        <v>2117</v>
      </c>
      <c r="DM3" s="6">
        <f t="shared" si="5"/>
        <v>2118</v>
      </c>
      <c r="DN3" s="6">
        <f t="shared" si="5"/>
        <v>2119</v>
      </c>
      <c r="DO3" s="6">
        <f t="shared" si="5"/>
        <v>2120</v>
      </c>
      <c r="DP3" s="6">
        <f t="shared" si="5"/>
        <v>2121</v>
      </c>
      <c r="DQ3" s="6">
        <f t="shared" si="5"/>
        <v>2122</v>
      </c>
      <c r="DR3" s="6">
        <f t="shared" si="5"/>
        <v>2123</v>
      </c>
      <c r="DS3" s="6">
        <f t="shared" si="5"/>
        <v>2124</v>
      </c>
      <c r="DT3" s="6">
        <f t="shared" si="5"/>
        <v>2125</v>
      </c>
      <c r="DU3" s="6">
        <f t="shared" si="5"/>
        <v>2126</v>
      </c>
      <c r="DV3" s="6">
        <f t="shared" si="5"/>
        <v>2127</v>
      </c>
      <c r="DW3" s="6">
        <f t="shared" si="5"/>
        <v>2128</v>
      </c>
      <c r="DX3" s="6">
        <f t="shared" si="5"/>
        <v>2129</v>
      </c>
      <c r="DY3" s="6">
        <f t="shared" si="5"/>
        <v>2130</v>
      </c>
      <c r="DZ3" s="6">
        <f t="shared" si="5"/>
        <v>2131</v>
      </c>
      <c r="EA3" s="6">
        <f t="shared" si="5"/>
        <v>2132</v>
      </c>
      <c r="EB3" s="6">
        <f t="shared" si="5"/>
        <v>2133</v>
      </c>
      <c r="EC3" s="6">
        <f t="shared" si="5"/>
        <v>2134</v>
      </c>
      <c r="ED3" s="6">
        <f t="shared" si="5"/>
        <v>2135</v>
      </c>
      <c r="EE3" s="6">
        <f t="shared" si="5"/>
        <v>2136</v>
      </c>
      <c r="EF3" s="6">
        <f t="shared" si="5"/>
        <v>2137</v>
      </c>
      <c r="EG3" s="6">
        <f t="shared" si="5"/>
        <v>2138</v>
      </c>
      <c r="EH3" s="6">
        <f t="shared" si="5"/>
        <v>2139</v>
      </c>
      <c r="EI3" s="6">
        <f t="shared" si="5"/>
        <v>2140</v>
      </c>
      <c r="EJ3" s="6">
        <f t="shared" si="5"/>
        <v>2141</v>
      </c>
      <c r="EK3" s="6">
        <f t="shared" si="5"/>
        <v>2142</v>
      </c>
      <c r="EL3" s="6">
        <f t="shared" si="5"/>
        <v>2143</v>
      </c>
      <c r="EM3" s="6">
        <f t="shared" si="5"/>
        <v>2144</v>
      </c>
      <c r="EN3" s="6">
        <f t="shared" si="5"/>
        <v>2145</v>
      </c>
      <c r="EO3" s="6">
        <f t="shared" si="5"/>
        <v>2146</v>
      </c>
      <c r="EP3" s="6">
        <f t="shared" si="5"/>
        <v>2147</v>
      </c>
      <c r="EQ3" s="6">
        <f t="shared" si="5"/>
        <v>2148</v>
      </c>
      <c r="ER3" s="6">
        <f t="shared" si="5"/>
        <v>2149</v>
      </c>
      <c r="ES3" s="6">
        <f t="shared" si="5"/>
        <v>2150</v>
      </c>
      <c r="ET3" s="6">
        <f t="shared" si="5"/>
        <v>2151</v>
      </c>
      <c r="EU3" s="6">
        <f t="shared" si="5"/>
        <v>2152</v>
      </c>
      <c r="EV3" s="6">
        <f t="shared" si="5"/>
        <v>2153</v>
      </c>
      <c r="EW3" s="6">
        <f t="shared" ref="EW3:FV3" si="6">+EV3+1</f>
        <v>2154</v>
      </c>
      <c r="EX3" s="6">
        <f t="shared" si="6"/>
        <v>2155</v>
      </c>
      <c r="EY3" s="6">
        <f t="shared" si="6"/>
        <v>2156</v>
      </c>
      <c r="EZ3" s="6">
        <f t="shared" si="6"/>
        <v>2157</v>
      </c>
      <c r="FA3" s="6">
        <f t="shared" si="6"/>
        <v>2158</v>
      </c>
      <c r="FB3" s="6">
        <f t="shared" si="6"/>
        <v>2159</v>
      </c>
      <c r="FC3" s="6">
        <f t="shared" si="6"/>
        <v>2160</v>
      </c>
      <c r="FD3" s="6">
        <f t="shared" si="6"/>
        <v>2161</v>
      </c>
      <c r="FE3" s="6">
        <f t="shared" si="6"/>
        <v>2162</v>
      </c>
      <c r="FF3" s="6">
        <f t="shared" si="6"/>
        <v>2163</v>
      </c>
      <c r="FG3" s="6">
        <f t="shared" si="6"/>
        <v>2164</v>
      </c>
      <c r="FH3" s="6">
        <f t="shared" si="6"/>
        <v>2165</v>
      </c>
      <c r="FI3" s="6">
        <f t="shared" si="6"/>
        <v>2166</v>
      </c>
      <c r="FJ3" s="6">
        <f t="shared" si="6"/>
        <v>2167</v>
      </c>
      <c r="FK3" s="6">
        <f t="shared" si="6"/>
        <v>2168</v>
      </c>
      <c r="FL3" s="6">
        <f t="shared" si="6"/>
        <v>2169</v>
      </c>
      <c r="FM3" s="6">
        <f t="shared" si="6"/>
        <v>2170</v>
      </c>
      <c r="FN3" s="6">
        <f t="shared" si="6"/>
        <v>2171</v>
      </c>
      <c r="FO3" s="6">
        <f t="shared" si="6"/>
        <v>2172</v>
      </c>
      <c r="FP3" s="6">
        <f t="shared" si="6"/>
        <v>2173</v>
      </c>
      <c r="FQ3" s="6">
        <f t="shared" si="6"/>
        <v>2174</v>
      </c>
      <c r="FR3" s="6">
        <f t="shared" si="6"/>
        <v>2175</v>
      </c>
      <c r="FS3" s="6">
        <f t="shared" si="6"/>
        <v>2176</v>
      </c>
      <c r="FT3" s="6">
        <f t="shared" si="6"/>
        <v>2177</v>
      </c>
      <c r="FU3" s="6">
        <f t="shared" si="6"/>
        <v>2178</v>
      </c>
      <c r="FV3" s="6">
        <f t="shared" si="6"/>
        <v>2179</v>
      </c>
      <c r="FW3" s="6">
        <f t="shared" ref="FW3:HZ3" si="7">+FV3+1</f>
        <v>2180</v>
      </c>
      <c r="FX3" s="6">
        <f t="shared" si="7"/>
        <v>2181</v>
      </c>
      <c r="FY3" s="6">
        <f t="shared" si="7"/>
        <v>2182</v>
      </c>
      <c r="FZ3" s="6">
        <f t="shared" si="7"/>
        <v>2183</v>
      </c>
      <c r="GA3" s="6">
        <f t="shared" si="7"/>
        <v>2184</v>
      </c>
      <c r="GB3" s="6">
        <f t="shared" si="7"/>
        <v>2185</v>
      </c>
      <c r="GC3" s="6">
        <f t="shared" si="7"/>
        <v>2186</v>
      </c>
      <c r="GD3" s="6">
        <f t="shared" si="7"/>
        <v>2187</v>
      </c>
      <c r="GE3" s="6">
        <f t="shared" si="7"/>
        <v>2188</v>
      </c>
      <c r="GF3" s="6">
        <f t="shared" si="7"/>
        <v>2189</v>
      </c>
      <c r="GG3" s="6">
        <f t="shared" si="7"/>
        <v>2190</v>
      </c>
      <c r="GH3" s="6">
        <f t="shared" si="7"/>
        <v>2191</v>
      </c>
      <c r="GI3" s="6">
        <f t="shared" si="7"/>
        <v>2192</v>
      </c>
      <c r="GJ3" s="6">
        <f t="shared" si="7"/>
        <v>2193</v>
      </c>
      <c r="GK3" s="6">
        <f t="shared" si="7"/>
        <v>2194</v>
      </c>
      <c r="GL3" s="6">
        <f t="shared" si="7"/>
        <v>2195</v>
      </c>
      <c r="GM3" s="6">
        <f t="shared" si="7"/>
        <v>2196</v>
      </c>
      <c r="GN3" s="6">
        <f t="shared" si="7"/>
        <v>2197</v>
      </c>
      <c r="GO3" s="6">
        <f t="shared" si="7"/>
        <v>2198</v>
      </c>
      <c r="GP3" s="6">
        <f t="shared" si="7"/>
        <v>2199</v>
      </c>
      <c r="GQ3" s="6">
        <f t="shared" si="7"/>
        <v>2200</v>
      </c>
      <c r="GR3" s="6">
        <f t="shared" si="7"/>
        <v>2201</v>
      </c>
      <c r="GS3" s="6">
        <f t="shared" si="7"/>
        <v>2202</v>
      </c>
      <c r="GT3" s="6">
        <f t="shared" si="7"/>
        <v>2203</v>
      </c>
      <c r="GU3" s="6">
        <f t="shared" si="7"/>
        <v>2204</v>
      </c>
      <c r="GV3" s="6">
        <f t="shared" si="7"/>
        <v>2205</v>
      </c>
      <c r="GW3" s="6">
        <f t="shared" si="7"/>
        <v>2206</v>
      </c>
      <c r="GX3" s="6">
        <f t="shared" si="7"/>
        <v>2207</v>
      </c>
      <c r="GY3" s="6">
        <f t="shared" si="7"/>
        <v>2208</v>
      </c>
      <c r="GZ3" s="6">
        <f t="shared" si="7"/>
        <v>2209</v>
      </c>
      <c r="HA3" s="6">
        <f t="shared" si="7"/>
        <v>2210</v>
      </c>
      <c r="HB3" s="6">
        <f t="shared" si="7"/>
        <v>2211</v>
      </c>
      <c r="HC3" s="6">
        <f t="shared" si="7"/>
        <v>2212</v>
      </c>
      <c r="HD3" s="6">
        <f t="shared" si="7"/>
        <v>2213</v>
      </c>
      <c r="HE3" s="6">
        <f t="shared" si="7"/>
        <v>2214</v>
      </c>
      <c r="HF3" s="6">
        <f t="shared" si="7"/>
        <v>2215</v>
      </c>
      <c r="HG3" s="6">
        <f t="shared" si="7"/>
        <v>2216</v>
      </c>
      <c r="HH3" s="6">
        <f t="shared" si="7"/>
        <v>2217</v>
      </c>
      <c r="HI3" s="6">
        <f t="shared" si="7"/>
        <v>2218</v>
      </c>
      <c r="HJ3" s="6">
        <f t="shared" si="7"/>
        <v>2219</v>
      </c>
      <c r="HK3" s="6">
        <f t="shared" si="7"/>
        <v>2220</v>
      </c>
      <c r="HL3" s="6">
        <f t="shared" si="7"/>
        <v>2221</v>
      </c>
      <c r="HM3" s="6">
        <f t="shared" si="7"/>
        <v>2222</v>
      </c>
      <c r="HN3" s="6">
        <f t="shared" si="7"/>
        <v>2223</v>
      </c>
      <c r="HO3" s="6">
        <f t="shared" si="7"/>
        <v>2224</v>
      </c>
      <c r="HP3" s="6">
        <f t="shared" si="7"/>
        <v>2225</v>
      </c>
      <c r="HQ3" s="6">
        <f t="shared" si="7"/>
        <v>2226</v>
      </c>
      <c r="HR3" s="6">
        <f t="shared" si="7"/>
        <v>2227</v>
      </c>
      <c r="HS3" s="6">
        <f t="shared" si="7"/>
        <v>2228</v>
      </c>
      <c r="HT3" s="6">
        <f t="shared" si="7"/>
        <v>2229</v>
      </c>
      <c r="HU3" s="6">
        <f t="shared" si="7"/>
        <v>2230</v>
      </c>
      <c r="HV3" s="6">
        <f t="shared" si="7"/>
        <v>2231</v>
      </c>
      <c r="HW3" s="6">
        <f t="shared" si="7"/>
        <v>2232</v>
      </c>
      <c r="HX3" s="6">
        <f t="shared" si="7"/>
        <v>2233</v>
      </c>
      <c r="HY3" s="6">
        <f t="shared" si="7"/>
        <v>2234</v>
      </c>
      <c r="HZ3" s="6">
        <f t="shared" si="7"/>
        <v>2235</v>
      </c>
    </row>
    <row r="4" spans="2:263" x14ac:dyDescent="0.2">
      <c r="B4" s="2" t="s">
        <v>32</v>
      </c>
      <c r="C4" s="13">
        <v>1295</v>
      </c>
      <c r="D4" s="13">
        <v>1321</v>
      </c>
      <c r="E4" s="13">
        <v>1598</v>
      </c>
      <c r="F4" s="13">
        <f>+V4-SUM(C4:E4)</f>
        <v>2282</v>
      </c>
      <c r="G4" s="13">
        <v>2337</v>
      </c>
      <c r="H4" s="13">
        <v>2834</v>
      </c>
      <c r="I4" s="13">
        <v>3549</v>
      </c>
      <c r="J4" s="13">
        <f t="shared" ref="J4:J18" si="8">+W4-SUM(G4:I4)</f>
        <v>3859</v>
      </c>
      <c r="K4" s="13">
        <v>3674</v>
      </c>
      <c r="L4" s="13">
        <v>3240</v>
      </c>
      <c r="M4" s="13">
        <v>4341</v>
      </c>
      <c r="N4" s="13">
        <f>+X4-SUM(K4:M4)</f>
        <v>5380</v>
      </c>
      <c r="O4" s="13">
        <f>+O8*0.5</f>
        <v>4900</v>
      </c>
      <c r="P4" s="13">
        <f>+P8*0.5</f>
        <v>4900</v>
      </c>
      <c r="Q4" s="13">
        <f>+Q8*0.5</f>
        <v>6009.9000000000005</v>
      </c>
      <c r="R4" s="13">
        <f>+R8*0.5</f>
        <v>6675.5</v>
      </c>
      <c r="V4" s="2">
        <v>6496</v>
      </c>
      <c r="W4" s="2">
        <v>12579</v>
      </c>
      <c r="X4" s="2">
        <v>16635</v>
      </c>
      <c r="Y4" s="2">
        <f>SUM(O4:R4)</f>
        <v>22485.4</v>
      </c>
      <c r="Z4" s="2">
        <f>+Y4*1.4</f>
        <v>31479.56</v>
      </c>
      <c r="AA4" s="2">
        <f>+Z4*1.4</f>
        <v>44071.383999999998</v>
      </c>
    </row>
    <row r="5" spans="2:263" s="7" customFormat="1" x14ac:dyDescent="0.2">
      <c r="B5" s="8" t="s">
        <v>33</v>
      </c>
      <c r="C5" s="14">
        <v>739</v>
      </c>
      <c r="D5" s="14">
        <v>998</v>
      </c>
      <c r="E5" s="14">
        <v>1453</v>
      </c>
      <c r="F5" s="14">
        <f>+V5-SUM(C5:E5)</f>
        <v>1461</v>
      </c>
      <c r="G5" s="14">
        <v>1368</v>
      </c>
      <c r="H5" s="14">
        <v>1492</v>
      </c>
      <c r="I5" s="14">
        <v>1881</v>
      </c>
      <c r="J5" s="14">
        <f t="shared" si="8"/>
        <v>2313</v>
      </c>
      <c r="K5" s="14">
        <v>2294</v>
      </c>
      <c r="L5" s="14">
        <v>2499</v>
      </c>
      <c r="M5" s="14">
        <v>2750</v>
      </c>
      <c r="N5" s="13">
        <f t="shared" ref="N5:N18" si="9">+X5-SUM(K5:M5)</f>
        <v>3097</v>
      </c>
      <c r="O5" s="14"/>
      <c r="P5" s="14"/>
      <c r="Q5" s="14"/>
      <c r="R5" s="14"/>
      <c r="S5" s="23">
        <f>+K4/K8</f>
        <v>0.49394998655552569</v>
      </c>
      <c r="V5" s="7">
        <v>4651</v>
      </c>
      <c r="W5" s="7">
        <v>7054</v>
      </c>
      <c r="X5" s="7">
        <v>10640</v>
      </c>
    </row>
    <row r="6" spans="2:263" s="7" customFormat="1" x14ac:dyDescent="0.2">
      <c r="B6" s="8" t="s">
        <v>34</v>
      </c>
      <c r="C6" s="14">
        <v>1757</v>
      </c>
      <c r="D6" s="14">
        <v>1581</v>
      </c>
      <c r="E6" s="14">
        <v>1506</v>
      </c>
      <c r="F6" s="14">
        <f>+V6-SUM(C6:E6)</f>
        <v>1368</v>
      </c>
      <c r="G6" s="14">
        <v>922</v>
      </c>
      <c r="H6" s="14">
        <v>648</v>
      </c>
      <c r="I6" s="14">
        <v>462</v>
      </c>
      <c r="J6" s="14">
        <f t="shared" si="8"/>
        <v>563</v>
      </c>
      <c r="K6" s="14">
        <v>647</v>
      </c>
      <c r="L6" s="14">
        <v>1122</v>
      </c>
      <c r="M6" s="14">
        <v>1298</v>
      </c>
      <c r="N6" s="13">
        <f t="shared" si="9"/>
        <v>843</v>
      </c>
      <c r="O6" s="14"/>
      <c r="P6" s="14"/>
      <c r="Q6" s="14"/>
      <c r="R6" s="14"/>
      <c r="S6" s="7">
        <f>+O4/S5</f>
        <v>9920.0326619488296</v>
      </c>
      <c r="V6" s="7">
        <v>6212</v>
      </c>
      <c r="W6" s="7">
        <v>2595</v>
      </c>
      <c r="X6" s="7">
        <v>3910</v>
      </c>
    </row>
    <row r="7" spans="2:263" x14ac:dyDescent="0.2">
      <c r="B7" s="2" t="s">
        <v>35</v>
      </c>
      <c r="C7" s="13">
        <v>1562</v>
      </c>
      <c r="D7" s="13">
        <v>1459</v>
      </c>
      <c r="E7" s="13">
        <v>1243</v>
      </c>
      <c r="F7" s="13">
        <f>+V7-SUM(C7:E7)</f>
        <v>1057</v>
      </c>
      <c r="G7" s="13">
        <v>846</v>
      </c>
      <c r="H7" s="13">
        <v>861</v>
      </c>
      <c r="I7" s="13">
        <v>927</v>
      </c>
      <c r="J7" s="13">
        <f t="shared" si="8"/>
        <v>923</v>
      </c>
      <c r="K7" s="13">
        <v>823</v>
      </c>
      <c r="L7" s="13">
        <v>824</v>
      </c>
      <c r="M7" s="13">
        <v>857</v>
      </c>
      <c r="N7" s="13">
        <f t="shared" si="9"/>
        <v>950</v>
      </c>
      <c r="V7" s="2">
        <v>5321</v>
      </c>
      <c r="W7" s="2">
        <v>3557</v>
      </c>
      <c r="X7" s="2">
        <v>3454</v>
      </c>
    </row>
    <row r="8" spans="2:263" s="18" customFormat="1" x14ac:dyDescent="0.2">
      <c r="B8" s="18" t="s">
        <v>20</v>
      </c>
      <c r="C8" s="17">
        <f>SUM(C4:C7)</f>
        <v>5353</v>
      </c>
      <c r="D8" s="17">
        <f>SUM(D4:D7)</f>
        <v>5359</v>
      </c>
      <c r="E8" s="17">
        <f>SUM(E4:E7)</f>
        <v>5800</v>
      </c>
      <c r="F8" s="17">
        <f>+V8-SUM(C8:E8)</f>
        <v>6168</v>
      </c>
      <c r="G8" s="17">
        <f>SUM(G4:G7)</f>
        <v>5473</v>
      </c>
      <c r="H8" s="17">
        <f>SUM(H4:H7)</f>
        <v>5835</v>
      </c>
      <c r="I8" s="17">
        <f>SUM(I4:I7)</f>
        <v>6819</v>
      </c>
      <c r="J8" s="17">
        <f t="shared" si="8"/>
        <v>7658</v>
      </c>
      <c r="K8" s="17">
        <f>SUM(K4:K7)</f>
        <v>7438</v>
      </c>
      <c r="L8" s="17">
        <f>SUM(L4:L7)</f>
        <v>7685</v>
      </c>
      <c r="M8" s="17">
        <f>SUM(M4:M7)</f>
        <v>9246</v>
      </c>
      <c r="N8" s="17">
        <f t="shared" si="9"/>
        <v>10270</v>
      </c>
      <c r="O8" s="17">
        <f>AVERAGE(9800-300,9800+300)</f>
        <v>9800</v>
      </c>
      <c r="P8" s="17">
        <f>+O8</f>
        <v>9800</v>
      </c>
      <c r="Q8" s="17">
        <f>+M8*1.3</f>
        <v>12019.800000000001</v>
      </c>
      <c r="R8" s="17">
        <f>+N8*1.3</f>
        <v>13351</v>
      </c>
      <c r="U8" s="18">
        <v>23601</v>
      </c>
      <c r="V8" s="18">
        <f>SUM(V4:V7)</f>
        <v>22680</v>
      </c>
      <c r="W8" s="18">
        <f>SUM(W4:W7)</f>
        <v>25785</v>
      </c>
      <c r="X8" s="18">
        <f>SUM(X4:X7)</f>
        <v>34639</v>
      </c>
      <c r="Y8" s="18">
        <f>SUM(O8:R8)</f>
        <v>44970.8</v>
      </c>
      <c r="Z8" s="18">
        <f>+Y8*1.2</f>
        <v>53964.959999999999</v>
      </c>
      <c r="AA8" s="18">
        <f t="shared" ref="AA8:AH8" si="10">+Z8*1.2</f>
        <v>64757.951999999997</v>
      </c>
      <c r="AB8" s="18">
        <f t="shared" si="10"/>
        <v>77709.542399999991</v>
      </c>
      <c r="AC8" s="18">
        <f t="shared" si="10"/>
        <v>93251.450879999989</v>
      </c>
      <c r="AD8" s="18">
        <f t="shared" si="10"/>
        <v>111901.74105599998</v>
      </c>
      <c r="AE8" s="18">
        <f t="shared" si="10"/>
        <v>134282.08926719998</v>
      </c>
      <c r="AF8" s="18">
        <f t="shared" si="10"/>
        <v>161138.50712063996</v>
      </c>
      <c r="AG8" s="18">
        <f t="shared" si="10"/>
        <v>193366.20854476796</v>
      </c>
      <c r="AH8" s="18">
        <f t="shared" si="10"/>
        <v>232039.45025372153</v>
      </c>
    </row>
    <row r="9" spans="2:263" x14ac:dyDescent="0.2">
      <c r="B9" s="2" t="s">
        <v>3</v>
      </c>
      <c r="C9" s="13">
        <v>2689</v>
      </c>
      <c r="D9" s="13">
        <v>2704</v>
      </c>
      <c r="E9" s="13">
        <v>2843</v>
      </c>
      <c r="F9" s="13">
        <f t="shared" ref="F9:F18" si="11">+V9-SUM(C9:E9)</f>
        <v>3042</v>
      </c>
      <c r="G9" s="13">
        <v>2683</v>
      </c>
      <c r="H9" s="13">
        <v>2740</v>
      </c>
      <c r="I9" s="13">
        <v>3167</v>
      </c>
      <c r="J9" s="13">
        <f t="shared" si="8"/>
        <v>3524</v>
      </c>
      <c r="K9" s="13">
        <v>3451</v>
      </c>
      <c r="L9" s="13">
        <v>4366</v>
      </c>
      <c r="M9" s="13">
        <v>4206</v>
      </c>
      <c r="N9" s="13">
        <f t="shared" si="9"/>
        <v>4433</v>
      </c>
      <c r="O9" s="13">
        <f>+O$8*(K9/K$8)</f>
        <v>4546.8943264318368</v>
      </c>
      <c r="P9" s="13">
        <f t="shared" ref="P9:R9" si="12">+P$8*(L9/L$8)</f>
        <v>5567.573194534808</v>
      </c>
      <c r="Q9" s="13">
        <f t="shared" si="12"/>
        <v>5467.8</v>
      </c>
      <c r="R9" s="13">
        <f t="shared" si="12"/>
        <v>5762.9000000000005</v>
      </c>
      <c r="U9" s="2">
        <v>11550</v>
      </c>
      <c r="V9" s="2">
        <v>11278</v>
      </c>
      <c r="W9" s="2">
        <v>12114</v>
      </c>
      <c r="X9" s="2">
        <v>16456</v>
      </c>
      <c r="Y9" s="20">
        <f t="shared" ref="Y9:Y18" si="13">SUM(O9:R9)</f>
        <v>21345.167520966646</v>
      </c>
      <c r="Z9" s="2">
        <f>+Z$8*(Y9/Y$8)</f>
        <v>25614.201025159975</v>
      </c>
      <c r="AA9" s="2">
        <f t="shared" ref="AA9:AH9" si="14">+AA$8*(Z9/Z$8)</f>
        <v>30737.041230191968</v>
      </c>
      <c r="AB9" s="2">
        <f t="shared" si="14"/>
        <v>36884.449476230358</v>
      </c>
      <c r="AC9" s="2">
        <f t="shared" si="14"/>
        <v>44261.339371476432</v>
      </c>
      <c r="AD9" s="2">
        <f t="shared" si="14"/>
        <v>53113.607245771716</v>
      </c>
      <c r="AE9" s="2">
        <f t="shared" si="14"/>
        <v>63736.328694926058</v>
      </c>
      <c r="AF9" s="2">
        <f t="shared" si="14"/>
        <v>76483.594433911261</v>
      </c>
      <c r="AG9" s="2">
        <f t="shared" si="14"/>
        <v>91780.313320693516</v>
      </c>
      <c r="AH9" s="2">
        <f t="shared" si="14"/>
        <v>110136.37598483221</v>
      </c>
    </row>
    <row r="10" spans="2:263" x14ac:dyDescent="0.2">
      <c r="B10" s="2" t="s">
        <v>21</v>
      </c>
      <c r="C10" s="13">
        <f>+C8-C9</f>
        <v>2664</v>
      </c>
      <c r="D10" s="13">
        <f>+D8-D9</f>
        <v>2655</v>
      </c>
      <c r="E10" s="13">
        <f>+E8-E9</f>
        <v>2957</v>
      </c>
      <c r="F10" s="13">
        <f t="shared" si="11"/>
        <v>3126</v>
      </c>
      <c r="G10" s="13">
        <f>+G8-G9</f>
        <v>2790</v>
      </c>
      <c r="H10" s="13">
        <f>+H8-H9</f>
        <v>3095</v>
      </c>
      <c r="I10" s="13">
        <f>+I8-I9</f>
        <v>3652</v>
      </c>
      <c r="J10" s="13">
        <f t="shared" si="8"/>
        <v>4134</v>
      </c>
      <c r="K10" s="13">
        <f>+K8-K9</f>
        <v>3987</v>
      </c>
      <c r="L10" s="13">
        <f>+L8-L9</f>
        <v>3319</v>
      </c>
      <c r="M10" s="13">
        <f>+M8-M9</f>
        <v>5040</v>
      </c>
      <c r="N10" s="13">
        <f t="shared" si="9"/>
        <v>5837</v>
      </c>
      <c r="O10" s="13">
        <f>+O8-O9</f>
        <v>5253.1056735681632</v>
      </c>
      <c r="P10" s="13">
        <f t="shared" ref="P10:R10" si="15">+P8-P9</f>
        <v>4232.426805465192</v>
      </c>
      <c r="Q10" s="13">
        <f t="shared" si="15"/>
        <v>6552.0000000000009</v>
      </c>
      <c r="R10" s="13">
        <f t="shared" si="15"/>
        <v>7588.0999999999995</v>
      </c>
      <c r="U10" s="2">
        <f>+U8-U9</f>
        <v>12051</v>
      </c>
      <c r="V10" s="2">
        <f>+V8-V9</f>
        <v>11402</v>
      </c>
      <c r="W10" s="2">
        <f>+W8-W9</f>
        <v>13671</v>
      </c>
      <c r="X10" s="2">
        <f>+X8-X9</f>
        <v>18183</v>
      </c>
      <c r="Y10" s="20">
        <f t="shared" si="13"/>
        <v>23625.632479033353</v>
      </c>
      <c r="Z10" s="2">
        <f>+Z8-Z9</f>
        <v>28350.758974840024</v>
      </c>
      <c r="AA10" s="2">
        <f t="shared" ref="AA10:AH10" si="16">+AA8-AA9</f>
        <v>34020.910769808033</v>
      </c>
      <c r="AB10" s="2">
        <f t="shared" si="16"/>
        <v>40825.092923769633</v>
      </c>
      <c r="AC10" s="2">
        <f t="shared" si="16"/>
        <v>48990.111508523558</v>
      </c>
      <c r="AD10" s="2">
        <f t="shared" si="16"/>
        <v>58788.133810228268</v>
      </c>
      <c r="AE10" s="2">
        <f t="shared" si="16"/>
        <v>70545.760572273924</v>
      </c>
      <c r="AF10" s="2">
        <f t="shared" si="16"/>
        <v>84654.912686728698</v>
      </c>
      <c r="AG10" s="2">
        <f t="shared" si="16"/>
        <v>101585.89522407444</v>
      </c>
      <c r="AH10" s="2">
        <f t="shared" si="16"/>
        <v>121903.07426888932</v>
      </c>
    </row>
    <row r="11" spans="2:263" x14ac:dyDescent="0.2">
      <c r="B11" s="2" t="s">
        <v>22</v>
      </c>
      <c r="C11" s="13">
        <v>1411</v>
      </c>
      <c r="D11" s="13">
        <v>1443</v>
      </c>
      <c r="E11" s="13">
        <v>1507</v>
      </c>
      <c r="F11" s="13">
        <f t="shared" si="11"/>
        <v>1511</v>
      </c>
      <c r="G11" s="13">
        <v>1525</v>
      </c>
      <c r="H11" s="13">
        <v>1583</v>
      </c>
      <c r="I11" s="13">
        <v>1636</v>
      </c>
      <c r="J11" s="13">
        <f t="shared" si="8"/>
        <v>1712</v>
      </c>
      <c r="K11" s="13">
        <v>1728</v>
      </c>
      <c r="L11" s="13">
        <v>1894</v>
      </c>
      <c r="M11" s="13">
        <v>2139</v>
      </c>
      <c r="N11" s="13">
        <f t="shared" si="9"/>
        <v>2330</v>
      </c>
      <c r="O11" s="13">
        <f>+O$8*(K11/K$8)</f>
        <v>2276.7410594245762</v>
      </c>
      <c r="P11" s="13">
        <f t="shared" ref="P11:R12" si="17">+P$8*(L11/L$8)</f>
        <v>2415.2504879635653</v>
      </c>
      <c r="Q11" s="13">
        <f t="shared" si="17"/>
        <v>2780.7000000000003</v>
      </c>
      <c r="R11" s="13">
        <f t="shared" si="17"/>
        <v>3029</v>
      </c>
      <c r="U11" s="2">
        <v>5005</v>
      </c>
      <c r="V11" s="2">
        <v>5872</v>
      </c>
      <c r="W11" s="2">
        <v>6456</v>
      </c>
      <c r="X11" s="2">
        <v>8091</v>
      </c>
      <c r="Y11" s="20">
        <f t="shared" si="13"/>
        <v>10501.691547388142</v>
      </c>
      <c r="Z11" s="2">
        <f>+Z$8*(Y11/Y$8)</f>
        <v>12602.029856865769</v>
      </c>
      <c r="AA11" s="2">
        <f t="shared" ref="AA11:AH11" si="18">+AA$8*(Z11/Z$8)</f>
        <v>15122.435828238922</v>
      </c>
      <c r="AB11" s="2">
        <f t="shared" si="18"/>
        <v>18146.922993886707</v>
      </c>
      <c r="AC11" s="2">
        <f t="shared" si="18"/>
        <v>21776.307592664049</v>
      </c>
      <c r="AD11" s="2">
        <f t="shared" si="18"/>
        <v>26131.569111196855</v>
      </c>
      <c r="AE11" s="2">
        <f t="shared" si="18"/>
        <v>31357.882933436227</v>
      </c>
      <c r="AF11" s="2">
        <f t="shared" si="18"/>
        <v>37629.45952012347</v>
      </c>
      <c r="AG11" s="2">
        <f t="shared" si="18"/>
        <v>45155.351424148161</v>
      </c>
      <c r="AH11" s="2">
        <f t="shared" si="18"/>
        <v>54186.421708977789</v>
      </c>
    </row>
    <row r="12" spans="2:263" x14ac:dyDescent="0.2">
      <c r="B12" s="2" t="s">
        <v>23</v>
      </c>
      <c r="C12" s="13">
        <v>585</v>
      </c>
      <c r="D12" s="13">
        <v>547</v>
      </c>
      <c r="E12" s="13">
        <v>576</v>
      </c>
      <c r="F12" s="13">
        <f t="shared" si="11"/>
        <v>644</v>
      </c>
      <c r="G12" s="13">
        <v>607</v>
      </c>
      <c r="H12" s="13">
        <v>640</v>
      </c>
      <c r="I12" s="13">
        <v>721</v>
      </c>
      <c r="J12" s="13">
        <f t="shared" si="8"/>
        <v>815</v>
      </c>
      <c r="K12" s="13">
        <v>886</v>
      </c>
      <c r="L12" s="13">
        <v>991</v>
      </c>
      <c r="M12" s="13">
        <v>1069</v>
      </c>
      <c r="N12" s="13">
        <f t="shared" si="9"/>
        <v>1198</v>
      </c>
      <c r="O12" s="13">
        <f>+O$8*(K12/K$8)</f>
        <v>1167.3568163484808</v>
      </c>
      <c r="P12" s="13">
        <f t="shared" si="17"/>
        <v>1263.7345478204295</v>
      </c>
      <c r="Q12" s="13">
        <f t="shared" si="17"/>
        <v>1389.7000000000003</v>
      </c>
      <c r="R12" s="13">
        <f t="shared" si="17"/>
        <v>1557.4</v>
      </c>
      <c r="U12" s="2">
        <v>2336</v>
      </c>
      <c r="V12" s="2">
        <v>2352</v>
      </c>
      <c r="W12" s="2">
        <v>2783</v>
      </c>
      <c r="X12" s="2">
        <v>4144</v>
      </c>
      <c r="Y12" s="20">
        <f t="shared" si="13"/>
        <v>5378.1913641689107</v>
      </c>
      <c r="Z12" s="2">
        <f>+Z$8*(Y12/Y$8)</f>
        <v>6453.8296370026919</v>
      </c>
      <c r="AA12" s="2">
        <f t="shared" ref="AA12:AH12" si="19">+AA$8*(Z12/Z$8)</f>
        <v>7744.5955644032301</v>
      </c>
      <c r="AB12" s="2">
        <f t="shared" si="19"/>
        <v>9293.5146772838743</v>
      </c>
      <c r="AC12" s="2">
        <f t="shared" si="19"/>
        <v>11152.217612740649</v>
      </c>
      <c r="AD12" s="2">
        <f t="shared" si="19"/>
        <v>13382.661135288778</v>
      </c>
      <c r="AE12" s="2">
        <f t="shared" si="19"/>
        <v>16059.193362346534</v>
      </c>
      <c r="AF12" s="2">
        <f t="shared" si="19"/>
        <v>19271.032034815838</v>
      </c>
      <c r="AG12" s="2">
        <f t="shared" si="19"/>
        <v>23125.238441779005</v>
      </c>
      <c r="AH12" s="2">
        <f t="shared" si="19"/>
        <v>27750.286130134806</v>
      </c>
    </row>
    <row r="13" spans="2:263" x14ac:dyDescent="0.2">
      <c r="B13" s="2" t="s">
        <v>24</v>
      </c>
      <c r="C13" s="13">
        <f>+C10-SUM(C11:C12)</f>
        <v>668</v>
      </c>
      <c r="D13" s="13">
        <f>+D10-SUM(D11:D12)</f>
        <v>665</v>
      </c>
      <c r="E13" s="13">
        <f>+E10-SUM(E11:E12)</f>
        <v>874</v>
      </c>
      <c r="F13" s="13">
        <f t="shared" si="11"/>
        <v>971</v>
      </c>
      <c r="G13" s="13">
        <f>+G10-SUM(G11:G12)</f>
        <v>658</v>
      </c>
      <c r="H13" s="13">
        <f>+H10-SUM(H11:H12)</f>
        <v>872</v>
      </c>
      <c r="I13" s="13">
        <f>+I10-SUM(I11:I12)</f>
        <v>1295</v>
      </c>
      <c r="J13" s="13">
        <f t="shared" si="8"/>
        <v>1607</v>
      </c>
      <c r="K13" s="13">
        <f>+K10-SUM(K11:K12)</f>
        <v>1373</v>
      </c>
      <c r="L13" s="13">
        <f>+L10-SUM(L11:L12)</f>
        <v>434</v>
      </c>
      <c r="M13" s="13">
        <f>+M10-SUM(M11:M12)</f>
        <v>1832</v>
      </c>
      <c r="N13" s="13">
        <f t="shared" si="9"/>
        <v>2309</v>
      </c>
      <c r="O13" s="13">
        <f>+O10-SUM(O11:O12)</f>
        <v>1809.0077977951059</v>
      </c>
      <c r="P13" s="13">
        <f t="shared" ref="P13:R13" si="20">+P10-SUM(P11:P12)</f>
        <v>553.441769681197</v>
      </c>
      <c r="Q13" s="13">
        <f t="shared" si="20"/>
        <v>2381.6000000000004</v>
      </c>
      <c r="R13" s="13">
        <f t="shared" si="20"/>
        <v>3001.7</v>
      </c>
      <c r="U13" s="2">
        <f>+U10-SUM(U11:U12)</f>
        <v>4710</v>
      </c>
      <c r="V13" s="2">
        <f>+V10-SUM(V11:V12)</f>
        <v>3178</v>
      </c>
      <c r="W13" s="2">
        <f>+W10-SUM(W11:W12)</f>
        <v>4432</v>
      </c>
      <c r="X13" s="2">
        <f>+X10-SUM(X11:X12)</f>
        <v>5948</v>
      </c>
      <c r="Y13" s="20">
        <f t="shared" si="13"/>
        <v>7745.7495674763031</v>
      </c>
      <c r="Z13" s="2">
        <f>+Z10-SUM(Z11:Z12)</f>
        <v>9294.8994809715623</v>
      </c>
      <c r="AA13" s="2">
        <f t="shared" ref="AA13:AH13" si="21">+AA10-SUM(AA11:AA12)</f>
        <v>11153.879377165882</v>
      </c>
      <c r="AB13" s="2">
        <f t="shared" si="21"/>
        <v>13384.655252599052</v>
      </c>
      <c r="AC13" s="2">
        <f t="shared" si="21"/>
        <v>16061.586303118856</v>
      </c>
      <c r="AD13" s="2">
        <f t="shared" si="21"/>
        <v>19273.903563742635</v>
      </c>
      <c r="AE13" s="2">
        <f t="shared" si="21"/>
        <v>23128.684276491163</v>
      </c>
      <c r="AF13" s="2">
        <f t="shared" si="21"/>
        <v>27754.421131789393</v>
      </c>
      <c r="AG13" s="2">
        <f t="shared" si="21"/>
        <v>33305.305358147278</v>
      </c>
      <c r="AH13" s="2">
        <f t="shared" si="21"/>
        <v>39966.366429776725</v>
      </c>
    </row>
    <row r="14" spans="2:263" x14ac:dyDescent="0.2">
      <c r="B14" s="2" t="s">
        <v>27</v>
      </c>
      <c r="C14" s="13">
        <v>-25</v>
      </c>
      <c r="D14" s="13">
        <v>-28</v>
      </c>
      <c r="E14" s="13">
        <v>-26</v>
      </c>
      <c r="F14" s="13">
        <f t="shared" si="11"/>
        <v>-27</v>
      </c>
      <c r="G14" s="13">
        <v>-25</v>
      </c>
      <c r="H14" s="13">
        <v>-25</v>
      </c>
      <c r="I14" s="13">
        <v>-23</v>
      </c>
      <c r="J14" s="13">
        <f t="shared" si="8"/>
        <v>-19</v>
      </c>
      <c r="K14" s="13">
        <v>-20</v>
      </c>
      <c r="L14" s="13">
        <v>-38</v>
      </c>
      <c r="M14" s="13">
        <v>-37</v>
      </c>
      <c r="N14" s="13">
        <f t="shared" si="9"/>
        <v>-36</v>
      </c>
      <c r="O14" s="13">
        <f>+O$13*(N14/N$13)</f>
        <v>-28.204539073462023</v>
      </c>
      <c r="P14" s="13">
        <f t="shared" ref="P14:R14" si="22">+P$13*(O14/O$13)</f>
        <v>-8.6288019525868744</v>
      </c>
      <c r="Q14" s="13">
        <f t="shared" si="22"/>
        <v>-37.131918579471638</v>
      </c>
      <c r="R14" s="13">
        <f t="shared" si="22"/>
        <v>-46.8</v>
      </c>
      <c r="U14" s="2">
        <v>-88</v>
      </c>
      <c r="V14" s="2">
        <v>-106</v>
      </c>
      <c r="W14" s="2">
        <v>-92</v>
      </c>
      <c r="X14" s="2">
        <v>-131</v>
      </c>
      <c r="Y14" s="20">
        <f t="shared" si="13"/>
        <v>-120.76525960552054</v>
      </c>
      <c r="Z14" s="2">
        <f>+Z$13*(Y14/Y$13)</f>
        <v>-144.91831152662462</v>
      </c>
      <c r="AA14" s="2">
        <f t="shared" ref="AA14:AH14" si="23">+AA$13*(Z14/Z$13)</f>
        <v>-173.90197383194968</v>
      </c>
      <c r="AB14" s="2">
        <f t="shared" si="23"/>
        <v>-208.68236859833951</v>
      </c>
      <c r="AC14" s="2">
        <f t="shared" si="23"/>
        <v>-250.41884231800734</v>
      </c>
      <c r="AD14" s="2">
        <f t="shared" si="23"/>
        <v>-300.50261078160889</v>
      </c>
      <c r="AE14" s="2">
        <f t="shared" si="23"/>
        <v>-360.6031329379307</v>
      </c>
      <c r="AF14" s="2">
        <f t="shared" si="23"/>
        <v>-432.72375952551675</v>
      </c>
      <c r="AG14" s="2">
        <f t="shared" si="23"/>
        <v>-519.26851143062026</v>
      </c>
      <c r="AH14" s="2">
        <f t="shared" si="23"/>
        <v>-623.12221371674423</v>
      </c>
    </row>
    <row r="15" spans="2:263" x14ac:dyDescent="0.2">
      <c r="B15" s="2" t="s">
        <v>25</v>
      </c>
      <c r="C15" s="13">
        <v>43</v>
      </c>
      <c r="D15" s="13">
        <v>46</v>
      </c>
      <c r="E15" s="13">
        <v>59</v>
      </c>
      <c r="F15" s="13">
        <f t="shared" si="11"/>
        <v>49</v>
      </c>
      <c r="G15" s="13">
        <v>53</v>
      </c>
      <c r="H15" s="13">
        <v>55</v>
      </c>
      <c r="I15" s="13">
        <v>36</v>
      </c>
      <c r="J15" s="13">
        <f t="shared" si="8"/>
        <v>37</v>
      </c>
      <c r="K15" s="13">
        <v>39</v>
      </c>
      <c r="L15" s="13">
        <v>98</v>
      </c>
      <c r="M15" s="13">
        <v>82</v>
      </c>
      <c r="N15" s="13">
        <f t="shared" si="9"/>
        <v>358</v>
      </c>
      <c r="O15" s="19">
        <f>+K15</f>
        <v>39</v>
      </c>
      <c r="P15" s="19">
        <f t="shared" ref="P15:R15" si="24">+L15</f>
        <v>98</v>
      </c>
      <c r="Q15" s="19">
        <f t="shared" si="24"/>
        <v>82</v>
      </c>
      <c r="R15" s="19">
        <f t="shared" si="24"/>
        <v>358</v>
      </c>
      <c r="U15" s="2">
        <v>8</v>
      </c>
      <c r="V15" s="2">
        <v>197</v>
      </c>
      <c r="W15" s="2">
        <v>181</v>
      </c>
      <c r="X15" s="2">
        <v>577</v>
      </c>
      <c r="Y15" s="20">
        <f t="shared" si="13"/>
        <v>577</v>
      </c>
      <c r="Z15" s="2">
        <f>+Z$13*(Y15/Y$13)</f>
        <v>692.4</v>
      </c>
      <c r="AA15" s="2">
        <f t="shared" ref="AA15:AH15" si="25">+AA$13*(Z15/Z$13)</f>
        <v>830.88000000000045</v>
      </c>
      <c r="AB15" s="2">
        <f t="shared" si="25"/>
        <v>997.05600000000004</v>
      </c>
      <c r="AC15" s="2">
        <f t="shared" si="25"/>
        <v>1196.4671999999996</v>
      </c>
      <c r="AD15" s="2">
        <f t="shared" si="25"/>
        <v>1435.7606400000002</v>
      </c>
      <c r="AE15" s="2">
        <f t="shared" si="25"/>
        <v>1722.9127680000004</v>
      </c>
      <c r="AF15" s="2">
        <f t="shared" si="25"/>
        <v>2067.4953215999999</v>
      </c>
      <c r="AG15" s="2">
        <f t="shared" si="25"/>
        <v>2480.9943859200002</v>
      </c>
      <c r="AH15" s="2">
        <f t="shared" si="25"/>
        <v>2977.1932631039995</v>
      </c>
    </row>
    <row r="16" spans="2:263" x14ac:dyDescent="0.2">
      <c r="B16" s="2" t="s">
        <v>26</v>
      </c>
      <c r="C16" s="13">
        <f>+SUM(C13:C15)</f>
        <v>686</v>
      </c>
      <c r="D16" s="13">
        <f>+SUM(D13:D15)</f>
        <v>683</v>
      </c>
      <c r="E16" s="13">
        <f>+SUM(E13:E15)</f>
        <v>907</v>
      </c>
      <c r="F16" s="13">
        <f t="shared" si="11"/>
        <v>993</v>
      </c>
      <c r="G16" s="13">
        <f>+SUM(G13:G15)</f>
        <v>686</v>
      </c>
      <c r="H16" s="13">
        <f>+SUM(H13:H15)</f>
        <v>902</v>
      </c>
      <c r="I16" s="13">
        <f>+SUM(I13:I15)</f>
        <v>1308</v>
      </c>
      <c r="J16" s="13">
        <f t="shared" si="8"/>
        <v>1625</v>
      </c>
      <c r="K16" s="13">
        <f>+SUM(K13:K15)</f>
        <v>1392</v>
      </c>
      <c r="L16" s="13">
        <f>+SUM(L13:L15)</f>
        <v>494</v>
      </c>
      <c r="M16" s="13">
        <f>+SUM(M13:M15)</f>
        <v>1877</v>
      </c>
      <c r="N16" s="13">
        <f t="shared" si="9"/>
        <v>2631</v>
      </c>
      <c r="O16" s="13">
        <f>+SUM(O13:O15)</f>
        <v>1819.8032587216439</v>
      </c>
      <c r="P16" s="13">
        <f t="shared" ref="P16:R16" si="26">+SUM(P13:P15)</f>
        <v>642.81296772861015</v>
      </c>
      <c r="Q16" s="13">
        <f t="shared" si="26"/>
        <v>2426.4680814205285</v>
      </c>
      <c r="R16" s="13">
        <f t="shared" si="26"/>
        <v>3312.8999999999996</v>
      </c>
      <c r="U16" s="2">
        <f>+SUM(U13:U15)</f>
        <v>4630</v>
      </c>
      <c r="V16" s="2">
        <f>+SUM(V13:V15)</f>
        <v>3269</v>
      </c>
      <c r="W16" s="2">
        <f>+SUM(W13:W15)</f>
        <v>4521</v>
      </c>
      <c r="X16" s="2">
        <f>+SUM(X13:X15)</f>
        <v>6394</v>
      </c>
      <c r="Y16" s="20">
        <f t="shared" si="13"/>
        <v>8201.9843078707818</v>
      </c>
      <c r="Z16" s="2">
        <f>+SUM(Z13:Z15)</f>
        <v>9842.3811694449378</v>
      </c>
      <c r="AA16" s="2">
        <f t="shared" ref="AA16:AH16" si="27">+SUM(AA13:AA15)</f>
        <v>11810.857403333934</v>
      </c>
      <c r="AB16" s="2">
        <f t="shared" si="27"/>
        <v>14173.028884000712</v>
      </c>
      <c r="AC16" s="2">
        <f t="shared" si="27"/>
        <v>17007.63466080085</v>
      </c>
      <c r="AD16" s="2">
        <f t="shared" si="27"/>
        <v>20409.161592961027</v>
      </c>
      <c r="AE16" s="2">
        <f t="shared" si="27"/>
        <v>24490.993911553236</v>
      </c>
      <c r="AF16" s="2">
        <f t="shared" si="27"/>
        <v>29389.192693863875</v>
      </c>
      <c r="AG16" s="2">
        <f t="shared" si="27"/>
        <v>35267.031232636655</v>
      </c>
      <c r="AH16" s="2">
        <f t="shared" si="27"/>
        <v>42320.437479163978</v>
      </c>
    </row>
    <row r="17" spans="2:234" x14ac:dyDescent="0.2">
      <c r="B17" s="2" t="s">
        <v>28</v>
      </c>
      <c r="C17" s="13">
        <v>13</v>
      </c>
      <c r="D17" s="13">
        <v>-23</v>
      </c>
      <c r="E17" s="13">
        <v>-39</v>
      </c>
      <c r="F17" s="13">
        <f t="shared" si="11"/>
        <v>-297</v>
      </c>
      <c r="G17" s="13">
        <v>-52</v>
      </c>
      <c r="H17" s="13">
        <v>41</v>
      </c>
      <c r="I17" s="13">
        <v>-27</v>
      </c>
      <c r="J17" s="13">
        <f t="shared" si="8"/>
        <v>419</v>
      </c>
      <c r="K17" s="13">
        <v>123</v>
      </c>
      <c r="L17" s="13">
        <v>-834</v>
      </c>
      <c r="M17" s="13">
        <v>153</v>
      </c>
      <c r="N17" s="13">
        <f t="shared" si="9"/>
        <v>455</v>
      </c>
      <c r="O17" s="13">
        <f>+O16*(N17/N16)</f>
        <v>314.71322034144737</v>
      </c>
      <c r="P17" s="13">
        <f t="shared" ref="P17:R17" si="28">+P16*(O17/O16)</f>
        <v>111.16681882041718</v>
      </c>
      <c r="Q17" s="13">
        <f t="shared" si="28"/>
        <v>419.62864958051705</v>
      </c>
      <c r="R17" s="13">
        <f t="shared" si="28"/>
        <v>572.92645381984028</v>
      </c>
      <c r="U17" s="2">
        <v>-122</v>
      </c>
      <c r="V17" s="2">
        <v>-346</v>
      </c>
      <c r="W17" s="2">
        <v>381</v>
      </c>
      <c r="X17" s="2">
        <v>-103</v>
      </c>
      <c r="Y17" s="20">
        <f t="shared" si="13"/>
        <v>1418.4351425622217</v>
      </c>
      <c r="Z17" s="2">
        <f>+Z16*(Y17/Y16)</f>
        <v>1702.1221710746661</v>
      </c>
      <c r="AA17" s="2">
        <f t="shared" ref="AA17:AH17" si="29">+AA16*(Z17/Z16)</f>
        <v>2042.5466052896008</v>
      </c>
      <c r="AB17" s="2">
        <f t="shared" si="29"/>
        <v>2451.0559263475197</v>
      </c>
      <c r="AC17" s="2">
        <f t="shared" si="29"/>
        <v>2941.2671116170231</v>
      </c>
      <c r="AD17" s="2">
        <f t="shared" si="29"/>
        <v>3529.5205339404288</v>
      </c>
      <c r="AE17" s="2">
        <f t="shared" si="29"/>
        <v>4235.4246407285154</v>
      </c>
      <c r="AF17" s="2">
        <f t="shared" si="29"/>
        <v>5082.5095688742167</v>
      </c>
      <c r="AG17" s="2">
        <f t="shared" si="29"/>
        <v>6099.0114826490608</v>
      </c>
      <c r="AH17" s="2">
        <f t="shared" si="29"/>
        <v>7318.8137791788722</v>
      </c>
    </row>
    <row r="18" spans="2:234" x14ac:dyDescent="0.2">
      <c r="B18" s="2" t="s">
        <v>29</v>
      </c>
      <c r="C18" s="13">
        <f>+C16-C17</f>
        <v>673</v>
      </c>
      <c r="D18" s="13">
        <f>+D16-D17</f>
        <v>706</v>
      </c>
      <c r="E18" s="13">
        <f>+E16-E17</f>
        <v>946</v>
      </c>
      <c r="F18" s="13">
        <f t="shared" si="11"/>
        <v>1290</v>
      </c>
      <c r="G18" s="13">
        <f>+G16-G17</f>
        <v>738</v>
      </c>
      <c r="H18" s="13">
        <f>+H16-H17</f>
        <v>861</v>
      </c>
      <c r="I18" s="13">
        <f>+I16-I17</f>
        <v>1335</v>
      </c>
      <c r="J18" s="13">
        <f t="shared" si="8"/>
        <v>1206</v>
      </c>
      <c r="K18" s="13">
        <f>+K16-K17</f>
        <v>1269</v>
      </c>
      <c r="L18" s="13">
        <f>+L16-L17</f>
        <v>1328</v>
      </c>
      <c r="M18" s="13">
        <f>+M16-M17</f>
        <v>1724</v>
      </c>
      <c r="N18" s="13">
        <f t="shared" si="9"/>
        <v>2176</v>
      </c>
      <c r="O18" s="13">
        <f>+O16-O17</f>
        <v>1505.0900383801966</v>
      </c>
      <c r="P18" s="13">
        <f t="shared" ref="P18:R18" si="30">+P16-P17</f>
        <v>531.64614890819303</v>
      </c>
      <c r="Q18" s="13">
        <f t="shared" si="30"/>
        <v>2006.8394318400115</v>
      </c>
      <c r="R18" s="13">
        <f t="shared" si="30"/>
        <v>2739.9735461801592</v>
      </c>
      <c r="U18" s="2">
        <f>+U16-U17</f>
        <v>4752</v>
      </c>
      <c r="V18" s="2">
        <f>+V16-V17</f>
        <v>3615</v>
      </c>
      <c r="W18" s="2">
        <f>+W16-W17</f>
        <v>4140</v>
      </c>
      <c r="X18" s="2">
        <f>+X16-X17</f>
        <v>6497</v>
      </c>
      <c r="Y18" s="20">
        <f t="shared" si="13"/>
        <v>6783.5491653085601</v>
      </c>
      <c r="Z18" s="2">
        <f>+Z16-Z17</f>
        <v>8140.2589983702719</v>
      </c>
      <c r="AA18" s="2">
        <f t="shared" ref="AA18:AH18" si="31">+AA16-AA17</f>
        <v>9768.3107980443328</v>
      </c>
      <c r="AB18" s="2">
        <f t="shared" si="31"/>
        <v>11721.972957653194</v>
      </c>
      <c r="AC18" s="2">
        <f t="shared" si="31"/>
        <v>14066.367549183826</v>
      </c>
      <c r="AD18" s="2">
        <f t="shared" si="31"/>
        <v>16879.6410590206</v>
      </c>
      <c r="AE18" s="2">
        <f t="shared" si="31"/>
        <v>20255.569270824722</v>
      </c>
      <c r="AF18" s="2">
        <f t="shared" si="31"/>
        <v>24306.683124989657</v>
      </c>
      <c r="AG18" s="2">
        <f t="shared" si="31"/>
        <v>29168.019749987594</v>
      </c>
      <c r="AH18" s="2">
        <f t="shared" si="31"/>
        <v>35001.62369998511</v>
      </c>
      <c r="AI18" s="2">
        <f>+AH18*(1+$AK$26)</f>
        <v>35351.639936984961</v>
      </c>
      <c r="AJ18" s="2">
        <f t="shared" ref="AJ18:CU18" si="32">+AI18*(1+$AK$26)</f>
        <v>35705.156336354812</v>
      </c>
      <c r="AK18" s="2">
        <f t="shared" si="32"/>
        <v>36062.207899718363</v>
      </c>
      <c r="AL18" s="2">
        <f t="shared" si="32"/>
        <v>36422.829978715548</v>
      </c>
      <c r="AM18" s="2">
        <f t="shared" si="32"/>
        <v>36787.058278502707</v>
      </c>
      <c r="AN18" s="2">
        <f t="shared" si="32"/>
        <v>37154.928861287735</v>
      </c>
      <c r="AO18" s="2">
        <f t="shared" si="32"/>
        <v>37526.478149900613</v>
      </c>
      <c r="AP18" s="2">
        <f t="shared" si="32"/>
        <v>37901.742931399618</v>
      </c>
      <c r="AQ18" s="2">
        <f t="shared" si="32"/>
        <v>38280.760360713612</v>
      </c>
      <c r="AR18" s="2">
        <f t="shared" si="32"/>
        <v>38663.567964320748</v>
      </c>
      <c r="AS18" s="2">
        <f t="shared" si="32"/>
        <v>39050.203643963956</v>
      </c>
      <c r="AT18" s="2">
        <f t="shared" si="32"/>
        <v>39440.705680403596</v>
      </c>
      <c r="AU18" s="2">
        <f t="shared" si="32"/>
        <v>39835.11273720763</v>
      </c>
      <c r="AV18" s="2">
        <f t="shared" si="32"/>
        <v>40233.463864579709</v>
      </c>
      <c r="AW18" s="2">
        <f t="shared" si="32"/>
        <v>40635.798503225509</v>
      </c>
      <c r="AX18" s="2">
        <f t="shared" si="32"/>
        <v>41042.156488257766</v>
      </c>
      <c r="AY18" s="2">
        <f t="shared" si="32"/>
        <v>41452.578053140343</v>
      </c>
      <c r="AZ18" s="2">
        <f t="shared" si="32"/>
        <v>41867.103833671747</v>
      </c>
      <c r="BA18" s="2">
        <f t="shared" si="32"/>
        <v>42285.774872008464</v>
      </c>
      <c r="BB18" s="2">
        <f t="shared" si="32"/>
        <v>42708.632620728546</v>
      </c>
      <c r="BC18" s="2">
        <f t="shared" si="32"/>
        <v>43135.718946935835</v>
      </c>
      <c r="BD18" s="2">
        <f t="shared" si="32"/>
        <v>43567.076136405194</v>
      </c>
      <c r="BE18" s="2">
        <f t="shared" si="32"/>
        <v>44002.746897769248</v>
      </c>
      <c r="BF18" s="2">
        <f t="shared" si="32"/>
        <v>44442.77436674694</v>
      </c>
      <c r="BG18" s="2">
        <f t="shared" si="32"/>
        <v>44887.202110414408</v>
      </c>
      <c r="BH18" s="2">
        <f t="shared" si="32"/>
        <v>45336.074131518551</v>
      </c>
      <c r="BI18" s="2">
        <f t="shared" si="32"/>
        <v>45789.434872833735</v>
      </c>
      <c r="BJ18" s="2">
        <f t="shared" si="32"/>
        <v>46247.329221562075</v>
      </c>
      <c r="BK18" s="2">
        <f t="shared" si="32"/>
        <v>46709.802513777693</v>
      </c>
      <c r="BL18" s="2">
        <f t="shared" si="32"/>
        <v>47176.90053891547</v>
      </c>
      <c r="BM18" s="2">
        <f t="shared" si="32"/>
        <v>47648.669544304626</v>
      </c>
      <c r="BN18" s="2">
        <f t="shared" si="32"/>
        <v>48125.156239747674</v>
      </c>
      <c r="BO18" s="2">
        <f t="shared" si="32"/>
        <v>48606.40780214515</v>
      </c>
      <c r="BP18" s="2">
        <f t="shared" si="32"/>
        <v>49092.471880166602</v>
      </c>
      <c r="BQ18" s="2">
        <f t="shared" si="32"/>
        <v>49583.396598968269</v>
      </c>
      <c r="BR18" s="2">
        <f t="shared" si="32"/>
        <v>50079.23056495795</v>
      </c>
      <c r="BS18" s="2">
        <f t="shared" si="32"/>
        <v>50580.022870607529</v>
      </c>
      <c r="BT18" s="2">
        <f t="shared" si="32"/>
        <v>51085.823099313602</v>
      </c>
      <c r="BU18" s="2">
        <f t="shared" si="32"/>
        <v>51596.681330306739</v>
      </c>
      <c r="BV18" s="2">
        <f t="shared" si="32"/>
        <v>52112.648143609804</v>
      </c>
      <c r="BW18" s="2">
        <f t="shared" si="32"/>
        <v>52633.774625045902</v>
      </c>
      <c r="BX18" s="2">
        <f t="shared" si="32"/>
        <v>53160.11237129636</v>
      </c>
      <c r="BY18" s="2">
        <f t="shared" si="32"/>
        <v>53691.713495009324</v>
      </c>
      <c r="BZ18" s="2">
        <f t="shared" si="32"/>
        <v>54228.630629959414</v>
      </c>
      <c r="CA18" s="2">
        <f t="shared" si="32"/>
        <v>54770.916936259011</v>
      </c>
      <c r="CB18" s="2">
        <f t="shared" si="32"/>
        <v>55318.626105621603</v>
      </c>
      <c r="CC18" s="2">
        <f t="shared" si="32"/>
        <v>55871.812366677819</v>
      </c>
      <c r="CD18" s="2">
        <f t="shared" si="32"/>
        <v>56430.530490344601</v>
      </c>
      <c r="CE18" s="2">
        <f t="shared" si="32"/>
        <v>56994.835795248051</v>
      </c>
      <c r="CF18" s="2">
        <f t="shared" si="32"/>
        <v>57564.784153200533</v>
      </c>
      <c r="CG18" s="2">
        <f t="shared" si="32"/>
        <v>58140.431994732542</v>
      </c>
      <c r="CH18" s="2">
        <f t="shared" si="32"/>
        <v>58721.836314679866</v>
      </c>
      <c r="CI18" s="2">
        <f t="shared" si="32"/>
        <v>59309.054677826665</v>
      </c>
      <c r="CJ18" s="2">
        <f t="shared" si="32"/>
        <v>59902.14522460493</v>
      </c>
      <c r="CK18" s="2">
        <f t="shared" si="32"/>
        <v>60501.166676850982</v>
      </c>
      <c r="CL18" s="2">
        <f t="shared" si="32"/>
        <v>61106.178343619489</v>
      </c>
      <c r="CM18" s="2">
        <f t="shared" si="32"/>
        <v>61717.240127055687</v>
      </c>
      <c r="CN18" s="2">
        <f t="shared" si="32"/>
        <v>62334.412528326247</v>
      </c>
      <c r="CO18" s="2">
        <f t="shared" si="32"/>
        <v>62957.756653609511</v>
      </c>
      <c r="CP18" s="2">
        <f t="shared" si="32"/>
        <v>63587.334220145603</v>
      </c>
      <c r="CQ18" s="2">
        <f t="shared" si="32"/>
        <v>64223.207562347059</v>
      </c>
      <c r="CR18" s="2">
        <f t="shared" si="32"/>
        <v>64865.439637970529</v>
      </c>
      <c r="CS18" s="2">
        <f t="shared" si="32"/>
        <v>65514.094034350237</v>
      </c>
      <c r="CT18" s="2">
        <f t="shared" si="32"/>
        <v>66169.23497469374</v>
      </c>
      <c r="CU18" s="2">
        <f t="shared" si="32"/>
        <v>66830.92732444068</v>
      </c>
      <c r="CV18" s="2">
        <f t="shared" ref="CV18:FG18" si="33">+CU18*(1+$AK$26)</f>
        <v>67499.236597685085</v>
      </c>
      <c r="CW18" s="2">
        <f t="shared" si="33"/>
        <v>68174.228963661939</v>
      </c>
      <c r="CX18" s="2">
        <f t="shared" si="33"/>
        <v>68855.971253298558</v>
      </c>
      <c r="CY18" s="2">
        <f t="shared" si="33"/>
        <v>69544.530965831538</v>
      </c>
      <c r="CZ18" s="2">
        <f t="shared" si="33"/>
        <v>70239.976275489855</v>
      </c>
      <c r="DA18" s="2">
        <f t="shared" si="33"/>
        <v>70942.376038244751</v>
      </c>
      <c r="DB18" s="2">
        <f t="shared" si="33"/>
        <v>71651.799798627195</v>
      </c>
      <c r="DC18" s="2">
        <f t="shared" si="33"/>
        <v>72368.317796613468</v>
      </c>
      <c r="DD18" s="2">
        <f t="shared" si="33"/>
        <v>73092.000974579598</v>
      </c>
      <c r="DE18" s="2">
        <f t="shared" si="33"/>
        <v>73822.920984325392</v>
      </c>
      <c r="DF18" s="2">
        <f t="shared" si="33"/>
        <v>74561.150194168644</v>
      </c>
      <c r="DG18" s="2">
        <f t="shared" si="33"/>
        <v>75306.761696110334</v>
      </c>
      <c r="DH18" s="2">
        <f t="shared" si="33"/>
        <v>76059.829313071445</v>
      </c>
      <c r="DI18" s="2">
        <f t="shared" si="33"/>
        <v>76820.427606202153</v>
      </c>
      <c r="DJ18" s="2">
        <f t="shared" si="33"/>
        <v>77588.631882264177</v>
      </c>
      <c r="DK18" s="2">
        <f t="shared" si="33"/>
        <v>78364.518201086816</v>
      </c>
      <c r="DL18" s="2">
        <f t="shared" si="33"/>
        <v>79148.163383097679</v>
      </c>
      <c r="DM18" s="2">
        <f t="shared" si="33"/>
        <v>79939.645016928655</v>
      </c>
      <c r="DN18" s="2">
        <f t="shared" si="33"/>
        <v>80739.041467097937</v>
      </c>
      <c r="DO18" s="2">
        <f t="shared" si="33"/>
        <v>81546.43188176892</v>
      </c>
      <c r="DP18" s="2">
        <f t="shared" si="33"/>
        <v>82361.896200586605</v>
      </c>
      <c r="DQ18" s="2">
        <f t="shared" si="33"/>
        <v>83185.515162592477</v>
      </c>
      <c r="DR18" s="2">
        <f t="shared" si="33"/>
        <v>84017.370314218409</v>
      </c>
      <c r="DS18" s="2">
        <f t="shared" si="33"/>
        <v>84857.544017360589</v>
      </c>
      <c r="DT18" s="2">
        <f t="shared" si="33"/>
        <v>85706.119457534194</v>
      </c>
      <c r="DU18" s="2">
        <f t="shared" si="33"/>
        <v>86563.180652109542</v>
      </c>
      <c r="DV18" s="2">
        <f t="shared" si="33"/>
        <v>87428.812458630637</v>
      </c>
      <c r="DW18" s="2">
        <f t="shared" si="33"/>
        <v>88303.100583216947</v>
      </c>
      <c r="DX18" s="2">
        <f t="shared" si="33"/>
        <v>89186.131589049124</v>
      </c>
      <c r="DY18" s="2">
        <f t="shared" si="33"/>
        <v>90077.992904939616</v>
      </c>
      <c r="DZ18" s="2">
        <f t="shared" si="33"/>
        <v>90978.772833989016</v>
      </c>
      <c r="EA18" s="2">
        <f t="shared" si="33"/>
        <v>91888.560562328901</v>
      </c>
      <c r="EB18" s="2">
        <f t="shared" si="33"/>
        <v>92807.446167952192</v>
      </c>
      <c r="EC18" s="2">
        <f t="shared" si="33"/>
        <v>93735.520629631719</v>
      </c>
      <c r="ED18" s="2">
        <f t="shared" si="33"/>
        <v>94672.875835928033</v>
      </c>
      <c r="EE18" s="2">
        <f t="shared" si="33"/>
        <v>95619.604594287317</v>
      </c>
      <c r="EF18" s="2">
        <f t="shared" si="33"/>
        <v>96575.800640230198</v>
      </c>
      <c r="EG18" s="2">
        <f t="shared" si="33"/>
        <v>97541.558646632504</v>
      </c>
      <c r="EH18" s="2">
        <f t="shared" si="33"/>
        <v>98516.974233098823</v>
      </c>
      <c r="EI18" s="2">
        <f t="shared" si="33"/>
        <v>99502.143975429819</v>
      </c>
      <c r="EJ18" s="2">
        <f t="shared" si="33"/>
        <v>100497.16541518412</v>
      </c>
      <c r="EK18" s="2">
        <f t="shared" si="33"/>
        <v>101502.13706933596</v>
      </c>
      <c r="EL18" s="2">
        <f t="shared" si="33"/>
        <v>102517.15844002932</v>
      </c>
      <c r="EM18" s="2">
        <f t="shared" si="33"/>
        <v>103542.33002442961</v>
      </c>
      <c r="EN18" s="2">
        <f t="shared" si="33"/>
        <v>104577.7533246739</v>
      </c>
      <c r="EO18" s="2">
        <f t="shared" si="33"/>
        <v>105623.53085792065</v>
      </c>
      <c r="EP18" s="2">
        <f t="shared" si="33"/>
        <v>106679.76616649986</v>
      </c>
      <c r="EQ18" s="2">
        <f t="shared" si="33"/>
        <v>107746.56382816486</v>
      </c>
      <c r="ER18" s="2">
        <f t="shared" si="33"/>
        <v>108824.0294664465</v>
      </c>
      <c r="ES18" s="2">
        <f t="shared" si="33"/>
        <v>109912.26976111098</v>
      </c>
      <c r="ET18" s="2">
        <f t="shared" si="33"/>
        <v>111011.39245872208</v>
      </c>
      <c r="EU18" s="2">
        <f t="shared" si="33"/>
        <v>112121.5063833093</v>
      </c>
      <c r="EV18" s="2">
        <f t="shared" si="33"/>
        <v>113242.72144714239</v>
      </c>
      <c r="EW18" s="2">
        <f t="shared" si="33"/>
        <v>114375.14866161381</v>
      </c>
      <c r="EX18" s="2">
        <f t="shared" si="33"/>
        <v>115518.90014822995</v>
      </c>
      <c r="EY18" s="2">
        <f t="shared" si="33"/>
        <v>116674.08914971225</v>
      </c>
      <c r="EZ18" s="2">
        <f t="shared" si="33"/>
        <v>117840.83004120937</v>
      </c>
      <c r="FA18" s="2">
        <f t="shared" si="33"/>
        <v>119019.23834162146</v>
      </c>
      <c r="FB18" s="2">
        <f t="shared" si="33"/>
        <v>120209.43072503767</v>
      </c>
      <c r="FC18" s="2">
        <f t="shared" si="33"/>
        <v>121411.52503228805</v>
      </c>
      <c r="FD18" s="2">
        <f t="shared" si="33"/>
        <v>122625.64028261093</v>
      </c>
      <c r="FE18" s="2">
        <f t="shared" si="33"/>
        <v>123851.89668543704</v>
      </c>
      <c r="FF18" s="2">
        <f t="shared" si="33"/>
        <v>125090.41565229141</v>
      </c>
      <c r="FG18" s="2">
        <f t="shared" si="33"/>
        <v>126341.31980881433</v>
      </c>
      <c r="FH18" s="2">
        <f t="shared" ref="FH18:HS18" si="34">+FG18*(1+$AK$26)</f>
        <v>127604.73300690248</v>
      </c>
      <c r="FI18" s="2">
        <f t="shared" si="34"/>
        <v>128880.7803369715</v>
      </c>
      <c r="FJ18" s="2">
        <f t="shared" si="34"/>
        <v>130169.58814034121</v>
      </c>
      <c r="FK18" s="2">
        <f t="shared" si="34"/>
        <v>131471.28402174462</v>
      </c>
      <c r="FL18" s="2">
        <f t="shared" si="34"/>
        <v>132785.99686196208</v>
      </c>
      <c r="FM18" s="2">
        <f t="shared" si="34"/>
        <v>134113.8568305817</v>
      </c>
      <c r="FN18" s="2">
        <f t="shared" si="34"/>
        <v>135454.99539888752</v>
      </c>
      <c r="FO18" s="2">
        <f t="shared" si="34"/>
        <v>136809.54535287639</v>
      </c>
      <c r="FP18" s="2">
        <f t="shared" si="34"/>
        <v>138177.64080640516</v>
      </c>
      <c r="FQ18" s="2">
        <f t="shared" si="34"/>
        <v>139559.41721446923</v>
      </c>
      <c r="FR18" s="2">
        <f t="shared" si="34"/>
        <v>140955.01138661391</v>
      </c>
      <c r="FS18" s="2">
        <f t="shared" si="34"/>
        <v>142364.56150048005</v>
      </c>
      <c r="FT18" s="2">
        <f t="shared" si="34"/>
        <v>143788.20711548484</v>
      </c>
      <c r="FU18" s="2">
        <f t="shared" si="34"/>
        <v>145226.0891866397</v>
      </c>
      <c r="FV18" s="2">
        <f t="shared" si="34"/>
        <v>146678.3500785061</v>
      </c>
      <c r="FW18" s="2">
        <f t="shared" si="34"/>
        <v>148145.13357929117</v>
      </c>
      <c r="FX18" s="2">
        <f t="shared" si="34"/>
        <v>149626.58491508409</v>
      </c>
      <c r="FY18" s="2">
        <f t="shared" si="34"/>
        <v>151122.85076423493</v>
      </c>
      <c r="FZ18" s="2">
        <f t="shared" si="34"/>
        <v>152634.07927187727</v>
      </c>
      <c r="GA18" s="2">
        <f t="shared" si="34"/>
        <v>154160.42006459605</v>
      </c>
      <c r="GB18" s="2">
        <f t="shared" si="34"/>
        <v>155702.02426524201</v>
      </c>
      <c r="GC18" s="2">
        <f t="shared" si="34"/>
        <v>157259.04450789443</v>
      </c>
      <c r="GD18" s="2">
        <f t="shared" si="34"/>
        <v>158831.63495297337</v>
      </c>
      <c r="GE18" s="2">
        <f t="shared" si="34"/>
        <v>160419.95130250312</v>
      </c>
      <c r="GF18" s="2">
        <f t="shared" si="34"/>
        <v>162024.15081552815</v>
      </c>
      <c r="GG18" s="2">
        <f t="shared" si="34"/>
        <v>163644.39232368342</v>
      </c>
      <c r="GH18" s="2">
        <f t="shared" si="34"/>
        <v>165280.83624692025</v>
      </c>
      <c r="GI18" s="2">
        <f t="shared" si="34"/>
        <v>166933.64460938945</v>
      </c>
      <c r="GJ18" s="2">
        <f t="shared" si="34"/>
        <v>168602.98105548334</v>
      </c>
      <c r="GK18" s="2">
        <f t="shared" si="34"/>
        <v>170289.01086603818</v>
      </c>
      <c r="GL18" s="2">
        <f t="shared" si="34"/>
        <v>171991.90097469857</v>
      </c>
      <c r="GM18" s="2">
        <f t="shared" si="34"/>
        <v>173711.81998444555</v>
      </c>
      <c r="GN18" s="2">
        <f t="shared" si="34"/>
        <v>175448.93818429002</v>
      </c>
      <c r="GO18" s="2">
        <f t="shared" si="34"/>
        <v>177203.42756613292</v>
      </c>
      <c r="GP18" s="2">
        <f t="shared" si="34"/>
        <v>178975.46184179425</v>
      </c>
      <c r="GQ18" s="2">
        <f t="shared" si="34"/>
        <v>180765.21646021219</v>
      </c>
      <c r="GR18" s="2">
        <f t="shared" si="34"/>
        <v>182572.86862481432</v>
      </c>
      <c r="GS18" s="2">
        <f t="shared" si="34"/>
        <v>184398.59731106248</v>
      </c>
      <c r="GT18" s="2">
        <f t="shared" si="34"/>
        <v>186242.5832841731</v>
      </c>
      <c r="GU18" s="2">
        <f t="shared" si="34"/>
        <v>188105.00911701482</v>
      </c>
      <c r="GV18" s="2">
        <f t="shared" si="34"/>
        <v>189986.05920818498</v>
      </c>
      <c r="GW18" s="2">
        <f t="shared" si="34"/>
        <v>191885.91980026683</v>
      </c>
      <c r="GX18" s="2">
        <f t="shared" si="34"/>
        <v>193804.7789982695</v>
      </c>
      <c r="GY18" s="2">
        <f t="shared" si="34"/>
        <v>195742.82678825219</v>
      </c>
      <c r="GZ18" s="2">
        <f t="shared" si="34"/>
        <v>197700.25505613472</v>
      </c>
      <c r="HA18" s="2">
        <f t="shared" si="34"/>
        <v>199677.25760669608</v>
      </c>
      <c r="HB18" s="2">
        <f t="shared" si="34"/>
        <v>201674.03018276303</v>
      </c>
      <c r="HC18" s="2">
        <f t="shared" si="34"/>
        <v>203690.77048459067</v>
      </c>
      <c r="HD18" s="2">
        <f t="shared" si="34"/>
        <v>205727.67818943658</v>
      </c>
      <c r="HE18" s="2">
        <f t="shared" si="34"/>
        <v>207784.95497133094</v>
      </c>
      <c r="HF18" s="2">
        <f t="shared" si="34"/>
        <v>209862.80452104425</v>
      </c>
      <c r="HG18" s="2">
        <f t="shared" si="34"/>
        <v>211961.43256625469</v>
      </c>
      <c r="HH18" s="2">
        <f t="shared" si="34"/>
        <v>214081.04689191724</v>
      </c>
      <c r="HI18" s="2">
        <f t="shared" si="34"/>
        <v>216221.85736083641</v>
      </c>
      <c r="HJ18" s="2">
        <f t="shared" si="34"/>
        <v>218384.07593444479</v>
      </c>
      <c r="HK18" s="2">
        <f t="shared" si="34"/>
        <v>220567.91669378924</v>
      </c>
      <c r="HL18" s="2">
        <f t="shared" si="34"/>
        <v>222773.59586072713</v>
      </c>
      <c r="HM18" s="2">
        <f t="shared" si="34"/>
        <v>225001.33181933442</v>
      </c>
      <c r="HN18" s="2">
        <f t="shared" si="34"/>
        <v>227251.34513752777</v>
      </c>
      <c r="HO18" s="2">
        <f t="shared" si="34"/>
        <v>229523.85858890304</v>
      </c>
      <c r="HP18" s="2">
        <f t="shared" si="34"/>
        <v>231819.09717479206</v>
      </c>
      <c r="HQ18" s="2">
        <f t="shared" si="34"/>
        <v>234137.28814653997</v>
      </c>
      <c r="HR18" s="2">
        <f t="shared" si="34"/>
        <v>236478.66102800536</v>
      </c>
      <c r="HS18" s="2">
        <f t="shared" si="34"/>
        <v>238843.4476382854</v>
      </c>
      <c r="HT18" s="2">
        <f t="shared" ref="HT18:HZ18" si="35">+HS18*(1+$AK$26)</f>
        <v>241231.88211466826</v>
      </c>
      <c r="HU18" s="2">
        <f t="shared" si="35"/>
        <v>243644.20093581494</v>
      </c>
      <c r="HV18" s="2">
        <f t="shared" si="35"/>
        <v>246080.64294517308</v>
      </c>
      <c r="HW18" s="2">
        <f t="shared" si="35"/>
        <v>248541.44937462482</v>
      </c>
      <c r="HX18" s="2">
        <f t="shared" si="35"/>
        <v>251026.86386837106</v>
      </c>
      <c r="HY18" s="2">
        <f t="shared" si="35"/>
        <v>253537.13250705478</v>
      </c>
      <c r="HZ18" s="2">
        <f t="shared" si="35"/>
        <v>256072.50383212534</v>
      </c>
    </row>
    <row r="21" spans="2:234" x14ac:dyDescent="0.2">
      <c r="F21" s="16"/>
      <c r="G21" s="16">
        <f>+G4/C4-1</f>
        <v>0.80463320463320454</v>
      </c>
      <c r="H21" s="16">
        <f>+H4/D4-1</f>
        <v>1.1453444360333083</v>
      </c>
      <c r="I21" s="16">
        <f>+I4/E4-1</f>
        <v>1.2209011264080099</v>
      </c>
      <c r="J21" s="16">
        <f>+J4/F4-1</f>
        <v>0.69106047326906217</v>
      </c>
      <c r="K21" s="16">
        <f>+K4/G4-1</f>
        <v>0.57210098416773647</v>
      </c>
      <c r="L21" s="16">
        <f>+L4/H4-1</f>
        <v>0.14326040931545525</v>
      </c>
      <c r="M21" s="16">
        <f>+M4/I4-1</f>
        <v>0.22316145393068476</v>
      </c>
      <c r="N21" s="16">
        <f>+N4/J4-1</f>
        <v>0.39414356050790356</v>
      </c>
      <c r="O21" s="16">
        <f>+O4/K4-1</f>
        <v>0.33369624387588459</v>
      </c>
      <c r="P21" s="16">
        <f>+P4/L4-1</f>
        <v>0.51234567901234573</v>
      </c>
      <c r="Q21" s="16">
        <f>+Q4/M4-1</f>
        <v>0.38445058742225302</v>
      </c>
      <c r="R21" s="16">
        <f>+R4/N4-1</f>
        <v>0.2407992565055761</v>
      </c>
      <c r="Y21" s="3">
        <f>+Y4/X4-1</f>
        <v>0.35169221520889704</v>
      </c>
      <c r="Z21" s="3">
        <f>+Z4/Y4-1</f>
        <v>0.39999999999999991</v>
      </c>
      <c r="AA21" s="3">
        <f>+AA4/Z4-1</f>
        <v>0.39999999999999991</v>
      </c>
      <c r="AB21" s="3">
        <f>+AB4/AA4-1</f>
        <v>-1</v>
      </c>
    </row>
    <row r="23" spans="2:234" s="4" customFormat="1" x14ac:dyDescent="0.2">
      <c r="B23" s="4" t="s">
        <v>30</v>
      </c>
      <c r="C23" s="15"/>
      <c r="D23" s="15"/>
      <c r="E23" s="15"/>
      <c r="F23" s="15"/>
      <c r="G23" s="15">
        <f t="shared" ref="G23:O23" si="36">+G8/C8-1</f>
        <v>2.2417336073230043E-2</v>
      </c>
      <c r="H23" s="15">
        <f t="shared" si="36"/>
        <v>8.882254151894009E-2</v>
      </c>
      <c r="I23" s="15">
        <f t="shared" si="36"/>
        <v>0.17568965517241386</v>
      </c>
      <c r="J23" s="15">
        <f t="shared" si="36"/>
        <v>0.24156939040207526</v>
      </c>
      <c r="K23" s="15">
        <f t="shared" si="36"/>
        <v>0.35903526402338759</v>
      </c>
      <c r="L23" s="15">
        <f t="shared" si="36"/>
        <v>0.31705227077977716</v>
      </c>
      <c r="M23" s="15">
        <f t="shared" si="36"/>
        <v>0.35591728992520899</v>
      </c>
      <c r="N23" s="15">
        <f t="shared" si="36"/>
        <v>0.34108122225124049</v>
      </c>
      <c r="O23" s="15">
        <f t="shared" si="36"/>
        <v>0.31755848346329651</v>
      </c>
      <c r="P23" s="15">
        <f t="shared" ref="P23" si="37">+P8/L8-1</f>
        <v>0.27521145087833432</v>
      </c>
      <c r="Q23" s="15">
        <f t="shared" ref="Q23" si="38">+Q8/M8-1</f>
        <v>0.30000000000000004</v>
      </c>
      <c r="R23" s="15">
        <f t="shared" ref="R23" si="39">+R8/N8-1</f>
        <v>0.30000000000000004</v>
      </c>
      <c r="V23" s="4">
        <f>+V8/U8-1</f>
        <v>-3.9023770179229644E-2</v>
      </c>
      <c r="W23" s="4">
        <f>+W8/V8-1</f>
        <v>0.13690476190476186</v>
      </c>
      <c r="X23" s="4">
        <f t="shared" ref="X23:AH23" si="40">+X8/W8-1</f>
        <v>0.3433779329067288</v>
      </c>
      <c r="Y23" s="4">
        <f t="shared" si="40"/>
        <v>0.29827073529836312</v>
      </c>
      <c r="Z23" s="4">
        <f t="shared" si="40"/>
        <v>0.19999999999999996</v>
      </c>
      <c r="AA23" s="4">
        <f t="shared" si="40"/>
        <v>0.19999999999999996</v>
      </c>
      <c r="AB23" s="4">
        <f t="shared" si="40"/>
        <v>0.19999999999999996</v>
      </c>
      <c r="AC23" s="4">
        <f t="shared" si="40"/>
        <v>0.19999999999999996</v>
      </c>
      <c r="AD23" s="4">
        <f t="shared" si="40"/>
        <v>0.19999999999999996</v>
      </c>
      <c r="AE23" s="4">
        <f t="shared" si="40"/>
        <v>0.19999999999999996</v>
      </c>
      <c r="AF23" s="4">
        <f t="shared" si="40"/>
        <v>0.19999999999999996</v>
      </c>
      <c r="AG23" s="4">
        <f t="shared" si="40"/>
        <v>0.19999999999999996</v>
      </c>
      <c r="AH23" s="4">
        <f t="shared" si="40"/>
        <v>0.19999999999999996</v>
      </c>
    </row>
    <row r="24" spans="2:234" x14ac:dyDescent="0.2">
      <c r="B24" s="2" t="s">
        <v>31</v>
      </c>
      <c r="C24" s="16">
        <f t="shared" ref="C24:K24" si="41">+C10/C8</f>
        <v>0.49766486082570521</v>
      </c>
      <c r="D24" s="16">
        <f t="shared" si="41"/>
        <v>0.49542825153946629</v>
      </c>
      <c r="E24" s="16">
        <f t="shared" si="41"/>
        <v>0.5098275862068965</v>
      </c>
      <c r="F24" s="16">
        <f t="shared" si="41"/>
        <v>0.50680933852140075</v>
      </c>
      <c r="G24" s="16">
        <f t="shared" si="41"/>
        <v>0.5097752603690846</v>
      </c>
      <c r="H24" s="16">
        <f t="shared" si="41"/>
        <v>0.53041988003427587</v>
      </c>
      <c r="I24" s="16">
        <f t="shared" si="41"/>
        <v>0.53556239917876525</v>
      </c>
      <c r="J24" s="16">
        <f t="shared" si="41"/>
        <v>0.53982763123530952</v>
      </c>
      <c r="K24" s="16">
        <f t="shared" si="41"/>
        <v>0.53603119118042486</v>
      </c>
      <c r="L24" s="16">
        <f>+L10/L8</f>
        <v>0.43188028627195835</v>
      </c>
      <c r="M24" s="16">
        <f>+M10/M8</f>
        <v>0.54510058403633999</v>
      </c>
      <c r="N24" s="16">
        <f>+N10/N8</f>
        <v>0.56835443037974687</v>
      </c>
      <c r="O24" s="16">
        <f>+O10/O8</f>
        <v>0.53603119118042486</v>
      </c>
      <c r="P24" s="16">
        <f t="shared" ref="P24:R24" si="42">+P10/P8</f>
        <v>0.43188028627195835</v>
      </c>
      <c r="Q24" s="16">
        <f t="shared" si="42"/>
        <v>0.5451005840363401</v>
      </c>
      <c r="R24" s="16">
        <f t="shared" si="42"/>
        <v>0.56835443037974676</v>
      </c>
      <c r="U24" s="3">
        <f>+U10/U8</f>
        <v>0.51061395703571888</v>
      </c>
      <c r="V24" s="3">
        <f>+V10/V8</f>
        <v>0.5027336860670194</v>
      </c>
      <c r="W24" s="3">
        <f>+W10/W8</f>
        <v>0.53019197207678881</v>
      </c>
      <c r="X24" s="3">
        <f t="shared" ref="X24:AH24" si="43">+X10/X8</f>
        <v>0.52492854874563355</v>
      </c>
      <c r="Y24" s="3">
        <f t="shared" si="43"/>
        <v>0.525354952080758</v>
      </c>
      <c r="Z24" s="3">
        <f t="shared" si="43"/>
        <v>0.525354952080758</v>
      </c>
      <c r="AA24" s="3">
        <f t="shared" si="43"/>
        <v>0.52535495208075811</v>
      </c>
      <c r="AB24" s="3">
        <f t="shared" si="43"/>
        <v>0.52535495208075811</v>
      </c>
      <c r="AC24" s="3">
        <f t="shared" si="43"/>
        <v>0.52535495208075811</v>
      </c>
      <c r="AD24" s="3">
        <f t="shared" si="43"/>
        <v>0.52535495208075811</v>
      </c>
      <c r="AE24" s="3">
        <f t="shared" si="43"/>
        <v>0.52535495208075811</v>
      </c>
      <c r="AF24" s="3">
        <f t="shared" si="43"/>
        <v>0.52535495208075811</v>
      </c>
      <c r="AG24" s="3">
        <f t="shared" si="43"/>
        <v>0.52535495208075811</v>
      </c>
      <c r="AH24" s="3">
        <f t="shared" si="43"/>
        <v>0.52535495208075811</v>
      </c>
    </row>
    <row r="26" spans="2:234" s="18" customFormat="1" x14ac:dyDescent="0.2">
      <c r="B26" s="18" t="s">
        <v>112</v>
      </c>
      <c r="C26" s="17"/>
      <c r="D26" s="17"/>
      <c r="E26" s="17">
        <f>+SUM(E27:E28)-E42-E45</f>
        <v>0</v>
      </c>
      <c r="F26" s="17">
        <f>+SUM(F27:F28)-F42-F45</f>
        <v>0</v>
      </c>
      <c r="G26" s="17">
        <f>+SUM(G27:G28)-G42-G45</f>
        <v>0</v>
      </c>
      <c r="H26" s="17">
        <f>+SUM(H27:H28)-H42-H45</f>
        <v>0</v>
      </c>
      <c r="I26" s="17">
        <f>+SUM(I27:I28)-I42-I45</f>
        <v>0</v>
      </c>
      <c r="J26" s="17">
        <f>+SUM(J27:J28)-J42-J45</f>
        <v>3411</v>
      </c>
      <c r="K26" s="17">
        <f>+SUM(K27:K28)-K42-K45</f>
        <v>3146</v>
      </c>
      <c r="L26" s="17">
        <f>+SUM(L27:L28)-L42-L45</f>
        <v>681</v>
      </c>
      <c r="M26" s="17">
        <f>+SUM(M27:M28)-M42-M45</f>
        <v>4023</v>
      </c>
      <c r="N26" s="17">
        <f>+SUM(N27:N28)-N42-N45</f>
        <v>7330</v>
      </c>
      <c r="O26" s="17"/>
      <c r="P26" s="17"/>
      <c r="Q26" s="17"/>
      <c r="R26" s="17"/>
      <c r="AJ26" s="18" t="s">
        <v>120</v>
      </c>
      <c r="AK26" s="21">
        <v>0.01</v>
      </c>
    </row>
    <row r="27" spans="2:234" x14ac:dyDescent="0.2">
      <c r="B27" s="2" t="s">
        <v>109</v>
      </c>
      <c r="J27" s="13">
        <v>3787</v>
      </c>
      <c r="K27" s="13">
        <v>6049</v>
      </c>
      <c r="L27" s="13">
        <v>4442</v>
      </c>
      <c r="M27" s="13">
        <v>4808</v>
      </c>
      <c r="N27" s="13">
        <v>5539</v>
      </c>
      <c r="AJ27" s="2" t="s">
        <v>121</v>
      </c>
      <c r="AK27" s="22">
        <v>0.08</v>
      </c>
    </row>
    <row r="28" spans="2:234" x14ac:dyDescent="0.2">
      <c r="B28" s="2" t="s">
        <v>101</v>
      </c>
      <c r="J28" s="13">
        <v>1345</v>
      </c>
      <c r="K28" s="13">
        <v>1261</v>
      </c>
      <c r="L28" s="13">
        <v>1425</v>
      </c>
      <c r="M28" s="13">
        <v>2435</v>
      </c>
      <c r="N28" s="13">
        <v>5013</v>
      </c>
      <c r="AJ28" s="2" t="s">
        <v>122</v>
      </c>
      <c r="AK28" s="2">
        <f>NPV(AK27,Y18:HZ18)</f>
        <v>339518.87468266045</v>
      </c>
    </row>
    <row r="29" spans="2:234" x14ac:dyDescent="0.2">
      <c r="B29" s="2" t="s">
        <v>102</v>
      </c>
      <c r="J29" s="13">
        <v>6192</v>
      </c>
      <c r="K29" s="13">
        <v>5443</v>
      </c>
      <c r="L29" s="13">
        <v>5115</v>
      </c>
      <c r="M29" s="13">
        <v>6201</v>
      </c>
      <c r="N29" s="13">
        <v>6315</v>
      </c>
      <c r="AJ29" s="2" t="s">
        <v>123</v>
      </c>
      <c r="AK29" s="2">
        <f>+Main!H4</f>
        <v>1630.4108430000001</v>
      </c>
    </row>
    <row r="30" spans="2:234" x14ac:dyDescent="0.2">
      <c r="B30" s="2" t="s">
        <v>103</v>
      </c>
      <c r="J30" s="13">
        <v>5734</v>
      </c>
      <c r="K30" s="13">
        <v>6416</v>
      </c>
      <c r="L30" s="13">
        <v>6677</v>
      </c>
      <c r="M30" s="13">
        <v>7313</v>
      </c>
      <c r="N30" s="13">
        <v>7920</v>
      </c>
      <c r="AJ30" s="18" t="s">
        <v>124</v>
      </c>
      <c r="AK30" s="18">
        <f>+AK28/AK29</f>
        <v>208.24130073738746</v>
      </c>
    </row>
    <row r="31" spans="2:234" x14ac:dyDescent="0.2">
      <c r="B31" s="2" t="s">
        <v>110</v>
      </c>
      <c r="K31" s="13">
        <v>0</v>
      </c>
      <c r="L31" s="13">
        <v>4326</v>
      </c>
      <c r="M31" s="13">
        <v>3990</v>
      </c>
    </row>
    <row r="32" spans="2:234" x14ac:dyDescent="0.2">
      <c r="B32" s="2" t="s">
        <v>104</v>
      </c>
      <c r="J32" s="13">
        <v>1991</v>
      </c>
      <c r="K32" s="13">
        <v>2426</v>
      </c>
      <c r="L32" s="13">
        <v>2534</v>
      </c>
      <c r="M32" s="13">
        <v>2253</v>
      </c>
      <c r="N32" s="13">
        <v>2160</v>
      </c>
    </row>
    <row r="33" spans="2:18" x14ac:dyDescent="0.2">
      <c r="B33" s="2" t="s">
        <v>105</v>
      </c>
      <c r="J33" s="13">
        <v>1802</v>
      </c>
      <c r="K33" s="13">
        <v>1921</v>
      </c>
      <c r="L33" s="13">
        <v>2128</v>
      </c>
      <c r="M33" s="13">
        <v>2205</v>
      </c>
      <c r="N33" s="13">
        <v>2312</v>
      </c>
    </row>
    <row r="34" spans="2:18" x14ac:dyDescent="0.2">
      <c r="B34" s="2" t="s">
        <v>106</v>
      </c>
      <c r="J34" s="13">
        <v>24839</v>
      </c>
      <c r="K34" s="13">
        <v>24839</v>
      </c>
      <c r="L34" s="13">
        <v>25083</v>
      </c>
      <c r="M34" s="13">
        <v>25083</v>
      </c>
      <c r="N34" s="13">
        <v>25126</v>
      </c>
    </row>
    <row r="35" spans="2:18" x14ac:dyDescent="0.2">
      <c r="B35" s="2" t="s">
        <v>107</v>
      </c>
      <c r="J35" s="13">
        <v>18930</v>
      </c>
      <c r="K35" s="13">
        <v>18363</v>
      </c>
      <c r="L35" s="13">
        <v>17812</v>
      </c>
      <c r="M35" s="13">
        <v>17250</v>
      </c>
      <c r="N35" s="13">
        <v>16705</v>
      </c>
    </row>
    <row r="36" spans="2:18" x14ac:dyDescent="0.2">
      <c r="B36" s="2" t="s">
        <v>108</v>
      </c>
      <c r="J36" s="13">
        <v>688</v>
      </c>
      <c r="K36" s="13">
        <v>845</v>
      </c>
      <c r="L36" s="13">
        <v>860</v>
      </c>
      <c r="M36" s="13">
        <v>633</v>
      </c>
      <c r="N36" s="13">
        <v>384</v>
      </c>
    </row>
    <row r="37" spans="2:18" x14ac:dyDescent="0.2">
      <c r="B37" s="2" t="s">
        <v>100</v>
      </c>
      <c r="J37" s="13">
        <v>3918</v>
      </c>
      <c r="K37" s="13">
        <v>3987</v>
      </c>
      <c r="L37" s="13">
        <v>4418</v>
      </c>
      <c r="M37" s="13">
        <v>4720</v>
      </c>
      <c r="N37" s="13">
        <v>5452</v>
      </c>
    </row>
    <row r="38" spans="2:18" s="18" customFormat="1" x14ac:dyDescent="0.2">
      <c r="B38" s="18" t="s">
        <v>99</v>
      </c>
      <c r="C38" s="17"/>
      <c r="D38" s="17"/>
      <c r="E38" s="17"/>
      <c r="F38" s="17"/>
      <c r="G38" s="17"/>
      <c r="H38" s="17"/>
      <c r="I38" s="17"/>
      <c r="J38" s="17">
        <f>+SUM(J27:J37)</f>
        <v>69226</v>
      </c>
      <c r="K38" s="17">
        <f>+SUM(K27:K37)</f>
        <v>71550</v>
      </c>
      <c r="L38" s="17">
        <f>+SUM(L27:L37)</f>
        <v>74820</v>
      </c>
      <c r="M38" s="17">
        <f>+SUM(M27:M37)</f>
        <v>76891</v>
      </c>
      <c r="N38" s="17">
        <f>+SUM(N27:N37)</f>
        <v>76926</v>
      </c>
      <c r="O38" s="17"/>
      <c r="P38" s="17"/>
      <c r="Q38" s="17"/>
      <c r="R38" s="17"/>
    </row>
    <row r="40" spans="2:18" x14ac:dyDescent="0.2">
      <c r="B40" s="2" t="s">
        <v>98</v>
      </c>
      <c r="J40" s="13">
        <v>2466</v>
      </c>
      <c r="K40" s="13">
        <v>2206</v>
      </c>
      <c r="L40" s="13">
        <v>3080</v>
      </c>
      <c r="M40" s="13">
        <v>3483</v>
      </c>
      <c r="N40" s="13">
        <v>2929</v>
      </c>
    </row>
    <row r="41" spans="2:18" x14ac:dyDescent="0.2">
      <c r="B41" s="2" t="s">
        <v>97</v>
      </c>
      <c r="J41" s="13">
        <v>4260</v>
      </c>
      <c r="K41" s="13">
        <v>3876</v>
      </c>
      <c r="L41" s="13">
        <v>4479</v>
      </c>
      <c r="M41" s="13">
        <v>5112</v>
      </c>
      <c r="N41" s="13">
        <v>5250</v>
      </c>
    </row>
    <row r="42" spans="2:18" x14ac:dyDescent="0.2">
      <c r="B42" s="2" t="s">
        <v>96</v>
      </c>
      <c r="J42" s="13">
        <v>0</v>
      </c>
      <c r="K42" s="13">
        <v>947</v>
      </c>
      <c r="L42" s="13">
        <v>1968</v>
      </c>
      <c r="M42" s="13">
        <v>873</v>
      </c>
      <c r="N42" s="13">
        <v>874</v>
      </c>
    </row>
    <row r="43" spans="2:18" x14ac:dyDescent="0.2">
      <c r="B43" s="2" t="s">
        <v>111</v>
      </c>
      <c r="K43" s="13">
        <v>0</v>
      </c>
      <c r="L43" s="13">
        <v>0</v>
      </c>
      <c r="M43" s="13">
        <v>1908</v>
      </c>
    </row>
    <row r="44" spans="2:18" x14ac:dyDescent="0.2">
      <c r="B44" s="2" t="s">
        <v>95</v>
      </c>
      <c r="J44" s="13">
        <v>555</v>
      </c>
      <c r="K44" s="13">
        <v>674</v>
      </c>
      <c r="L44" s="13">
        <v>316</v>
      </c>
      <c r="M44" s="13">
        <v>324</v>
      </c>
      <c r="N44" s="13">
        <v>402</v>
      </c>
    </row>
    <row r="45" spans="2:18" x14ac:dyDescent="0.2">
      <c r="B45" s="2" t="s">
        <v>94</v>
      </c>
      <c r="J45" s="13">
        <v>1721</v>
      </c>
      <c r="K45" s="13">
        <v>3217</v>
      </c>
      <c r="L45" s="13">
        <v>3218</v>
      </c>
      <c r="M45" s="13">
        <v>2347</v>
      </c>
      <c r="N45" s="13">
        <v>2348</v>
      </c>
    </row>
    <row r="46" spans="2:18" x14ac:dyDescent="0.2">
      <c r="B46" s="2" t="s">
        <v>93</v>
      </c>
      <c r="J46" s="13">
        <v>491</v>
      </c>
      <c r="K46" s="13">
        <v>567</v>
      </c>
      <c r="L46" s="13">
        <v>668</v>
      </c>
      <c r="M46" s="13">
        <v>650</v>
      </c>
      <c r="N46" s="13">
        <v>625</v>
      </c>
    </row>
    <row r="47" spans="2:18" x14ac:dyDescent="0.2">
      <c r="B47" s="2" t="s">
        <v>92</v>
      </c>
      <c r="J47" s="13">
        <v>349</v>
      </c>
      <c r="K47" s="13">
        <v>343</v>
      </c>
      <c r="L47" s="13">
        <v>341</v>
      </c>
      <c r="M47" s="13">
        <v>326</v>
      </c>
      <c r="N47" s="13">
        <v>313</v>
      </c>
    </row>
    <row r="48" spans="2:18" x14ac:dyDescent="0.2">
      <c r="B48" s="2" t="s">
        <v>91</v>
      </c>
      <c r="J48" s="13">
        <v>1816</v>
      </c>
      <c r="K48" s="13">
        <v>1839</v>
      </c>
      <c r="L48" s="13">
        <v>1085</v>
      </c>
      <c r="M48" s="13">
        <v>1078</v>
      </c>
      <c r="N48" s="13">
        <v>1186</v>
      </c>
    </row>
    <row r="49" spans="2:18" x14ac:dyDescent="0.2">
      <c r="B49" s="2" t="s">
        <v>89</v>
      </c>
      <c r="J49" s="13">
        <v>57568</v>
      </c>
      <c r="K49" s="13">
        <v>57881</v>
      </c>
      <c r="L49" s="13">
        <v>59665</v>
      </c>
      <c r="M49" s="13">
        <v>60790</v>
      </c>
      <c r="N49" s="13">
        <v>62999</v>
      </c>
    </row>
    <row r="50" spans="2:18" s="18" customFormat="1" x14ac:dyDescent="0.2">
      <c r="B50" s="18" t="s">
        <v>90</v>
      </c>
      <c r="C50" s="17"/>
      <c r="D50" s="17"/>
      <c r="E50" s="17"/>
      <c r="F50" s="17"/>
      <c r="G50" s="17"/>
      <c r="H50" s="17"/>
      <c r="I50" s="17"/>
      <c r="J50" s="17">
        <f>+SUM(J40:J49)</f>
        <v>69226</v>
      </c>
      <c r="K50" s="17">
        <f>+SUM(K40:K49)</f>
        <v>71550</v>
      </c>
      <c r="L50" s="17">
        <f>+SUM(L40:L49)</f>
        <v>74820</v>
      </c>
      <c r="M50" s="17">
        <f>+SUM(M40:M49)</f>
        <v>76891</v>
      </c>
      <c r="N50" s="17">
        <f>+SUM(N40:N49)</f>
        <v>76926</v>
      </c>
      <c r="O50" s="17"/>
      <c r="P50" s="17"/>
      <c r="Q50" s="17"/>
      <c r="R50" s="17"/>
    </row>
    <row r="52" spans="2:18" x14ac:dyDescent="0.2">
      <c r="B52" s="2" t="s">
        <v>113</v>
      </c>
      <c r="J52" s="13">
        <f>+J49</f>
        <v>57568</v>
      </c>
      <c r="K52" s="13">
        <f t="shared" ref="K52:N52" si="44">+K49</f>
        <v>57881</v>
      </c>
      <c r="L52" s="13">
        <f t="shared" si="44"/>
        <v>59665</v>
      </c>
      <c r="M52" s="13">
        <f t="shared" si="44"/>
        <v>60790</v>
      </c>
      <c r="N52" s="13">
        <f t="shared" si="44"/>
        <v>62999</v>
      </c>
    </row>
    <row r="55" spans="2:18" x14ac:dyDescent="0.2">
      <c r="B55" s="2" t="s">
        <v>114</v>
      </c>
      <c r="G55" s="13">
        <v>521</v>
      </c>
      <c r="H55" s="13">
        <f>1114-G55</f>
        <v>593</v>
      </c>
      <c r="I55" s="13">
        <f>1742-SUM(G55:H55)</f>
        <v>628</v>
      </c>
      <c r="J55" s="13">
        <f>3041-SUM(G55:I55)</f>
        <v>1299</v>
      </c>
      <c r="K55" s="13">
        <v>939</v>
      </c>
      <c r="L55" s="13">
        <f>2401-K55</f>
        <v>1462</v>
      </c>
      <c r="M55" s="13">
        <f>4189-SUM(K55:L55)</f>
        <v>1788</v>
      </c>
      <c r="N55" s="13">
        <f>6493-SUM(K55:M55)</f>
        <v>2304</v>
      </c>
    </row>
    <row r="56" spans="2:18" x14ac:dyDescent="0.2">
      <c r="B56" s="2" t="s">
        <v>115</v>
      </c>
      <c r="G56" s="13">
        <v>-142</v>
      </c>
      <c r="H56" s="13">
        <f>+-296-G56</f>
        <v>-154</v>
      </c>
      <c r="I56" s="13">
        <f>+-428-SUM(G56:H56)</f>
        <v>-132</v>
      </c>
      <c r="J56" s="13">
        <f>+-636-SUM(G56:I56)</f>
        <v>-208</v>
      </c>
      <c r="K56" s="13">
        <v>-212</v>
      </c>
      <c r="L56" s="13">
        <f>+-494-K56</f>
        <v>-282</v>
      </c>
      <c r="M56" s="13">
        <f>+-752-SUM(K56:L56)</f>
        <v>-258</v>
      </c>
      <c r="N56" s="13">
        <f>+-974-SUM(K56:M56)</f>
        <v>-222</v>
      </c>
    </row>
    <row r="57" spans="2:18" s="18" customFormat="1" x14ac:dyDescent="0.2">
      <c r="B57" s="18" t="s">
        <v>116</v>
      </c>
      <c r="C57" s="17"/>
      <c r="D57" s="17"/>
      <c r="E57" s="17"/>
      <c r="F57" s="17"/>
      <c r="G57" s="17">
        <f>+SUM(G55:G56)</f>
        <v>379</v>
      </c>
      <c r="H57" s="17">
        <f t="shared" ref="H57:N57" si="45">+SUM(H55:H56)</f>
        <v>439</v>
      </c>
      <c r="I57" s="17">
        <f t="shared" si="45"/>
        <v>496</v>
      </c>
      <c r="J57" s="17">
        <f t="shared" si="45"/>
        <v>1091</v>
      </c>
      <c r="K57" s="17">
        <f t="shared" si="45"/>
        <v>727</v>
      </c>
      <c r="L57" s="17">
        <f t="shared" si="45"/>
        <v>1180</v>
      </c>
      <c r="M57" s="17">
        <f t="shared" si="45"/>
        <v>1530</v>
      </c>
      <c r="N57" s="17">
        <f t="shared" si="45"/>
        <v>2082</v>
      </c>
      <c r="O57" s="17"/>
      <c r="P57" s="17"/>
      <c r="Q57" s="17"/>
      <c r="R57" s="17"/>
    </row>
    <row r="58" spans="2:18" s="18" customFormat="1" x14ac:dyDescent="0.2">
      <c r="B58" s="18" t="s">
        <v>117</v>
      </c>
      <c r="C58" s="17"/>
      <c r="D58" s="17"/>
      <c r="E58" s="17"/>
      <c r="F58" s="17"/>
      <c r="G58" s="17">
        <f>+G18</f>
        <v>738</v>
      </c>
      <c r="H58" s="17">
        <f t="shared" ref="H58:N58" si="46">+H18</f>
        <v>861</v>
      </c>
      <c r="I58" s="17">
        <f t="shared" si="46"/>
        <v>1335</v>
      </c>
      <c r="J58" s="17">
        <f t="shared" si="46"/>
        <v>1206</v>
      </c>
      <c r="K58" s="17">
        <f t="shared" si="46"/>
        <v>1269</v>
      </c>
      <c r="L58" s="17">
        <f t="shared" si="46"/>
        <v>1328</v>
      </c>
      <c r="M58" s="17">
        <f t="shared" si="46"/>
        <v>1724</v>
      </c>
      <c r="N58" s="17">
        <f t="shared" si="46"/>
        <v>2176</v>
      </c>
      <c r="O58" s="17"/>
      <c r="P58" s="17"/>
      <c r="Q58" s="17"/>
      <c r="R58" s="17"/>
    </row>
    <row r="60" spans="2:18" x14ac:dyDescent="0.2">
      <c r="N60" s="2"/>
    </row>
    <row r="61" spans="2:18" x14ac:dyDescent="0.2">
      <c r="B61" s="2" t="s">
        <v>118</v>
      </c>
      <c r="J61" s="13">
        <f t="shared" ref="J61:M61" si="47">SUM(G57:J57)</f>
        <v>2405</v>
      </c>
      <c r="K61" s="13">
        <f t="shared" si="47"/>
        <v>2753</v>
      </c>
      <c r="L61" s="13">
        <f t="shared" si="47"/>
        <v>3494</v>
      </c>
      <c r="M61" s="13">
        <f t="shared" si="47"/>
        <v>4528</v>
      </c>
      <c r="N61" s="13">
        <f>SUM(K57:N57)</f>
        <v>5519</v>
      </c>
    </row>
    <row r="62" spans="2:18" x14ac:dyDescent="0.2">
      <c r="B62" s="2" t="s">
        <v>119</v>
      </c>
      <c r="J62" s="13">
        <f t="shared" ref="J62:M62" si="48">SUM(G58:J58)</f>
        <v>4140</v>
      </c>
      <c r="K62" s="13">
        <f t="shared" si="48"/>
        <v>4671</v>
      </c>
      <c r="L62" s="13">
        <f t="shared" si="48"/>
        <v>5138</v>
      </c>
      <c r="M62" s="13">
        <f t="shared" si="48"/>
        <v>5527</v>
      </c>
      <c r="N62" s="13">
        <f>SUM(K58:N58)</f>
        <v>6497</v>
      </c>
    </row>
  </sheetData>
  <pageMargins left="0.7" right="0.7" top="0.75" bottom="0.75" header="0.3" footer="0.3"/>
  <ignoredErrors>
    <ignoredError sqref="B23:J25 C29:H29 C27:H27 C28:H28 C26:D26 F8:J8 W19:AH20 L23:R23 W10:X18 Z10:AH18 L10:R20 B10:J20" formula="1"/>
    <ignoredError sqref="F26:J26 K26:N26 V8:W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Compare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2025-08-10T03:21:41Z</dcterms:created>
  <dcterms:modified xsi:type="dcterms:W3CDTF">2026-02-11T01:03:10Z</dcterms:modified>
</cp:coreProperties>
</file>