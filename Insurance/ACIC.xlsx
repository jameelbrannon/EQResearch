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D0AD74CB-7C1B-A345-9965-BB567278F1A2}" xr6:coauthVersionLast="47" xr6:coauthVersionMax="47" xr10:uidLastSave="{00000000-0000-0000-0000-000000000000}"/>
  <bookViews>
    <workbookView xWindow="0" yWindow="980" windowWidth="50660" windowHeight="26240" xr2:uid="{A7B03F0D-A15E-6E46-8414-0943600D4884}"/>
  </bookViews>
  <sheets>
    <sheet name="Main" sheetId="1" r:id="rId1"/>
    <sheet name="Model" sheetId="2" r:id="rId2"/>
    <sheet name="Hurricanes" sheetId="3" r:id="rId3"/>
  </sheets>
  <definedNames>
    <definedName name="_xlnm._FilterDatabase" localSheetId="2" hidden="1">Hurricanes!$B$3:$G$3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AB41" i="2"/>
  <c r="AA41" i="2"/>
  <c r="Z41" i="2"/>
  <c r="Y41" i="2"/>
  <c r="X41" i="2"/>
  <c r="W41" i="2"/>
  <c r="V41" i="2"/>
  <c r="U41" i="2"/>
  <c r="T41" i="2"/>
  <c r="S41" i="2"/>
  <c r="S39" i="2"/>
  <c r="R102" i="2"/>
  <c r="Q102" i="2"/>
  <c r="P102" i="2"/>
  <c r="K76" i="2"/>
  <c r="S76" i="2" s="1"/>
  <c r="S54" i="2"/>
  <c r="E92" i="2"/>
  <c r="D92" i="2"/>
  <c r="C92" i="2"/>
  <c r="K5" i="3" a="1"/>
  <c r="T7" i="2"/>
  <c r="U7" i="2" s="1"/>
  <c r="V7" i="2" s="1"/>
  <c r="W7" i="2" s="1"/>
  <c r="X7" i="2" s="1"/>
  <c r="Y7" i="2" s="1"/>
  <c r="Z7" i="2" s="1"/>
  <c r="AA7" i="2" s="1"/>
  <c r="AB7" i="2" s="1"/>
  <c r="AE45" i="2"/>
  <c r="AE43" i="2"/>
  <c r="S36" i="2"/>
  <c r="T36" i="2" s="1"/>
  <c r="R18" i="2"/>
  <c r="S21" i="2"/>
  <c r="Q47" i="2"/>
  <c r="P47" i="2"/>
  <c r="R47" i="2"/>
  <c r="S8" i="2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J91" i="2"/>
  <c r="J86" i="2"/>
  <c r="K84" i="2"/>
  <c r="J84" i="2"/>
  <c r="I84" i="2"/>
  <c r="H84" i="2"/>
  <c r="G84" i="2"/>
  <c r="F84" i="2"/>
  <c r="E84" i="2"/>
  <c r="D84" i="2"/>
  <c r="C84" i="2"/>
  <c r="G79" i="2"/>
  <c r="G81" i="2" s="1"/>
  <c r="G58" i="2"/>
  <c r="G92" i="2" s="1"/>
  <c r="G55" i="2"/>
  <c r="H55" i="2"/>
  <c r="H79" i="2"/>
  <c r="H81" i="2" s="1"/>
  <c r="H58" i="2"/>
  <c r="H92" i="2" s="1"/>
  <c r="I55" i="2"/>
  <c r="I79" i="2"/>
  <c r="I81" i="2" s="1"/>
  <c r="I58" i="2"/>
  <c r="I92" i="2" s="1"/>
  <c r="K83" i="2"/>
  <c r="J83" i="2"/>
  <c r="I83" i="2"/>
  <c r="H83" i="2"/>
  <c r="G83" i="2"/>
  <c r="F83" i="2"/>
  <c r="E83" i="2"/>
  <c r="D83" i="2"/>
  <c r="C83" i="2"/>
  <c r="F79" i="2"/>
  <c r="F81" i="2" s="1"/>
  <c r="F58" i="2"/>
  <c r="F92" i="2" s="1"/>
  <c r="F55" i="2"/>
  <c r="J79" i="2"/>
  <c r="J81" i="2" s="1"/>
  <c r="H11" i="1"/>
  <c r="K58" i="2"/>
  <c r="K55" i="2"/>
  <c r="J58" i="2"/>
  <c r="J92" i="2" s="1"/>
  <c r="J55" i="2"/>
  <c r="O2" i="2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N18" i="2"/>
  <c r="O18" i="2"/>
  <c r="O48" i="2" s="1"/>
  <c r="N8" i="2"/>
  <c r="N11" i="2" s="1"/>
  <c r="O8" i="2"/>
  <c r="O11" i="2" s="1"/>
  <c r="K18" i="2"/>
  <c r="K8" i="2"/>
  <c r="K11" i="2" s="1"/>
  <c r="J36" i="2"/>
  <c r="J34" i="2"/>
  <c r="J32" i="2"/>
  <c r="J30" i="2"/>
  <c r="J29" i="2"/>
  <c r="J27" i="2"/>
  <c r="J26" i="2"/>
  <c r="J24" i="2"/>
  <c r="J23" i="2"/>
  <c r="J22" i="2"/>
  <c r="J21" i="2"/>
  <c r="J19" i="2"/>
  <c r="J17" i="2"/>
  <c r="J16" i="2"/>
  <c r="J8" i="2"/>
  <c r="J11" i="2" s="1"/>
  <c r="F34" i="2"/>
  <c r="F32" i="2"/>
  <c r="F30" i="2"/>
  <c r="F29" i="2"/>
  <c r="F27" i="2"/>
  <c r="F26" i="2"/>
  <c r="F24" i="2"/>
  <c r="F23" i="2"/>
  <c r="F22" i="2"/>
  <c r="F21" i="2"/>
  <c r="F19" i="2"/>
  <c r="F17" i="2"/>
  <c r="F16" i="2"/>
  <c r="F8" i="2"/>
  <c r="F11" i="2" s="1"/>
  <c r="C8" i="2"/>
  <c r="C11" i="2" s="1"/>
  <c r="G8" i="2"/>
  <c r="G11" i="2" s="1"/>
  <c r="C18" i="2"/>
  <c r="G18" i="2"/>
  <c r="D18" i="2"/>
  <c r="H18" i="2"/>
  <c r="D8" i="2"/>
  <c r="D11" i="2" s="1"/>
  <c r="H8" i="2"/>
  <c r="H11" i="2" s="1"/>
  <c r="E8" i="2"/>
  <c r="E11" i="2" s="1"/>
  <c r="I8" i="2"/>
  <c r="I11" i="2" s="1"/>
  <c r="E18" i="2"/>
  <c r="I18" i="2"/>
  <c r="Q8" i="2"/>
  <c r="P8" i="2"/>
  <c r="R8" i="2"/>
  <c r="P18" i="2"/>
  <c r="P48" i="2" s="1"/>
  <c r="Q18" i="2"/>
  <c r="H5" i="1"/>
  <c r="H8" i="1" s="1"/>
  <c r="I6" i="1"/>
  <c r="K5" i="3" l="1"/>
  <c r="L24" i="3"/>
  <c r="L6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42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41" i="3"/>
  <c r="K92" i="2"/>
  <c r="T76" i="2"/>
  <c r="S30" i="2"/>
  <c r="T54" i="2"/>
  <c r="S32" i="2"/>
  <c r="S58" i="2"/>
  <c r="S47" i="2"/>
  <c r="T21" i="2"/>
  <c r="I89" i="2"/>
  <c r="I90" i="2"/>
  <c r="Q11" i="2"/>
  <c r="Q12" i="2"/>
  <c r="P11" i="2"/>
  <c r="P12" i="2"/>
  <c r="R11" i="2"/>
  <c r="R12" i="2"/>
  <c r="T8" i="2"/>
  <c r="U36" i="2"/>
  <c r="U8" i="2"/>
  <c r="G90" i="2"/>
  <c r="G89" i="2"/>
  <c r="H90" i="2"/>
  <c r="H89" i="2"/>
  <c r="F90" i="2"/>
  <c r="F89" i="2"/>
  <c r="J90" i="2"/>
  <c r="J89" i="2"/>
  <c r="K20" i="2"/>
  <c r="K25" i="2" s="1"/>
  <c r="K48" i="2"/>
  <c r="C20" i="2"/>
  <c r="C25" i="2" s="1"/>
  <c r="C31" i="2" s="1"/>
  <c r="C33" i="2" s="1"/>
  <c r="C35" i="2" s="1"/>
  <c r="C37" i="2" s="1"/>
  <c r="C48" i="2"/>
  <c r="G20" i="2"/>
  <c r="G25" i="2" s="1"/>
  <c r="G48" i="2"/>
  <c r="D20" i="2"/>
  <c r="D48" i="2"/>
  <c r="H20" i="2"/>
  <c r="H25" i="2" s="1"/>
  <c r="H48" i="2"/>
  <c r="E20" i="2"/>
  <c r="E25" i="2" s="1"/>
  <c r="E31" i="2" s="1"/>
  <c r="E33" i="2" s="1"/>
  <c r="E35" i="2" s="1"/>
  <c r="E37" i="2" s="1"/>
  <c r="E48" i="2"/>
  <c r="I20" i="2"/>
  <c r="I48" i="2"/>
  <c r="Q14" i="2"/>
  <c r="Q48" i="2"/>
  <c r="R14" i="2"/>
  <c r="R48" i="2"/>
  <c r="G69" i="2"/>
  <c r="G97" i="2"/>
  <c r="G96" i="2"/>
  <c r="G95" i="2"/>
  <c r="H97" i="2"/>
  <c r="H96" i="2"/>
  <c r="H95" i="2"/>
  <c r="I97" i="2"/>
  <c r="I96" i="2"/>
  <c r="I95" i="2"/>
  <c r="F69" i="2"/>
  <c r="F97" i="2"/>
  <c r="F96" i="2"/>
  <c r="F95" i="2"/>
  <c r="K97" i="2"/>
  <c r="K96" i="2"/>
  <c r="K95" i="2"/>
  <c r="J97" i="2"/>
  <c r="J96" i="2"/>
  <c r="J95" i="2"/>
  <c r="J69" i="2"/>
  <c r="I69" i="2"/>
  <c r="N20" i="2"/>
  <c r="N25" i="2" s="1"/>
  <c r="N14" i="2"/>
  <c r="O20" i="2"/>
  <c r="O14" i="2"/>
  <c r="P20" i="2"/>
  <c r="P14" i="2"/>
  <c r="H69" i="2"/>
  <c r="Q20" i="2"/>
  <c r="F18" i="2"/>
  <c r="F48" i="2" s="1"/>
  <c r="R20" i="2"/>
  <c r="S20" i="2" s="1"/>
  <c r="J18" i="2"/>
  <c r="J48" i="2" s="1"/>
  <c r="U76" i="2" l="1"/>
  <c r="T30" i="2"/>
  <c r="U54" i="2"/>
  <c r="T32" i="2"/>
  <c r="D25" i="2"/>
  <c r="H46" i="2"/>
  <c r="G46" i="2"/>
  <c r="K46" i="2"/>
  <c r="Q46" i="2"/>
  <c r="I25" i="2"/>
  <c r="I46" i="2"/>
  <c r="T47" i="2"/>
  <c r="U21" i="2"/>
  <c r="O25" i="2"/>
  <c r="O46" i="2"/>
  <c r="P25" i="2"/>
  <c r="P46" i="2"/>
  <c r="T20" i="2"/>
  <c r="S27" i="2"/>
  <c r="S29" i="2"/>
  <c r="S46" i="2"/>
  <c r="S18" i="2"/>
  <c r="S19" i="2" s="1"/>
  <c r="S48" i="2" s="1"/>
  <c r="V36" i="2"/>
  <c r="R46" i="2"/>
  <c r="V8" i="2"/>
  <c r="N31" i="2"/>
  <c r="N33" i="2" s="1"/>
  <c r="N35" i="2" s="1"/>
  <c r="N37" i="2" s="1"/>
  <c r="F20" i="2"/>
  <c r="Q25" i="2"/>
  <c r="K45" i="2"/>
  <c r="H31" i="2"/>
  <c r="H33" i="2" s="1"/>
  <c r="H35" i="2" s="1"/>
  <c r="H37" i="2" s="1"/>
  <c r="G45" i="2"/>
  <c r="G31" i="2"/>
  <c r="G33" i="2" s="1"/>
  <c r="G35" i="2" s="1"/>
  <c r="J20" i="2"/>
  <c r="R25" i="2"/>
  <c r="U30" i="2" l="1"/>
  <c r="V76" i="2"/>
  <c r="U32" i="2"/>
  <c r="V54" i="2"/>
  <c r="D31" i="2"/>
  <c r="D33" i="2" s="1"/>
  <c r="D35" i="2" s="1"/>
  <c r="D37" i="2" s="1"/>
  <c r="H45" i="2"/>
  <c r="O31" i="2"/>
  <c r="O33" i="2" s="1"/>
  <c r="O35" i="2" s="1"/>
  <c r="O37" i="2" s="1"/>
  <c r="O45" i="2"/>
  <c r="P45" i="2"/>
  <c r="P31" i="2"/>
  <c r="P33" i="2" s="1"/>
  <c r="I31" i="2"/>
  <c r="I33" i="2" s="1"/>
  <c r="I35" i="2" s="1"/>
  <c r="I37" i="2" s="1"/>
  <c r="I45" i="2"/>
  <c r="U47" i="2"/>
  <c r="V21" i="2"/>
  <c r="T46" i="2"/>
  <c r="U20" i="2"/>
  <c r="W36" i="2"/>
  <c r="S25" i="2"/>
  <c r="S26" i="2"/>
  <c r="W8" i="2"/>
  <c r="G37" i="2"/>
  <c r="J46" i="2"/>
  <c r="R45" i="2"/>
  <c r="F25" i="2"/>
  <c r="Q45" i="2"/>
  <c r="Q31" i="2"/>
  <c r="J25" i="2"/>
  <c r="R31" i="2"/>
  <c r="V30" i="2" l="1"/>
  <c r="W76" i="2"/>
  <c r="V32" i="2"/>
  <c r="W54" i="2"/>
  <c r="P49" i="2"/>
  <c r="P35" i="2"/>
  <c r="P37" i="2" s="1"/>
  <c r="V47" i="2"/>
  <c r="W21" i="2"/>
  <c r="U46" i="2"/>
  <c r="V20" i="2"/>
  <c r="T29" i="2"/>
  <c r="T27" i="2"/>
  <c r="T18" i="2"/>
  <c r="T19" i="2" s="1"/>
  <c r="T48" i="2" s="1"/>
  <c r="X36" i="2"/>
  <c r="T25" i="2"/>
  <c r="T45" i="2" s="1"/>
  <c r="T26" i="2"/>
  <c r="S31" i="2"/>
  <c r="S33" i="2" s="1"/>
  <c r="S45" i="2"/>
  <c r="X8" i="2"/>
  <c r="J45" i="2"/>
  <c r="F31" i="2"/>
  <c r="Q33" i="2"/>
  <c r="Q49" i="2" s="1"/>
  <c r="J31" i="2"/>
  <c r="R33" i="2"/>
  <c r="R49" i="2" s="1"/>
  <c r="W30" i="2" l="1"/>
  <c r="X76" i="2"/>
  <c r="W32" i="2"/>
  <c r="X54" i="2"/>
  <c r="W47" i="2"/>
  <c r="X21" i="2"/>
  <c r="V46" i="2"/>
  <c r="W20" i="2"/>
  <c r="S34" i="2"/>
  <c r="S35" i="2" s="1"/>
  <c r="S40" i="2" s="1"/>
  <c r="S42" i="2" s="1"/>
  <c r="S49" i="2"/>
  <c r="U27" i="2"/>
  <c r="U18" i="2"/>
  <c r="U19" i="2" s="1"/>
  <c r="U48" i="2" s="1"/>
  <c r="U29" i="2"/>
  <c r="Y36" i="2"/>
  <c r="U26" i="2"/>
  <c r="U25" i="2"/>
  <c r="U45" i="2" s="1"/>
  <c r="Y8" i="2"/>
  <c r="F33" i="2"/>
  <c r="Q35" i="2"/>
  <c r="J33" i="2"/>
  <c r="R35" i="2"/>
  <c r="T39" i="2" l="1"/>
  <c r="S43" i="2"/>
  <c r="X30" i="2"/>
  <c r="Y76" i="2"/>
  <c r="Y54" i="2"/>
  <c r="X32" i="2"/>
  <c r="X47" i="2"/>
  <c r="Y21" i="2"/>
  <c r="W46" i="2"/>
  <c r="X20" i="2"/>
  <c r="S37" i="2"/>
  <c r="V29" i="2"/>
  <c r="V27" i="2"/>
  <c r="V18" i="2"/>
  <c r="V19" i="2" s="1"/>
  <c r="V48" i="2" s="1"/>
  <c r="Z36" i="2"/>
  <c r="V26" i="2"/>
  <c r="V25" i="2"/>
  <c r="V45" i="2" s="1"/>
  <c r="U31" i="2"/>
  <c r="U33" i="2" s="1"/>
  <c r="U49" i="2" s="1"/>
  <c r="T31" i="2"/>
  <c r="T33" i="2" s="1"/>
  <c r="Z8" i="2"/>
  <c r="F35" i="2"/>
  <c r="Q37" i="2"/>
  <c r="F37" i="2" s="1"/>
  <c r="J35" i="2"/>
  <c r="J88" i="2" s="1"/>
  <c r="R37" i="2"/>
  <c r="J37" i="2" s="1"/>
  <c r="Y30" i="2" l="1"/>
  <c r="Z76" i="2"/>
  <c r="Z54" i="2"/>
  <c r="Y32" i="2"/>
  <c r="Y47" i="2"/>
  <c r="Z21" i="2"/>
  <c r="X46" i="2"/>
  <c r="Y20" i="2"/>
  <c r="T34" i="2"/>
  <c r="T49" i="2"/>
  <c r="W29" i="2"/>
  <c r="W18" i="2"/>
  <c r="W19" i="2" s="1"/>
  <c r="W48" i="2" s="1"/>
  <c r="W27" i="2"/>
  <c r="AA36" i="2"/>
  <c r="V31" i="2"/>
  <c r="V33" i="2" s="1"/>
  <c r="V49" i="2" s="1"/>
  <c r="W26" i="2"/>
  <c r="W25" i="2"/>
  <c r="W45" i="2" s="1"/>
  <c r="AA8" i="2"/>
  <c r="AB8" i="2"/>
  <c r="I88" i="2"/>
  <c r="G88" i="2"/>
  <c r="H88" i="2"/>
  <c r="F36" i="2"/>
  <c r="Z30" i="2" l="1"/>
  <c r="AA76" i="2"/>
  <c r="Z32" i="2"/>
  <c r="AA54" i="2"/>
  <c r="Z47" i="2"/>
  <c r="AA21" i="2"/>
  <c r="Y46" i="2"/>
  <c r="Z20" i="2"/>
  <c r="T35" i="2"/>
  <c r="U34" i="2"/>
  <c r="X27" i="2"/>
  <c r="X29" i="2"/>
  <c r="X18" i="2"/>
  <c r="X19" i="2" s="1"/>
  <c r="X48" i="2" s="1"/>
  <c r="AB36" i="2"/>
  <c r="W31" i="2"/>
  <c r="W33" i="2" s="1"/>
  <c r="W49" i="2" s="1"/>
  <c r="X26" i="2"/>
  <c r="X25" i="2"/>
  <c r="X45" i="2" s="1"/>
  <c r="T58" i="2" l="1"/>
  <c r="T40" i="2"/>
  <c r="T42" i="2" s="1"/>
  <c r="AA30" i="2"/>
  <c r="AB76" i="2"/>
  <c r="AB30" i="2" s="1"/>
  <c r="AA32" i="2"/>
  <c r="AB54" i="2"/>
  <c r="AB32" i="2" s="1"/>
  <c r="T37" i="2"/>
  <c r="AA47" i="2"/>
  <c r="AB21" i="2"/>
  <c r="AB47" i="2" s="1"/>
  <c r="Z46" i="2"/>
  <c r="AA20" i="2"/>
  <c r="U35" i="2"/>
  <c r="V34" i="2"/>
  <c r="Y29" i="2"/>
  <c r="Y27" i="2"/>
  <c r="Y18" i="2"/>
  <c r="Y19" i="2" s="1"/>
  <c r="Y48" i="2" s="1"/>
  <c r="X31" i="2"/>
  <c r="X33" i="2" s="1"/>
  <c r="X49" i="2" s="1"/>
  <c r="Y26" i="2"/>
  <c r="Y25" i="2"/>
  <c r="Y45" i="2" s="1"/>
  <c r="T43" i="2" l="1"/>
  <c r="U39" i="2"/>
  <c r="U58" i="2"/>
  <c r="U40" i="2"/>
  <c r="U42" i="2" s="1"/>
  <c r="U37" i="2"/>
  <c r="AA46" i="2"/>
  <c r="AB20" i="2"/>
  <c r="AB46" i="2" s="1"/>
  <c r="V35" i="2"/>
  <c r="W34" i="2"/>
  <c r="Z29" i="2"/>
  <c r="Z27" i="2"/>
  <c r="Z18" i="2"/>
  <c r="Z19" i="2" s="1"/>
  <c r="Z48" i="2" s="1"/>
  <c r="Y31" i="2"/>
  <c r="Y33" i="2" s="1"/>
  <c r="Y49" i="2" s="1"/>
  <c r="Z26" i="2"/>
  <c r="Z25" i="2"/>
  <c r="Z45" i="2" s="1"/>
  <c r="U43" i="2" l="1"/>
  <c r="V39" i="2"/>
  <c r="V58" i="2"/>
  <c r="V40" i="2"/>
  <c r="V37" i="2"/>
  <c r="W35" i="2"/>
  <c r="X34" i="2"/>
  <c r="AA29" i="2"/>
  <c r="AA27" i="2"/>
  <c r="AA18" i="2"/>
  <c r="AA19" i="2" s="1"/>
  <c r="AA48" i="2" s="1"/>
  <c r="Z31" i="2"/>
  <c r="Z33" i="2" s="1"/>
  <c r="Z49" i="2" s="1"/>
  <c r="AA26" i="2"/>
  <c r="AA25" i="2"/>
  <c r="AA45" i="2" s="1"/>
  <c r="V42" i="2" l="1"/>
  <c r="W58" i="2"/>
  <c r="W40" i="2"/>
  <c r="W37" i="2"/>
  <c r="X35" i="2"/>
  <c r="Y34" i="2"/>
  <c r="AB27" i="2"/>
  <c r="AB29" i="2"/>
  <c r="AB18" i="2"/>
  <c r="AB19" i="2" s="1"/>
  <c r="AB48" i="2" s="1"/>
  <c r="AA31" i="2"/>
  <c r="AA33" i="2" s="1"/>
  <c r="AA49" i="2" s="1"/>
  <c r="AB26" i="2"/>
  <c r="AB25" i="2"/>
  <c r="AB45" i="2" s="1"/>
  <c r="W39" i="2" l="1"/>
  <c r="W42" i="2" s="1"/>
  <c r="V43" i="2"/>
  <c r="X58" i="2"/>
  <c r="X40" i="2"/>
  <c r="X37" i="2"/>
  <c r="Y35" i="2"/>
  <c r="Z34" i="2"/>
  <c r="AB31" i="2"/>
  <c r="AB33" i="2" s="1"/>
  <c r="AB49" i="2" s="1"/>
  <c r="W43" i="2" l="1"/>
  <c r="X39" i="2"/>
  <c r="X42" i="2" s="1"/>
  <c r="Y58" i="2"/>
  <c r="Y40" i="2"/>
  <c r="Y37" i="2"/>
  <c r="Z35" i="2"/>
  <c r="AA34" i="2"/>
  <c r="X43" i="2" l="1"/>
  <c r="Y39" i="2"/>
  <c r="Y42" i="2" s="1"/>
  <c r="Z58" i="2"/>
  <c r="Z40" i="2"/>
  <c r="Z37" i="2"/>
  <c r="AA35" i="2"/>
  <c r="AB34" i="2"/>
  <c r="AB35" i="2" s="1"/>
  <c r="AB40" i="2" s="1"/>
  <c r="Z39" i="2" l="1"/>
  <c r="Z42" i="2" s="1"/>
  <c r="Y43" i="2"/>
  <c r="AA58" i="2"/>
  <c r="AB58" i="2" s="1"/>
  <c r="AA40" i="2"/>
  <c r="AA37" i="2"/>
  <c r="AB37" i="2"/>
  <c r="AC35" i="2"/>
  <c r="AD35" i="2" s="1"/>
  <c r="AE35" i="2" s="1"/>
  <c r="AF35" i="2" s="1"/>
  <c r="AG35" i="2" s="1"/>
  <c r="AH35" i="2" s="1"/>
  <c r="AI35" i="2" s="1"/>
  <c r="AJ35" i="2" s="1"/>
  <c r="AK35" i="2" s="1"/>
  <c r="AL35" i="2" s="1"/>
  <c r="AM35" i="2" s="1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BB35" i="2" s="1"/>
  <c r="BC35" i="2" s="1"/>
  <c r="BD35" i="2" s="1"/>
  <c r="BE35" i="2" s="1"/>
  <c r="BF35" i="2" s="1"/>
  <c r="BG35" i="2" s="1"/>
  <c r="BH35" i="2" s="1"/>
  <c r="BI35" i="2" s="1"/>
  <c r="BJ35" i="2" s="1"/>
  <c r="BK35" i="2" s="1"/>
  <c r="BL35" i="2" s="1"/>
  <c r="BM35" i="2" s="1"/>
  <c r="BN35" i="2" s="1"/>
  <c r="BO35" i="2" s="1"/>
  <c r="BP35" i="2" s="1"/>
  <c r="BQ35" i="2" s="1"/>
  <c r="BR35" i="2" s="1"/>
  <c r="BS35" i="2" s="1"/>
  <c r="BT35" i="2" s="1"/>
  <c r="BU35" i="2" s="1"/>
  <c r="BV35" i="2" s="1"/>
  <c r="BW35" i="2" s="1"/>
  <c r="BX35" i="2" s="1"/>
  <c r="BY35" i="2" s="1"/>
  <c r="BZ35" i="2" s="1"/>
  <c r="CA35" i="2" s="1"/>
  <c r="CB35" i="2" s="1"/>
  <c r="CC35" i="2" s="1"/>
  <c r="CD35" i="2" s="1"/>
  <c r="CE35" i="2" s="1"/>
  <c r="CF35" i="2" s="1"/>
  <c r="CG35" i="2" s="1"/>
  <c r="CH35" i="2" s="1"/>
  <c r="CI35" i="2" s="1"/>
  <c r="CJ35" i="2" s="1"/>
  <c r="CK35" i="2" s="1"/>
  <c r="CL35" i="2" s="1"/>
  <c r="CM35" i="2" s="1"/>
  <c r="CN35" i="2" s="1"/>
  <c r="CO35" i="2" s="1"/>
  <c r="CP35" i="2" s="1"/>
  <c r="CQ35" i="2" s="1"/>
  <c r="CR35" i="2" s="1"/>
  <c r="CS35" i="2" s="1"/>
  <c r="CT35" i="2" s="1"/>
  <c r="CU35" i="2" s="1"/>
  <c r="CV35" i="2" s="1"/>
  <c r="CW35" i="2" s="1"/>
  <c r="CX35" i="2" s="1"/>
  <c r="CY35" i="2" s="1"/>
  <c r="CZ35" i="2" s="1"/>
  <c r="DA35" i="2" s="1"/>
  <c r="DB35" i="2" s="1"/>
  <c r="DC35" i="2" s="1"/>
  <c r="DD35" i="2" s="1"/>
  <c r="DE35" i="2" s="1"/>
  <c r="DF35" i="2" s="1"/>
  <c r="DG35" i="2" s="1"/>
  <c r="DH35" i="2" s="1"/>
  <c r="DI35" i="2" s="1"/>
  <c r="DJ35" i="2" s="1"/>
  <c r="DK35" i="2" s="1"/>
  <c r="DL35" i="2" s="1"/>
  <c r="DM35" i="2" s="1"/>
  <c r="DN35" i="2" s="1"/>
  <c r="DO35" i="2" s="1"/>
  <c r="DP35" i="2" s="1"/>
  <c r="DQ35" i="2" s="1"/>
  <c r="DR35" i="2" s="1"/>
  <c r="DS35" i="2" s="1"/>
  <c r="DT35" i="2" s="1"/>
  <c r="DU35" i="2" s="1"/>
  <c r="DV35" i="2" s="1"/>
  <c r="DW35" i="2" s="1"/>
  <c r="DX35" i="2" s="1"/>
  <c r="DY35" i="2" s="1"/>
  <c r="DZ35" i="2" s="1"/>
  <c r="EA35" i="2" s="1"/>
  <c r="EB35" i="2" s="1"/>
  <c r="EC35" i="2" s="1"/>
  <c r="ED35" i="2" s="1"/>
  <c r="EE35" i="2" s="1"/>
  <c r="EF35" i="2" s="1"/>
  <c r="EG35" i="2" s="1"/>
  <c r="EH35" i="2" s="1"/>
  <c r="EI35" i="2" s="1"/>
  <c r="EJ35" i="2" s="1"/>
  <c r="EK35" i="2" s="1"/>
  <c r="EL35" i="2" s="1"/>
  <c r="EM35" i="2" s="1"/>
  <c r="EN35" i="2" s="1"/>
  <c r="EO35" i="2" s="1"/>
  <c r="EP35" i="2" s="1"/>
  <c r="EQ35" i="2" s="1"/>
  <c r="ER35" i="2" s="1"/>
  <c r="ES35" i="2" s="1"/>
  <c r="ET35" i="2" s="1"/>
  <c r="EU35" i="2" s="1"/>
  <c r="EV35" i="2" s="1"/>
  <c r="EW35" i="2" s="1"/>
  <c r="EX35" i="2" s="1"/>
  <c r="EY35" i="2" s="1"/>
  <c r="EZ35" i="2" s="1"/>
  <c r="AE42" i="2" s="1"/>
  <c r="AE44" i="2" s="1"/>
  <c r="AE46" i="2" s="1"/>
  <c r="AA39" i="2" l="1"/>
  <c r="AA42" i="2" s="1"/>
  <c r="Z43" i="2"/>
  <c r="AB39" i="2" l="1"/>
  <c r="AB42" i="2" s="1"/>
  <c r="AB43" i="2" s="1"/>
  <c r="AA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T6" authorId="0" shapeId="0" xr:uid="{FE484707-ED8D-E441-BB9A-A708C165D22B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Large Hurricane
</t>
        </r>
      </text>
    </comment>
    <comment ref="X6" authorId="0" shapeId="0" xr:uid="{517AECBA-CA46-AE40-B17C-319255E578BC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Large Hurricane
</t>
        </r>
      </text>
    </comment>
    <comment ref="AB6" authorId="0" shapeId="0" xr:uid="{7074F18F-FB4E-7447-844E-DEFCB3C452B3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Large Hurricane
</t>
        </r>
      </text>
    </comment>
    <comment ref="N8" authorId="0" shapeId="0" xr:uid="{71536FA9-6F7A-4444-9277-4EF88F22F1C5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Old Biz
</t>
        </r>
      </text>
    </comment>
    <comment ref="O8" authorId="0" shapeId="0" xr:uid="{31CD30F5-710B-C54D-A86F-9E870F876A67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Old Biz</t>
        </r>
      </text>
    </comment>
    <comment ref="K52" authorId="0" shapeId="0" xr:uid="{7BD6F67F-F024-9543-85DA-A2F41104B700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Duration 2.3yrs
</t>
        </r>
        <r>
          <rPr>
            <sz val="10"/>
            <color rgb="FF000000"/>
            <rFont val="Tahoma"/>
            <family val="2"/>
          </rPr>
          <t xml:space="preserve">Avg Coupon: 3.69%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<sst xmlns="http://schemas.openxmlformats.org/spreadsheetml/2006/main" count="229" uniqueCount="196">
  <si>
    <t>P</t>
  </si>
  <si>
    <t>S</t>
  </si>
  <si>
    <t>MC</t>
  </si>
  <si>
    <t>C</t>
  </si>
  <si>
    <t>D</t>
  </si>
  <si>
    <t>EV</t>
  </si>
  <si>
    <t>Q425</t>
  </si>
  <si>
    <t>BV</t>
  </si>
  <si>
    <t>Main</t>
  </si>
  <si>
    <t>Q125</t>
  </si>
  <si>
    <t>Q225</t>
  </si>
  <si>
    <t>Q325</t>
  </si>
  <si>
    <t>Q126</t>
  </si>
  <si>
    <t xml:space="preserve">Gross Premiums Written </t>
  </si>
  <si>
    <t xml:space="preserve">Chg in Gross Unearned Premiums </t>
  </si>
  <si>
    <t xml:space="preserve">Gross Premums Earned </t>
  </si>
  <si>
    <t xml:space="preserve">Ceded Premiums Earned </t>
  </si>
  <si>
    <t xml:space="preserve">Net Premiums  Earned </t>
  </si>
  <si>
    <t>Net Investment Income</t>
  </si>
  <si>
    <t>Net Realized Investment Gains (Losses)</t>
  </si>
  <si>
    <t xml:space="preserve">Net Unrealized Gains on EQ Securities </t>
  </si>
  <si>
    <t xml:space="preserve">Other Revenue </t>
  </si>
  <si>
    <t xml:space="preserve">Total Revenue </t>
  </si>
  <si>
    <t xml:space="preserve">Growth YY </t>
  </si>
  <si>
    <t>Losses &amp; Loss Adj Exp</t>
  </si>
  <si>
    <t>Policy Acq Costs</t>
  </si>
  <si>
    <t>G&amp;A</t>
  </si>
  <si>
    <t xml:space="preserve">Interest Expense </t>
  </si>
  <si>
    <t xml:space="preserve">Income Before Other Income </t>
  </si>
  <si>
    <t xml:space="preserve">Other Income </t>
  </si>
  <si>
    <t>Income Before Taxes</t>
  </si>
  <si>
    <t>Taxes</t>
  </si>
  <si>
    <t>Net Income</t>
  </si>
  <si>
    <t>Wtd Diluted</t>
  </si>
  <si>
    <t>EPS</t>
  </si>
  <si>
    <t xml:space="preserve">American Costal Insurance Co. </t>
  </si>
  <si>
    <t>CEO</t>
  </si>
  <si>
    <t>CFO</t>
  </si>
  <si>
    <t>HQ</t>
  </si>
  <si>
    <t xml:space="preserve">Loss Ratio </t>
  </si>
  <si>
    <t xml:space="preserve">Expense Ratio </t>
  </si>
  <si>
    <t xml:space="preserve">Combined Ratio </t>
  </si>
  <si>
    <t>RBC</t>
  </si>
  <si>
    <t>Stockholders</t>
  </si>
  <si>
    <t xml:space="preserve">Underlying Combined Ratio </t>
  </si>
  <si>
    <t>Effect of Current Yr Catastrophe Losses</t>
  </si>
  <si>
    <t xml:space="preserve">Effect of Prior Yr development on Combined Ratio </t>
  </si>
  <si>
    <t xml:space="preserve">Model Combined Ratio </t>
  </si>
  <si>
    <t>Q124</t>
  </si>
  <si>
    <t>Q224</t>
  </si>
  <si>
    <t>Q324</t>
  </si>
  <si>
    <t>Q424</t>
  </si>
  <si>
    <t>Employees</t>
  </si>
  <si>
    <t>St. Petersburg, FL</t>
  </si>
  <si>
    <t>Opex</t>
  </si>
  <si>
    <t xml:space="preserve">Fl Exposure </t>
  </si>
  <si>
    <t>Cede %</t>
  </si>
  <si>
    <t xml:space="preserve">Cash </t>
  </si>
  <si>
    <t xml:space="preserve">Fixed Maturities </t>
  </si>
  <si>
    <t xml:space="preserve">Equity Securities </t>
  </si>
  <si>
    <t>Other Investments</t>
  </si>
  <si>
    <t xml:space="preserve">Total Investments </t>
  </si>
  <si>
    <t>Restricted Cash</t>
  </si>
  <si>
    <t xml:space="preserve">Total Cash  </t>
  </si>
  <si>
    <t>Q1'26</t>
  </si>
  <si>
    <t>Press Releases</t>
  </si>
  <si>
    <t xml:space="preserve">Accrued investment income </t>
  </si>
  <si>
    <t>PPE</t>
  </si>
  <si>
    <t>Premiums Rec</t>
  </si>
  <si>
    <t xml:space="preserve">Ceded unearned premiums </t>
  </si>
  <si>
    <t>Goodwill</t>
  </si>
  <si>
    <t>Deferred Policy Acq Costs</t>
  </si>
  <si>
    <t xml:space="preserve">Intangibles </t>
  </si>
  <si>
    <t>OA</t>
  </si>
  <si>
    <t>Assets Held for Sale</t>
  </si>
  <si>
    <t>TA</t>
  </si>
  <si>
    <t>Unapid Losees and Loss Adj Exp</t>
  </si>
  <si>
    <t>Unearned Premiums</t>
  </si>
  <si>
    <t xml:space="preserve">Reinsurance Payable on Premiums </t>
  </si>
  <si>
    <t>A/P</t>
  </si>
  <si>
    <t>Op Lease</t>
  </si>
  <si>
    <t>Notes Payable</t>
  </si>
  <si>
    <t>OL</t>
  </si>
  <si>
    <t xml:space="preserve">Liabilities helf for sale </t>
  </si>
  <si>
    <t xml:space="preserve">TL </t>
  </si>
  <si>
    <t>E</t>
  </si>
  <si>
    <t>TL+E</t>
  </si>
  <si>
    <t>Unpaid Losees and Loss Adj Exp</t>
  </si>
  <si>
    <t>Investment Portfolio Mix</t>
  </si>
  <si>
    <t xml:space="preserve">Reinsurance recoverable </t>
  </si>
  <si>
    <t>Net Premiums Written</t>
  </si>
  <si>
    <t xml:space="preserve">Return on Equity </t>
  </si>
  <si>
    <t xml:space="preserve">Net Leverage Ratio </t>
  </si>
  <si>
    <t xml:space="preserve">Reserve to Equity </t>
  </si>
  <si>
    <t>Ceded Ratio</t>
  </si>
  <si>
    <t>Investments to Equity</t>
  </si>
  <si>
    <t>Cash + Investments to Equity</t>
  </si>
  <si>
    <t>Retention to Equity</t>
  </si>
  <si>
    <t xml:space="preserve">Discount </t>
  </si>
  <si>
    <t xml:space="preserve">Terminal </t>
  </si>
  <si>
    <t>NPV</t>
  </si>
  <si>
    <t>Shares</t>
  </si>
  <si>
    <t xml:space="preserve">Estimate </t>
  </si>
  <si>
    <t xml:space="preserve">Current </t>
  </si>
  <si>
    <t xml:space="preserve">Upside </t>
  </si>
  <si>
    <t>Beg Equity</t>
  </si>
  <si>
    <t xml:space="preserve">Net ncome </t>
  </si>
  <si>
    <t>Dividends</t>
  </si>
  <si>
    <t xml:space="preserve">Ending Equity </t>
  </si>
  <si>
    <t>Florida major hurricanes</t>
  </si>
  <si>
    <t>Storm</t>
  </si>
  <si>
    <t>Saffir–Simpson</t>
  </si>
  <si>
    <t>Date of Impact</t>
  </si>
  <si>
    <t>Year</t>
  </si>
  <si>
    <t>Landfall Winds</t>
  </si>
  <si>
    <t>Location(s)</t>
  </si>
  <si>
    <t>Wilma</t>
  </si>
  <si>
    <t>Cape Romano</t>
  </si>
  <si>
    <t>Unnamed</t>
  </si>
  <si>
    <t>Jupiter Island</t>
  </si>
  <si>
    <t>Captiva Island</t>
  </si>
  <si>
    <t>Panama City</t>
  </si>
  <si>
    <t>Navarre</t>
  </si>
  <si>
    <t>Miami Beach</t>
  </si>
  <si>
    <t>Cedar Key</t>
  </si>
  <si>
    <t>Marathon</t>
  </si>
  <si>
    <t>Fort Walton Beach</t>
  </si>
  <si>
    <t>Tavernier</t>
  </si>
  <si>
    <t>Jupiter</t>
  </si>
  <si>
    <t>Dry Tortugas</t>
  </si>
  <si>
    <t>North Key Largo</t>
  </si>
  <si>
    <t>Fort Lauderdale</t>
  </si>
  <si>
    <t>September 21–22</t>
  </si>
  <si>
    <t>East of Chokoloskee</t>
  </si>
  <si>
    <t>Lake Worth</t>
  </si>
  <si>
    <t>Tampa Bay</t>
  </si>
  <si>
    <t>Tarpon Springs</t>
  </si>
  <si>
    <t>Opal</t>
  </si>
  <si>
    <t>Pensacola Beach</t>
  </si>
  <si>
    <t>Okeechobee</t>
  </si>
  <si>
    <t>Palm Beach</t>
  </si>
  <si>
    <t>Milton</t>
  </si>
  <si>
    <t>Siesta Key^</t>
  </si>
  <si>
    <t>Michael</t>
  </si>
  <si>
    <t>West of Mexico Beach</t>
  </si>
  <si>
    <t>Labor Day</t>
  </si>
  <si>
    <t>Craig Key</t>
  </si>
  <si>
    <t>King</t>
  </si>
  <si>
    <t>Miami</t>
  </si>
  <si>
    <t>Jeanne</t>
  </si>
  <si>
    <t>Hutchinson Island</t>
  </si>
  <si>
    <t>Ivan</t>
  </si>
  <si>
    <t>West of Gulf Shores, Alabama*</t>
  </si>
  <si>
    <t>Irma</t>
  </si>
  <si>
    <t>Cudjoe Key</t>
  </si>
  <si>
    <t>Idalia</t>
  </si>
  <si>
    <t>Keaton Beach</t>
  </si>
  <si>
    <t>Ian</t>
  </si>
  <si>
    <t>Cayo Costa</t>
  </si>
  <si>
    <t>Helene</t>
  </si>
  <si>
    <t>Southwest of Perry</t>
  </si>
  <si>
    <t>Great Middle Florida</t>
  </si>
  <si>
    <t>Great Miami</t>
  </si>
  <si>
    <t>September 18–20</t>
  </si>
  <si>
    <t>Perrine</t>
  </si>
  <si>
    <t>Florida Keys</t>
  </si>
  <si>
    <t>Eloise</t>
  </si>
  <si>
    <t>East of Destin</t>
  </si>
  <si>
    <t>Elena</t>
  </si>
  <si>
    <t>Gulfport, Mississippi*</t>
  </si>
  <si>
    <t>Easy</t>
  </si>
  <si>
    <t>East of Cedar Key</t>
  </si>
  <si>
    <t>Donna</t>
  </si>
  <si>
    <t>Conch Key</t>
  </si>
  <si>
    <t>Dennis</t>
  </si>
  <si>
    <t>Santa Rosa Island</t>
  </si>
  <si>
    <t>Charley</t>
  </si>
  <si>
    <t>Betsy</t>
  </si>
  <si>
    <t>Andrew</t>
  </si>
  <si>
    <t>Elliott Key</t>
  </si>
  <si>
    <t>Alma</t>
  </si>
  <si>
    <t>Dry Tortugas*</t>
  </si>
  <si>
    <t xml:space="preserve">Pre-tax Margin </t>
  </si>
  <si>
    <t xml:space="preserve">Net Cash </t>
  </si>
  <si>
    <t>ROIC</t>
  </si>
  <si>
    <t>Debt i</t>
  </si>
  <si>
    <t xml:space="preserve">CFFO </t>
  </si>
  <si>
    <t>Capex</t>
  </si>
  <si>
    <t xml:space="preserve">FCF </t>
  </si>
  <si>
    <t>+</t>
  </si>
  <si>
    <t xml:space="preserve">Analyst Coverage </t>
  </si>
  <si>
    <t>Raymond</t>
  </si>
  <si>
    <t xml:space="preserve">Tieton Capital </t>
  </si>
  <si>
    <t xml:space="preserve">Titan Capital </t>
  </si>
  <si>
    <t xml:space="preserve">Opening 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</si>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</sst>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\x"/>
  </numFmts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0"/>
      <color theme="3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3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2" fillId="0" borderId="0" xfId="1" applyNumberFormat="1"/>
    <xf numFmtId="3" fontId="3" fillId="0" borderId="0" xfId="1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9" fontId="1" fillId="2" borderId="0" xfId="0" applyNumberFormat="1" applyFont="1" applyFill="1" applyAlignment="1">
      <alignment horizontal="right"/>
    </xf>
    <xf numFmtId="3" fontId="6" fillId="0" borderId="0" xfId="0" applyNumberFormat="1" applyFont="1"/>
    <xf numFmtId="164" fontId="1" fillId="0" borderId="0" xfId="0" applyNumberFormat="1" applyFont="1"/>
    <xf numFmtId="3" fontId="1" fillId="0" borderId="0" xfId="0" applyNumberFormat="1" applyFont="1" applyAlignment="1">
      <alignment horizontal="left" indent="1"/>
    </xf>
    <xf numFmtId="166" fontId="1" fillId="0" borderId="0" xfId="0" applyNumberFormat="1" applyFont="1" applyAlignment="1">
      <alignment horizontal="right"/>
    </xf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16" fontId="0" fillId="0" borderId="0" xfId="0" applyNumberFormat="1"/>
    <xf numFmtId="3" fontId="1" fillId="0" borderId="0" xfId="0" applyNumberFormat="1" applyFont="1" applyAlignment="1">
      <alignment horizontal="center"/>
    </xf>
    <xf numFmtId="9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4051</xdr:colOff>
      <xdr:row>0</xdr:row>
      <xdr:rowOff>166638</xdr:rowOff>
    </xdr:from>
    <xdr:to>
      <xdr:col>18</xdr:col>
      <xdr:colOff>648642</xdr:colOff>
      <xdr:row>42</xdr:row>
      <xdr:rowOff>18385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4C819-A111-08CD-B15B-3C8A05FF3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2297" y="166638"/>
          <a:ext cx="6415293" cy="6903589"/>
        </a:xfrm>
        <a:prstGeom prst="rect">
          <a:avLst/>
        </a:prstGeom>
      </xdr:spPr>
    </xdr:pic>
    <xdr:clientData/>
  </xdr:twoCellAnchor>
  <xdr:twoCellAnchor editAs="oneCell">
    <xdr:from>
      <xdr:col>13</xdr:col>
      <xdr:colOff>766262</xdr:colOff>
      <xdr:row>40</xdr:row>
      <xdr:rowOff>58655</xdr:rowOff>
    </xdr:from>
    <xdr:to>
      <xdr:col>14</xdr:col>
      <xdr:colOff>768076</xdr:colOff>
      <xdr:row>40</xdr:row>
      <xdr:rowOff>73415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8CC29B9-5E3A-6BF8-C415-3B7128F8D491}"/>
                </a:ext>
              </a:extLst>
            </xdr14:cNvPr>
            <xdr14:cNvContentPartPr/>
          </xdr14:nvContentPartPr>
          <xdr14:nvPr macro=""/>
          <xdr14:xfrm>
            <a:off x="11483280" y="6575760"/>
            <a:ext cx="826200" cy="14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8CC29B9-5E3A-6BF8-C415-3B7128F8D49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477160" y="6569640"/>
              <a:ext cx="83844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541912</xdr:colOff>
      <xdr:row>12</xdr:row>
      <xdr:rowOff>131762</xdr:rowOff>
    </xdr:from>
    <xdr:to>
      <xdr:col>8</xdr:col>
      <xdr:colOff>542272</xdr:colOff>
      <xdr:row>12</xdr:row>
      <xdr:rowOff>132122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073A4BD-3407-46C2-7C53-07464A223253}"/>
                </a:ext>
              </a:extLst>
            </xdr14:cNvPr>
            <xdr14:cNvContentPartPr/>
          </xdr14:nvContentPartPr>
          <xdr14:nvPr macro=""/>
          <xdr14:xfrm>
            <a:off x="7137000" y="19699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073A4BD-3407-46C2-7C53-07464A22325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30880" y="1963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11</xdr:col>
      <xdr:colOff>15875</xdr:colOff>
      <xdr:row>126</xdr:row>
      <xdr:rowOff>127000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B1014C6-EBD1-D020-05CF-EFCE17317087}"/>
            </a:ext>
          </a:extLst>
        </xdr:cNvPr>
        <xdr:cNvCxnSpPr/>
      </xdr:nvCxnSpPr>
      <xdr:spPr>
        <a:xfrm>
          <a:off x="10374313" y="0"/>
          <a:ext cx="15875" cy="136286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7938</xdr:colOff>
      <xdr:row>0</xdr:row>
      <xdr:rowOff>7938</xdr:rowOff>
    </xdr:from>
    <xdr:to>
      <xdr:col>18</xdr:col>
      <xdr:colOff>23813</xdr:colOff>
      <xdr:row>126</xdr:row>
      <xdr:rowOff>134938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1FBB905-94B1-944E-BD34-7C77CCD3A7A8}"/>
            </a:ext>
          </a:extLst>
        </xdr:cNvPr>
        <xdr:cNvCxnSpPr/>
      </xdr:nvCxnSpPr>
      <xdr:spPr>
        <a:xfrm>
          <a:off x="16160751" y="7938"/>
          <a:ext cx="15875" cy="144621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5:51:53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41 24575,'61'-4'0,"-1"-1"0,-9 2 0,3-1 0,33-1 0,0-1 0,-27 2 0,-8 2 0,13-1 0,-13 2 0,-13 0 0,-5 0 0,2 1 0,4-1 0,-5 1 0,4 0 0,-8 0 0,-4 0 0,2 0 0,2 0 0,0 0 0,2 0 0,-2 0 0,-2 1 0,5-1 0,0 2 0,14-2 0,10 2 0,3 0 0,-2-1 0,6 0 0,-19-1 0,5 0 0,-11 0 0,-7 0 0,7 0 0,-7 0 0,3 0 0,-6 0 0,2 0 0,37 1 0,-19 0 0,37 1 0,-41-2 0,-3 1 0,-24-1 0,-4 0 0,2 0 0,-4 0 0,12 0 0,-6 0 0,-2 0 0,-2-1 0,-7 1 0,-4-1 0,-3 1 0,1 0 0,9 0 0,1 0 0,2-1 0,-4 1 0,-8 0 0,-1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5:59:45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ec.gov/Archives/edgar/data/1401521/000140152126000027/acic-ex99_2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D27C-6E99-A047-AEB0-19A921E88384}">
  <dimension ref="B1:I21"/>
  <sheetViews>
    <sheetView showGridLines="0" tabSelected="1" zoomScale="264" workbookViewId="0">
      <selection activeCell="H4" sqref="H4"/>
    </sheetView>
  </sheetViews>
  <sheetFormatPr baseColWidth="10" defaultRowHeight="13" x14ac:dyDescent="0.15"/>
  <cols>
    <col min="1" max="1" width="1.6640625" style="1" customWidth="1"/>
    <col min="2" max="2" width="23.6640625" style="1" customWidth="1"/>
    <col min="3" max="3" width="16.33203125" style="1" bestFit="1" customWidth="1"/>
    <col min="4" max="8" width="10.83203125" style="1"/>
    <col min="9" max="9" width="10.83203125" style="2"/>
    <col min="10" max="16384" width="10.83203125" style="1"/>
  </cols>
  <sheetData>
    <row r="1" spans="2:9" x14ac:dyDescent="0.15">
      <c r="G1" s="1" t="s">
        <v>194</v>
      </c>
      <c r="H1" s="1">
        <v>11.38</v>
      </c>
    </row>
    <row r="2" spans="2:9" x14ac:dyDescent="0.15">
      <c r="G2" s="1" t="s">
        <v>195</v>
      </c>
      <c r="H2" s="32">
        <f>+H3/H1-1</f>
        <v>-2.8119507908611618E-2</v>
      </c>
    </row>
    <row r="3" spans="2:9" x14ac:dyDescent="0.15">
      <c r="B3" s="1" t="s">
        <v>35</v>
      </c>
      <c r="G3" s="1" t="s">
        <v>0</v>
      </c>
      <c r="H3" s="23">
        <v>11.06</v>
      </c>
      <c r="I3" s="2" t="s">
        <v>12</v>
      </c>
    </row>
    <row r="4" spans="2:9" x14ac:dyDescent="0.15">
      <c r="B4" s="1" t="s">
        <v>36</v>
      </c>
      <c r="G4" s="1" t="s">
        <v>1</v>
      </c>
      <c r="H4" s="1">
        <v>48.342810999999998</v>
      </c>
    </row>
    <row r="5" spans="2:9" x14ac:dyDescent="0.15">
      <c r="B5" s="1" t="s">
        <v>37</v>
      </c>
      <c r="G5" s="1" t="s">
        <v>2</v>
      </c>
      <c r="H5" s="1">
        <f>+H3*H4</f>
        <v>534.67148966000002</v>
      </c>
    </row>
    <row r="6" spans="2:9" x14ac:dyDescent="0.15">
      <c r="B6" s="1" t="s">
        <v>38</v>
      </c>
      <c r="C6" s="1" t="s">
        <v>53</v>
      </c>
      <c r="G6" s="1" t="s">
        <v>3</v>
      </c>
      <c r="H6" s="1">
        <v>238.94900000000001</v>
      </c>
      <c r="I6" s="2" t="str">
        <f>+I3</f>
        <v>Q126</v>
      </c>
    </row>
    <row r="7" spans="2:9" x14ac:dyDescent="0.15">
      <c r="B7" s="1" t="s">
        <v>52</v>
      </c>
      <c r="C7" s="29">
        <v>65</v>
      </c>
      <c r="G7" s="1" t="s">
        <v>4</v>
      </c>
      <c r="H7" s="1">
        <v>149.35300000000001</v>
      </c>
      <c r="I7" s="2" t="s">
        <v>6</v>
      </c>
    </row>
    <row r="8" spans="2:9" x14ac:dyDescent="0.15">
      <c r="G8" s="1" t="s">
        <v>5</v>
      </c>
      <c r="H8" s="1">
        <f>+H5-H6+H7</f>
        <v>445.07548966000002</v>
      </c>
    </row>
    <row r="9" spans="2:9" x14ac:dyDescent="0.15">
      <c r="B9" s="1" t="s">
        <v>42</v>
      </c>
    </row>
    <row r="10" spans="2:9" x14ac:dyDescent="0.15">
      <c r="G10" s="1" t="s">
        <v>7</v>
      </c>
      <c r="H10" s="1">
        <v>317.565</v>
      </c>
    </row>
    <row r="11" spans="2:9" x14ac:dyDescent="0.15">
      <c r="H11" s="1">
        <f>+H10/H4</f>
        <v>6.5690222275241714</v>
      </c>
    </row>
    <row r="18" spans="2:3" x14ac:dyDescent="0.15">
      <c r="B18" s="22" t="s">
        <v>65</v>
      </c>
      <c r="C18" s="22" t="s">
        <v>190</v>
      </c>
    </row>
    <row r="19" spans="2:3" ht="16" x14ac:dyDescent="0.2">
      <c r="B19" s="3" t="s">
        <v>64</v>
      </c>
      <c r="C19" s="1" t="s">
        <v>191</v>
      </c>
    </row>
    <row r="20" spans="2:3" x14ac:dyDescent="0.15">
      <c r="C20" s="1" t="s">
        <v>192</v>
      </c>
    </row>
    <row r="21" spans="2:3" x14ac:dyDescent="0.15">
      <c r="C21" s="1" t="s">
        <v>193</v>
      </c>
    </row>
  </sheetData>
  <hyperlinks>
    <hyperlink ref="B19" r:id="rId1" xr:uid="{A92E5897-9416-7945-AC5D-1DF838208B2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DD34-921D-524D-B1B7-C3E1D1AA1ABA}">
  <dimension ref="A1:XFD119"/>
  <sheetViews>
    <sheetView zoomScale="236" zoomScaleNormal="160" workbookViewId="0">
      <pane xSplit="2" ySplit="2" topLeftCell="V28" activePane="bottomRight" state="frozen"/>
      <selection pane="topRight" activeCell="C1" sqref="C1"/>
      <selection pane="bottomLeft" activeCell="A3" sqref="A3"/>
      <selection pane="bottomRight" activeCell="AE42" sqref="AE42"/>
    </sheetView>
  </sheetViews>
  <sheetFormatPr baseColWidth="10" defaultRowHeight="13" x14ac:dyDescent="0.15"/>
  <cols>
    <col min="1" max="1" width="4.83203125" style="2" customWidth="1"/>
    <col min="2" max="2" width="41" style="5" bestFit="1" customWidth="1"/>
    <col min="3" max="5" width="7.6640625" style="2" bestFit="1" customWidth="1"/>
    <col min="6" max="10" width="9.1640625" style="2" bestFit="1" customWidth="1"/>
    <col min="11" max="11" width="9.6640625" style="2" bestFit="1" customWidth="1"/>
    <col min="12" max="13" width="10.83203125" style="2"/>
    <col min="14" max="23" width="8.1640625" style="2" bestFit="1" customWidth="1"/>
    <col min="24" max="28" width="9.1640625" style="2" bestFit="1" customWidth="1"/>
    <col min="29" max="16384" width="10.83203125" style="2"/>
  </cols>
  <sheetData>
    <row r="1" spans="1:156" x14ac:dyDescent="0.15">
      <c r="A1" s="4" t="s">
        <v>8</v>
      </c>
    </row>
    <row r="2" spans="1:156" s="6" customFormat="1" x14ac:dyDescent="0.15">
      <c r="B2" s="7"/>
      <c r="C2" s="6" t="s">
        <v>48</v>
      </c>
      <c r="D2" s="6" t="s">
        <v>49</v>
      </c>
      <c r="E2" s="6" t="s">
        <v>50</v>
      </c>
      <c r="F2" s="6" t="s">
        <v>51</v>
      </c>
      <c r="G2" s="6" t="s">
        <v>9</v>
      </c>
      <c r="H2" s="6" t="s">
        <v>10</v>
      </c>
      <c r="I2" s="6" t="s">
        <v>11</v>
      </c>
      <c r="J2" s="6" t="s">
        <v>6</v>
      </c>
      <c r="K2" s="6" t="s">
        <v>12</v>
      </c>
      <c r="N2" s="6">
        <v>2021</v>
      </c>
      <c r="O2" s="6">
        <f t="shared" ref="O2:AB2" si="0">+N2+1</f>
        <v>2022</v>
      </c>
      <c r="P2" s="6">
        <f t="shared" si="0"/>
        <v>2023</v>
      </c>
      <c r="Q2" s="6">
        <f t="shared" si="0"/>
        <v>2024</v>
      </c>
      <c r="R2" s="6">
        <f t="shared" si="0"/>
        <v>2025</v>
      </c>
      <c r="S2" s="6">
        <f t="shared" si="0"/>
        <v>2026</v>
      </c>
      <c r="T2" s="6">
        <f t="shared" si="0"/>
        <v>2027</v>
      </c>
      <c r="U2" s="6">
        <f t="shared" si="0"/>
        <v>2028</v>
      </c>
      <c r="V2" s="6">
        <f t="shared" si="0"/>
        <v>2029</v>
      </c>
      <c r="W2" s="6">
        <f t="shared" si="0"/>
        <v>2030</v>
      </c>
      <c r="X2" s="6">
        <f t="shared" si="0"/>
        <v>2031</v>
      </c>
      <c r="Y2" s="6">
        <f t="shared" si="0"/>
        <v>2032</v>
      </c>
      <c r="Z2" s="6">
        <f t="shared" si="0"/>
        <v>2033</v>
      </c>
      <c r="AA2" s="6">
        <f t="shared" si="0"/>
        <v>2034</v>
      </c>
      <c r="AB2" s="6">
        <f t="shared" si="0"/>
        <v>2035</v>
      </c>
      <c r="AC2" s="6">
        <f>+AB2+1</f>
        <v>2036</v>
      </c>
      <c r="AD2" s="6">
        <f t="shared" ref="AD2:CO2" si="1">+AC2+1</f>
        <v>2037</v>
      </c>
      <c r="AE2" s="6">
        <f t="shared" si="1"/>
        <v>2038</v>
      </c>
      <c r="AF2" s="6">
        <f t="shared" si="1"/>
        <v>2039</v>
      </c>
      <c r="AG2" s="6">
        <f t="shared" si="1"/>
        <v>2040</v>
      </c>
      <c r="AH2" s="6">
        <f t="shared" si="1"/>
        <v>2041</v>
      </c>
      <c r="AI2" s="6">
        <f t="shared" si="1"/>
        <v>2042</v>
      </c>
      <c r="AJ2" s="6">
        <f t="shared" si="1"/>
        <v>2043</v>
      </c>
      <c r="AK2" s="6">
        <f t="shared" si="1"/>
        <v>2044</v>
      </c>
      <c r="AL2" s="6">
        <f t="shared" si="1"/>
        <v>2045</v>
      </c>
      <c r="AM2" s="6">
        <f t="shared" si="1"/>
        <v>2046</v>
      </c>
      <c r="AN2" s="6">
        <f t="shared" si="1"/>
        <v>2047</v>
      </c>
      <c r="AO2" s="6">
        <f t="shared" si="1"/>
        <v>2048</v>
      </c>
      <c r="AP2" s="6">
        <f t="shared" si="1"/>
        <v>2049</v>
      </c>
      <c r="AQ2" s="6">
        <f t="shared" si="1"/>
        <v>2050</v>
      </c>
      <c r="AR2" s="6">
        <f t="shared" si="1"/>
        <v>2051</v>
      </c>
      <c r="AS2" s="6">
        <f t="shared" si="1"/>
        <v>2052</v>
      </c>
      <c r="AT2" s="6">
        <f t="shared" si="1"/>
        <v>2053</v>
      </c>
      <c r="AU2" s="6">
        <f t="shared" si="1"/>
        <v>2054</v>
      </c>
      <c r="AV2" s="6">
        <f t="shared" si="1"/>
        <v>2055</v>
      </c>
      <c r="AW2" s="6">
        <f t="shared" si="1"/>
        <v>2056</v>
      </c>
      <c r="AX2" s="6">
        <f t="shared" si="1"/>
        <v>2057</v>
      </c>
      <c r="AY2" s="6">
        <f t="shared" si="1"/>
        <v>2058</v>
      </c>
      <c r="AZ2" s="6">
        <f t="shared" si="1"/>
        <v>2059</v>
      </c>
      <c r="BA2" s="6">
        <f t="shared" si="1"/>
        <v>2060</v>
      </c>
      <c r="BB2" s="6">
        <f t="shared" si="1"/>
        <v>2061</v>
      </c>
      <c r="BC2" s="6">
        <f t="shared" si="1"/>
        <v>2062</v>
      </c>
      <c r="BD2" s="6">
        <f t="shared" si="1"/>
        <v>2063</v>
      </c>
      <c r="BE2" s="6">
        <f t="shared" si="1"/>
        <v>2064</v>
      </c>
      <c r="BF2" s="6">
        <f t="shared" si="1"/>
        <v>2065</v>
      </c>
      <c r="BG2" s="6">
        <f t="shared" si="1"/>
        <v>2066</v>
      </c>
      <c r="BH2" s="6">
        <f t="shared" si="1"/>
        <v>2067</v>
      </c>
      <c r="BI2" s="6">
        <f t="shared" si="1"/>
        <v>2068</v>
      </c>
      <c r="BJ2" s="6">
        <f t="shared" si="1"/>
        <v>2069</v>
      </c>
      <c r="BK2" s="6">
        <f t="shared" si="1"/>
        <v>2070</v>
      </c>
      <c r="BL2" s="6">
        <f t="shared" si="1"/>
        <v>2071</v>
      </c>
      <c r="BM2" s="6">
        <f t="shared" si="1"/>
        <v>2072</v>
      </c>
      <c r="BN2" s="6">
        <f t="shared" si="1"/>
        <v>2073</v>
      </c>
      <c r="BO2" s="6">
        <f t="shared" si="1"/>
        <v>2074</v>
      </c>
      <c r="BP2" s="6">
        <f t="shared" si="1"/>
        <v>2075</v>
      </c>
      <c r="BQ2" s="6">
        <f t="shared" si="1"/>
        <v>2076</v>
      </c>
      <c r="BR2" s="6">
        <f t="shared" si="1"/>
        <v>2077</v>
      </c>
      <c r="BS2" s="6">
        <f t="shared" si="1"/>
        <v>2078</v>
      </c>
      <c r="BT2" s="6">
        <f t="shared" si="1"/>
        <v>2079</v>
      </c>
      <c r="BU2" s="6">
        <f t="shared" si="1"/>
        <v>2080</v>
      </c>
      <c r="BV2" s="6">
        <f t="shared" si="1"/>
        <v>2081</v>
      </c>
      <c r="BW2" s="6">
        <f t="shared" si="1"/>
        <v>2082</v>
      </c>
      <c r="BX2" s="6">
        <f t="shared" si="1"/>
        <v>2083</v>
      </c>
      <c r="BY2" s="6">
        <f t="shared" si="1"/>
        <v>2084</v>
      </c>
      <c r="BZ2" s="6">
        <f t="shared" si="1"/>
        <v>2085</v>
      </c>
      <c r="CA2" s="6">
        <f t="shared" si="1"/>
        <v>2086</v>
      </c>
      <c r="CB2" s="6">
        <f t="shared" si="1"/>
        <v>2087</v>
      </c>
      <c r="CC2" s="6">
        <f t="shared" si="1"/>
        <v>2088</v>
      </c>
      <c r="CD2" s="6">
        <f t="shared" si="1"/>
        <v>2089</v>
      </c>
      <c r="CE2" s="6">
        <f t="shared" si="1"/>
        <v>2090</v>
      </c>
      <c r="CF2" s="6">
        <f t="shared" si="1"/>
        <v>2091</v>
      </c>
      <c r="CG2" s="6">
        <f t="shared" si="1"/>
        <v>2092</v>
      </c>
      <c r="CH2" s="6">
        <f t="shared" si="1"/>
        <v>2093</v>
      </c>
      <c r="CI2" s="6">
        <f t="shared" si="1"/>
        <v>2094</v>
      </c>
      <c r="CJ2" s="6">
        <f t="shared" si="1"/>
        <v>2095</v>
      </c>
      <c r="CK2" s="6">
        <f t="shared" si="1"/>
        <v>2096</v>
      </c>
      <c r="CL2" s="6">
        <f t="shared" si="1"/>
        <v>2097</v>
      </c>
      <c r="CM2" s="6">
        <f t="shared" si="1"/>
        <v>2098</v>
      </c>
      <c r="CN2" s="6">
        <f t="shared" si="1"/>
        <v>2099</v>
      </c>
      <c r="CO2" s="6">
        <f t="shared" si="1"/>
        <v>2100</v>
      </c>
      <c r="CP2" s="6">
        <f t="shared" ref="CP2:EZ2" si="2">+CO2+1</f>
        <v>2101</v>
      </c>
      <c r="CQ2" s="6">
        <f t="shared" si="2"/>
        <v>2102</v>
      </c>
      <c r="CR2" s="6">
        <f t="shared" si="2"/>
        <v>2103</v>
      </c>
      <c r="CS2" s="6">
        <f t="shared" si="2"/>
        <v>2104</v>
      </c>
      <c r="CT2" s="6">
        <f t="shared" si="2"/>
        <v>2105</v>
      </c>
      <c r="CU2" s="6">
        <f t="shared" si="2"/>
        <v>2106</v>
      </c>
      <c r="CV2" s="6">
        <f t="shared" si="2"/>
        <v>2107</v>
      </c>
      <c r="CW2" s="6">
        <f t="shared" si="2"/>
        <v>2108</v>
      </c>
      <c r="CX2" s="6">
        <f t="shared" si="2"/>
        <v>2109</v>
      </c>
      <c r="CY2" s="6">
        <f t="shared" si="2"/>
        <v>2110</v>
      </c>
      <c r="CZ2" s="6">
        <f t="shared" si="2"/>
        <v>2111</v>
      </c>
      <c r="DA2" s="6">
        <f t="shared" si="2"/>
        <v>2112</v>
      </c>
      <c r="DB2" s="6">
        <f t="shared" si="2"/>
        <v>2113</v>
      </c>
      <c r="DC2" s="6">
        <f t="shared" si="2"/>
        <v>2114</v>
      </c>
      <c r="DD2" s="6">
        <f t="shared" si="2"/>
        <v>2115</v>
      </c>
      <c r="DE2" s="6">
        <f t="shared" si="2"/>
        <v>2116</v>
      </c>
      <c r="DF2" s="6">
        <f t="shared" si="2"/>
        <v>2117</v>
      </c>
      <c r="DG2" s="6">
        <f t="shared" si="2"/>
        <v>2118</v>
      </c>
      <c r="DH2" s="6">
        <f t="shared" si="2"/>
        <v>2119</v>
      </c>
      <c r="DI2" s="6">
        <f t="shared" si="2"/>
        <v>2120</v>
      </c>
      <c r="DJ2" s="6">
        <f t="shared" si="2"/>
        <v>2121</v>
      </c>
      <c r="DK2" s="6">
        <f t="shared" si="2"/>
        <v>2122</v>
      </c>
      <c r="DL2" s="6">
        <f t="shared" si="2"/>
        <v>2123</v>
      </c>
      <c r="DM2" s="6">
        <f t="shared" si="2"/>
        <v>2124</v>
      </c>
      <c r="DN2" s="6">
        <f t="shared" si="2"/>
        <v>2125</v>
      </c>
      <c r="DO2" s="6">
        <f t="shared" si="2"/>
        <v>2126</v>
      </c>
      <c r="DP2" s="6">
        <f t="shared" si="2"/>
        <v>2127</v>
      </c>
      <c r="DQ2" s="6">
        <f t="shared" si="2"/>
        <v>2128</v>
      </c>
      <c r="DR2" s="6">
        <f t="shared" si="2"/>
        <v>2129</v>
      </c>
      <c r="DS2" s="6">
        <f t="shared" si="2"/>
        <v>2130</v>
      </c>
      <c r="DT2" s="6">
        <f t="shared" si="2"/>
        <v>2131</v>
      </c>
      <c r="DU2" s="6">
        <f t="shared" si="2"/>
        <v>2132</v>
      </c>
      <c r="DV2" s="6">
        <f t="shared" si="2"/>
        <v>2133</v>
      </c>
      <c r="DW2" s="6">
        <f t="shared" si="2"/>
        <v>2134</v>
      </c>
      <c r="DX2" s="6">
        <f t="shared" si="2"/>
        <v>2135</v>
      </c>
      <c r="DY2" s="6">
        <f t="shared" si="2"/>
        <v>2136</v>
      </c>
      <c r="DZ2" s="6">
        <f t="shared" si="2"/>
        <v>2137</v>
      </c>
      <c r="EA2" s="6">
        <f t="shared" si="2"/>
        <v>2138</v>
      </c>
      <c r="EB2" s="6">
        <f t="shared" si="2"/>
        <v>2139</v>
      </c>
      <c r="EC2" s="6">
        <f t="shared" si="2"/>
        <v>2140</v>
      </c>
      <c r="ED2" s="6">
        <f t="shared" si="2"/>
        <v>2141</v>
      </c>
      <c r="EE2" s="6">
        <f t="shared" si="2"/>
        <v>2142</v>
      </c>
      <c r="EF2" s="6">
        <f t="shared" si="2"/>
        <v>2143</v>
      </c>
      <c r="EG2" s="6">
        <f t="shared" si="2"/>
        <v>2144</v>
      </c>
      <c r="EH2" s="6">
        <f t="shared" si="2"/>
        <v>2145</v>
      </c>
      <c r="EI2" s="6">
        <f t="shared" si="2"/>
        <v>2146</v>
      </c>
      <c r="EJ2" s="6">
        <f t="shared" si="2"/>
        <v>2147</v>
      </c>
      <c r="EK2" s="6">
        <f t="shared" si="2"/>
        <v>2148</v>
      </c>
      <c r="EL2" s="6">
        <f t="shared" si="2"/>
        <v>2149</v>
      </c>
      <c r="EM2" s="6">
        <f t="shared" si="2"/>
        <v>2150</v>
      </c>
      <c r="EN2" s="6">
        <f t="shared" si="2"/>
        <v>2151</v>
      </c>
      <c r="EO2" s="6">
        <f t="shared" si="2"/>
        <v>2152</v>
      </c>
      <c r="EP2" s="6">
        <f t="shared" si="2"/>
        <v>2153</v>
      </c>
      <c r="EQ2" s="6">
        <f t="shared" si="2"/>
        <v>2154</v>
      </c>
      <c r="ER2" s="6">
        <f t="shared" si="2"/>
        <v>2155</v>
      </c>
      <c r="ES2" s="6">
        <f t="shared" si="2"/>
        <v>2156</v>
      </c>
      <c r="ET2" s="6">
        <f t="shared" si="2"/>
        <v>2157</v>
      </c>
      <c r="EU2" s="6">
        <f t="shared" si="2"/>
        <v>2158</v>
      </c>
      <c r="EV2" s="6">
        <f t="shared" si="2"/>
        <v>2159</v>
      </c>
      <c r="EW2" s="6">
        <f t="shared" si="2"/>
        <v>2160</v>
      </c>
      <c r="EX2" s="6">
        <f t="shared" si="2"/>
        <v>2161</v>
      </c>
      <c r="EY2" s="6">
        <f t="shared" si="2"/>
        <v>2162</v>
      </c>
      <c r="EZ2" s="6">
        <f t="shared" si="2"/>
        <v>2163</v>
      </c>
    </row>
    <row r="3" spans="1:156" s="12" customFormat="1" x14ac:dyDescent="0.15">
      <c r="B3" s="15" t="s">
        <v>55</v>
      </c>
      <c r="O3" s="16">
        <v>0.52500000000000002</v>
      </c>
    </row>
    <row r="4" spans="1:156" s="6" customFormat="1" x14ac:dyDescent="0.15">
      <c r="B4" s="7"/>
    </row>
    <row r="5" spans="1:156" s="6" customFormat="1" x14ac:dyDescent="0.15">
      <c r="B5" s="7" t="s">
        <v>42</v>
      </c>
      <c r="R5" s="12">
        <v>17.57</v>
      </c>
    </row>
    <row r="6" spans="1:156" s="12" customFormat="1" x14ac:dyDescent="0.15">
      <c r="B6" s="15" t="s">
        <v>39</v>
      </c>
      <c r="C6" s="12">
        <v>0.19900000000000001</v>
      </c>
      <c r="D6" s="12">
        <v>0.24210000000000001</v>
      </c>
      <c r="E6" s="12">
        <v>0.158</v>
      </c>
      <c r="F6" s="12">
        <v>0.40500000000000003</v>
      </c>
      <c r="G6" s="12">
        <v>0.16700000000000001</v>
      </c>
      <c r="H6" s="12">
        <v>0.19800000000000001</v>
      </c>
      <c r="I6" s="12">
        <v>0.114</v>
      </c>
      <c r="J6" s="12">
        <v>0.125</v>
      </c>
      <c r="K6" s="12">
        <v>0.156</v>
      </c>
      <c r="N6" s="12">
        <v>0.40300000000000002</v>
      </c>
      <c r="O6" s="12">
        <v>0.5</v>
      </c>
      <c r="P6" s="12">
        <v>0.17799999999999999</v>
      </c>
      <c r="Q6" s="12">
        <v>0.253</v>
      </c>
      <c r="R6" s="12">
        <v>0.15</v>
      </c>
      <c r="S6" s="12">
        <v>0.35</v>
      </c>
      <c r="T6" s="12">
        <v>0.6</v>
      </c>
      <c r="U6" s="12">
        <v>0.3</v>
      </c>
      <c r="V6" s="12">
        <v>0.3</v>
      </c>
      <c r="W6" s="12">
        <v>0.3</v>
      </c>
      <c r="X6" s="12">
        <v>0.6</v>
      </c>
      <c r="Y6" s="12">
        <v>0.3</v>
      </c>
      <c r="Z6" s="12">
        <v>0.3</v>
      </c>
      <c r="AA6" s="12">
        <v>0.3</v>
      </c>
      <c r="AB6" s="12">
        <v>0.64</v>
      </c>
    </row>
    <row r="7" spans="1:156" s="12" customFormat="1" x14ac:dyDescent="0.15">
      <c r="B7" s="15" t="s">
        <v>40</v>
      </c>
      <c r="C7" s="12">
        <v>0.33300000000000002</v>
      </c>
      <c r="D7" s="12">
        <v>0.40799999999999997</v>
      </c>
      <c r="E7" s="12">
        <v>0.41899999999999998</v>
      </c>
      <c r="F7" s="12">
        <v>0.51400000000000001</v>
      </c>
      <c r="G7" s="12">
        <v>0.48299999999999998</v>
      </c>
      <c r="H7" s="12">
        <v>0.40799999999999997</v>
      </c>
      <c r="I7" s="12">
        <v>0.45500000000000002</v>
      </c>
      <c r="J7" s="12">
        <v>0.46100000000000002</v>
      </c>
      <c r="K7" s="21">
        <v>0.504</v>
      </c>
      <c r="N7" s="12">
        <v>0.63700000000000001</v>
      </c>
      <c r="O7" s="12">
        <v>0.56200000000000006</v>
      </c>
      <c r="P7" s="12">
        <v>0.43099999999999999</v>
      </c>
      <c r="Q7" s="12">
        <v>0.42199999999999999</v>
      </c>
      <c r="R7" s="12">
        <v>0.45100000000000001</v>
      </c>
      <c r="S7" s="12">
        <v>0.45</v>
      </c>
      <c r="T7" s="12">
        <f>+S7-1%</f>
        <v>0.44</v>
      </c>
      <c r="U7" s="12">
        <f t="shared" ref="U7:AB7" si="3">+T7-1%</f>
        <v>0.43</v>
      </c>
      <c r="V7" s="12">
        <f t="shared" si="3"/>
        <v>0.42</v>
      </c>
      <c r="W7" s="12">
        <f t="shared" si="3"/>
        <v>0.41</v>
      </c>
      <c r="X7" s="12">
        <f t="shared" si="3"/>
        <v>0.39999999999999997</v>
      </c>
      <c r="Y7" s="12">
        <f t="shared" si="3"/>
        <v>0.38999999999999996</v>
      </c>
      <c r="Z7" s="12">
        <f t="shared" si="3"/>
        <v>0.37999999999999995</v>
      </c>
      <c r="AA7" s="12">
        <f t="shared" si="3"/>
        <v>0.36999999999999994</v>
      </c>
      <c r="AB7" s="12">
        <f t="shared" si="3"/>
        <v>0.35999999999999993</v>
      </c>
    </row>
    <row r="8" spans="1:156" s="12" customFormat="1" x14ac:dyDescent="0.15">
      <c r="B8" s="30" t="s">
        <v>41</v>
      </c>
      <c r="C8" s="31">
        <f t="shared" ref="C8" si="4">+SUM(C6:C7)</f>
        <v>0.53200000000000003</v>
      </c>
      <c r="D8" s="31">
        <f t="shared" ref="D8" si="5">+SUM(D6:D7)</f>
        <v>0.65010000000000001</v>
      </c>
      <c r="E8" s="31">
        <f t="shared" ref="E8:F8" si="6">+SUM(E6:E7)</f>
        <v>0.57699999999999996</v>
      </c>
      <c r="F8" s="31">
        <f t="shared" si="6"/>
        <v>0.91900000000000004</v>
      </c>
      <c r="G8" s="31">
        <f t="shared" ref="G8:K8" si="7">+SUM(G6:G7)</f>
        <v>0.65</v>
      </c>
      <c r="H8" s="31">
        <f t="shared" si="7"/>
        <v>0.60599999999999998</v>
      </c>
      <c r="I8" s="31">
        <f t="shared" si="7"/>
        <v>0.56900000000000006</v>
      </c>
      <c r="J8" s="31">
        <f t="shared" si="7"/>
        <v>0.58600000000000008</v>
      </c>
      <c r="K8" s="31">
        <f t="shared" si="7"/>
        <v>0.66</v>
      </c>
      <c r="N8" s="31">
        <f t="shared" ref="N8:Q8" si="8">+SUM(N6:N7)</f>
        <v>1.04</v>
      </c>
      <c r="O8" s="31">
        <f t="shared" si="8"/>
        <v>1.0620000000000001</v>
      </c>
      <c r="P8" s="31">
        <f t="shared" si="8"/>
        <v>0.60899999999999999</v>
      </c>
      <c r="Q8" s="31">
        <f t="shared" si="8"/>
        <v>0.67500000000000004</v>
      </c>
      <c r="R8" s="31">
        <f>+SUM(R6:R7)</f>
        <v>0.60099999999999998</v>
      </c>
      <c r="S8" s="31">
        <f t="shared" ref="S8:AB8" si="9">+SUM(S6:S7)</f>
        <v>0.8</v>
      </c>
      <c r="T8" s="31">
        <f t="shared" si="9"/>
        <v>1.04</v>
      </c>
      <c r="U8" s="31">
        <f t="shared" si="9"/>
        <v>0.73</v>
      </c>
      <c r="V8" s="31">
        <f t="shared" si="9"/>
        <v>0.72</v>
      </c>
      <c r="W8" s="31">
        <f t="shared" si="9"/>
        <v>0.71</v>
      </c>
      <c r="X8" s="31">
        <f t="shared" si="9"/>
        <v>1</v>
      </c>
      <c r="Y8" s="31">
        <f t="shared" si="9"/>
        <v>0.69</v>
      </c>
      <c r="Z8" s="31">
        <f t="shared" si="9"/>
        <v>0.67999999999999994</v>
      </c>
      <c r="AA8" s="31">
        <f t="shared" si="9"/>
        <v>0.66999999999999993</v>
      </c>
      <c r="AB8" s="31">
        <f t="shared" si="9"/>
        <v>1</v>
      </c>
    </row>
    <row r="9" spans="1:156" s="12" customFormat="1" x14ac:dyDescent="0.15">
      <c r="B9" s="15" t="s">
        <v>45</v>
      </c>
      <c r="C9" s="12">
        <v>3.0000000000000001E-3</v>
      </c>
      <c r="D9" s="12">
        <v>0</v>
      </c>
      <c r="E9" s="12">
        <v>6.6000000000000003E-2</v>
      </c>
      <c r="F9" s="12">
        <v>0.27800000000000002</v>
      </c>
      <c r="G9" s="12">
        <v>0</v>
      </c>
      <c r="H9" s="12">
        <v>0</v>
      </c>
      <c r="I9" s="12">
        <v>5.0000000000000001E-3</v>
      </c>
      <c r="J9" s="12">
        <v>1.2999999999999999E-2</v>
      </c>
      <c r="K9" s="12">
        <v>2E-3</v>
      </c>
      <c r="N9" s="16">
        <v>7.0999999999999994E-2</v>
      </c>
      <c r="O9" s="16">
        <v>0.215</v>
      </c>
      <c r="P9" s="16">
        <v>4.9000000000000002E-2</v>
      </c>
      <c r="Q9" s="16">
        <v>9.2999999999999999E-2</v>
      </c>
      <c r="R9" s="16">
        <v>5.0000000000000001E-3</v>
      </c>
      <c r="S9" s="16">
        <v>0.05</v>
      </c>
    </row>
    <row r="10" spans="1:156" s="12" customFormat="1" x14ac:dyDescent="0.15">
      <c r="B10" s="15" t="s">
        <v>46</v>
      </c>
      <c r="C10" s="16">
        <v>0</v>
      </c>
      <c r="D10" s="16">
        <v>-1.4999999999999999E-2</v>
      </c>
      <c r="E10" s="16">
        <v>-1.7999999999999999E-2</v>
      </c>
      <c r="F10" s="16">
        <v>-1.7999999999999999E-2</v>
      </c>
      <c r="G10" s="16">
        <v>-3.2000000000000001E-2</v>
      </c>
      <c r="H10" s="16">
        <v>-1.6E-2</v>
      </c>
      <c r="I10" s="16">
        <v>-1.4E-2</v>
      </c>
      <c r="J10" s="16">
        <v>-1.6E-2</v>
      </c>
      <c r="K10" s="16">
        <v>-2.5000000000000001E-2</v>
      </c>
      <c r="N10" s="16">
        <v>-2.7E-2</v>
      </c>
      <c r="O10" s="16">
        <v>-4.1000000000000002E-2</v>
      </c>
      <c r="P10" s="16">
        <v>-4.9000000000000002E-2</v>
      </c>
      <c r="Q10" s="12">
        <v>-1.4E-2</v>
      </c>
      <c r="R10" s="16">
        <v>-1.9E-2</v>
      </c>
      <c r="S10" s="16">
        <v>-0.01</v>
      </c>
    </row>
    <row r="11" spans="1:156" s="12" customFormat="1" x14ac:dyDescent="0.15">
      <c r="B11" s="30" t="s">
        <v>44</v>
      </c>
      <c r="C11" s="31">
        <f t="shared" ref="C11:K11" si="10">+C8-SUM(C9:C10)</f>
        <v>0.52900000000000003</v>
      </c>
      <c r="D11" s="31">
        <f t="shared" si="10"/>
        <v>0.66510000000000002</v>
      </c>
      <c r="E11" s="31">
        <f t="shared" si="10"/>
        <v>0.52899999999999991</v>
      </c>
      <c r="F11" s="31">
        <f t="shared" si="10"/>
        <v>0.65900000000000003</v>
      </c>
      <c r="G11" s="31">
        <f t="shared" si="10"/>
        <v>0.68200000000000005</v>
      </c>
      <c r="H11" s="31">
        <f t="shared" si="10"/>
        <v>0.622</v>
      </c>
      <c r="I11" s="31">
        <f t="shared" si="10"/>
        <v>0.57800000000000007</v>
      </c>
      <c r="J11" s="31">
        <f t="shared" si="10"/>
        <v>0.58900000000000008</v>
      </c>
      <c r="K11" s="31">
        <f t="shared" si="10"/>
        <v>0.68300000000000005</v>
      </c>
      <c r="N11" s="31">
        <f>+N8-SUM(N9:N10)</f>
        <v>0.996</v>
      </c>
      <c r="O11" s="31">
        <f>+O8-SUM(O9:O10)</f>
        <v>0.88800000000000012</v>
      </c>
      <c r="P11" s="31">
        <f>+P8-SUM(P9:P10)</f>
        <v>0.60899999999999999</v>
      </c>
      <c r="Q11" s="31">
        <f>+Q8-SUM(Q9:Q10)</f>
        <v>0.59600000000000009</v>
      </c>
      <c r="R11" s="31">
        <f>+R8-SUM(R9:R10)</f>
        <v>0.61499999999999999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spans="1:156" s="17" customFormat="1" x14ac:dyDescent="0.15">
      <c r="B12" s="18" t="s">
        <v>47</v>
      </c>
      <c r="P12" s="19">
        <f>+P8+P9</f>
        <v>0.65800000000000003</v>
      </c>
      <c r="Q12" s="19">
        <f>+Q8+Q9</f>
        <v>0.76800000000000002</v>
      </c>
      <c r="R12" s="19">
        <f>+R8+R9</f>
        <v>0.60599999999999998</v>
      </c>
      <c r="S12" s="19">
        <f>SUM(S8:S10)</f>
        <v>0.84000000000000008</v>
      </c>
      <c r="T12" s="19">
        <f>+S12</f>
        <v>0.84000000000000008</v>
      </c>
      <c r="U12" s="19">
        <f t="shared" ref="U12:AB12" si="11">+T12</f>
        <v>0.84000000000000008</v>
      </c>
      <c r="V12" s="19">
        <f t="shared" si="11"/>
        <v>0.84000000000000008</v>
      </c>
      <c r="W12" s="19">
        <f t="shared" si="11"/>
        <v>0.84000000000000008</v>
      </c>
      <c r="X12" s="19">
        <f t="shared" si="11"/>
        <v>0.84000000000000008</v>
      </c>
      <c r="Y12" s="19">
        <f t="shared" si="11"/>
        <v>0.84000000000000008</v>
      </c>
      <c r="Z12" s="19">
        <f t="shared" si="11"/>
        <v>0.84000000000000008</v>
      </c>
      <c r="AA12" s="19">
        <f t="shared" si="11"/>
        <v>0.84000000000000008</v>
      </c>
      <c r="AB12" s="19">
        <f t="shared" si="11"/>
        <v>0.84000000000000008</v>
      </c>
    </row>
    <row r="13" spans="1:156" s="17" customFormat="1" x14ac:dyDescent="0.15">
      <c r="P13" s="19"/>
      <c r="Q13" s="19"/>
      <c r="R13" s="19"/>
    </row>
    <row r="14" spans="1:156" s="6" customFormat="1" x14ac:dyDescent="0.15">
      <c r="B14" s="18" t="s">
        <v>56</v>
      </c>
      <c r="N14" s="12">
        <f>ABS(N19)/N18</f>
        <v>0.52522871270335092</v>
      </c>
      <c r="O14" s="12">
        <f t="shared" ref="O14:R14" si="12">ABS(O19)/O18</f>
        <v>0.49689653304543224</v>
      </c>
      <c r="P14" s="12">
        <f t="shared" si="12"/>
        <v>0.56661589626300057</v>
      </c>
      <c r="Q14" s="12">
        <f t="shared" si="12"/>
        <v>0.57095745746999726</v>
      </c>
      <c r="R14" s="12">
        <f t="shared" si="12"/>
        <v>0.52665288618764072</v>
      </c>
      <c r="S14" s="12">
        <v>0.52</v>
      </c>
      <c r="T14" s="12">
        <v>0.52</v>
      </c>
      <c r="U14" s="12">
        <v>0.52</v>
      </c>
      <c r="V14" s="12">
        <v>0.52</v>
      </c>
      <c r="W14" s="12">
        <v>0.52</v>
      </c>
      <c r="X14" s="12">
        <v>0.52</v>
      </c>
      <c r="Y14" s="12">
        <v>0.52</v>
      </c>
      <c r="Z14" s="12">
        <v>0.52</v>
      </c>
      <c r="AA14" s="12">
        <v>0.52</v>
      </c>
      <c r="AB14" s="12">
        <v>0.52</v>
      </c>
    </row>
    <row r="15" spans="1:156" s="6" customFormat="1" x14ac:dyDescent="0.15">
      <c r="B15" s="7"/>
    </row>
    <row r="16" spans="1:156" x14ac:dyDescent="0.15">
      <c r="B16" s="5" t="s">
        <v>13</v>
      </c>
      <c r="C16" s="8">
        <v>184601</v>
      </c>
      <c r="D16" s="8">
        <v>229449</v>
      </c>
      <c r="E16" s="8">
        <v>93016</v>
      </c>
      <c r="F16" s="8">
        <f t="shared" ref="F16:F27" si="13">+Q16-SUM(C16:E16)</f>
        <v>140739</v>
      </c>
      <c r="G16" s="8">
        <v>197852</v>
      </c>
      <c r="H16" s="8">
        <v>228346</v>
      </c>
      <c r="I16" s="8">
        <v>71812</v>
      </c>
      <c r="J16" s="8">
        <f t="shared" ref="J16:J27" si="14">+R16-SUM(G16:I16)</f>
        <v>114512</v>
      </c>
      <c r="K16" s="8">
        <v>149395</v>
      </c>
      <c r="L16" s="8"/>
      <c r="M16" s="8"/>
      <c r="N16" s="8">
        <v>484527</v>
      </c>
      <c r="O16" s="8">
        <v>572343</v>
      </c>
      <c r="P16" s="8">
        <v>635709</v>
      </c>
      <c r="Q16" s="8">
        <v>647805</v>
      </c>
      <c r="R16" s="8">
        <v>612522</v>
      </c>
    </row>
    <row r="17" spans="2:156" x14ac:dyDescent="0.15">
      <c r="B17" s="5" t="s">
        <v>14</v>
      </c>
      <c r="C17" s="8">
        <v>-24331</v>
      </c>
      <c r="D17" s="8">
        <v>-73999</v>
      </c>
      <c r="E17" s="8">
        <v>67162</v>
      </c>
      <c r="F17" s="8">
        <f t="shared" si="13"/>
        <v>21971</v>
      </c>
      <c r="G17" s="8">
        <v>-35751</v>
      </c>
      <c r="H17" s="8">
        <v>-62886</v>
      </c>
      <c r="I17" s="8">
        <v>90945</v>
      </c>
      <c r="J17" s="8">
        <f t="shared" si="14"/>
        <v>43430</v>
      </c>
      <c r="K17" s="8">
        <v>-8261</v>
      </c>
      <c r="L17" s="8"/>
      <c r="M17" s="8"/>
      <c r="N17" s="8">
        <v>-18768</v>
      </c>
      <c r="O17" s="8">
        <v>-36974</v>
      </c>
      <c r="P17" s="8">
        <v>-31026</v>
      </c>
      <c r="Q17" s="8">
        <v>-9197</v>
      </c>
      <c r="R17" s="8">
        <v>35738</v>
      </c>
    </row>
    <row r="18" spans="2:156" x14ac:dyDescent="0.15">
      <c r="B18" s="5" t="s">
        <v>15</v>
      </c>
      <c r="C18" s="2">
        <f>+C16+C17</f>
        <v>160270</v>
      </c>
      <c r="D18" s="2">
        <f>+D16+D17</f>
        <v>155450</v>
      </c>
      <c r="E18" s="2">
        <f>+E16+E17</f>
        <v>160178</v>
      </c>
      <c r="F18" s="8">
        <f t="shared" si="13"/>
        <v>162710</v>
      </c>
      <c r="G18" s="2">
        <f>+G16+G17</f>
        <v>162101</v>
      </c>
      <c r="H18" s="2">
        <f>+H16+H17</f>
        <v>165460</v>
      </c>
      <c r="I18" s="2">
        <f>+I16+I17</f>
        <v>162757</v>
      </c>
      <c r="J18" s="8">
        <f t="shared" si="14"/>
        <v>157942</v>
      </c>
      <c r="K18" s="2">
        <f>+K16+K17</f>
        <v>141134</v>
      </c>
      <c r="N18" s="2">
        <f>+N16+N17</f>
        <v>465759</v>
      </c>
      <c r="O18" s="2">
        <f>+O16+O17</f>
        <v>535369</v>
      </c>
      <c r="P18" s="2">
        <f>+P16+P17</f>
        <v>604683</v>
      </c>
      <c r="Q18" s="2">
        <f>+Q16+Q17</f>
        <v>638608</v>
      </c>
      <c r="R18" s="2">
        <f>+R16+R17</f>
        <v>648260</v>
      </c>
      <c r="S18" s="2">
        <f>+S20/S14</f>
        <v>619605</v>
      </c>
      <c r="T18" s="2">
        <f t="shared" ref="T18:AB18" si="15">+T20/T14</f>
        <v>650585.25000000012</v>
      </c>
      <c r="U18" s="2">
        <f t="shared" si="15"/>
        <v>683114.51250000019</v>
      </c>
      <c r="V18" s="2">
        <f t="shared" si="15"/>
        <v>717270.23812500027</v>
      </c>
      <c r="W18" s="2">
        <f t="shared" si="15"/>
        <v>753133.7500312503</v>
      </c>
      <c r="X18" s="2">
        <f t="shared" si="15"/>
        <v>790790.43753281282</v>
      </c>
      <c r="Y18" s="2">
        <f t="shared" si="15"/>
        <v>830329.95940945344</v>
      </c>
      <c r="Z18" s="2">
        <f t="shared" si="15"/>
        <v>871846.45737992611</v>
      </c>
      <c r="AA18" s="2">
        <f t="shared" si="15"/>
        <v>915438.78024892253</v>
      </c>
      <c r="AB18" s="2">
        <f t="shared" si="15"/>
        <v>961210.71926136862</v>
      </c>
    </row>
    <row r="19" spans="2:156" s="8" customFormat="1" x14ac:dyDescent="0.15">
      <c r="B19" s="5" t="s">
        <v>16</v>
      </c>
      <c r="C19" s="8">
        <v>-97639</v>
      </c>
      <c r="D19" s="8">
        <v>-92069</v>
      </c>
      <c r="E19" s="8">
        <v>-85692</v>
      </c>
      <c r="F19" s="8">
        <f t="shared" si="13"/>
        <v>-89218</v>
      </c>
      <c r="G19" s="8">
        <v>-93829</v>
      </c>
      <c r="H19" s="8">
        <v>-87017</v>
      </c>
      <c r="I19" s="8">
        <v>-81939</v>
      </c>
      <c r="J19" s="8">
        <f t="shared" si="14"/>
        <v>-78623</v>
      </c>
      <c r="K19" s="8">
        <v>-75523</v>
      </c>
      <c r="N19" s="8">
        <v>-244630</v>
      </c>
      <c r="O19" s="8">
        <v>-266023</v>
      </c>
      <c r="P19" s="8">
        <v>-342623</v>
      </c>
      <c r="Q19" s="8">
        <v>-364618</v>
      </c>
      <c r="R19" s="8">
        <v>-341408</v>
      </c>
      <c r="S19" s="2">
        <f>+(S18-S20)*-1</f>
        <v>-297410.39999999997</v>
      </c>
      <c r="T19" s="2">
        <f t="shared" ref="T19:AB19" si="16">+(T18-T20)*-1</f>
        <v>-312280.92000000004</v>
      </c>
      <c r="U19" s="2">
        <f t="shared" si="16"/>
        <v>-327894.96600000007</v>
      </c>
      <c r="V19" s="2">
        <f t="shared" si="16"/>
        <v>-344289.71430000011</v>
      </c>
      <c r="W19" s="2">
        <f t="shared" si="16"/>
        <v>-361504.20001500013</v>
      </c>
      <c r="X19" s="2">
        <f t="shared" si="16"/>
        <v>-379579.41001575015</v>
      </c>
      <c r="Y19" s="2">
        <f t="shared" si="16"/>
        <v>-398558.38051653764</v>
      </c>
      <c r="Z19" s="2">
        <f t="shared" si="16"/>
        <v>-418486.29954236449</v>
      </c>
      <c r="AA19" s="2">
        <f t="shared" si="16"/>
        <v>-439410.61451948283</v>
      </c>
      <c r="AB19" s="2">
        <f t="shared" si="16"/>
        <v>-461381.14524545689</v>
      </c>
    </row>
    <row r="20" spans="2:156" s="9" customFormat="1" x14ac:dyDescent="0.15">
      <c r="B20" s="5" t="s">
        <v>17</v>
      </c>
      <c r="C20" s="9">
        <f>+C18+C19</f>
        <v>62631</v>
      </c>
      <c r="D20" s="9">
        <f>+D18+D19</f>
        <v>63381</v>
      </c>
      <c r="E20" s="9">
        <f>+E18+E19</f>
        <v>74486</v>
      </c>
      <c r="F20" s="8">
        <f t="shared" si="13"/>
        <v>73492</v>
      </c>
      <c r="G20" s="9">
        <f>+G18+G19</f>
        <v>68272</v>
      </c>
      <c r="H20" s="9">
        <f>+H18+H19</f>
        <v>78443</v>
      </c>
      <c r="I20" s="9">
        <f>+I18+I19</f>
        <v>80818</v>
      </c>
      <c r="J20" s="8">
        <f t="shared" si="14"/>
        <v>79319</v>
      </c>
      <c r="K20" s="9">
        <f>+K18+K19</f>
        <v>65611</v>
      </c>
      <c r="N20" s="9">
        <f>+N18+N19</f>
        <v>221129</v>
      </c>
      <c r="O20" s="9">
        <f>+O18+O19</f>
        <v>269346</v>
      </c>
      <c r="P20" s="9">
        <f>+P18+P19</f>
        <v>262060</v>
      </c>
      <c r="Q20" s="9">
        <f>+Q18+Q19</f>
        <v>273990</v>
      </c>
      <c r="R20" s="9">
        <f>+R18+R19</f>
        <v>306852</v>
      </c>
      <c r="S20" s="2">
        <f>+R20*1.05</f>
        <v>322194.60000000003</v>
      </c>
      <c r="T20" s="2">
        <f t="shared" ref="T20:AB20" si="17">+S20*1.05</f>
        <v>338304.33000000007</v>
      </c>
      <c r="U20" s="2">
        <f t="shared" si="17"/>
        <v>355219.54650000011</v>
      </c>
      <c r="V20" s="2">
        <f t="shared" si="17"/>
        <v>372980.52382500016</v>
      </c>
      <c r="W20" s="2">
        <f t="shared" si="17"/>
        <v>391629.55001625017</v>
      </c>
      <c r="X20" s="2">
        <f t="shared" si="17"/>
        <v>411211.02751706267</v>
      </c>
      <c r="Y20" s="2">
        <f t="shared" si="17"/>
        <v>431771.5788929158</v>
      </c>
      <c r="Z20" s="2">
        <f t="shared" si="17"/>
        <v>453360.15783756162</v>
      </c>
      <c r="AA20" s="2">
        <f t="shared" si="17"/>
        <v>476028.1657294397</v>
      </c>
      <c r="AB20" s="2">
        <f t="shared" si="17"/>
        <v>499829.57401591173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</row>
    <row r="21" spans="2:156" s="8" customFormat="1" x14ac:dyDescent="0.15">
      <c r="B21" s="5" t="s">
        <v>18</v>
      </c>
      <c r="C21" s="8">
        <v>4017</v>
      </c>
      <c r="D21" s="8">
        <v>5347</v>
      </c>
      <c r="E21" s="8">
        <v>6110</v>
      </c>
      <c r="F21" s="8">
        <f t="shared" si="13"/>
        <v>5321</v>
      </c>
      <c r="G21" s="8">
        <v>4511</v>
      </c>
      <c r="H21" s="8">
        <v>5793</v>
      </c>
      <c r="I21" s="8">
        <v>6416</v>
      </c>
      <c r="J21" s="8">
        <f t="shared" si="14"/>
        <v>5486</v>
      </c>
      <c r="K21" s="8">
        <v>5100</v>
      </c>
      <c r="N21" s="8">
        <v>5901</v>
      </c>
      <c r="O21" s="8">
        <v>7673</v>
      </c>
      <c r="P21" s="8">
        <v>8300</v>
      </c>
      <c r="Q21" s="8">
        <v>20795</v>
      </c>
      <c r="R21" s="8">
        <v>22206</v>
      </c>
      <c r="S21" s="2">
        <f>+R21*1.05</f>
        <v>23316.3</v>
      </c>
      <c r="T21" s="2">
        <f t="shared" ref="T21:AB21" si="18">+S21*1.05</f>
        <v>24482.115000000002</v>
      </c>
      <c r="U21" s="2">
        <f t="shared" si="18"/>
        <v>25706.220750000004</v>
      </c>
      <c r="V21" s="2">
        <f t="shared" si="18"/>
        <v>26991.531787500004</v>
      </c>
      <c r="W21" s="2">
        <f t="shared" si="18"/>
        <v>28341.108376875007</v>
      </c>
      <c r="X21" s="2">
        <f t="shared" si="18"/>
        <v>29758.16379571876</v>
      </c>
      <c r="Y21" s="2">
        <f t="shared" si="18"/>
        <v>31246.071985504699</v>
      </c>
      <c r="Z21" s="2">
        <f t="shared" si="18"/>
        <v>32808.375584779933</v>
      </c>
      <c r="AA21" s="2">
        <f t="shared" si="18"/>
        <v>34448.794364018933</v>
      </c>
      <c r="AB21" s="2">
        <f t="shared" si="18"/>
        <v>36171.234082219882</v>
      </c>
    </row>
    <row r="22" spans="2:156" s="8" customFormat="1" x14ac:dyDescent="0.15">
      <c r="B22" s="5" t="s">
        <v>19</v>
      </c>
      <c r="C22" s="8">
        <v>0</v>
      </c>
      <c r="D22" s="8">
        <v>-121</v>
      </c>
      <c r="E22" s="8">
        <v>-3</v>
      </c>
      <c r="F22" s="8">
        <f t="shared" si="13"/>
        <v>0</v>
      </c>
      <c r="G22" s="8">
        <v>1382</v>
      </c>
      <c r="H22" s="8">
        <v>0</v>
      </c>
      <c r="I22" s="8">
        <v>0</v>
      </c>
      <c r="J22" s="8">
        <f t="shared" si="14"/>
        <v>0</v>
      </c>
      <c r="K22" s="8">
        <v>0</v>
      </c>
      <c r="N22" s="8">
        <v>138</v>
      </c>
      <c r="O22" s="8">
        <v>-6483</v>
      </c>
      <c r="P22" s="8">
        <v>-6789</v>
      </c>
      <c r="Q22" s="8">
        <v>-124</v>
      </c>
      <c r="R22" s="8">
        <v>1382</v>
      </c>
      <c r="S22" s="2"/>
    </row>
    <row r="23" spans="2:156" s="8" customFormat="1" x14ac:dyDescent="0.15">
      <c r="B23" s="5" t="s">
        <v>20</v>
      </c>
      <c r="C23" s="8">
        <v>-50</v>
      </c>
      <c r="D23" s="8">
        <v>49</v>
      </c>
      <c r="E23" s="8">
        <v>1543</v>
      </c>
      <c r="F23" s="8">
        <f t="shared" si="13"/>
        <v>454</v>
      </c>
      <c r="G23" s="8">
        <v>-1963</v>
      </c>
      <c r="H23" s="8">
        <v>2231</v>
      </c>
      <c r="I23" s="8">
        <v>3161</v>
      </c>
      <c r="J23" s="8">
        <f t="shared" si="14"/>
        <v>1570</v>
      </c>
      <c r="K23" s="8">
        <v>500</v>
      </c>
      <c r="N23" s="8">
        <v>1471</v>
      </c>
      <c r="O23" s="8">
        <v>-1968</v>
      </c>
      <c r="P23" s="8">
        <v>814</v>
      </c>
      <c r="Q23" s="8">
        <v>1996</v>
      </c>
      <c r="R23" s="8">
        <v>4999</v>
      </c>
      <c r="S23" s="2"/>
    </row>
    <row r="24" spans="2:156" s="8" customFormat="1" x14ac:dyDescent="0.15">
      <c r="B24" s="5" t="s">
        <v>21</v>
      </c>
      <c r="C24" s="8">
        <v>0</v>
      </c>
      <c r="D24" s="8">
        <v>0</v>
      </c>
      <c r="E24" s="8">
        <v>0</v>
      </c>
      <c r="F24" s="8">
        <f t="shared" si="13"/>
        <v>0</v>
      </c>
      <c r="G24" s="8">
        <v>0</v>
      </c>
      <c r="H24" s="8">
        <v>0</v>
      </c>
      <c r="I24" s="8">
        <v>0</v>
      </c>
      <c r="J24" s="8">
        <f t="shared" si="14"/>
        <v>0</v>
      </c>
      <c r="N24" s="8">
        <v>46</v>
      </c>
      <c r="O24" s="8">
        <v>1223</v>
      </c>
      <c r="P24" s="8">
        <v>15</v>
      </c>
      <c r="Q24" s="8">
        <v>0</v>
      </c>
      <c r="R24" s="8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2:156" s="10" customFormat="1" x14ac:dyDescent="0.15">
      <c r="B25" s="11" t="s">
        <v>22</v>
      </c>
      <c r="C25" s="10">
        <f>+SUM(C20:C24)</f>
        <v>66598</v>
      </c>
      <c r="D25" s="10">
        <f>+SUM(D20:D24)</f>
        <v>68656</v>
      </c>
      <c r="E25" s="10">
        <f>+SUM(E20:E24)</f>
        <v>82136</v>
      </c>
      <c r="F25" s="20">
        <f t="shared" si="13"/>
        <v>79267</v>
      </c>
      <c r="G25" s="10">
        <f>+SUM(G20:G24)</f>
        <v>72202</v>
      </c>
      <c r="H25" s="10">
        <f>+SUM(H20:H24)</f>
        <v>86467</v>
      </c>
      <c r="I25" s="10">
        <f>+SUM(I20:I24)</f>
        <v>90395</v>
      </c>
      <c r="J25" s="20">
        <f t="shared" si="14"/>
        <v>86375</v>
      </c>
      <c r="K25" s="10">
        <f>+SUM(K20:K24)</f>
        <v>71211</v>
      </c>
      <c r="N25" s="10">
        <f t="shared" ref="N25:S25" si="19">+SUM(N20:N24)</f>
        <v>228685</v>
      </c>
      <c r="O25" s="10">
        <f t="shared" si="19"/>
        <v>269791</v>
      </c>
      <c r="P25" s="10">
        <f t="shared" si="19"/>
        <v>264400</v>
      </c>
      <c r="Q25" s="10">
        <f t="shared" si="19"/>
        <v>296657</v>
      </c>
      <c r="R25" s="10">
        <f t="shared" si="19"/>
        <v>335439</v>
      </c>
      <c r="S25" s="10">
        <f t="shared" si="19"/>
        <v>345510.9</v>
      </c>
      <c r="T25" s="10">
        <f t="shared" ref="T25:AB25" si="20">+SUM(T20:T24)</f>
        <v>362786.44500000007</v>
      </c>
      <c r="U25" s="10">
        <f t="shared" si="20"/>
        <v>380925.76725000009</v>
      </c>
      <c r="V25" s="10">
        <f t="shared" si="20"/>
        <v>399972.05561250017</v>
      </c>
      <c r="W25" s="10">
        <f t="shared" si="20"/>
        <v>419970.65839312517</v>
      </c>
      <c r="X25" s="10">
        <f t="shared" si="20"/>
        <v>440969.19131278142</v>
      </c>
      <c r="Y25" s="10">
        <f t="shared" si="20"/>
        <v>463017.65087842051</v>
      </c>
      <c r="Z25" s="10">
        <f t="shared" si="20"/>
        <v>486168.53342234157</v>
      </c>
      <c r="AA25" s="10">
        <f t="shared" si="20"/>
        <v>510476.96009345865</v>
      </c>
      <c r="AB25" s="10">
        <f t="shared" si="20"/>
        <v>536000.80809813156</v>
      </c>
    </row>
    <row r="26" spans="2:156" s="8" customFormat="1" x14ac:dyDescent="0.15">
      <c r="B26" s="5" t="s">
        <v>24</v>
      </c>
      <c r="C26" s="8">
        <v>12474</v>
      </c>
      <c r="D26" s="8">
        <v>15277</v>
      </c>
      <c r="E26" s="8">
        <v>11774</v>
      </c>
      <c r="F26" s="8">
        <f t="shared" si="13"/>
        <v>29794</v>
      </c>
      <c r="G26" s="8">
        <v>11389</v>
      </c>
      <c r="H26" s="8">
        <v>15540</v>
      </c>
      <c r="I26" s="8">
        <v>9211</v>
      </c>
      <c r="J26" s="8">
        <f t="shared" si="14"/>
        <v>9900</v>
      </c>
      <c r="N26" s="8">
        <v>89051</v>
      </c>
      <c r="O26" s="8">
        <v>134805</v>
      </c>
      <c r="P26" s="8">
        <v>46678</v>
      </c>
      <c r="Q26" s="8">
        <v>69319</v>
      </c>
      <c r="R26" s="8">
        <v>46040</v>
      </c>
      <c r="S26" s="2">
        <f>+S20*S6</f>
        <v>112768.11</v>
      </c>
      <c r="T26" s="2">
        <f t="shared" ref="T26:AB26" si="21">+T20*T6</f>
        <v>202982.59800000003</v>
      </c>
      <c r="U26" s="2">
        <f t="shared" si="21"/>
        <v>106565.86395000003</v>
      </c>
      <c r="V26" s="2">
        <f t="shared" si="21"/>
        <v>111894.15714750004</v>
      </c>
      <c r="W26" s="2">
        <f t="shared" si="21"/>
        <v>117488.86500487504</v>
      </c>
      <c r="X26" s="2">
        <f t="shared" si="21"/>
        <v>246726.6165102376</v>
      </c>
      <c r="Y26" s="2">
        <f t="shared" si="21"/>
        <v>129531.47366787473</v>
      </c>
      <c r="Z26" s="2">
        <f t="shared" si="21"/>
        <v>136008.04735126847</v>
      </c>
      <c r="AA26" s="2">
        <f t="shared" si="21"/>
        <v>142808.44971883189</v>
      </c>
      <c r="AB26" s="2">
        <f t="shared" si="21"/>
        <v>319890.92737018352</v>
      </c>
    </row>
    <row r="27" spans="2:156" s="8" customFormat="1" x14ac:dyDescent="0.15">
      <c r="B27" s="5" t="s">
        <v>25</v>
      </c>
      <c r="C27" s="8">
        <v>9595</v>
      </c>
      <c r="D27" s="8">
        <v>13939</v>
      </c>
      <c r="E27" s="8">
        <v>20942</v>
      </c>
      <c r="F27" s="8">
        <f t="shared" si="13"/>
        <v>26514</v>
      </c>
      <c r="G27" s="8">
        <v>23466</v>
      </c>
      <c r="H27" s="8">
        <v>24257</v>
      </c>
      <c r="I27" s="8">
        <v>25439</v>
      </c>
      <c r="J27" s="8">
        <f t="shared" si="14"/>
        <v>24682</v>
      </c>
      <c r="N27" s="8">
        <v>93199</v>
      </c>
      <c r="O27" s="8">
        <v>95318</v>
      </c>
      <c r="P27" s="8">
        <v>75436</v>
      </c>
      <c r="Q27" s="8">
        <v>70990</v>
      </c>
      <c r="R27" s="8">
        <v>97844</v>
      </c>
      <c r="S27" s="2">
        <f>+S20*(S7-0.1)</f>
        <v>112768.11</v>
      </c>
      <c r="T27" s="2">
        <f t="shared" ref="T27:AB27" si="22">+T20*(T7-0.1)</f>
        <v>115023.47220000002</v>
      </c>
      <c r="U27" s="2">
        <f t="shared" si="22"/>
        <v>117222.45034500002</v>
      </c>
      <c r="V27" s="2">
        <f t="shared" si="22"/>
        <v>119353.76762400003</v>
      </c>
      <c r="W27" s="2">
        <f t="shared" si="22"/>
        <v>121405.16050503754</v>
      </c>
      <c r="X27" s="2">
        <f t="shared" si="22"/>
        <v>123363.30825511877</v>
      </c>
      <c r="Y27" s="2">
        <f t="shared" si="22"/>
        <v>125213.75787894554</v>
      </c>
      <c r="Z27" s="2">
        <f t="shared" si="22"/>
        <v>126940.84419451721</v>
      </c>
      <c r="AA27" s="2">
        <f t="shared" si="22"/>
        <v>128527.60474694868</v>
      </c>
      <c r="AB27" s="2">
        <f t="shared" si="22"/>
        <v>129955.689244137</v>
      </c>
    </row>
    <row r="28" spans="2:156" s="8" customFormat="1" x14ac:dyDescent="0.15">
      <c r="B28" s="5" t="s">
        <v>54</v>
      </c>
      <c r="N28" s="8">
        <v>16258</v>
      </c>
      <c r="O28" s="8">
        <v>13729</v>
      </c>
      <c r="S28" s="2"/>
    </row>
    <row r="29" spans="2:156" s="8" customFormat="1" x14ac:dyDescent="0.15">
      <c r="B29" s="5" t="s">
        <v>26</v>
      </c>
      <c r="C29" s="8">
        <v>11252</v>
      </c>
      <c r="D29" s="8">
        <v>11938</v>
      </c>
      <c r="E29" s="8">
        <v>10289</v>
      </c>
      <c r="F29" s="8">
        <f t="shared" ref="F29:F35" si="23">+Q29-SUM(C29:E29)</f>
        <v>11277</v>
      </c>
      <c r="G29" s="8">
        <v>9506</v>
      </c>
      <c r="H29" s="8">
        <v>7778</v>
      </c>
      <c r="I29" s="8">
        <v>11321</v>
      </c>
      <c r="J29" s="8">
        <f t="shared" ref="J29:J37" si="24">+R29-SUM(G29:I29)</f>
        <v>11858</v>
      </c>
      <c r="N29" s="8">
        <v>31420</v>
      </c>
      <c r="O29" s="8">
        <v>42281</v>
      </c>
      <c r="P29" s="8">
        <v>37559</v>
      </c>
      <c r="Q29" s="8">
        <v>44756</v>
      </c>
      <c r="R29" s="8">
        <v>40463</v>
      </c>
      <c r="S29" s="2">
        <f>+S20*0.1</f>
        <v>32219.460000000006</v>
      </c>
      <c r="T29" s="2">
        <f t="shared" ref="T29:AB29" si="25">+T20*0.1</f>
        <v>33830.433000000012</v>
      </c>
      <c r="U29" s="2">
        <f t="shared" si="25"/>
        <v>35521.954650000014</v>
      </c>
      <c r="V29" s="2">
        <f t="shared" si="25"/>
        <v>37298.05238250002</v>
      </c>
      <c r="W29" s="2">
        <f t="shared" si="25"/>
        <v>39162.955001625021</v>
      </c>
      <c r="X29" s="2">
        <f t="shared" si="25"/>
        <v>41121.102751706268</v>
      </c>
      <c r="Y29" s="2">
        <f t="shared" si="25"/>
        <v>43177.157889291586</v>
      </c>
      <c r="Z29" s="2">
        <f t="shared" si="25"/>
        <v>45336.015783756164</v>
      </c>
      <c r="AA29" s="2">
        <f t="shared" si="25"/>
        <v>47602.816572943972</v>
      </c>
      <c r="AB29" s="2">
        <f t="shared" si="25"/>
        <v>49982.957401591178</v>
      </c>
    </row>
    <row r="30" spans="2:156" s="8" customFormat="1" x14ac:dyDescent="0.15">
      <c r="B30" s="5" t="s">
        <v>27</v>
      </c>
      <c r="C30" s="8">
        <v>2719</v>
      </c>
      <c r="D30" s="8">
        <v>3426</v>
      </c>
      <c r="E30" s="8">
        <v>3067</v>
      </c>
      <c r="F30" s="8">
        <f t="shared" si="23"/>
        <v>2784</v>
      </c>
      <c r="G30" s="8">
        <v>2717</v>
      </c>
      <c r="H30" s="8">
        <v>2719</v>
      </c>
      <c r="I30" s="8">
        <v>2719</v>
      </c>
      <c r="J30" s="8">
        <f t="shared" si="24"/>
        <v>2660</v>
      </c>
      <c r="N30" s="8">
        <v>9303</v>
      </c>
      <c r="O30" s="8">
        <v>9483</v>
      </c>
      <c r="P30" s="8">
        <v>10875</v>
      </c>
      <c r="Q30" s="8">
        <v>11996</v>
      </c>
      <c r="R30" s="8">
        <v>10815</v>
      </c>
      <c r="S30" s="2">
        <f>+S76*$AE$39</f>
        <v>11948.24</v>
      </c>
      <c r="T30" s="2">
        <f t="shared" ref="T30:AB30" si="26">+T76*$AE$39</f>
        <v>11828.757600000001</v>
      </c>
      <c r="U30" s="2">
        <f t="shared" si="26"/>
        <v>11710.470024000002</v>
      </c>
      <c r="V30" s="2">
        <f t="shared" si="26"/>
        <v>11593.365323760003</v>
      </c>
      <c r="W30" s="2">
        <f t="shared" si="26"/>
        <v>11477.431670522401</v>
      </c>
      <c r="X30" s="2">
        <f t="shared" si="26"/>
        <v>11362.657353817178</v>
      </c>
      <c r="Y30" s="2">
        <f t="shared" si="26"/>
        <v>11249.030780279005</v>
      </c>
      <c r="Z30" s="2">
        <f t="shared" si="26"/>
        <v>11136.540472476216</v>
      </c>
      <c r="AA30" s="2">
        <f t="shared" si="26"/>
        <v>11025.175067751452</v>
      </c>
      <c r="AB30" s="2">
        <f t="shared" si="26"/>
        <v>10914.923317073937</v>
      </c>
    </row>
    <row r="31" spans="2:156" x14ac:dyDescent="0.15">
      <c r="B31" s="5" t="s">
        <v>28</v>
      </c>
      <c r="C31" s="2">
        <f>+C25-SUM(C26:C30)</f>
        <v>30558</v>
      </c>
      <c r="D31" s="2">
        <f>+D25-SUM(D26:D30)</f>
        <v>24076</v>
      </c>
      <c r="E31" s="2">
        <f>+E25-SUM(E26:E30)</f>
        <v>36064</v>
      </c>
      <c r="F31" s="2">
        <f t="shared" si="23"/>
        <v>8898</v>
      </c>
      <c r="G31" s="2">
        <f>+G25-SUM(G26:G30)</f>
        <v>25124</v>
      </c>
      <c r="H31" s="2">
        <f>+H25-SUM(H26:H30)</f>
        <v>36173</v>
      </c>
      <c r="I31" s="2">
        <f>+I25-SUM(I26:I30)</f>
        <v>41705</v>
      </c>
      <c r="J31" s="2">
        <f t="shared" si="24"/>
        <v>37275</v>
      </c>
      <c r="N31" s="2">
        <f t="shared" ref="N31:S31" si="27">+N25-SUM(N26:N30)</f>
        <v>-10546</v>
      </c>
      <c r="O31" s="2">
        <f t="shared" si="27"/>
        <v>-25825</v>
      </c>
      <c r="P31" s="2">
        <f t="shared" si="27"/>
        <v>93852</v>
      </c>
      <c r="Q31" s="2">
        <f t="shared" si="27"/>
        <v>99596</v>
      </c>
      <c r="R31" s="2">
        <f t="shared" si="27"/>
        <v>140277</v>
      </c>
      <c r="S31" s="2">
        <f t="shared" si="27"/>
        <v>75806.98000000004</v>
      </c>
      <c r="T31" s="2">
        <f t="shared" ref="T31:AB31" si="28">+T25-SUM(T26:T30)</f>
        <v>-878.81580000004033</v>
      </c>
      <c r="U31" s="2">
        <f t="shared" si="28"/>
        <v>109905.02828100004</v>
      </c>
      <c r="V31" s="2">
        <f t="shared" si="28"/>
        <v>119832.71313474007</v>
      </c>
      <c r="W31" s="2">
        <f t="shared" si="28"/>
        <v>130436.24621106521</v>
      </c>
      <c r="X31" s="2">
        <f t="shared" si="28"/>
        <v>18395.506441901613</v>
      </c>
      <c r="Y31" s="2">
        <f t="shared" si="28"/>
        <v>153846.23066202964</v>
      </c>
      <c r="Z31" s="2">
        <f t="shared" si="28"/>
        <v>166747.08562032349</v>
      </c>
      <c r="AA31" s="2">
        <f t="shared" si="28"/>
        <v>180512.91398698266</v>
      </c>
      <c r="AB31" s="2">
        <f t="shared" si="28"/>
        <v>25256.31076514587</v>
      </c>
    </row>
    <row r="32" spans="2:156" s="8" customFormat="1" x14ac:dyDescent="0.15">
      <c r="B32" s="5" t="s">
        <v>29</v>
      </c>
      <c r="C32" s="8">
        <v>810</v>
      </c>
      <c r="D32" s="8">
        <v>811</v>
      </c>
      <c r="E32" s="8">
        <v>453</v>
      </c>
      <c r="F32" s="8">
        <f t="shared" si="23"/>
        <v>-11</v>
      </c>
      <c r="G32" s="8">
        <v>1070</v>
      </c>
      <c r="H32" s="8">
        <v>1379</v>
      </c>
      <c r="I32" s="8">
        <v>665</v>
      </c>
      <c r="J32" s="8">
        <f t="shared" si="24"/>
        <v>-657</v>
      </c>
      <c r="N32" s="8">
        <v>129</v>
      </c>
      <c r="O32" s="8">
        <v>10343</v>
      </c>
      <c r="P32" s="8">
        <v>2228</v>
      </c>
      <c r="Q32" s="8">
        <v>2063</v>
      </c>
      <c r="R32" s="8">
        <v>2457</v>
      </c>
      <c r="S32" s="2">
        <f>+S54 * $AE$38</f>
        <v>2042.1000000000001</v>
      </c>
      <c r="T32" s="2">
        <f t="shared" ref="T32:AB32" si="29">+T54 * $AE$38</f>
        <v>2082.9420000000005</v>
      </c>
      <c r="U32" s="2">
        <f t="shared" si="29"/>
        <v>2124.6008400000005</v>
      </c>
      <c r="V32" s="2">
        <f t="shared" si="29"/>
        <v>2167.0928568000004</v>
      </c>
      <c r="W32" s="2">
        <f t="shared" si="29"/>
        <v>2210.4347139360007</v>
      </c>
      <c r="X32" s="2">
        <f t="shared" si="29"/>
        <v>2254.6434082147207</v>
      </c>
      <c r="Y32" s="2">
        <f t="shared" si="29"/>
        <v>2299.7362763790152</v>
      </c>
      <c r="Z32" s="2">
        <f t="shared" si="29"/>
        <v>2345.7310019065958</v>
      </c>
      <c r="AA32" s="2">
        <f t="shared" si="29"/>
        <v>2392.6456219447277</v>
      </c>
      <c r="AB32" s="2">
        <f t="shared" si="29"/>
        <v>2440.4985343836224</v>
      </c>
    </row>
    <row r="33" spans="2:156 16384:16384" x14ac:dyDescent="0.15">
      <c r="B33" s="5" t="s">
        <v>30</v>
      </c>
      <c r="C33" s="2">
        <f>+C31+C32</f>
        <v>31368</v>
      </c>
      <c r="D33" s="2">
        <f>+D31+D32</f>
        <v>24887</v>
      </c>
      <c r="E33" s="2">
        <f>+E31+E32</f>
        <v>36517</v>
      </c>
      <c r="F33" s="2">
        <f t="shared" si="23"/>
        <v>8887</v>
      </c>
      <c r="G33" s="2">
        <f>+G31+G32</f>
        <v>26194</v>
      </c>
      <c r="H33" s="2">
        <f>+H31+H32</f>
        <v>37552</v>
      </c>
      <c r="I33" s="2">
        <f>+I31+I32</f>
        <v>42370</v>
      </c>
      <c r="J33" s="2">
        <f t="shared" si="24"/>
        <v>36618</v>
      </c>
      <c r="N33" s="2">
        <f>+N31+N32</f>
        <v>-10417</v>
      </c>
      <c r="O33" s="2">
        <f>+O31+O32</f>
        <v>-15482</v>
      </c>
      <c r="P33" s="2">
        <f>+P31+P32</f>
        <v>96080</v>
      </c>
      <c r="Q33" s="2">
        <f>+Q31+Q32</f>
        <v>101659</v>
      </c>
      <c r="R33" s="2">
        <f>+R31+R32</f>
        <v>142734</v>
      </c>
      <c r="S33" s="2">
        <f t="shared" ref="S33:AB33" si="30">+S31+S32</f>
        <v>77849.080000000045</v>
      </c>
      <c r="T33" s="2">
        <f t="shared" si="30"/>
        <v>1204.1261999999601</v>
      </c>
      <c r="U33" s="2">
        <f t="shared" si="30"/>
        <v>112029.62912100003</v>
      </c>
      <c r="V33" s="2">
        <f t="shared" si="30"/>
        <v>121999.80599154007</v>
      </c>
      <c r="W33" s="2">
        <f t="shared" si="30"/>
        <v>132646.68092500122</v>
      </c>
      <c r="X33" s="2">
        <f t="shared" si="30"/>
        <v>20650.149850116333</v>
      </c>
      <c r="Y33" s="2">
        <f t="shared" si="30"/>
        <v>156145.96693840867</v>
      </c>
      <c r="Z33" s="2">
        <f t="shared" si="30"/>
        <v>169092.81662223008</v>
      </c>
      <c r="AA33" s="2">
        <f t="shared" si="30"/>
        <v>182905.55960892737</v>
      </c>
      <c r="AB33" s="2">
        <f t="shared" si="30"/>
        <v>27696.809299529494</v>
      </c>
    </row>
    <row r="34" spans="2:156 16384:16384" s="8" customFormat="1" x14ac:dyDescent="0.15">
      <c r="B34" s="5" t="s">
        <v>31</v>
      </c>
      <c r="C34" s="8">
        <v>7659</v>
      </c>
      <c r="D34" s="8">
        <v>5814</v>
      </c>
      <c r="E34" s="8">
        <v>8848</v>
      </c>
      <c r="F34" s="8">
        <f t="shared" si="23"/>
        <v>3019</v>
      </c>
      <c r="G34" s="8">
        <v>6483</v>
      </c>
      <c r="H34" s="8">
        <v>9515</v>
      </c>
      <c r="I34" s="8">
        <v>9887</v>
      </c>
      <c r="J34" s="8">
        <f t="shared" si="24"/>
        <v>10054</v>
      </c>
      <c r="N34" s="8">
        <v>-6699</v>
      </c>
      <c r="O34" s="8">
        <v>24522</v>
      </c>
      <c r="P34" s="8">
        <v>10876</v>
      </c>
      <c r="Q34" s="8">
        <v>25340</v>
      </c>
      <c r="R34" s="8">
        <v>35939</v>
      </c>
      <c r="S34" s="2">
        <f>+S33*(R34/R33)</f>
        <v>19601.623202040173</v>
      </c>
      <c r="T34" s="2">
        <f t="shared" ref="T34:AB34" si="31">+T33*(S34/S33)</f>
        <v>303.18698769598393</v>
      </c>
      <c r="U34" s="2">
        <f t="shared" si="31"/>
        <v>28207.945135564201</v>
      </c>
      <c r="V34" s="2">
        <f t="shared" si="31"/>
        <v>30718.33639868538</v>
      </c>
      <c r="W34" s="2">
        <f t="shared" si="31"/>
        <v>33399.113496179038</v>
      </c>
      <c r="X34" s="2">
        <f t="shared" si="31"/>
        <v>5199.5021190699554</v>
      </c>
      <c r="Y34" s="2">
        <f t="shared" si="31"/>
        <v>39315.999732365584</v>
      </c>
      <c r="Z34" s="2">
        <f t="shared" si="31"/>
        <v>42575.887571190658</v>
      </c>
      <c r="AA34" s="2">
        <f t="shared" si="31"/>
        <v>46053.798721995052</v>
      </c>
      <c r="AB34" s="2">
        <f t="shared" si="31"/>
        <v>6973.7808049644136</v>
      </c>
    </row>
    <row r="35" spans="2:156 16384:16384" x14ac:dyDescent="0.15">
      <c r="B35" s="5" t="s">
        <v>32</v>
      </c>
      <c r="C35" s="2">
        <f>+C33-C34</f>
        <v>23709</v>
      </c>
      <c r="D35" s="2">
        <f>+D33-D34</f>
        <v>19073</v>
      </c>
      <c r="E35" s="2">
        <f>+E33-E34</f>
        <v>27669</v>
      </c>
      <c r="F35" s="2">
        <f t="shared" si="23"/>
        <v>5868</v>
      </c>
      <c r="G35" s="2">
        <f>+G33-G34</f>
        <v>19711</v>
      </c>
      <c r="H35" s="2">
        <f>+H33-H34</f>
        <v>28037</v>
      </c>
      <c r="I35" s="2">
        <f>+I33-I34</f>
        <v>32483</v>
      </c>
      <c r="J35" s="2">
        <f t="shared" si="24"/>
        <v>26564</v>
      </c>
      <c r="N35" s="2">
        <f>+N33-N34</f>
        <v>-3718</v>
      </c>
      <c r="O35" s="2">
        <f>+O33-O34</f>
        <v>-40004</v>
      </c>
      <c r="P35" s="2">
        <f>+P33-P34</f>
        <v>85204</v>
      </c>
      <c r="Q35" s="2">
        <f>+Q33-Q34</f>
        <v>76319</v>
      </c>
      <c r="R35" s="2">
        <f>+R33-R34</f>
        <v>106795</v>
      </c>
      <c r="S35" s="2">
        <f t="shared" ref="S35:AB35" si="32">+S33-S34</f>
        <v>58247.456797959872</v>
      </c>
      <c r="T35" s="2">
        <f t="shared" si="32"/>
        <v>900.93921230397621</v>
      </c>
      <c r="U35" s="2">
        <f t="shared" si="32"/>
        <v>83821.68398543584</v>
      </c>
      <c r="V35" s="2">
        <f t="shared" si="32"/>
        <v>91281.469592854686</v>
      </c>
      <c r="W35" s="2">
        <f t="shared" si="32"/>
        <v>99247.567428822178</v>
      </c>
      <c r="X35" s="2">
        <f t="shared" si="32"/>
        <v>15450.647731046378</v>
      </c>
      <c r="Y35" s="2">
        <f t="shared" si="32"/>
        <v>116829.96720604309</v>
      </c>
      <c r="Z35" s="2">
        <f t="shared" si="32"/>
        <v>126516.92905103942</v>
      </c>
      <c r="AA35" s="2">
        <f t="shared" si="32"/>
        <v>136851.76088693232</v>
      </c>
      <c r="AB35" s="2">
        <f t="shared" si="32"/>
        <v>20723.028494565078</v>
      </c>
      <c r="AC35" s="2">
        <f>+AB35*(1+$AE$40)</f>
        <v>20930.258779510728</v>
      </c>
      <c r="AD35" s="2">
        <f>+AC35*(1+$AE$40)</f>
        <v>21139.561367305836</v>
      </c>
      <c r="AE35" s="2">
        <f>+AD35*(1+$AE$40)</f>
        <v>21350.956980978895</v>
      </c>
      <c r="AF35" s="2">
        <f>+AE35*(1+$AE$40)</f>
        <v>21564.466550788686</v>
      </c>
      <c r="AG35" s="2">
        <f>+AF35*(1+$AE$40)</f>
        <v>21780.111216296573</v>
      </c>
      <c r="AH35" s="2">
        <f>+AG35*(1+$AE$40)</f>
        <v>21997.912328459537</v>
      </c>
      <c r="AI35" s="2">
        <f>+AH35*(1+$AE$40)</f>
        <v>22217.891451744134</v>
      </c>
      <c r="AJ35" s="2">
        <f>+AI35*(1+$AE$40)</f>
        <v>22440.070366261574</v>
      </c>
      <c r="AK35" s="2">
        <f>+AJ35*(1+$AE$40)</f>
        <v>22664.471069924191</v>
      </c>
      <c r="AL35" s="2">
        <f>+AK35*(1+$AE$40)</f>
        <v>22891.115780623433</v>
      </c>
      <c r="AM35" s="2">
        <f>+AL35*(1+$AE$40)</f>
        <v>23120.026938429666</v>
      </c>
      <c r="AN35" s="2">
        <f>+AM35*(1+$AE$40)</f>
        <v>23351.227207813961</v>
      </c>
      <c r="AO35" s="2">
        <f>+AN35*(1+$AE$40)</f>
        <v>23584.739479892101</v>
      </c>
      <c r="AP35" s="2">
        <f>+AO35*(1+$AE$40)</f>
        <v>23820.586874691024</v>
      </c>
      <c r="AQ35" s="2">
        <f>+AP35*(1+$AE$40)</f>
        <v>24058.792743437934</v>
      </c>
      <c r="AR35" s="2">
        <f>+AQ35*(1+$AE$40)</f>
        <v>24299.380670872313</v>
      </c>
      <c r="AS35" s="2">
        <f>+AR35*(1+$AE$40)</f>
        <v>24542.374477581037</v>
      </c>
      <c r="AT35" s="2">
        <f>+AS35*(1+$AE$40)</f>
        <v>24787.798222356847</v>
      </c>
      <c r="AU35" s="2">
        <f>+AT35*(1+$AE$40)</f>
        <v>25035.676204580417</v>
      </c>
      <c r="AV35" s="2">
        <f>+AU35*(1+$AE$40)</f>
        <v>25286.032966626222</v>
      </c>
      <c r="AW35" s="2">
        <f>+AV35*(1+$AE$40)</f>
        <v>25538.893296292485</v>
      </c>
      <c r="AX35" s="2">
        <f>+AW35*(1+$AE$40)</f>
        <v>25794.282229255408</v>
      </c>
      <c r="AY35" s="2">
        <f>+AX35*(1+$AE$40)</f>
        <v>26052.225051547961</v>
      </c>
      <c r="AZ35" s="2">
        <f>+AY35*(1+$AE$40)</f>
        <v>26312.747302063442</v>
      </c>
      <c r="BA35" s="2">
        <f>+AZ35*(1+$AE$40)</f>
        <v>26575.874775084078</v>
      </c>
      <c r="BB35" s="2">
        <f>+BA35*(1+$AE$40)</f>
        <v>26841.63352283492</v>
      </c>
      <c r="BC35" s="2">
        <f>+BB35*(1+$AE$40)</f>
        <v>27110.04985806327</v>
      </c>
      <c r="BD35" s="2">
        <f>+BC35*(1+$AE$40)</f>
        <v>27381.150356643902</v>
      </c>
      <c r="BE35" s="2">
        <f>+BD35*(1+$AE$40)</f>
        <v>27654.96186021034</v>
      </c>
      <c r="BF35" s="2">
        <f>+BE35*(1+$AE$40)</f>
        <v>27931.511478812445</v>
      </c>
      <c r="BG35" s="2">
        <f>+BF35*(1+$AE$40)</f>
        <v>28210.82659360057</v>
      </c>
      <c r="BH35" s="2">
        <f>+BG35*(1+$AE$40)</f>
        <v>28492.934859536577</v>
      </c>
      <c r="BI35" s="2">
        <f>+BH35*(1+$AE$40)</f>
        <v>28777.864208131945</v>
      </c>
      <c r="BJ35" s="2">
        <f>+BI35*(1+$AE$40)</f>
        <v>29065.642850213266</v>
      </c>
      <c r="BK35" s="2">
        <f>+BJ35*(1+$AE$40)</f>
        <v>29356.2992787154</v>
      </c>
      <c r="BL35" s="2">
        <f>+BK35*(1+$AE$40)</f>
        <v>29649.862271502556</v>
      </c>
      <c r="BM35" s="2">
        <f>+BL35*(1+$AE$40)</f>
        <v>29946.360894217582</v>
      </c>
      <c r="BN35" s="2">
        <f>+BM35*(1+$AE$40)</f>
        <v>30245.824503159758</v>
      </c>
      <c r="BO35" s="2">
        <f>+BN35*(1+$AE$40)</f>
        <v>30548.282748191355</v>
      </c>
      <c r="BP35" s="2">
        <f>+BO35*(1+$AE$40)</f>
        <v>30853.765575673271</v>
      </c>
      <c r="BQ35" s="2">
        <f>+BP35*(1+$AE$40)</f>
        <v>31162.303231430004</v>
      </c>
      <c r="BR35" s="2">
        <f>+BQ35*(1+$AE$40)</f>
        <v>31473.926263744303</v>
      </c>
      <c r="BS35" s="2">
        <f>+BR35*(1+$AE$40)</f>
        <v>31788.665526381745</v>
      </c>
      <c r="BT35" s="2">
        <f>+BS35*(1+$AE$40)</f>
        <v>32106.552181645562</v>
      </c>
      <c r="BU35" s="2">
        <f>+BT35*(1+$AE$40)</f>
        <v>32427.61770346202</v>
      </c>
      <c r="BV35" s="2">
        <f>+BU35*(1+$AE$40)</f>
        <v>32751.893880496638</v>
      </c>
      <c r="BW35" s="2">
        <f>+BV35*(1+$AE$40)</f>
        <v>33079.412819301608</v>
      </c>
      <c r="BX35" s="2">
        <f>+BW35*(1+$AE$40)</f>
        <v>33410.206947494626</v>
      </c>
      <c r="BY35" s="2">
        <f>+BX35*(1+$AE$40)</f>
        <v>33744.309016969572</v>
      </c>
      <c r="BZ35" s="2">
        <f>+BY35*(1+$AE$40)</f>
        <v>34081.752107139269</v>
      </c>
      <c r="CA35" s="2">
        <f>+BZ35*(1+$AE$40)</f>
        <v>34422.569628210666</v>
      </c>
      <c r="CB35" s="2">
        <f>+CA35*(1+$AE$40)</f>
        <v>34766.79532449277</v>
      </c>
      <c r="CC35" s="2">
        <f>+CB35*(1+$AE$40)</f>
        <v>35114.463277737697</v>
      </c>
      <c r="CD35" s="2">
        <f>+CC35*(1+$AE$40)</f>
        <v>35465.607910515071</v>
      </c>
      <c r="CE35" s="2">
        <f>+CD35*(1+$AE$40)</f>
        <v>35820.263989620224</v>
      </c>
      <c r="CF35" s="2">
        <f>+CE35*(1+$AE$40)</f>
        <v>36178.466629516428</v>
      </c>
      <c r="CG35" s="2">
        <f>+CF35*(1+$AE$40)</f>
        <v>36540.251295811591</v>
      </c>
      <c r="CH35" s="2">
        <f>+CG35*(1+$AE$40)</f>
        <v>36905.653808769704</v>
      </c>
      <c r="CI35" s="2">
        <f>+CH35*(1+$AE$40)</f>
        <v>37274.710346857399</v>
      </c>
      <c r="CJ35" s="2">
        <f>+CI35*(1+$AE$40)</f>
        <v>37647.457450325972</v>
      </c>
      <c r="CK35" s="2">
        <f>+CJ35*(1+$AE$40)</f>
        <v>38023.932024829235</v>
      </c>
      <c r="CL35" s="2">
        <f>+CK35*(1+$AE$40)</f>
        <v>38404.171345077528</v>
      </c>
      <c r="CM35" s="2">
        <f>+CL35*(1+$AE$40)</f>
        <v>38788.213058528301</v>
      </c>
      <c r="CN35" s="2">
        <f>+CM35*(1+$AE$40)</f>
        <v>39176.095189113585</v>
      </c>
      <c r="CO35" s="2">
        <f>+CN35*(1+$AE$40)</f>
        <v>39567.856141004719</v>
      </c>
      <c r="CP35" s="2">
        <f>+CO35*(1+$AE$40)</f>
        <v>39963.534702414763</v>
      </c>
      <c r="CQ35" s="2">
        <f>+CP35*(1+$AE$40)</f>
        <v>40363.170049438908</v>
      </c>
      <c r="CR35" s="2">
        <f>+CQ35*(1+$AE$40)</f>
        <v>40766.8017499333</v>
      </c>
      <c r="CS35" s="2">
        <f>+CR35*(1+$AE$40)</f>
        <v>41174.469767432631</v>
      </c>
      <c r="CT35" s="2">
        <f>+CS35*(1+$AE$40)</f>
        <v>41586.214465106954</v>
      </c>
      <c r="CU35" s="2">
        <f>+CT35*(1+$AE$40)</f>
        <v>42002.076609758027</v>
      </c>
      <c r="CV35" s="2">
        <f>+CU35*(1+$AE$40)</f>
        <v>42422.097375855607</v>
      </c>
      <c r="CW35" s="2">
        <f>+CV35*(1+$AE$40)</f>
        <v>42846.318349614165</v>
      </c>
      <c r="CX35" s="2">
        <f>+CW35*(1+$AE$40)</f>
        <v>43274.781533110305</v>
      </c>
      <c r="CY35" s="2">
        <f>+CX35*(1+$AE$40)</f>
        <v>43707.529348441407</v>
      </c>
      <c r="CZ35" s="2">
        <f>+CY35*(1+$AE$40)</f>
        <v>44144.60464192582</v>
      </c>
      <c r="DA35" s="2">
        <f>+CZ35*(1+$AE$40)</f>
        <v>44586.05068834508</v>
      </c>
      <c r="DB35" s="2">
        <f>+DA35*(1+$AE$40)</f>
        <v>45031.911195228531</v>
      </c>
      <c r="DC35" s="2">
        <f>+DB35*(1+$AE$40)</f>
        <v>45482.23030718082</v>
      </c>
      <c r="DD35" s="2">
        <f>+DC35*(1+$AE$40)</f>
        <v>45937.052610252627</v>
      </c>
      <c r="DE35" s="2">
        <f>+DD35*(1+$AE$40)</f>
        <v>46396.423136355152</v>
      </c>
      <c r="DF35" s="2">
        <f>+DE35*(1+$AE$40)</f>
        <v>46860.3873677187</v>
      </c>
      <c r="DG35" s="2">
        <f>+DF35*(1+$AE$40)</f>
        <v>47328.991241395888</v>
      </c>
      <c r="DH35" s="2">
        <f>+DG35*(1+$AE$40)</f>
        <v>47802.281153809847</v>
      </c>
      <c r="DI35" s="2">
        <f>+DH35*(1+$AE$40)</f>
        <v>48280.303965347943</v>
      </c>
      <c r="DJ35" s="2">
        <f>+DI35*(1+$AE$40)</f>
        <v>48763.107005001424</v>
      </c>
      <c r="DK35" s="2">
        <f>+DJ35*(1+$AE$40)</f>
        <v>49250.738075051442</v>
      </c>
      <c r="DL35" s="2">
        <f>+DK35*(1+$AE$40)</f>
        <v>49743.24545580196</v>
      </c>
      <c r="DM35" s="2">
        <f>+DL35*(1+$AE$40)</f>
        <v>50240.677910359977</v>
      </c>
      <c r="DN35" s="2">
        <f>+DM35*(1+$AE$40)</f>
        <v>50743.084689463576</v>
      </c>
      <c r="DO35" s="2">
        <f>+DN35*(1+$AE$40)</f>
        <v>51250.515536358209</v>
      </c>
      <c r="DP35" s="2">
        <f>+DO35*(1+$AE$40)</f>
        <v>51763.020691721795</v>
      </c>
      <c r="DQ35" s="2">
        <f>+DP35*(1+$AE$40)</f>
        <v>52280.650898639011</v>
      </c>
      <c r="DR35" s="2">
        <f>+DQ35*(1+$AE$40)</f>
        <v>52803.457407625399</v>
      </c>
      <c r="DS35" s="2">
        <f>+DR35*(1+$AE$40)</f>
        <v>53331.491981701656</v>
      </c>
      <c r="DT35" s="2">
        <f>+DS35*(1+$AE$40)</f>
        <v>53864.80690151867</v>
      </c>
      <c r="DU35" s="2">
        <f>+DT35*(1+$AE$40)</f>
        <v>54403.454970533858</v>
      </c>
      <c r="DV35" s="2">
        <f>+DU35*(1+$AE$40)</f>
        <v>54947.4895202392</v>
      </c>
      <c r="DW35" s="2">
        <f>+DV35*(1+$AE$40)</f>
        <v>55496.964415441595</v>
      </c>
      <c r="DX35" s="2">
        <f>+DW35*(1+$AE$40)</f>
        <v>56051.934059596009</v>
      </c>
      <c r="DY35" s="2">
        <f>+DX35*(1+$AE$40)</f>
        <v>56612.453400191967</v>
      </c>
      <c r="DZ35" s="2">
        <f>+DY35*(1+$AE$40)</f>
        <v>57178.577934193891</v>
      </c>
      <c r="EA35" s="2">
        <f>+DZ35*(1+$AE$40)</f>
        <v>57750.363713535829</v>
      </c>
      <c r="EB35" s="2">
        <f>+EA35*(1+$AE$40)</f>
        <v>58327.867350671186</v>
      </c>
      <c r="EC35" s="2">
        <f>+EB35*(1+$AE$40)</f>
        <v>58911.146024177899</v>
      </c>
      <c r="ED35" s="2">
        <f>+EC35*(1+$AE$40)</f>
        <v>59500.257484419679</v>
      </c>
      <c r="EE35" s="2">
        <f>+ED35*(1+$AE$40)</f>
        <v>60095.260059263877</v>
      </c>
      <c r="EF35" s="2">
        <f>+EE35*(1+$AE$40)</f>
        <v>60696.212659856516</v>
      </c>
      <c r="EG35" s="2">
        <f>+EF35*(1+$AE$40)</f>
        <v>61303.174786455078</v>
      </c>
      <c r="EH35" s="2">
        <f>+EG35*(1+$AE$40)</f>
        <v>61916.20653431963</v>
      </c>
      <c r="EI35" s="2">
        <f>+EH35*(1+$AE$40)</f>
        <v>62535.368599662826</v>
      </c>
      <c r="EJ35" s="2">
        <f>+EI35*(1+$AE$40)</f>
        <v>63160.722285659453</v>
      </c>
      <c r="EK35" s="2">
        <f>+EJ35*(1+$AE$40)</f>
        <v>63792.32950851605</v>
      </c>
      <c r="EL35" s="2">
        <f>+EK35*(1+$AE$40)</f>
        <v>64430.252803601208</v>
      </c>
      <c r="EM35" s="2">
        <f>+EL35*(1+$AE$40)</f>
        <v>65074.555331637224</v>
      </c>
      <c r="EN35" s="2">
        <f>+EM35*(1+$AE$40)</f>
        <v>65725.300884953598</v>
      </c>
      <c r="EO35" s="2">
        <f>+EN35*(1+$AE$40)</f>
        <v>66382.553893803139</v>
      </c>
      <c r="EP35" s="2">
        <f>+EO35*(1+$AE$40)</f>
        <v>67046.379432741174</v>
      </c>
      <c r="EQ35" s="2">
        <f>+EP35*(1+$AE$40)</f>
        <v>67716.843227068588</v>
      </c>
      <c r="ER35" s="2">
        <f>+EQ35*(1+$AE$40)</f>
        <v>68394.011659339274</v>
      </c>
      <c r="ES35" s="2">
        <f>+ER35*(1+$AE$40)</f>
        <v>69077.95177593267</v>
      </c>
      <c r="ET35" s="2">
        <f>+ES35*(1+$AE$40)</f>
        <v>69768.731293691992</v>
      </c>
      <c r="EU35" s="2">
        <f>+ET35*(1+$AE$40)</f>
        <v>70466.418606628911</v>
      </c>
      <c r="EV35" s="2">
        <f>+EU35*(1+$AE$40)</f>
        <v>71171.082792695204</v>
      </c>
      <c r="EW35" s="2">
        <f>+EV35*(1+$AE$40)</f>
        <v>71882.793620622164</v>
      </c>
      <c r="EX35" s="2">
        <f>+EW35*(1+$AE$40)</f>
        <v>72601.621556828381</v>
      </c>
      <c r="EY35" s="2">
        <f>+EX35*(1+$AE$40)</f>
        <v>73327.637772396658</v>
      </c>
      <c r="EZ35" s="2">
        <f>+EY35*(1+$AE$40)</f>
        <v>74060.914150120632</v>
      </c>
    </row>
    <row r="36" spans="2:156 16384:16384" x14ac:dyDescent="0.15">
      <c r="B36" s="5" t="s">
        <v>33</v>
      </c>
      <c r="C36" s="2">
        <v>48969.55</v>
      </c>
      <c r="D36" s="2">
        <v>49398.463000000003</v>
      </c>
      <c r="E36" s="2">
        <v>49521.245999999999</v>
      </c>
      <c r="F36" s="8">
        <f>+F35/F37</f>
        <v>50117.665135388997</v>
      </c>
      <c r="G36" s="2">
        <v>49564.720999999998</v>
      </c>
      <c r="H36" s="2">
        <v>49636.088000000003</v>
      </c>
      <c r="I36" s="2">
        <v>49917.728999999999</v>
      </c>
      <c r="J36" s="8">
        <f t="shared" si="24"/>
        <v>-99335.544999999998</v>
      </c>
      <c r="N36" s="2">
        <v>42948.85</v>
      </c>
      <c r="O36" s="2">
        <v>43052.07</v>
      </c>
      <c r="P36" s="2">
        <v>44388.803999999996</v>
      </c>
      <c r="Q36" s="2">
        <v>49362.985000000001</v>
      </c>
      <c r="R36" s="2">
        <v>49782.993000000002</v>
      </c>
      <c r="S36" s="2">
        <f>+R36</f>
        <v>49782.993000000002</v>
      </c>
      <c r="T36" s="2">
        <f t="shared" ref="T36:AB36" si="33">+S36</f>
        <v>49782.993000000002</v>
      </c>
      <c r="U36" s="2">
        <f t="shared" si="33"/>
        <v>49782.993000000002</v>
      </c>
      <c r="V36" s="2">
        <f t="shared" si="33"/>
        <v>49782.993000000002</v>
      </c>
      <c r="W36" s="2">
        <f t="shared" si="33"/>
        <v>49782.993000000002</v>
      </c>
      <c r="X36" s="2">
        <f t="shared" si="33"/>
        <v>49782.993000000002</v>
      </c>
      <c r="Y36" s="2">
        <f t="shared" si="33"/>
        <v>49782.993000000002</v>
      </c>
      <c r="Z36" s="2">
        <f t="shared" si="33"/>
        <v>49782.993000000002</v>
      </c>
      <c r="AA36" s="2">
        <f t="shared" si="33"/>
        <v>49782.993000000002</v>
      </c>
      <c r="AB36" s="2">
        <f t="shared" si="33"/>
        <v>49782.993000000002</v>
      </c>
    </row>
    <row r="37" spans="2:156 16384:16384" s="14" customFormat="1" x14ac:dyDescent="0.15">
      <c r="B37" s="13" t="s">
        <v>34</v>
      </c>
      <c r="C37" s="14">
        <f>+C35/C36</f>
        <v>0.48415801247918344</v>
      </c>
      <c r="D37" s="14">
        <f>+D35/D36</f>
        <v>0.38610513043695305</v>
      </c>
      <c r="E37" s="14">
        <f>+E35/E36</f>
        <v>0.5587298833312877</v>
      </c>
      <c r="F37" s="14">
        <f>+Q37-SUM(C37:E37)</f>
        <v>0.11708446481191914</v>
      </c>
      <c r="G37" s="14">
        <f>+G35/G36</f>
        <v>0.39768205292631426</v>
      </c>
      <c r="H37" s="14">
        <f>+H35/H36</f>
        <v>0.56485112203040655</v>
      </c>
      <c r="I37" s="14">
        <f>+I35/I36</f>
        <v>0.65073072535010557</v>
      </c>
      <c r="J37" s="14">
        <f t="shared" si="24"/>
        <v>0.53194661365323226</v>
      </c>
      <c r="N37" s="14">
        <f t="shared" ref="N37:S37" si="34">+N35/N36</f>
        <v>-8.6568092044373712E-2</v>
      </c>
      <c r="O37" s="14">
        <f t="shared" si="34"/>
        <v>-0.92920038455758347</v>
      </c>
      <c r="P37" s="14">
        <f t="shared" si="34"/>
        <v>1.9194930325223452</v>
      </c>
      <c r="Q37" s="14">
        <f t="shared" si="34"/>
        <v>1.5460774910593433</v>
      </c>
      <c r="R37" s="14">
        <f t="shared" si="34"/>
        <v>2.1452105139600586</v>
      </c>
      <c r="S37" s="14">
        <f t="shared" si="34"/>
        <v>1.1700272178886446</v>
      </c>
      <c r="T37" s="14">
        <f t="shared" ref="T37:AB37" si="35">+T35/T36</f>
        <v>1.8097329188383193E-2</v>
      </c>
      <c r="U37" s="14">
        <f t="shared" si="35"/>
        <v>1.6837413529041101</v>
      </c>
      <c r="V37" s="14">
        <f t="shared" si="35"/>
        <v>1.8335874179532492</v>
      </c>
      <c r="W37" s="14">
        <f t="shared" si="35"/>
        <v>1.9936038684701456</v>
      </c>
      <c r="X37" s="14">
        <f t="shared" si="35"/>
        <v>0.31035996029901974</v>
      </c>
      <c r="Y37" s="14">
        <f t="shared" si="35"/>
        <v>2.3467847183483541</v>
      </c>
      <c r="Z37" s="14">
        <f t="shared" si="35"/>
        <v>2.5413684759982074</v>
      </c>
      <c r="AA37" s="14">
        <f t="shared" si="35"/>
        <v>2.7489661155353255</v>
      </c>
      <c r="AB37" s="14">
        <f t="shared" si="35"/>
        <v>0.41626722793796422</v>
      </c>
    </row>
    <row r="38" spans="2:156 16384:16384" x14ac:dyDescent="0.15">
      <c r="AD38" s="5" t="s">
        <v>184</v>
      </c>
      <c r="AE38" s="12">
        <v>0.1</v>
      </c>
    </row>
    <row r="39" spans="2:156 16384:16384" x14ac:dyDescent="0.15">
      <c r="B39" s="5" t="s">
        <v>105</v>
      </c>
      <c r="R39" s="2" t="s">
        <v>189</v>
      </c>
      <c r="S39" s="2">
        <f>+J80</f>
        <v>317565</v>
      </c>
      <c r="T39" s="2">
        <f>+S42</f>
        <v>375812.45679795987</v>
      </c>
      <c r="U39" s="2">
        <f t="shared" ref="U39:AB39" si="36">+T42</f>
        <v>376713.39601026382</v>
      </c>
      <c r="V39" s="2">
        <f t="shared" si="36"/>
        <v>460535.07999569969</v>
      </c>
      <c r="W39" s="2">
        <f t="shared" si="36"/>
        <v>551816.54958855442</v>
      </c>
      <c r="X39" s="2">
        <f t="shared" si="36"/>
        <v>651064.11701737659</v>
      </c>
      <c r="Y39" s="2">
        <f t="shared" si="36"/>
        <v>666514.76474842301</v>
      </c>
      <c r="Z39" s="2">
        <f t="shared" si="36"/>
        <v>783344.73195446609</v>
      </c>
      <c r="AA39" s="2">
        <f t="shared" si="36"/>
        <v>909861.66100550548</v>
      </c>
      <c r="AB39" s="2">
        <f t="shared" si="36"/>
        <v>1046713.4218924379</v>
      </c>
      <c r="AD39" s="5" t="s">
        <v>185</v>
      </c>
      <c r="AE39" s="12">
        <v>0.08</v>
      </c>
    </row>
    <row r="40" spans="2:156 16384:16384" x14ac:dyDescent="0.15">
      <c r="B40" s="5" t="s">
        <v>106</v>
      </c>
      <c r="S40" s="2">
        <f>+S35</f>
        <v>58247.456797959872</v>
      </c>
      <c r="T40" s="2">
        <f t="shared" ref="T40:AB40" si="37">+T35</f>
        <v>900.93921230397621</v>
      </c>
      <c r="U40" s="2">
        <f t="shared" si="37"/>
        <v>83821.68398543584</v>
      </c>
      <c r="V40" s="2">
        <f t="shared" si="37"/>
        <v>91281.469592854686</v>
      </c>
      <c r="W40" s="2">
        <f t="shared" si="37"/>
        <v>99247.567428822178</v>
      </c>
      <c r="X40" s="2">
        <f t="shared" si="37"/>
        <v>15450.647731046378</v>
      </c>
      <c r="Y40" s="2">
        <f t="shared" si="37"/>
        <v>116829.96720604309</v>
      </c>
      <c r="Z40" s="2">
        <f t="shared" si="37"/>
        <v>126516.92905103942</v>
      </c>
      <c r="AA40" s="2">
        <f t="shared" si="37"/>
        <v>136851.76088693232</v>
      </c>
      <c r="AB40" s="2">
        <f t="shared" si="37"/>
        <v>20723.028494565078</v>
      </c>
      <c r="AD40" s="5" t="s">
        <v>99</v>
      </c>
      <c r="AE40" s="16">
        <v>0.01</v>
      </c>
    </row>
    <row r="41" spans="2:156 16384:16384" x14ac:dyDescent="0.15">
      <c r="B41" s="5" t="s">
        <v>107</v>
      </c>
      <c r="S41" s="2">
        <f>+S103</f>
        <v>0</v>
      </c>
      <c r="T41" s="2">
        <f t="shared" ref="T41:AB41" si="38">+T103</f>
        <v>0</v>
      </c>
      <c r="U41" s="2">
        <f t="shared" si="38"/>
        <v>0</v>
      </c>
      <c r="V41" s="2">
        <f t="shared" si="38"/>
        <v>0</v>
      </c>
      <c r="W41" s="2">
        <f t="shared" si="38"/>
        <v>0</v>
      </c>
      <c r="X41" s="2">
        <f t="shared" si="38"/>
        <v>0</v>
      </c>
      <c r="Y41" s="2">
        <f t="shared" si="38"/>
        <v>0</v>
      </c>
      <c r="Z41" s="2">
        <f t="shared" si="38"/>
        <v>0</v>
      </c>
      <c r="AA41" s="2">
        <f t="shared" si="38"/>
        <v>0</v>
      </c>
      <c r="AB41" s="2">
        <f t="shared" si="38"/>
        <v>0</v>
      </c>
      <c r="AD41" s="5" t="s">
        <v>98</v>
      </c>
      <c r="AE41" s="16">
        <v>0.15</v>
      </c>
    </row>
    <row r="42" spans="2:156 16384:16384" x14ac:dyDescent="0.15">
      <c r="B42" s="5" t="s">
        <v>108</v>
      </c>
      <c r="S42" s="2">
        <f>+S39+S40-S41</f>
        <v>375812.45679795987</v>
      </c>
      <c r="T42" s="2">
        <f t="shared" ref="T42:AB42" si="39">+T39+T40-T41</f>
        <v>376713.39601026382</v>
      </c>
      <c r="U42" s="2">
        <f t="shared" si="39"/>
        <v>460535.07999569969</v>
      </c>
      <c r="V42" s="2">
        <f t="shared" si="39"/>
        <v>551816.54958855442</v>
      </c>
      <c r="W42" s="2">
        <f t="shared" si="39"/>
        <v>651064.11701737659</v>
      </c>
      <c r="X42" s="2">
        <f t="shared" si="39"/>
        <v>666514.76474842301</v>
      </c>
      <c r="Y42" s="2">
        <f t="shared" si="39"/>
        <v>783344.73195446609</v>
      </c>
      <c r="Z42" s="2">
        <f t="shared" si="39"/>
        <v>909861.66100550548</v>
      </c>
      <c r="AA42" s="2">
        <f t="shared" si="39"/>
        <v>1046713.4218924379</v>
      </c>
      <c r="AB42" s="2">
        <f t="shared" si="39"/>
        <v>1067436.4503870029</v>
      </c>
      <c r="AD42" s="5" t="s">
        <v>100</v>
      </c>
      <c r="AE42" s="2">
        <f>NPV(AE41,S35:EZ35)</f>
        <v>380917.23536024877</v>
      </c>
    </row>
    <row r="43" spans="2:156 16384:16384" x14ac:dyDescent="0.15">
      <c r="S43" s="14">
        <f>+S42/S36</f>
        <v>7.549012908845393</v>
      </c>
      <c r="T43" s="14">
        <f t="shared" ref="T43:AB43" si="40">+T42/T36</f>
        <v>7.5671102380337762</v>
      </c>
      <c r="U43" s="14">
        <f t="shared" si="40"/>
        <v>9.2508515909378861</v>
      </c>
      <c r="V43" s="14">
        <f t="shared" si="40"/>
        <v>11.084439008891136</v>
      </c>
      <c r="W43" s="14">
        <f t="shared" si="40"/>
        <v>13.078042877361282</v>
      </c>
      <c r="X43" s="14">
        <f t="shared" si="40"/>
        <v>13.388402837660303</v>
      </c>
      <c r="Y43" s="14">
        <f t="shared" si="40"/>
        <v>15.735187556008656</v>
      </c>
      <c r="Z43" s="14">
        <f t="shared" si="40"/>
        <v>18.276556032006862</v>
      </c>
      <c r="AA43" s="14">
        <f t="shared" si="40"/>
        <v>21.025522147542191</v>
      </c>
      <c r="AB43" s="14">
        <f t="shared" si="40"/>
        <v>21.441789375480152</v>
      </c>
      <c r="AD43" s="5" t="s">
        <v>101</v>
      </c>
      <c r="AE43" s="2">
        <f>+Main!H4*1000</f>
        <v>48342.810999999994</v>
      </c>
    </row>
    <row r="44" spans="2:156 16384:16384" x14ac:dyDescent="0.15">
      <c r="B44" s="5" t="s">
        <v>23</v>
      </c>
      <c r="AD44" s="5" t="s">
        <v>102</v>
      </c>
      <c r="AE44" s="2">
        <f>+AE42/AE43</f>
        <v>7.8795011601673064</v>
      </c>
    </row>
    <row r="45" spans="2:156 16384:16384" x14ac:dyDescent="0.15">
      <c r="B45" s="5" t="s">
        <v>22</v>
      </c>
      <c r="G45" s="12">
        <f>+G25/C25-1</f>
        <v>8.4146671071203327E-2</v>
      </c>
      <c r="H45" s="12">
        <f>+H25/D25-1</f>
        <v>0.25942379398741555</v>
      </c>
      <c r="I45" s="12">
        <f>+I25/E25-1</f>
        <v>0.10055274179409768</v>
      </c>
      <c r="J45" s="12">
        <f>+J25/F25-1</f>
        <v>8.9671616183279346E-2</v>
      </c>
      <c r="K45" s="12">
        <f>+K25/G25-1</f>
        <v>-1.3725381568377659E-2</v>
      </c>
      <c r="O45" s="12">
        <f t="shared" ref="O45:AB45" si="41">+O25/N25-1</f>
        <v>0.17974943699849133</v>
      </c>
      <c r="P45" s="12">
        <f t="shared" si="41"/>
        <v>-1.9982134318787481E-2</v>
      </c>
      <c r="Q45" s="12">
        <f t="shared" si="41"/>
        <v>0.12200075642965214</v>
      </c>
      <c r="R45" s="12">
        <f t="shared" si="41"/>
        <v>0.13073010244154015</v>
      </c>
      <c r="S45" s="12">
        <f t="shared" si="41"/>
        <v>3.0026025596308292E-2</v>
      </c>
      <c r="T45" s="12">
        <f t="shared" si="41"/>
        <v>5.0000000000000044E-2</v>
      </c>
      <c r="U45" s="12">
        <f t="shared" si="41"/>
        <v>5.0000000000000044E-2</v>
      </c>
      <c r="V45" s="12">
        <f t="shared" si="41"/>
        <v>5.0000000000000266E-2</v>
      </c>
      <c r="W45" s="12">
        <f t="shared" si="41"/>
        <v>5.0000000000000044E-2</v>
      </c>
      <c r="X45" s="12">
        <f t="shared" si="41"/>
        <v>5.0000000000000044E-2</v>
      </c>
      <c r="Y45" s="12">
        <f t="shared" si="41"/>
        <v>5.0000000000000044E-2</v>
      </c>
      <c r="Z45" s="12">
        <f t="shared" si="41"/>
        <v>5.0000000000000044E-2</v>
      </c>
      <c r="AA45" s="12">
        <f t="shared" si="41"/>
        <v>5.0000000000000044E-2</v>
      </c>
      <c r="AB45" s="12">
        <f t="shared" si="41"/>
        <v>5.0000000000000044E-2</v>
      </c>
      <c r="AD45" s="5" t="s">
        <v>103</v>
      </c>
      <c r="AE45" s="2">
        <f>+Main!H3</f>
        <v>11.06</v>
      </c>
      <c r="XFD45" s="12"/>
    </row>
    <row r="46" spans="2:156 16384:16384" x14ac:dyDescent="0.15">
      <c r="B46" s="5" t="s">
        <v>17</v>
      </c>
      <c r="G46" s="12">
        <f>+G20/C20-1</f>
        <v>9.0067219108748153E-2</v>
      </c>
      <c r="H46" s="12">
        <f>+H20/D20-1</f>
        <v>0.23764219561067201</v>
      </c>
      <c r="I46" s="12">
        <f>+I20/E20-1</f>
        <v>8.5009263485755771E-2</v>
      </c>
      <c r="J46" s="12">
        <f>+J20/F20-1</f>
        <v>7.9287541501115832E-2</v>
      </c>
      <c r="K46" s="12">
        <f>+K20/G20-1</f>
        <v>-3.8976447152566207E-2</v>
      </c>
      <c r="O46" s="12">
        <f t="shared" ref="O46:AB46" si="42">+O20/N20-1</f>
        <v>0.21804919300498793</v>
      </c>
      <c r="P46" s="12">
        <f t="shared" si="42"/>
        <v>-2.7050708011256863E-2</v>
      </c>
      <c r="Q46" s="12">
        <f t="shared" si="42"/>
        <v>4.5523925818514943E-2</v>
      </c>
      <c r="R46" s="12">
        <f t="shared" si="42"/>
        <v>0.11993868389357276</v>
      </c>
      <c r="S46" s="12">
        <f t="shared" si="42"/>
        <v>5.0000000000000044E-2</v>
      </c>
      <c r="T46" s="12">
        <f t="shared" si="42"/>
        <v>5.0000000000000044E-2</v>
      </c>
      <c r="U46" s="12">
        <f t="shared" si="42"/>
        <v>5.0000000000000044E-2</v>
      </c>
      <c r="V46" s="12">
        <f t="shared" si="42"/>
        <v>5.0000000000000044E-2</v>
      </c>
      <c r="W46" s="12">
        <f t="shared" si="42"/>
        <v>5.0000000000000044E-2</v>
      </c>
      <c r="X46" s="12">
        <f t="shared" si="42"/>
        <v>5.0000000000000044E-2</v>
      </c>
      <c r="Y46" s="12">
        <f t="shared" si="42"/>
        <v>5.0000000000000044E-2</v>
      </c>
      <c r="Z46" s="12">
        <f t="shared" si="42"/>
        <v>5.0000000000000044E-2</v>
      </c>
      <c r="AA46" s="12">
        <f t="shared" si="42"/>
        <v>5.0000000000000044E-2</v>
      </c>
      <c r="AB46" s="12">
        <f t="shared" si="42"/>
        <v>5.0000000000000044E-2</v>
      </c>
      <c r="AD46" s="5" t="s">
        <v>104</v>
      </c>
      <c r="AE46" s="12">
        <f>+AE44/AE45-1</f>
        <v>-0.28756770703731405</v>
      </c>
    </row>
    <row r="47" spans="2:156 16384:16384" x14ac:dyDescent="0.15">
      <c r="B47" s="5" t="s">
        <v>18</v>
      </c>
      <c r="P47" s="12">
        <f t="shared" ref="P47:AB47" si="43">+P21/O21-1</f>
        <v>8.1715104913332448E-2</v>
      </c>
      <c r="Q47" s="12">
        <f t="shared" si="43"/>
        <v>1.5054216867469878</v>
      </c>
      <c r="R47" s="12">
        <f t="shared" si="43"/>
        <v>6.7852849242606483E-2</v>
      </c>
      <c r="S47" s="12">
        <f t="shared" si="43"/>
        <v>5.0000000000000044E-2</v>
      </c>
      <c r="T47" s="12">
        <f t="shared" si="43"/>
        <v>5.0000000000000044E-2</v>
      </c>
      <c r="U47" s="12">
        <f t="shared" si="43"/>
        <v>5.0000000000000044E-2</v>
      </c>
      <c r="V47" s="12">
        <f t="shared" si="43"/>
        <v>5.0000000000000044E-2</v>
      </c>
      <c r="W47" s="12">
        <f t="shared" si="43"/>
        <v>5.0000000000000044E-2</v>
      </c>
      <c r="X47" s="12">
        <f t="shared" si="43"/>
        <v>5.0000000000000044E-2</v>
      </c>
      <c r="Y47" s="12">
        <f t="shared" si="43"/>
        <v>5.0000000000000044E-2</v>
      </c>
      <c r="Z47" s="12">
        <f t="shared" si="43"/>
        <v>5.0000000000000044E-2</v>
      </c>
      <c r="AA47" s="12">
        <f t="shared" si="43"/>
        <v>5.0000000000000044E-2</v>
      </c>
      <c r="AB47" s="12">
        <f t="shared" si="43"/>
        <v>5.0000000000000044E-2</v>
      </c>
    </row>
    <row r="48" spans="2:156 16384:16384" x14ac:dyDescent="0.15">
      <c r="B48" s="5" t="s">
        <v>94</v>
      </c>
      <c r="C48" s="12">
        <f t="shared" ref="C48:K48" si="44">ABS(C19)/C18</f>
        <v>0.60921569850876645</v>
      </c>
      <c r="D48" s="12">
        <f t="shared" si="44"/>
        <v>0.59227404310067544</v>
      </c>
      <c r="E48" s="12">
        <f t="shared" si="44"/>
        <v>0.53497983493363632</v>
      </c>
      <c r="F48" s="12">
        <f t="shared" si="44"/>
        <v>0.54832524122672244</v>
      </c>
      <c r="G48" s="12">
        <f t="shared" si="44"/>
        <v>0.57883048223021449</v>
      </c>
      <c r="H48" s="12">
        <f t="shared" si="44"/>
        <v>0.52590958539828359</v>
      </c>
      <c r="I48" s="12">
        <f t="shared" si="44"/>
        <v>0.50344378429191983</v>
      </c>
      <c r="J48" s="12">
        <f t="shared" si="44"/>
        <v>0.49779665953324637</v>
      </c>
      <c r="K48" s="12">
        <f t="shared" si="44"/>
        <v>0.53511556393214954</v>
      </c>
      <c r="O48" s="12">
        <f>ABS(O19)/O18</f>
        <v>0.49689653304543224</v>
      </c>
      <c r="P48" s="12">
        <f>ABS(P19)/P18</f>
        <v>0.56661589626300057</v>
      </c>
      <c r="Q48" s="12">
        <f>ABS(Q19)/Q18</f>
        <v>0.57095745746999726</v>
      </c>
      <c r="R48" s="12">
        <f>ABS(R19)/R18</f>
        <v>0.52665288618764072</v>
      </c>
      <c r="S48" s="12">
        <f>ABS(S19)/S18</f>
        <v>0.47999999999999993</v>
      </c>
      <c r="T48" s="12">
        <f t="shared" ref="T48:AB48" si="45">ABS(T19)/T18</f>
        <v>0.48</v>
      </c>
      <c r="U48" s="12">
        <f t="shared" si="45"/>
        <v>0.48</v>
      </c>
      <c r="V48" s="12">
        <f t="shared" si="45"/>
        <v>0.48</v>
      </c>
      <c r="W48" s="12">
        <f t="shared" si="45"/>
        <v>0.48</v>
      </c>
      <c r="X48" s="12">
        <f t="shared" si="45"/>
        <v>0.48</v>
      </c>
      <c r="Y48" s="12">
        <f t="shared" si="45"/>
        <v>0.48</v>
      </c>
      <c r="Z48" s="12">
        <f t="shared" si="45"/>
        <v>0.47999999999999993</v>
      </c>
      <c r="AA48" s="12">
        <f t="shared" si="45"/>
        <v>0.48000000000000004</v>
      </c>
      <c r="AB48" s="12">
        <f t="shared" si="45"/>
        <v>0.47999999999999993</v>
      </c>
    </row>
    <row r="49" spans="2:28" x14ac:dyDescent="0.15">
      <c r="B49" s="5" t="s">
        <v>182</v>
      </c>
      <c r="P49" s="12">
        <f>+P33/P25</f>
        <v>0.36338880484114977</v>
      </c>
      <c r="Q49" s="12">
        <f>+Q33/Q25</f>
        <v>0.34268195255800471</v>
      </c>
      <c r="R49" s="12">
        <f>+R33/R25</f>
        <v>0.42551402788584514</v>
      </c>
      <c r="S49" s="12">
        <f>+S33/S25</f>
        <v>0.22531584387062764</v>
      </c>
      <c r="T49" s="12">
        <f t="shared" ref="T49:AB49" si="46">+T33/T25</f>
        <v>3.3191047146206355E-3</v>
      </c>
      <c r="U49" s="12">
        <f t="shared" si="46"/>
        <v>0.29409832243633816</v>
      </c>
      <c r="V49" s="12">
        <f t="shared" si="46"/>
        <v>0.30502082402910563</v>
      </c>
      <c r="W49" s="12">
        <f t="shared" si="46"/>
        <v>0.3158474961858731</v>
      </c>
      <c r="X49" s="12">
        <f t="shared" si="46"/>
        <v>4.6829008141453334E-2</v>
      </c>
      <c r="Y49" s="12">
        <f t="shared" si="46"/>
        <v>0.33723545234652313</v>
      </c>
      <c r="Z49" s="12">
        <f t="shared" si="46"/>
        <v>0.34780699489519762</v>
      </c>
      <c r="AA49" s="12">
        <f t="shared" si="46"/>
        <v>0.35830326127831674</v>
      </c>
      <c r="AB49" s="12">
        <f t="shared" si="46"/>
        <v>5.167307377353568E-2</v>
      </c>
    </row>
    <row r="50" spans="2:28" x14ac:dyDescent="0.15"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2:28" x14ac:dyDescent="0.15"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2:28" x14ac:dyDescent="0.15">
      <c r="B52" s="1" t="s">
        <v>58</v>
      </c>
      <c r="F52" s="2">
        <v>281001</v>
      </c>
      <c r="G52" s="2">
        <v>282960</v>
      </c>
      <c r="H52" s="2">
        <v>248944</v>
      </c>
      <c r="I52" s="2">
        <v>246499</v>
      </c>
      <c r="J52" s="2">
        <v>253152</v>
      </c>
      <c r="K52" s="2">
        <v>275360</v>
      </c>
    </row>
    <row r="53" spans="2:28" x14ac:dyDescent="0.15">
      <c r="B53" s="1" t="s">
        <v>59</v>
      </c>
      <c r="F53" s="2">
        <v>36794</v>
      </c>
      <c r="G53" s="2">
        <v>29210</v>
      </c>
      <c r="H53" s="2">
        <v>40502</v>
      </c>
      <c r="I53" s="2">
        <v>52585</v>
      </c>
      <c r="J53" s="2">
        <v>61685</v>
      </c>
      <c r="K53" s="2">
        <v>64715</v>
      </c>
    </row>
    <row r="54" spans="2:28" x14ac:dyDescent="0.15">
      <c r="B54" s="1" t="s">
        <v>60</v>
      </c>
      <c r="F54" s="2">
        <v>23623</v>
      </c>
      <c r="G54" s="2">
        <v>23617</v>
      </c>
      <c r="H54" s="2">
        <v>29585</v>
      </c>
      <c r="I54" s="2">
        <v>36827</v>
      </c>
      <c r="J54" s="2">
        <v>40053</v>
      </c>
      <c r="K54" s="2">
        <v>20421</v>
      </c>
      <c r="S54" s="2">
        <f>+K54</f>
        <v>20421</v>
      </c>
      <c r="T54" s="2">
        <f>+S54*1.02</f>
        <v>20829.420000000002</v>
      </c>
      <c r="U54" s="2">
        <f t="shared" ref="U54:AB54" si="47">+T54*1.02</f>
        <v>21246.008400000002</v>
      </c>
      <c r="V54" s="2">
        <f t="shared" si="47"/>
        <v>21670.928568000003</v>
      </c>
      <c r="W54" s="2">
        <f t="shared" si="47"/>
        <v>22104.347139360005</v>
      </c>
      <c r="X54" s="2">
        <f t="shared" si="47"/>
        <v>22546.434082147207</v>
      </c>
      <c r="Y54" s="2">
        <f t="shared" si="47"/>
        <v>22997.362763790152</v>
      </c>
      <c r="Z54" s="2">
        <f t="shared" si="47"/>
        <v>23457.310019065957</v>
      </c>
      <c r="AA54" s="2">
        <f t="shared" si="47"/>
        <v>23926.456219447278</v>
      </c>
      <c r="AB54" s="2">
        <f t="shared" si="47"/>
        <v>24404.985343836222</v>
      </c>
    </row>
    <row r="55" spans="2:28" x14ac:dyDescent="0.15">
      <c r="B55" s="1" t="s">
        <v>61</v>
      </c>
      <c r="F55" s="2">
        <f t="shared" ref="F55:K55" si="48">+SUM(F52:F54)</f>
        <v>341418</v>
      </c>
      <c r="G55" s="2">
        <f t="shared" si="48"/>
        <v>335787</v>
      </c>
      <c r="H55" s="2">
        <f t="shared" si="48"/>
        <v>319031</v>
      </c>
      <c r="I55" s="2">
        <f t="shared" si="48"/>
        <v>335911</v>
      </c>
      <c r="J55" s="2">
        <f t="shared" si="48"/>
        <v>354890</v>
      </c>
      <c r="K55" s="2">
        <f t="shared" si="48"/>
        <v>360496</v>
      </c>
    </row>
    <row r="56" spans="2:28" x14ac:dyDescent="0.15">
      <c r="B56" s="1" t="s">
        <v>57</v>
      </c>
      <c r="F56" s="2">
        <v>137036</v>
      </c>
      <c r="G56" s="2">
        <v>167155</v>
      </c>
      <c r="H56" s="2">
        <v>315485</v>
      </c>
      <c r="I56" s="2">
        <v>267872</v>
      </c>
      <c r="J56" s="2">
        <v>198762</v>
      </c>
      <c r="K56" s="2">
        <v>238949</v>
      </c>
    </row>
    <row r="57" spans="2:28" x14ac:dyDescent="0.15">
      <c r="B57" s="1" t="s">
        <v>62</v>
      </c>
      <c r="F57" s="2">
        <v>62357</v>
      </c>
      <c r="G57" s="2">
        <v>65885</v>
      </c>
      <c r="H57" s="2">
        <v>91727</v>
      </c>
      <c r="I57" s="2">
        <v>91264</v>
      </c>
      <c r="J57" s="2">
        <v>94092</v>
      </c>
      <c r="K57" s="2">
        <v>0</v>
      </c>
    </row>
    <row r="58" spans="2:28" x14ac:dyDescent="0.15">
      <c r="B58" s="1" t="s">
        <v>63</v>
      </c>
      <c r="F58" s="2">
        <f t="shared" ref="F58:K58" si="49">+F56+F57</f>
        <v>199393</v>
      </c>
      <c r="G58" s="2">
        <f t="shared" si="49"/>
        <v>233040</v>
      </c>
      <c r="H58" s="2">
        <f t="shared" si="49"/>
        <v>407212</v>
      </c>
      <c r="I58" s="2">
        <f t="shared" si="49"/>
        <v>359136</v>
      </c>
      <c r="J58" s="2">
        <f t="shared" si="49"/>
        <v>292854</v>
      </c>
      <c r="K58" s="2">
        <f t="shared" si="49"/>
        <v>238949</v>
      </c>
      <c r="S58" s="2">
        <f>+K92</f>
        <v>89596</v>
      </c>
      <c r="T58" s="2">
        <f>+S58+T35</f>
        <v>90496.939212303972</v>
      </c>
      <c r="U58" s="2">
        <f t="shared" ref="U58:AB58" si="50">+T58+U35</f>
        <v>174318.62319773983</v>
      </c>
      <c r="V58" s="2">
        <f t="shared" si="50"/>
        <v>265600.0927905945</v>
      </c>
      <c r="W58" s="2">
        <f t="shared" si="50"/>
        <v>364847.66021941666</v>
      </c>
      <c r="X58" s="2">
        <f t="shared" si="50"/>
        <v>380298.30795046303</v>
      </c>
      <c r="Y58" s="2">
        <f t="shared" si="50"/>
        <v>497128.2751565061</v>
      </c>
      <c r="Z58" s="2">
        <f t="shared" si="50"/>
        <v>623645.2042075455</v>
      </c>
      <c r="AA58" s="2">
        <f t="shared" si="50"/>
        <v>760496.96509447787</v>
      </c>
      <c r="AB58" s="2">
        <f t="shared" si="50"/>
        <v>781219.99358904292</v>
      </c>
    </row>
    <row r="59" spans="2:28" x14ac:dyDescent="0.15">
      <c r="B59" s="1" t="s">
        <v>66</v>
      </c>
      <c r="F59" s="2">
        <v>2964</v>
      </c>
      <c r="G59" s="2">
        <v>2990</v>
      </c>
      <c r="H59" s="2">
        <v>3347</v>
      </c>
      <c r="I59" s="2">
        <v>3226</v>
      </c>
      <c r="J59" s="2">
        <v>3156</v>
      </c>
    </row>
    <row r="60" spans="2:28" x14ac:dyDescent="0.15">
      <c r="B60" s="1" t="s">
        <v>67</v>
      </c>
      <c r="F60" s="2">
        <v>5736</v>
      </c>
      <c r="G60" s="2">
        <v>4803</v>
      </c>
      <c r="H60" s="2">
        <v>3745</v>
      </c>
      <c r="I60" s="2">
        <v>2807</v>
      </c>
      <c r="J60" s="2">
        <v>723</v>
      </c>
    </row>
    <row r="61" spans="2:28" x14ac:dyDescent="0.15">
      <c r="B61" s="1" t="s">
        <v>68</v>
      </c>
      <c r="F61" s="2">
        <v>46564</v>
      </c>
      <c r="G61" s="2">
        <v>61749</v>
      </c>
      <c r="H61" s="2">
        <v>53504</v>
      </c>
      <c r="I61" s="2">
        <v>30335</v>
      </c>
      <c r="J61" s="2">
        <v>70447</v>
      </c>
    </row>
    <row r="62" spans="2:28" x14ac:dyDescent="0.15">
      <c r="B62" s="1" t="s">
        <v>89</v>
      </c>
      <c r="F62" s="2">
        <v>263419</v>
      </c>
      <c r="G62" s="2">
        <v>202391</v>
      </c>
      <c r="H62" s="2">
        <v>169622</v>
      </c>
      <c r="I62" s="2">
        <v>144261</v>
      </c>
      <c r="J62" s="2">
        <v>128205</v>
      </c>
    </row>
    <row r="63" spans="2:28" x14ac:dyDescent="0.15">
      <c r="B63" s="1" t="s">
        <v>69</v>
      </c>
      <c r="F63" s="2">
        <v>160893</v>
      </c>
      <c r="G63" s="2">
        <v>121138</v>
      </c>
      <c r="H63" s="2">
        <v>256772</v>
      </c>
      <c r="I63" s="2">
        <v>184366</v>
      </c>
      <c r="J63" s="2">
        <v>109697</v>
      </c>
    </row>
    <row r="64" spans="2:28" x14ac:dyDescent="0.15">
      <c r="B64" s="1" t="s">
        <v>70</v>
      </c>
      <c r="F64" s="2">
        <v>59476</v>
      </c>
      <c r="G64" s="2">
        <v>59476</v>
      </c>
      <c r="H64" s="2">
        <v>59476</v>
      </c>
      <c r="I64" s="2">
        <v>59476</v>
      </c>
      <c r="J64" s="2">
        <v>59476</v>
      </c>
    </row>
    <row r="65" spans="2:28" x14ac:dyDescent="0.15">
      <c r="B65" s="1" t="s">
        <v>71</v>
      </c>
      <c r="F65" s="2">
        <v>40282</v>
      </c>
      <c r="G65" s="2">
        <v>46342</v>
      </c>
      <c r="H65" s="2">
        <v>58008</v>
      </c>
      <c r="I65" s="2">
        <v>44214</v>
      </c>
      <c r="J65" s="2">
        <v>37815</v>
      </c>
    </row>
    <row r="66" spans="2:28" x14ac:dyDescent="0.15">
      <c r="B66" s="1" t="s">
        <v>72</v>
      </c>
      <c r="F66" s="2">
        <v>5908</v>
      </c>
      <c r="G66" s="2">
        <v>5299</v>
      </c>
      <c r="H66" s="2">
        <v>4689</v>
      </c>
      <c r="I66" s="2">
        <v>4080</v>
      </c>
      <c r="J66" s="2">
        <v>3471</v>
      </c>
    </row>
    <row r="67" spans="2:28" x14ac:dyDescent="0.15">
      <c r="B67" s="1" t="s">
        <v>73</v>
      </c>
      <c r="F67" s="2">
        <v>16816</v>
      </c>
      <c r="G67" s="2">
        <v>12147</v>
      </c>
      <c r="H67" s="2">
        <v>11459</v>
      </c>
      <c r="I67" s="2">
        <v>11042</v>
      </c>
      <c r="J67" s="2">
        <v>11998</v>
      </c>
    </row>
    <row r="68" spans="2:28" x14ac:dyDescent="0.15">
      <c r="B68" s="1" t="s">
        <v>74</v>
      </c>
      <c r="F68" s="2">
        <v>73243</v>
      </c>
      <c r="G68" s="2">
        <v>74484</v>
      </c>
      <c r="H68" s="2">
        <v>0</v>
      </c>
      <c r="I68" s="2">
        <v>0</v>
      </c>
      <c r="J68" s="2">
        <v>0</v>
      </c>
    </row>
    <row r="69" spans="2:28" x14ac:dyDescent="0.15">
      <c r="B69" s="1" t="s">
        <v>75</v>
      </c>
      <c r="F69" s="2">
        <f>SUM(F58:F68,F55)</f>
        <v>1216112</v>
      </c>
      <c r="G69" s="2">
        <f>SUM(G58:G68,G55)</f>
        <v>1159646</v>
      </c>
      <c r="H69" s="2">
        <f>SUM(H58:H68,H55)</f>
        <v>1346865</v>
      </c>
      <c r="I69" s="2">
        <f>SUM(I58:I68,I55)</f>
        <v>1178854</v>
      </c>
      <c r="J69" s="2">
        <f>SUM(J58:J68,J55)</f>
        <v>1072732</v>
      </c>
    </row>
    <row r="70" spans="2:28" x14ac:dyDescent="0.15">
      <c r="B70" s="1"/>
    </row>
    <row r="71" spans="2:28" x14ac:dyDescent="0.15">
      <c r="B71" s="1" t="s">
        <v>87</v>
      </c>
      <c r="F71" s="2">
        <v>322087</v>
      </c>
      <c r="G71" s="2">
        <v>256289</v>
      </c>
      <c r="H71" s="2">
        <v>219242</v>
      </c>
      <c r="I71" s="2">
        <v>188703</v>
      </c>
      <c r="J71" s="2">
        <v>165701</v>
      </c>
    </row>
    <row r="72" spans="2:28" x14ac:dyDescent="0.15">
      <c r="B72" s="1" t="s">
        <v>77</v>
      </c>
      <c r="F72" s="2">
        <v>285354</v>
      </c>
      <c r="G72" s="2">
        <v>321105</v>
      </c>
      <c r="H72" s="2">
        <v>383991</v>
      </c>
      <c r="I72" s="2">
        <v>293047</v>
      </c>
      <c r="J72" s="2">
        <v>249616</v>
      </c>
    </row>
    <row r="73" spans="2:28" x14ac:dyDescent="0.15">
      <c r="B73" s="1" t="s">
        <v>78</v>
      </c>
      <c r="F73" s="2">
        <v>83130</v>
      </c>
      <c r="G73" s="2">
        <v>53761</v>
      </c>
      <c r="H73" s="2">
        <v>226856</v>
      </c>
      <c r="I73" s="2">
        <v>143058</v>
      </c>
      <c r="J73" s="2">
        <v>66841</v>
      </c>
    </row>
    <row r="74" spans="2:28" x14ac:dyDescent="0.15">
      <c r="B74" s="1" t="s">
        <v>79</v>
      </c>
      <c r="F74" s="2">
        <v>86140</v>
      </c>
      <c r="G74" s="2">
        <v>65883</v>
      </c>
      <c r="H74" s="2">
        <v>65355</v>
      </c>
      <c r="I74" s="2">
        <v>64936</v>
      </c>
      <c r="J74" s="2">
        <v>112781</v>
      </c>
    </row>
    <row r="75" spans="2:28" x14ac:dyDescent="0.15">
      <c r="B75" s="1" t="s">
        <v>80</v>
      </c>
      <c r="F75" s="2">
        <v>3323</v>
      </c>
      <c r="G75" s="2">
        <v>3302</v>
      </c>
      <c r="H75" s="2">
        <v>3248</v>
      </c>
      <c r="I75" s="2">
        <v>3193</v>
      </c>
      <c r="J75" s="2">
        <v>3135</v>
      </c>
    </row>
    <row r="76" spans="2:28" x14ac:dyDescent="0.15">
      <c r="B76" s="1" t="s">
        <v>81</v>
      </c>
      <c r="F76" s="2">
        <v>149020</v>
      </c>
      <c r="G76" s="2">
        <v>149104</v>
      </c>
      <c r="H76" s="2">
        <v>149187</v>
      </c>
      <c r="I76" s="2">
        <v>149270</v>
      </c>
      <c r="J76" s="2">
        <v>149353</v>
      </c>
      <c r="K76" s="2">
        <f>J76</f>
        <v>149353</v>
      </c>
      <c r="S76" s="2">
        <f>+K76</f>
        <v>149353</v>
      </c>
      <c r="T76" s="2">
        <f>+S76*0.99</f>
        <v>147859.47</v>
      </c>
      <c r="U76" s="2">
        <f t="shared" ref="U76:AB76" si="51">+T76*0.99</f>
        <v>146380.87530000001</v>
      </c>
      <c r="V76" s="2">
        <f t="shared" si="51"/>
        <v>144917.06654700002</v>
      </c>
      <c r="W76" s="2">
        <f t="shared" si="51"/>
        <v>143467.89588153001</v>
      </c>
      <c r="X76" s="2">
        <f t="shared" si="51"/>
        <v>142033.21692271472</v>
      </c>
      <c r="Y76" s="2">
        <f t="shared" si="51"/>
        <v>140612.88475348757</v>
      </c>
      <c r="Z76" s="2">
        <f t="shared" si="51"/>
        <v>139206.75590595268</v>
      </c>
      <c r="AA76" s="2">
        <f t="shared" si="51"/>
        <v>137814.68834689315</v>
      </c>
      <c r="AB76" s="2">
        <f t="shared" si="51"/>
        <v>136436.54146342422</v>
      </c>
    </row>
    <row r="77" spans="2:28" x14ac:dyDescent="0.15">
      <c r="B77" s="1" t="s">
        <v>82</v>
      </c>
      <c r="F77" s="2">
        <v>1456</v>
      </c>
      <c r="G77" s="2">
        <v>986</v>
      </c>
      <c r="H77" s="2">
        <v>6686</v>
      </c>
      <c r="I77" s="2">
        <v>9426</v>
      </c>
      <c r="J77" s="2">
        <v>7740</v>
      </c>
    </row>
    <row r="78" spans="2:28" x14ac:dyDescent="0.15">
      <c r="B78" s="5" t="s">
        <v>83</v>
      </c>
      <c r="F78" s="2">
        <v>49942</v>
      </c>
      <c r="G78" s="2">
        <v>48336</v>
      </c>
      <c r="H78" s="2">
        <v>0</v>
      </c>
      <c r="I78" s="2">
        <v>0</v>
      </c>
      <c r="J78" s="2">
        <v>0</v>
      </c>
    </row>
    <row r="79" spans="2:28" x14ac:dyDescent="0.15">
      <c r="B79" s="5" t="s">
        <v>84</v>
      </c>
      <c r="F79" s="2">
        <f>+SUM(F71:F78)</f>
        <v>980452</v>
      </c>
      <c r="G79" s="2">
        <f>+SUM(G71:G78)</f>
        <v>898766</v>
      </c>
      <c r="H79" s="2">
        <f>+SUM(H71:H78)</f>
        <v>1054565</v>
      </c>
      <c r="I79" s="2">
        <f>+SUM(I71:I78)</f>
        <v>851633</v>
      </c>
      <c r="J79" s="2">
        <f>+SUM(J71:J78)</f>
        <v>755167</v>
      </c>
    </row>
    <row r="80" spans="2:28" x14ac:dyDescent="0.15">
      <c r="B80" s="5" t="s">
        <v>85</v>
      </c>
      <c r="F80" s="2">
        <v>235660</v>
      </c>
      <c r="G80" s="2">
        <v>260880</v>
      </c>
      <c r="H80" s="2">
        <v>292300</v>
      </c>
      <c r="I80" s="2">
        <v>327221</v>
      </c>
      <c r="J80" s="2">
        <v>317565</v>
      </c>
    </row>
    <row r="81" spans="2:11" x14ac:dyDescent="0.15">
      <c r="B81" s="5" t="s">
        <v>86</v>
      </c>
      <c r="F81" s="2">
        <f>+F79+F80</f>
        <v>1216112</v>
      </c>
      <c r="G81" s="2">
        <f>+G79+G80</f>
        <v>1159646</v>
      </c>
      <c r="H81" s="2">
        <f>+H79+H80</f>
        <v>1346865</v>
      </c>
      <c r="I81" s="2">
        <f>+I79+I80</f>
        <v>1178854</v>
      </c>
      <c r="J81" s="2">
        <f>+J79+J80</f>
        <v>1072732</v>
      </c>
    </row>
    <row r="83" spans="2:11" x14ac:dyDescent="0.15">
      <c r="B83" s="1" t="s">
        <v>76</v>
      </c>
      <c r="C83" s="2">
        <f>+C71</f>
        <v>0</v>
      </c>
      <c r="D83" s="2">
        <f t="shared" ref="D83:K83" si="52">+D71</f>
        <v>0</v>
      </c>
      <c r="E83" s="2">
        <f t="shared" si="52"/>
        <v>0</v>
      </c>
      <c r="F83" s="2">
        <f t="shared" si="52"/>
        <v>322087</v>
      </c>
      <c r="G83" s="2">
        <f t="shared" si="52"/>
        <v>256289</v>
      </c>
      <c r="H83" s="2">
        <f t="shared" si="52"/>
        <v>219242</v>
      </c>
      <c r="I83" s="2">
        <f t="shared" si="52"/>
        <v>188703</v>
      </c>
      <c r="J83" s="2">
        <f t="shared" si="52"/>
        <v>165701</v>
      </c>
      <c r="K83" s="2">
        <f t="shared" si="52"/>
        <v>0</v>
      </c>
    </row>
    <row r="84" spans="2:11" x14ac:dyDescent="0.15">
      <c r="B84" s="1" t="s">
        <v>89</v>
      </c>
      <c r="C84" s="2">
        <f>+C62</f>
        <v>0</v>
      </c>
      <c r="D84" s="2">
        <f t="shared" ref="D84:K84" si="53">+D62</f>
        <v>0</v>
      </c>
      <c r="E84" s="2">
        <f t="shared" si="53"/>
        <v>0</v>
      </c>
      <c r="F84" s="2">
        <f t="shared" si="53"/>
        <v>263419</v>
      </c>
      <c r="G84" s="2">
        <f t="shared" si="53"/>
        <v>202391</v>
      </c>
      <c r="H84" s="2">
        <f t="shared" si="53"/>
        <v>169622</v>
      </c>
      <c r="I84" s="2">
        <f t="shared" si="53"/>
        <v>144261</v>
      </c>
      <c r="J84" s="2">
        <f t="shared" si="53"/>
        <v>128205</v>
      </c>
      <c r="K84" s="2">
        <f t="shared" si="53"/>
        <v>0</v>
      </c>
    </row>
    <row r="85" spans="2:11" x14ac:dyDescent="0.15">
      <c r="B85" s="1" t="s">
        <v>90</v>
      </c>
      <c r="J85" s="2">
        <v>322310</v>
      </c>
    </row>
    <row r="86" spans="2:11" x14ac:dyDescent="0.15">
      <c r="B86" s="1" t="s">
        <v>92</v>
      </c>
      <c r="C86" s="25"/>
      <c r="D86" s="25"/>
      <c r="E86" s="25"/>
      <c r="F86" s="25"/>
      <c r="G86" s="25"/>
      <c r="H86" s="25"/>
      <c r="I86" s="25"/>
      <c r="J86" s="25">
        <f>+J85/J80</f>
        <v>1.0149418229338876</v>
      </c>
    </row>
    <row r="87" spans="2:11" x14ac:dyDescent="0.15">
      <c r="B87" s="1" t="s">
        <v>93</v>
      </c>
      <c r="C87" s="25"/>
      <c r="D87" s="25"/>
      <c r="E87" s="25"/>
      <c r="F87" s="25"/>
      <c r="G87" s="25"/>
      <c r="H87" s="25"/>
      <c r="I87" s="25"/>
      <c r="J87" s="25"/>
    </row>
    <row r="88" spans="2:11" x14ac:dyDescent="0.15">
      <c r="B88" s="1" t="s">
        <v>91</v>
      </c>
      <c r="G88" s="12">
        <f>SUM(D35:G35)/G80</f>
        <v>0.27721941122355104</v>
      </c>
      <c r="H88" s="12">
        <f>SUM(E35:H35)/H80</f>
        <v>0.27808758125213823</v>
      </c>
      <c r="I88" s="12">
        <f>SUM(F35:I35)/I80</f>
        <v>0.263121865650432</v>
      </c>
      <c r="J88" s="12">
        <f>SUM(G35:J35)/J80</f>
        <v>0.33629335726544174</v>
      </c>
    </row>
    <row r="89" spans="2:11" x14ac:dyDescent="0.15">
      <c r="B89" s="1" t="s">
        <v>95</v>
      </c>
      <c r="F89" s="25">
        <f t="shared" ref="F89:I89" si="54">+F55/F80</f>
        <v>1.448773656963422</v>
      </c>
      <c r="G89" s="25">
        <f t="shared" si="54"/>
        <v>1.2871320147194112</v>
      </c>
      <c r="H89" s="25">
        <f t="shared" si="54"/>
        <v>1.0914505644885393</v>
      </c>
      <c r="I89" s="25">
        <f t="shared" si="54"/>
        <v>1.0265569752552557</v>
      </c>
      <c r="J89" s="25">
        <f>+J55/J80</f>
        <v>1.1175349928361122</v>
      </c>
    </row>
    <row r="90" spans="2:11" x14ac:dyDescent="0.15">
      <c r="B90" s="1" t="s">
        <v>96</v>
      </c>
      <c r="F90" s="25">
        <f>SUM(F55:F57)/F80</f>
        <v>2.2948782143766442</v>
      </c>
      <c r="G90" s="25">
        <f t="shared" ref="G90:J90" si="55">SUM(G55:G57)/G80</f>
        <v>2.180416283348666</v>
      </c>
      <c r="H90" s="25">
        <f t="shared" si="55"/>
        <v>2.484580910023948</v>
      </c>
      <c r="I90" s="25">
        <f t="shared" si="55"/>
        <v>2.1240904465177968</v>
      </c>
      <c r="J90" s="25">
        <f t="shared" si="55"/>
        <v>2.0397210019995908</v>
      </c>
    </row>
    <row r="91" spans="2:11" s="27" customFormat="1" x14ac:dyDescent="0.15">
      <c r="B91" s="26" t="s">
        <v>97</v>
      </c>
      <c r="J91" s="12">
        <f>20000/J80</f>
        <v>6.2979232598050799E-2</v>
      </c>
    </row>
    <row r="92" spans="2:11" s="27" customFormat="1" x14ac:dyDescent="0.15">
      <c r="B92" s="26" t="s">
        <v>183</v>
      </c>
      <c r="C92" s="2">
        <f t="shared" ref="C92:E92" si="56">+C58</f>
        <v>0</v>
      </c>
      <c r="D92" s="2">
        <f t="shared" si="56"/>
        <v>0</v>
      </c>
      <c r="E92" s="2">
        <f t="shared" si="56"/>
        <v>0</v>
      </c>
      <c r="F92" s="2">
        <f>+F58-F76</f>
        <v>50373</v>
      </c>
      <c r="G92" s="2">
        <f t="shared" ref="G92:K92" si="57">+G58-G76</f>
        <v>83936</v>
      </c>
      <c r="H92" s="2">
        <f t="shared" si="57"/>
        <v>258025</v>
      </c>
      <c r="I92" s="2">
        <f t="shared" si="57"/>
        <v>209866</v>
      </c>
      <c r="J92" s="2">
        <f t="shared" si="57"/>
        <v>143501</v>
      </c>
      <c r="K92" s="2">
        <f t="shared" si="57"/>
        <v>89596</v>
      </c>
    </row>
    <row r="93" spans="2:11" x14ac:dyDescent="0.15">
      <c r="B93" s="1"/>
      <c r="G93" s="12"/>
      <c r="H93" s="12"/>
      <c r="I93" s="12"/>
      <c r="J93" s="12"/>
    </row>
    <row r="94" spans="2:11" x14ac:dyDescent="0.15">
      <c r="B94" s="5" t="s">
        <v>88</v>
      </c>
    </row>
    <row r="95" spans="2:11" x14ac:dyDescent="0.15">
      <c r="B95" s="24" t="s">
        <v>58</v>
      </c>
      <c r="F95" s="12">
        <f>+F52/F$55</f>
        <v>0.82304096444827157</v>
      </c>
      <c r="G95" s="12">
        <f t="shared" ref="G95:J95" si="58">+G52/G$55</f>
        <v>0.84267705420400429</v>
      </c>
      <c r="H95" s="12">
        <f t="shared" si="58"/>
        <v>0.78031288495475359</v>
      </c>
      <c r="I95" s="12">
        <f t="shared" si="58"/>
        <v>0.73382235175388721</v>
      </c>
      <c r="J95" s="12">
        <f t="shared" si="58"/>
        <v>0.71332525571303784</v>
      </c>
      <c r="K95" s="12">
        <f t="shared" ref="K95" si="59">+K52/K$55</f>
        <v>0.76383649194443215</v>
      </c>
    </row>
    <row r="96" spans="2:11" x14ac:dyDescent="0.15">
      <c r="B96" s="24" t="s">
        <v>59</v>
      </c>
      <c r="F96" s="12">
        <f t="shared" ref="F96:J97" si="60">+F53/F$55</f>
        <v>0.10776819031216867</v>
      </c>
      <c r="G96" s="12">
        <f t="shared" si="60"/>
        <v>8.6989669046151283E-2</v>
      </c>
      <c r="H96" s="12">
        <f t="shared" si="60"/>
        <v>0.12695318009848572</v>
      </c>
      <c r="I96" s="12">
        <f t="shared" si="60"/>
        <v>0.15654444183131841</v>
      </c>
      <c r="J96" s="12">
        <f t="shared" si="60"/>
        <v>0.17381442137000197</v>
      </c>
      <c r="K96" s="12">
        <f t="shared" ref="K96" si="61">+K53/K$55</f>
        <v>0.17951655496870977</v>
      </c>
    </row>
    <row r="97" spans="2:18" x14ac:dyDescent="0.15">
      <c r="B97" s="24" t="s">
        <v>60</v>
      </c>
      <c r="F97" s="12">
        <f t="shared" si="60"/>
        <v>6.919084523955972E-2</v>
      </c>
      <c r="G97" s="12">
        <f t="shared" si="60"/>
        <v>7.0333276749844395E-2</v>
      </c>
      <c r="H97" s="12">
        <f t="shared" si="60"/>
        <v>9.273393494676066E-2</v>
      </c>
      <c r="I97" s="21">
        <f t="shared" si="60"/>
        <v>0.10963320641479439</v>
      </c>
      <c r="J97" s="21">
        <f t="shared" si="60"/>
        <v>0.11286032291696019</v>
      </c>
      <c r="K97" s="12">
        <f t="shared" ref="K97" si="62">+K54/K$55</f>
        <v>5.6646953086858104E-2</v>
      </c>
    </row>
    <row r="100" spans="2:18" x14ac:dyDescent="0.15">
      <c r="B100" s="5" t="s">
        <v>186</v>
      </c>
      <c r="P100" s="2">
        <v>-7867</v>
      </c>
      <c r="Q100" s="2">
        <v>29315</v>
      </c>
      <c r="R100" s="2">
        <v>-2852</v>
      </c>
    </row>
    <row r="101" spans="2:18" x14ac:dyDescent="0.15">
      <c r="B101" s="5" t="s">
        <v>187</v>
      </c>
      <c r="P101" s="2">
        <v>0</v>
      </c>
      <c r="Q101" s="2">
        <v>0</v>
      </c>
      <c r="R101" s="2">
        <v>0</v>
      </c>
    </row>
    <row r="102" spans="2:18" x14ac:dyDescent="0.15">
      <c r="B102" s="5" t="s">
        <v>188</v>
      </c>
      <c r="P102" s="2">
        <f>+P100+P101</f>
        <v>-7867</v>
      </c>
      <c r="Q102" s="2">
        <f t="shared" ref="Q102:R102" si="63">+Q100+Q101</f>
        <v>29315</v>
      </c>
      <c r="R102" s="2">
        <f t="shared" si="63"/>
        <v>-2852</v>
      </c>
    </row>
    <row r="103" spans="2:18" x14ac:dyDescent="0.15">
      <c r="B103" s="5" t="s">
        <v>107</v>
      </c>
      <c r="P103" s="2">
        <v>0</v>
      </c>
      <c r="Q103" s="2">
        <v>-24102</v>
      </c>
      <c r="R103" s="2">
        <v>0</v>
      </c>
    </row>
    <row r="119" spans="2:18" x14ac:dyDescent="0.15">
      <c r="B119" s="5" t="s">
        <v>43</v>
      </c>
      <c r="R119" s="2">
        <v>7669</v>
      </c>
    </row>
  </sheetData>
  <hyperlinks>
    <hyperlink ref="A1" location="Main!A1" display="Main" xr:uid="{67C5E104-3C94-2641-BEAB-941E74C7BAD5}"/>
  </hyperlinks>
  <pageMargins left="0.7" right="0.7" top="0.75" bottom="0.75" header="0.3" footer="0.3"/>
  <ignoredErrors>
    <ignoredError sqref="F29:F37 F18:F27 J18:J25" formula="1"/>
  </ignoredError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B631-2777-9145-BC40-FD48ACA53A56}">
  <dimension ref="B2:L46"/>
  <sheetViews>
    <sheetView zoomScale="140" workbookViewId="0">
      <selection activeCell="L42" sqref="L6:L42"/>
    </sheetView>
  </sheetViews>
  <sheetFormatPr baseColWidth="10" defaultRowHeight="16" x14ac:dyDescent="0.2"/>
  <sheetData>
    <row r="2" spans="2:12" x14ac:dyDescent="0.2">
      <c r="B2" t="s">
        <v>109</v>
      </c>
    </row>
    <row r="3" spans="2:12" x14ac:dyDescent="0.2"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</row>
    <row r="4" spans="2:12" x14ac:dyDescent="0.2">
      <c r="B4" t="s">
        <v>161</v>
      </c>
      <c r="C4">
        <v>3</v>
      </c>
      <c r="D4" s="28">
        <v>46257</v>
      </c>
      <c r="E4">
        <v>1851</v>
      </c>
      <c r="F4">
        <v>100</v>
      </c>
      <c r="G4" t="s">
        <v>121</v>
      </c>
    </row>
    <row r="5" spans="2:12" x14ac:dyDescent="0.2">
      <c r="B5" t="s">
        <v>118</v>
      </c>
      <c r="C5">
        <v>3</v>
      </c>
      <c r="D5" s="28">
        <v>46251</v>
      </c>
      <c r="E5">
        <v>1871</v>
      </c>
      <c r="F5">
        <v>100</v>
      </c>
      <c r="G5" t="s">
        <v>119</v>
      </c>
      <c r="K5" cm="1">
        <f t="array" ref="K5:K42">_xlfn.UNIQUE(E4:E46)</f>
        <v>1851</v>
      </c>
    </row>
    <row r="6" spans="2:12" x14ac:dyDescent="0.2">
      <c r="B6" t="s">
        <v>118</v>
      </c>
      <c r="C6">
        <v>3</v>
      </c>
      <c r="D6" s="28">
        <v>46302</v>
      </c>
      <c r="E6">
        <v>1873</v>
      </c>
      <c r="F6">
        <v>100</v>
      </c>
      <c r="G6" t="s">
        <v>120</v>
      </c>
      <c r="K6">
        <v>1871</v>
      </c>
      <c r="L6">
        <f>+K6-K5</f>
        <v>20</v>
      </c>
    </row>
    <row r="7" spans="2:12" x14ac:dyDescent="0.2">
      <c r="B7" t="s">
        <v>118</v>
      </c>
      <c r="C7">
        <v>3</v>
      </c>
      <c r="D7" s="28">
        <v>46298</v>
      </c>
      <c r="E7">
        <v>1877</v>
      </c>
      <c r="F7">
        <v>100</v>
      </c>
      <c r="G7" t="s">
        <v>121</v>
      </c>
      <c r="K7">
        <v>1873</v>
      </c>
      <c r="L7">
        <f t="shared" ref="L7:L42" si="0">+K7-K6</f>
        <v>2</v>
      </c>
    </row>
    <row r="8" spans="2:12" x14ac:dyDescent="0.2">
      <c r="B8" t="s">
        <v>118</v>
      </c>
      <c r="C8">
        <v>3</v>
      </c>
      <c r="D8" s="28">
        <v>46275</v>
      </c>
      <c r="E8">
        <v>1882</v>
      </c>
      <c r="F8">
        <v>110</v>
      </c>
      <c r="G8" t="s">
        <v>122</v>
      </c>
      <c r="K8">
        <v>1877</v>
      </c>
      <c r="L8">
        <f t="shared" si="0"/>
        <v>4</v>
      </c>
    </row>
    <row r="9" spans="2:12" x14ac:dyDescent="0.2">
      <c r="B9" t="s">
        <v>118</v>
      </c>
      <c r="C9">
        <v>3</v>
      </c>
      <c r="D9" s="28">
        <v>46250</v>
      </c>
      <c r="E9">
        <v>1888</v>
      </c>
      <c r="F9">
        <v>110</v>
      </c>
      <c r="G9" t="s">
        <v>123</v>
      </c>
      <c r="K9">
        <v>1882</v>
      </c>
      <c r="L9">
        <f t="shared" si="0"/>
        <v>5</v>
      </c>
    </row>
    <row r="10" spans="2:12" x14ac:dyDescent="0.2">
      <c r="B10" t="s">
        <v>118</v>
      </c>
      <c r="C10">
        <v>3</v>
      </c>
      <c r="D10" s="28">
        <v>46304</v>
      </c>
      <c r="E10">
        <v>1894</v>
      </c>
      <c r="F10">
        <v>105</v>
      </c>
      <c r="G10" t="s">
        <v>121</v>
      </c>
      <c r="K10">
        <v>1888</v>
      </c>
      <c r="L10">
        <f t="shared" si="0"/>
        <v>6</v>
      </c>
    </row>
    <row r="11" spans="2:12" x14ac:dyDescent="0.2">
      <c r="B11" t="s">
        <v>118</v>
      </c>
      <c r="C11">
        <v>3</v>
      </c>
      <c r="D11" s="28">
        <v>46294</v>
      </c>
      <c r="E11">
        <v>1896</v>
      </c>
      <c r="F11">
        <v>110</v>
      </c>
      <c r="G11" t="s">
        <v>124</v>
      </c>
      <c r="K11">
        <v>1894</v>
      </c>
      <c r="L11">
        <f t="shared" si="0"/>
        <v>6</v>
      </c>
    </row>
    <row r="12" spans="2:12" x14ac:dyDescent="0.2">
      <c r="B12" t="s">
        <v>118</v>
      </c>
      <c r="C12">
        <v>3</v>
      </c>
      <c r="D12" s="28">
        <v>46313</v>
      </c>
      <c r="E12">
        <v>1906</v>
      </c>
      <c r="F12">
        <v>105</v>
      </c>
      <c r="G12" t="s">
        <v>125</v>
      </c>
      <c r="K12">
        <v>1896</v>
      </c>
      <c r="L12">
        <f t="shared" si="0"/>
        <v>2</v>
      </c>
    </row>
    <row r="13" spans="2:12" x14ac:dyDescent="0.2">
      <c r="B13" t="s">
        <v>118</v>
      </c>
      <c r="C13">
        <v>3</v>
      </c>
      <c r="D13" s="28">
        <v>46306</v>
      </c>
      <c r="E13">
        <v>1909</v>
      </c>
      <c r="F13">
        <v>100</v>
      </c>
      <c r="G13" t="s">
        <v>125</v>
      </c>
      <c r="K13">
        <v>1906</v>
      </c>
      <c r="L13">
        <f t="shared" si="0"/>
        <v>10</v>
      </c>
    </row>
    <row r="14" spans="2:12" x14ac:dyDescent="0.2">
      <c r="B14" t="s">
        <v>118</v>
      </c>
      <c r="C14">
        <v>3</v>
      </c>
      <c r="D14" s="28">
        <v>46294</v>
      </c>
      <c r="E14">
        <v>1917</v>
      </c>
      <c r="F14">
        <v>100</v>
      </c>
      <c r="G14" t="s">
        <v>126</v>
      </c>
      <c r="K14">
        <v>1909</v>
      </c>
      <c r="L14">
        <f t="shared" si="0"/>
        <v>3</v>
      </c>
    </row>
    <row r="15" spans="2:12" x14ac:dyDescent="0.2">
      <c r="B15" t="s">
        <v>165</v>
      </c>
      <c r="C15">
        <v>4</v>
      </c>
      <c r="D15" s="28">
        <v>46275</v>
      </c>
      <c r="E15">
        <v>1919</v>
      </c>
      <c r="F15">
        <v>130</v>
      </c>
      <c r="G15" t="s">
        <v>129</v>
      </c>
      <c r="K15">
        <v>1917</v>
      </c>
      <c r="L15">
        <f t="shared" si="0"/>
        <v>8</v>
      </c>
    </row>
    <row r="16" spans="2:12" x14ac:dyDescent="0.2">
      <c r="B16" t="s">
        <v>135</v>
      </c>
      <c r="C16">
        <v>3</v>
      </c>
      <c r="D16" s="28">
        <v>46320</v>
      </c>
      <c r="E16">
        <v>1921</v>
      </c>
      <c r="F16">
        <v>100</v>
      </c>
      <c r="G16" t="s">
        <v>136</v>
      </c>
      <c r="K16">
        <v>1919</v>
      </c>
      <c r="L16">
        <f t="shared" si="0"/>
        <v>2</v>
      </c>
    </row>
    <row r="17" spans="2:12" x14ac:dyDescent="0.2">
      <c r="B17" t="s">
        <v>162</v>
      </c>
      <c r="C17">
        <v>4</v>
      </c>
      <c r="D17" t="s">
        <v>163</v>
      </c>
      <c r="E17">
        <v>1926</v>
      </c>
      <c r="F17">
        <v>125</v>
      </c>
      <c r="G17" t="s">
        <v>164</v>
      </c>
      <c r="K17">
        <v>1921</v>
      </c>
      <c r="L17">
        <f t="shared" si="0"/>
        <v>2</v>
      </c>
    </row>
    <row r="18" spans="2:12" x14ac:dyDescent="0.2">
      <c r="B18" t="s">
        <v>139</v>
      </c>
      <c r="C18">
        <v>4</v>
      </c>
      <c r="D18" s="28">
        <v>46282</v>
      </c>
      <c r="E18">
        <v>1928</v>
      </c>
      <c r="F18">
        <v>125</v>
      </c>
      <c r="G18" t="s">
        <v>140</v>
      </c>
      <c r="K18">
        <v>1926</v>
      </c>
      <c r="L18">
        <f t="shared" si="0"/>
        <v>5</v>
      </c>
    </row>
    <row r="19" spans="2:12" x14ac:dyDescent="0.2">
      <c r="B19" t="s">
        <v>118</v>
      </c>
      <c r="C19">
        <v>3</v>
      </c>
      <c r="D19" s="28">
        <v>46293</v>
      </c>
      <c r="E19">
        <v>1929</v>
      </c>
      <c r="F19">
        <v>100</v>
      </c>
      <c r="G19" t="s">
        <v>127</v>
      </c>
      <c r="K19">
        <v>1928</v>
      </c>
      <c r="L19">
        <f t="shared" si="0"/>
        <v>2</v>
      </c>
    </row>
    <row r="20" spans="2:12" x14ac:dyDescent="0.2">
      <c r="B20" t="s">
        <v>118</v>
      </c>
      <c r="C20">
        <v>3</v>
      </c>
      <c r="D20" s="28">
        <v>46269</v>
      </c>
      <c r="E20">
        <v>1933</v>
      </c>
      <c r="F20">
        <v>110</v>
      </c>
      <c r="G20" t="s">
        <v>128</v>
      </c>
      <c r="K20">
        <v>1929</v>
      </c>
      <c r="L20">
        <f t="shared" si="0"/>
        <v>1</v>
      </c>
    </row>
    <row r="21" spans="2:12" x14ac:dyDescent="0.2">
      <c r="B21" t="s">
        <v>145</v>
      </c>
      <c r="C21">
        <v>5</v>
      </c>
      <c r="D21" s="28">
        <v>46268</v>
      </c>
      <c r="E21">
        <v>1935</v>
      </c>
      <c r="F21">
        <v>160</v>
      </c>
      <c r="G21" t="s">
        <v>146</v>
      </c>
      <c r="K21">
        <v>1933</v>
      </c>
      <c r="L21">
        <f t="shared" si="0"/>
        <v>4</v>
      </c>
    </row>
    <row r="22" spans="2:12" x14ac:dyDescent="0.2">
      <c r="B22" t="s">
        <v>118</v>
      </c>
      <c r="C22">
        <v>3</v>
      </c>
      <c r="D22" s="28">
        <v>46313</v>
      </c>
      <c r="E22">
        <v>1944</v>
      </c>
      <c r="F22">
        <v>105</v>
      </c>
      <c r="G22" t="s">
        <v>129</v>
      </c>
      <c r="K22">
        <v>1935</v>
      </c>
      <c r="L22">
        <f t="shared" si="0"/>
        <v>2</v>
      </c>
    </row>
    <row r="23" spans="2:12" x14ac:dyDescent="0.2">
      <c r="B23" t="s">
        <v>118</v>
      </c>
      <c r="C23">
        <v>4</v>
      </c>
      <c r="D23" s="28">
        <v>46280</v>
      </c>
      <c r="E23">
        <v>1945</v>
      </c>
      <c r="F23">
        <v>115</v>
      </c>
      <c r="G23" t="s">
        <v>130</v>
      </c>
      <c r="K23">
        <v>1944</v>
      </c>
      <c r="L23">
        <f t="shared" si="0"/>
        <v>9</v>
      </c>
    </row>
    <row r="24" spans="2:12" x14ac:dyDescent="0.2">
      <c r="B24" t="s">
        <v>118</v>
      </c>
      <c r="C24">
        <v>4</v>
      </c>
      <c r="D24" s="28">
        <v>46282</v>
      </c>
      <c r="E24">
        <v>1947</v>
      </c>
      <c r="F24">
        <v>115</v>
      </c>
      <c r="G24" t="s">
        <v>131</v>
      </c>
      <c r="K24">
        <v>1945</v>
      </c>
      <c r="L24">
        <f t="shared" si="0"/>
        <v>1</v>
      </c>
    </row>
    <row r="25" spans="2:12" x14ac:dyDescent="0.2">
      <c r="B25" t="s">
        <v>118</v>
      </c>
      <c r="C25">
        <v>4</v>
      </c>
      <c r="D25" t="s">
        <v>132</v>
      </c>
      <c r="E25">
        <v>1948</v>
      </c>
      <c r="F25">
        <v>115</v>
      </c>
      <c r="G25" t="s">
        <v>133</v>
      </c>
      <c r="K25">
        <v>1947</v>
      </c>
      <c r="L25">
        <f t="shared" si="0"/>
        <v>2</v>
      </c>
    </row>
    <row r="26" spans="2:12" x14ac:dyDescent="0.2">
      <c r="B26" t="s">
        <v>118</v>
      </c>
      <c r="C26">
        <v>4</v>
      </c>
      <c r="D26" s="28">
        <v>46260</v>
      </c>
      <c r="E26">
        <v>1949</v>
      </c>
      <c r="F26">
        <v>115</v>
      </c>
      <c r="G26" t="s">
        <v>134</v>
      </c>
      <c r="K26">
        <v>1948</v>
      </c>
      <c r="L26">
        <f t="shared" si="0"/>
        <v>1</v>
      </c>
    </row>
    <row r="27" spans="2:12" x14ac:dyDescent="0.2">
      <c r="B27" t="s">
        <v>147</v>
      </c>
      <c r="C27">
        <v>4</v>
      </c>
      <c r="D27" s="28">
        <v>46313</v>
      </c>
      <c r="E27">
        <v>1950</v>
      </c>
      <c r="F27">
        <v>115</v>
      </c>
      <c r="G27" t="s">
        <v>148</v>
      </c>
      <c r="K27">
        <v>1949</v>
      </c>
      <c r="L27">
        <f t="shared" si="0"/>
        <v>1</v>
      </c>
    </row>
    <row r="28" spans="2:12" x14ac:dyDescent="0.2">
      <c r="B28" t="s">
        <v>170</v>
      </c>
      <c r="C28">
        <v>3</v>
      </c>
      <c r="D28" s="28">
        <v>46270</v>
      </c>
      <c r="E28">
        <v>1950</v>
      </c>
      <c r="F28">
        <v>105</v>
      </c>
      <c r="G28" t="s">
        <v>171</v>
      </c>
      <c r="K28">
        <v>1950</v>
      </c>
      <c r="L28">
        <f t="shared" si="0"/>
        <v>1</v>
      </c>
    </row>
    <row r="29" spans="2:12" x14ac:dyDescent="0.2">
      <c r="B29" t="s">
        <v>172</v>
      </c>
      <c r="C29">
        <v>4</v>
      </c>
      <c r="D29" s="28">
        <v>46275</v>
      </c>
      <c r="E29">
        <v>1960</v>
      </c>
      <c r="F29">
        <v>125</v>
      </c>
      <c r="G29" t="s">
        <v>173</v>
      </c>
      <c r="K29">
        <v>1960</v>
      </c>
      <c r="L29">
        <f t="shared" si="0"/>
        <v>10</v>
      </c>
    </row>
    <row r="30" spans="2:12" x14ac:dyDescent="0.2">
      <c r="B30" t="s">
        <v>177</v>
      </c>
      <c r="C30">
        <v>3</v>
      </c>
      <c r="D30" s="28">
        <v>46273</v>
      </c>
      <c r="E30">
        <v>1965</v>
      </c>
      <c r="F30">
        <v>100</v>
      </c>
      <c r="G30" t="s">
        <v>127</v>
      </c>
      <c r="K30">
        <v>1965</v>
      </c>
      <c r="L30">
        <f t="shared" si="0"/>
        <v>5</v>
      </c>
    </row>
    <row r="31" spans="2:12" x14ac:dyDescent="0.2">
      <c r="B31" t="s">
        <v>180</v>
      </c>
      <c r="C31">
        <v>3</v>
      </c>
      <c r="D31" s="28">
        <v>46181</v>
      </c>
      <c r="E31">
        <v>1966</v>
      </c>
      <c r="F31">
        <v>100</v>
      </c>
      <c r="G31" t="s">
        <v>181</v>
      </c>
      <c r="K31">
        <v>1966</v>
      </c>
      <c r="L31">
        <f t="shared" si="0"/>
        <v>1</v>
      </c>
    </row>
    <row r="32" spans="2:12" x14ac:dyDescent="0.2">
      <c r="B32" t="s">
        <v>166</v>
      </c>
      <c r="C32">
        <v>3</v>
      </c>
      <c r="D32" s="28">
        <v>46288</v>
      </c>
      <c r="E32">
        <v>1975</v>
      </c>
      <c r="F32">
        <v>110</v>
      </c>
      <c r="G32" t="s">
        <v>167</v>
      </c>
      <c r="K32">
        <v>1975</v>
      </c>
      <c r="L32">
        <f t="shared" si="0"/>
        <v>9</v>
      </c>
    </row>
    <row r="33" spans="2:12" x14ac:dyDescent="0.2">
      <c r="B33" t="s">
        <v>168</v>
      </c>
      <c r="C33">
        <v>3</v>
      </c>
      <c r="D33" s="28">
        <v>46267</v>
      </c>
      <c r="E33">
        <v>1985</v>
      </c>
      <c r="F33">
        <v>100</v>
      </c>
      <c r="G33" t="s">
        <v>169</v>
      </c>
      <c r="K33">
        <v>1985</v>
      </c>
      <c r="L33">
        <f t="shared" si="0"/>
        <v>10</v>
      </c>
    </row>
    <row r="34" spans="2:12" x14ac:dyDescent="0.2">
      <c r="B34" t="s">
        <v>178</v>
      </c>
      <c r="C34">
        <v>5</v>
      </c>
      <c r="D34" s="28">
        <v>46258</v>
      </c>
      <c r="E34">
        <v>1992</v>
      </c>
      <c r="F34">
        <v>145</v>
      </c>
      <c r="G34" t="s">
        <v>179</v>
      </c>
      <c r="K34">
        <v>1992</v>
      </c>
      <c r="L34">
        <f t="shared" si="0"/>
        <v>7</v>
      </c>
    </row>
    <row r="35" spans="2:12" x14ac:dyDescent="0.2">
      <c r="B35" t="s">
        <v>137</v>
      </c>
      <c r="C35">
        <v>3</v>
      </c>
      <c r="D35" s="28">
        <v>46299</v>
      </c>
      <c r="E35">
        <v>1995</v>
      </c>
      <c r="F35">
        <v>100</v>
      </c>
      <c r="G35" t="s">
        <v>138</v>
      </c>
      <c r="K35">
        <v>1995</v>
      </c>
      <c r="L35">
        <f t="shared" si="0"/>
        <v>3</v>
      </c>
    </row>
    <row r="36" spans="2:12" x14ac:dyDescent="0.2">
      <c r="B36" t="s">
        <v>149</v>
      </c>
      <c r="C36">
        <v>3</v>
      </c>
      <c r="D36" s="28">
        <v>46291</v>
      </c>
      <c r="E36">
        <v>2004</v>
      </c>
      <c r="F36">
        <v>105</v>
      </c>
      <c r="G36" t="s">
        <v>150</v>
      </c>
      <c r="K36">
        <v>2004</v>
      </c>
      <c r="L36">
        <f t="shared" si="0"/>
        <v>9</v>
      </c>
    </row>
    <row r="37" spans="2:12" x14ac:dyDescent="0.2">
      <c r="B37" t="s">
        <v>151</v>
      </c>
      <c r="C37">
        <v>3</v>
      </c>
      <c r="D37" s="28">
        <v>46281</v>
      </c>
      <c r="E37">
        <v>2004</v>
      </c>
      <c r="F37">
        <v>105</v>
      </c>
      <c r="G37" t="s">
        <v>152</v>
      </c>
      <c r="K37">
        <v>2005</v>
      </c>
      <c r="L37">
        <f t="shared" si="0"/>
        <v>1</v>
      </c>
    </row>
    <row r="38" spans="2:12" x14ac:dyDescent="0.2">
      <c r="B38" t="s">
        <v>176</v>
      </c>
      <c r="C38">
        <v>4</v>
      </c>
      <c r="D38" s="28">
        <v>46247</v>
      </c>
      <c r="E38">
        <v>2004</v>
      </c>
      <c r="F38">
        <v>130</v>
      </c>
      <c r="G38" t="s">
        <v>158</v>
      </c>
      <c r="K38">
        <v>2017</v>
      </c>
      <c r="L38">
        <f t="shared" si="0"/>
        <v>12</v>
      </c>
    </row>
    <row r="39" spans="2:12" x14ac:dyDescent="0.2">
      <c r="B39" t="s">
        <v>116</v>
      </c>
      <c r="C39">
        <v>3</v>
      </c>
      <c r="D39" s="28">
        <v>46319</v>
      </c>
      <c r="E39">
        <v>2005</v>
      </c>
      <c r="F39">
        <v>105</v>
      </c>
      <c r="G39" t="s">
        <v>117</v>
      </c>
      <c r="K39">
        <v>2018</v>
      </c>
      <c r="L39">
        <f t="shared" si="0"/>
        <v>1</v>
      </c>
    </row>
    <row r="40" spans="2:12" x14ac:dyDescent="0.2">
      <c r="B40" t="s">
        <v>174</v>
      </c>
      <c r="C40">
        <v>3</v>
      </c>
      <c r="D40" s="28">
        <v>46213</v>
      </c>
      <c r="E40">
        <v>2005</v>
      </c>
      <c r="F40">
        <v>105</v>
      </c>
      <c r="G40" t="s">
        <v>175</v>
      </c>
      <c r="K40">
        <v>2022</v>
      </c>
      <c r="L40">
        <f t="shared" si="0"/>
        <v>4</v>
      </c>
    </row>
    <row r="41" spans="2:12" x14ac:dyDescent="0.2">
      <c r="B41" t="s">
        <v>153</v>
      </c>
      <c r="C41">
        <v>4</v>
      </c>
      <c r="D41" s="28">
        <v>46275</v>
      </c>
      <c r="E41">
        <v>2017</v>
      </c>
      <c r="F41">
        <v>115</v>
      </c>
      <c r="G41" t="s">
        <v>154</v>
      </c>
      <c r="K41">
        <v>2023</v>
      </c>
      <c r="L41">
        <f t="shared" si="0"/>
        <v>1</v>
      </c>
    </row>
    <row r="42" spans="2:12" x14ac:dyDescent="0.2">
      <c r="B42" t="s">
        <v>143</v>
      </c>
      <c r="C42">
        <v>5</v>
      </c>
      <c r="D42" s="28">
        <v>46305</v>
      </c>
      <c r="E42">
        <v>2018</v>
      </c>
      <c r="F42">
        <v>140</v>
      </c>
      <c r="G42" t="s">
        <v>144</v>
      </c>
      <c r="K42">
        <v>2024</v>
      </c>
      <c r="L42">
        <f t="shared" si="0"/>
        <v>1</v>
      </c>
    </row>
    <row r="43" spans="2:12" x14ac:dyDescent="0.2">
      <c r="B43" t="s">
        <v>157</v>
      </c>
      <c r="C43">
        <v>4</v>
      </c>
      <c r="D43" s="28">
        <v>46293</v>
      </c>
      <c r="E43">
        <v>2022</v>
      </c>
      <c r="F43">
        <v>130</v>
      </c>
      <c r="G43" t="s">
        <v>158</v>
      </c>
    </row>
    <row r="44" spans="2:12" x14ac:dyDescent="0.2">
      <c r="B44" t="s">
        <v>155</v>
      </c>
      <c r="C44">
        <v>3</v>
      </c>
      <c r="D44" s="28">
        <v>46264</v>
      </c>
      <c r="E44">
        <v>2023</v>
      </c>
      <c r="F44">
        <v>100</v>
      </c>
      <c r="G44" t="s">
        <v>156</v>
      </c>
    </row>
    <row r="45" spans="2:12" x14ac:dyDescent="0.2">
      <c r="B45" t="s">
        <v>141</v>
      </c>
      <c r="C45">
        <v>3</v>
      </c>
      <c r="D45" s="28">
        <v>46304</v>
      </c>
      <c r="E45">
        <v>2024</v>
      </c>
      <c r="F45">
        <v>100</v>
      </c>
      <c r="G45" t="s">
        <v>142</v>
      </c>
    </row>
    <row r="46" spans="2:12" x14ac:dyDescent="0.2">
      <c r="B46" t="s">
        <v>159</v>
      </c>
      <c r="C46">
        <v>4</v>
      </c>
      <c r="D46" s="28">
        <v>46292</v>
      </c>
      <c r="E46">
        <v>2024</v>
      </c>
      <c r="F46">
        <v>120</v>
      </c>
      <c r="G46" t="s">
        <v>160</v>
      </c>
    </row>
  </sheetData>
  <autoFilter ref="B3:G3" xr:uid="{3AA5B631-2777-9145-BC40-FD48ACA53A56}">
    <sortState xmlns:xlrd2="http://schemas.microsoft.com/office/spreadsheetml/2017/richdata2" ref="B4:G46">
      <sortCondition ref="E3:E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Hurricanes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2026-05-06T03:25:17Z</dcterms:created>
  <dcterms:modified xsi:type="dcterms:W3CDTF">2026-05-18T20:08:50Z</dcterms:modified>
</cp:coreProperties>
</file>