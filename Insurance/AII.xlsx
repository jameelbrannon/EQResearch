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1EFEEE12-F73F-E740-8286-304D62FCCA0E}" xr6:coauthVersionLast="47" xr6:coauthVersionMax="47" xr10:uidLastSave="{00000000-0000-0000-0000-000000000000}"/>
  <bookViews>
    <workbookView xWindow="2420" yWindow="620" windowWidth="28060" windowHeight="27560" xr2:uid="{F467AECB-C3E3-0448-8041-C567FF69AB70}"/>
  </bookViews>
  <sheets>
    <sheet name="Main" sheetId="1" r:id="rId1"/>
    <sheet name="Reinsurer" sheetId="6" r:id="rId2"/>
    <sheet name="Hurricane Szns" sheetId="4" r:id="rId3"/>
    <sheet name="Readings" sheetId="3" r:id="rId4"/>
    <sheet name="Model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" i="1" l="1"/>
  <c r="K11" i="1"/>
  <c r="X36" i="2"/>
  <c r="Y36" i="2" s="1"/>
  <c r="Z36" i="2" s="1"/>
  <c r="AA36" i="2" s="1"/>
  <c r="AB36" i="2" s="1"/>
  <c r="AC36" i="2" s="1"/>
  <c r="AD36" i="2" s="1"/>
  <c r="AE36" i="2" s="1"/>
  <c r="AF36" i="2" s="1"/>
  <c r="AG36" i="2" s="1"/>
  <c r="X34" i="2"/>
  <c r="Y34" i="2" s="1"/>
  <c r="Z34" i="2" s="1"/>
  <c r="AA34" i="2" s="1"/>
  <c r="AB34" i="2" s="1"/>
  <c r="AC34" i="2" s="1"/>
  <c r="AD34" i="2" s="1"/>
  <c r="AE34" i="2" s="1"/>
  <c r="AF34" i="2" s="1"/>
  <c r="AG34" i="2" s="1"/>
  <c r="X32" i="2"/>
  <c r="Y32" i="2" s="1"/>
  <c r="Z32" i="2" s="1"/>
  <c r="AA32" i="2" s="1"/>
  <c r="AB32" i="2" s="1"/>
  <c r="AC32" i="2" s="1"/>
  <c r="AD32" i="2" s="1"/>
  <c r="AE32" i="2" s="1"/>
  <c r="AF32" i="2" s="1"/>
  <c r="AG32" i="2" s="1"/>
  <c r="X31" i="2"/>
  <c r="Y31" i="2" s="1"/>
  <c r="Z31" i="2" s="1"/>
  <c r="AA31" i="2" s="1"/>
  <c r="AB31" i="2" s="1"/>
  <c r="AC31" i="2" s="1"/>
  <c r="AD31" i="2" s="1"/>
  <c r="AE31" i="2" s="1"/>
  <c r="AF31" i="2" s="1"/>
  <c r="AG31" i="2" s="1"/>
  <c r="X30" i="2"/>
  <c r="Y30" i="2" s="1"/>
  <c r="Z30" i="2" s="1"/>
  <c r="AA30" i="2" s="1"/>
  <c r="AB30" i="2" s="1"/>
  <c r="AC30" i="2" s="1"/>
  <c r="AD30" i="2" s="1"/>
  <c r="AE30" i="2" s="1"/>
  <c r="AF30" i="2" s="1"/>
  <c r="AG30" i="2" s="1"/>
  <c r="K81" i="2"/>
  <c r="K80" i="2"/>
  <c r="K77" i="2"/>
  <c r="K72" i="2"/>
  <c r="K49" i="2"/>
  <c r="K60" i="2" s="1"/>
  <c r="K45" i="2"/>
  <c r="K41" i="2"/>
  <c r="K22" i="2"/>
  <c r="C95" i="1"/>
  <c r="M91" i="1"/>
  <c r="M90" i="1"/>
  <c r="L90" i="1"/>
  <c r="M89" i="1"/>
  <c r="L89" i="1"/>
  <c r="K89" i="1"/>
  <c r="M88" i="1"/>
  <c r="L88" i="1"/>
  <c r="K88" i="1"/>
  <c r="J88" i="1"/>
  <c r="M87" i="1"/>
  <c r="L87" i="1"/>
  <c r="K87" i="1"/>
  <c r="J87" i="1"/>
  <c r="I87" i="1"/>
  <c r="M86" i="1"/>
  <c r="L86" i="1"/>
  <c r="K86" i="1"/>
  <c r="J86" i="1"/>
  <c r="I86" i="1"/>
  <c r="H86" i="1"/>
  <c r="M85" i="1"/>
  <c r="L85" i="1"/>
  <c r="K85" i="1"/>
  <c r="J85" i="1"/>
  <c r="I85" i="1"/>
  <c r="H85" i="1"/>
  <c r="G85" i="1"/>
  <c r="M84" i="1"/>
  <c r="L84" i="1"/>
  <c r="K84" i="1"/>
  <c r="J84" i="1"/>
  <c r="I84" i="1"/>
  <c r="H84" i="1"/>
  <c r="G84" i="1"/>
  <c r="F84" i="1"/>
  <c r="M83" i="1"/>
  <c r="L83" i="1"/>
  <c r="K83" i="1"/>
  <c r="J83" i="1"/>
  <c r="I83" i="1"/>
  <c r="H83" i="1"/>
  <c r="G83" i="1"/>
  <c r="F83" i="1"/>
  <c r="E83" i="1"/>
  <c r="M82" i="1"/>
  <c r="L82" i="1"/>
  <c r="K82" i="1"/>
  <c r="J82" i="1"/>
  <c r="I82" i="1"/>
  <c r="H82" i="1"/>
  <c r="G82" i="1"/>
  <c r="F82" i="1"/>
  <c r="E82" i="1"/>
  <c r="D82" i="1"/>
  <c r="M81" i="1"/>
  <c r="L81" i="1"/>
  <c r="K81" i="1"/>
  <c r="J81" i="1"/>
  <c r="I81" i="1"/>
  <c r="H81" i="1"/>
  <c r="G81" i="1"/>
  <c r="F81" i="1"/>
  <c r="E81" i="1"/>
  <c r="D81" i="1"/>
  <c r="C81" i="1"/>
  <c r="O61" i="1"/>
  <c r="O60" i="1"/>
  <c r="O59" i="1"/>
  <c r="O58" i="1"/>
  <c r="O57" i="1"/>
  <c r="O56" i="1"/>
  <c r="O55" i="1"/>
  <c r="O54" i="1"/>
  <c r="O53" i="1"/>
  <c r="O52" i="1"/>
  <c r="O51" i="1"/>
  <c r="M77" i="1"/>
  <c r="B67" i="1"/>
  <c r="B68" i="1" s="1"/>
  <c r="B69" i="1" s="1"/>
  <c r="B70" i="1" s="1"/>
  <c r="B71" i="1" s="1"/>
  <c r="B72" i="1" s="1"/>
  <c r="B73" i="1" s="1"/>
  <c r="B74" i="1" s="1"/>
  <c r="B75" i="1" s="1"/>
  <c r="B76" i="1" s="1"/>
  <c r="D65" i="1"/>
  <c r="E65" i="1" s="1"/>
  <c r="F65" i="1" s="1"/>
  <c r="G65" i="1" s="1"/>
  <c r="H65" i="1" s="1"/>
  <c r="I65" i="1" s="1"/>
  <c r="J65" i="1" s="1"/>
  <c r="K65" i="1" s="1"/>
  <c r="L65" i="1" s="1"/>
  <c r="M65" i="1" s="1"/>
  <c r="M62" i="1"/>
  <c r="C44" i="6"/>
  <c r="D44" i="6"/>
  <c r="W18" i="2" s="1"/>
  <c r="E44" i="6"/>
  <c r="D50" i="1"/>
  <c r="E50" i="1" s="1"/>
  <c r="F50" i="1" s="1"/>
  <c r="G50" i="1" s="1"/>
  <c r="H50" i="1" s="1"/>
  <c r="I50" i="1" s="1"/>
  <c r="J50" i="1" s="1"/>
  <c r="K50" i="1" s="1"/>
  <c r="L50" i="1" s="1"/>
  <c r="M50" i="1" s="1"/>
  <c r="C14" i="6"/>
  <c r="C17" i="6" s="1"/>
  <c r="J101" i="2" s="1"/>
  <c r="B52" i="1"/>
  <c r="B53" i="1" s="1"/>
  <c r="B54" i="1" s="1"/>
  <c r="B55" i="1" s="1"/>
  <c r="B56" i="1" s="1"/>
  <c r="B57" i="1" s="1"/>
  <c r="B58" i="1" s="1"/>
  <c r="B59" i="1" s="1"/>
  <c r="B60" i="1" s="1"/>
  <c r="B61" i="1" s="1"/>
  <c r="E3" i="4" a="1"/>
  <c r="E3" i="4" s="1"/>
  <c r="Z34" i="1"/>
  <c r="Z32" i="1" s="1"/>
  <c r="AA32" i="1" s="1"/>
  <c r="I14" i="4"/>
  <c r="I12" i="4"/>
  <c r="I2" i="4"/>
  <c r="J102" i="2"/>
  <c r="S15" i="2"/>
  <c r="S17" i="2" s="1"/>
  <c r="T15" i="2"/>
  <c r="T17" i="2" s="1"/>
  <c r="U15" i="2"/>
  <c r="U17" i="2" s="1"/>
  <c r="V15" i="2"/>
  <c r="V17" i="2" s="1"/>
  <c r="W15" i="2"/>
  <c r="W17" i="2" s="1"/>
  <c r="J77" i="2"/>
  <c r="F77" i="2"/>
  <c r="C156" i="2"/>
  <c r="C149" i="2"/>
  <c r="C142" i="2"/>
  <c r="C161" i="2" s="1"/>
  <c r="G156" i="2"/>
  <c r="G149" i="2"/>
  <c r="G142" i="2"/>
  <c r="D154" i="2"/>
  <c r="E154" i="2" s="1"/>
  <c r="F154" i="2" s="1"/>
  <c r="D153" i="2"/>
  <c r="D147" i="2"/>
  <c r="E147" i="2" s="1"/>
  <c r="F147" i="2" s="1"/>
  <c r="D146" i="2"/>
  <c r="E146" i="2" s="1"/>
  <c r="F146" i="2" s="1"/>
  <c r="D145" i="2"/>
  <c r="D144" i="2"/>
  <c r="E144" i="2" s="1"/>
  <c r="F144" i="2" s="1"/>
  <c r="D141" i="2"/>
  <c r="E141" i="2" s="1"/>
  <c r="F141" i="2" s="1"/>
  <c r="D140" i="2"/>
  <c r="E140" i="2" s="1"/>
  <c r="F140" i="2" s="1"/>
  <c r="D139" i="2"/>
  <c r="E139" i="2" s="1"/>
  <c r="F139" i="2" s="1"/>
  <c r="D138" i="2"/>
  <c r="E138" i="2" s="1"/>
  <c r="F138" i="2" s="1"/>
  <c r="D137" i="2"/>
  <c r="E137" i="2" s="1"/>
  <c r="F137" i="2" s="1"/>
  <c r="D136" i="2"/>
  <c r="E136" i="2" s="1"/>
  <c r="F136" i="2" s="1"/>
  <c r="D135" i="2"/>
  <c r="E135" i="2" s="1"/>
  <c r="F135" i="2" s="1"/>
  <c r="D134" i="2"/>
  <c r="E134" i="2" s="1"/>
  <c r="F134" i="2" s="1"/>
  <c r="D133" i="2"/>
  <c r="E133" i="2" s="1"/>
  <c r="F133" i="2" s="1"/>
  <c r="D132" i="2"/>
  <c r="E132" i="2" s="1"/>
  <c r="F132" i="2" s="1"/>
  <c r="D131" i="2"/>
  <c r="E131" i="2" s="1"/>
  <c r="F131" i="2" s="1"/>
  <c r="D130" i="2"/>
  <c r="E130" i="2" s="1"/>
  <c r="F130" i="2" s="1"/>
  <c r="D129" i="2"/>
  <c r="D128" i="2"/>
  <c r="E128" i="2" s="1"/>
  <c r="F128" i="2" s="1"/>
  <c r="D127" i="2"/>
  <c r="D126" i="2"/>
  <c r="E126" i="2" s="1"/>
  <c r="F126" i="2" s="1"/>
  <c r="D125" i="2"/>
  <c r="E125" i="2" s="1"/>
  <c r="F125" i="2" s="1"/>
  <c r="D124" i="2"/>
  <c r="H155" i="2"/>
  <c r="I155" i="2" s="1"/>
  <c r="J155" i="2" s="1"/>
  <c r="H154" i="2"/>
  <c r="I154" i="2" s="1"/>
  <c r="J154" i="2" s="1"/>
  <c r="H153" i="2"/>
  <c r="I153" i="2" s="1"/>
  <c r="J153" i="2" s="1"/>
  <c r="H152" i="2"/>
  <c r="I152" i="2" s="1"/>
  <c r="J152" i="2" s="1"/>
  <c r="H151" i="2"/>
  <c r="I148" i="2"/>
  <c r="J148" i="2" s="1"/>
  <c r="H147" i="2"/>
  <c r="J147" i="2" s="1"/>
  <c r="H146" i="2"/>
  <c r="I146" i="2" s="1"/>
  <c r="J146" i="2" s="1"/>
  <c r="H145" i="2"/>
  <c r="I145" i="2" s="1"/>
  <c r="J145" i="2" s="1"/>
  <c r="H144" i="2"/>
  <c r="H141" i="2"/>
  <c r="H140" i="2"/>
  <c r="H139" i="2"/>
  <c r="H138" i="2"/>
  <c r="H137" i="2"/>
  <c r="H136" i="2"/>
  <c r="I136" i="2" s="1"/>
  <c r="J136" i="2" s="1"/>
  <c r="H135" i="2"/>
  <c r="H134" i="2"/>
  <c r="I134" i="2" s="1"/>
  <c r="J134" i="2" s="1"/>
  <c r="H133" i="2"/>
  <c r="H132" i="2"/>
  <c r="H131" i="2"/>
  <c r="H130" i="2"/>
  <c r="H129" i="2"/>
  <c r="H128" i="2"/>
  <c r="H127" i="2"/>
  <c r="H126" i="2"/>
  <c r="H125" i="2"/>
  <c r="H124" i="2"/>
  <c r="E155" i="2"/>
  <c r="F155" i="2" s="1"/>
  <c r="E152" i="2"/>
  <c r="F152" i="2" s="1"/>
  <c r="E151" i="2"/>
  <c r="F151" i="2" s="1"/>
  <c r="V156" i="2"/>
  <c r="V149" i="2"/>
  <c r="V142" i="2"/>
  <c r="W142" i="2"/>
  <c r="W156" i="2"/>
  <c r="W149" i="2"/>
  <c r="AJ45" i="2"/>
  <c r="AJ43" i="2"/>
  <c r="AF4" i="2"/>
  <c r="AE4" i="2"/>
  <c r="AC4" i="2"/>
  <c r="AB4" i="2"/>
  <c r="AA4" i="2"/>
  <c r="Y4" i="2"/>
  <c r="X4" i="2"/>
  <c r="X5" i="2"/>
  <c r="Y5" i="2" s="1"/>
  <c r="V120" i="2"/>
  <c r="W120" i="2"/>
  <c r="J81" i="2"/>
  <c r="I81" i="2"/>
  <c r="H81" i="2"/>
  <c r="G81" i="2"/>
  <c r="F81" i="2"/>
  <c r="J80" i="2"/>
  <c r="I80" i="2"/>
  <c r="I82" i="2" s="1"/>
  <c r="H80" i="2"/>
  <c r="H82" i="2" s="1"/>
  <c r="G80" i="2"/>
  <c r="G82" i="2" s="1"/>
  <c r="F80" i="2"/>
  <c r="G72" i="2"/>
  <c r="G78" i="2" s="1"/>
  <c r="G49" i="2"/>
  <c r="G60" i="2" s="1"/>
  <c r="H72" i="2"/>
  <c r="H78" i="2" s="1"/>
  <c r="H49" i="2"/>
  <c r="H60" i="2" s="1"/>
  <c r="I72" i="2"/>
  <c r="I78" i="2" s="1"/>
  <c r="I49" i="2"/>
  <c r="I60" i="2" s="1"/>
  <c r="F72" i="2"/>
  <c r="F49" i="2"/>
  <c r="F60" i="2" s="1"/>
  <c r="J72" i="2"/>
  <c r="J49" i="2"/>
  <c r="J60" i="2" s="1"/>
  <c r="J45" i="2"/>
  <c r="J41" i="2"/>
  <c r="J22" i="2"/>
  <c r="F22" i="2"/>
  <c r="F24" i="2" s="1"/>
  <c r="G45" i="2"/>
  <c r="G41" i="2"/>
  <c r="C22" i="2"/>
  <c r="G22" i="2"/>
  <c r="G24" i="2" s="1"/>
  <c r="H41" i="2"/>
  <c r="H45" i="2"/>
  <c r="I45" i="2"/>
  <c r="D22" i="2"/>
  <c r="D24" i="2" s="1"/>
  <c r="H22" i="2"/>
  <c r="I41" i="2"/>
  <c r="E22" i="2"/>
  <c r="E24" i="2" s="1"/>
  <c r="I22" i="2"/>
  <c r="W41" i="2"/>
  <c r="V22" i="2"/>
  <c r="V24" i="2" s="1"/>
  <c r="W22" i="2"/>
  <c r="K6" i="1"/>
  <c r="L7" i="1"/>
  <c r="L8" i="1" s="1"/>
  <c r="R3" i="2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FL3" i="2" s="1"/>
  <c r="FM3" i="2" s="1"/>
  <c r="FN3" i="2" s="1"/>
  <c r="FO3" i="2" s="1"/>
  <c r="K79" i="2" l="1"/>
  <c r="K13" i="1"/>
  <c r="K78" i="2"/>
  <c r="K82" i="2"/>
  <c r="K24" i="2"/>
  <c r="K4" i="2" s="1"/>
  <c r="K6" i="2" s="1"/>
  <c r="K42" i="2"/>
  <c r="J79" i="2"/>
  <c r="K14" i="1"/>
  <c r="F78" i="2"/>
  <c r="J82" i="2"/>
  <c r="J78" i="2"/>
  <c r="F82" i="2"/>
  <c r="I135" i="2"/>
  <c r="J135" i="2" s="1"/>
  <c r="I137" i="2"/>
  <c r="J137" i="2" s="1"/>
  <c r="G157" i="2"/>
  <c r="G161" i="2"/>
  <c r="E145" i="2"/>
  <c r="F145" i="2" s="1"/>
  <c r="E129" i="2"/>
  <c r="F129" i="2" s="1"/>
  <c r="E127" i="2"/>
  <c r="F127" i="2" s="1"/>
  <c r="I141" i="2"/>
  <c r="J141" i="2" s="1"/>
  <c r="I140" i="2"/>
  <c r="J140" i="2" s="1"/>
  <c r="I139" i="2"/>
  <c r="J139" i="2" s="1"/>
  <c r="I138" i="2"/>
  <c r="J138" i="2" s="1"/>
  <c r="C157" i="2"/>
  <c r="C159" i="2" s="1"/>
  <c r="D158" i="2" s="1"/>
  <c r="W157" i="2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D156" i="2"/>
  <c r="E153" i="2"/>
  <c r="D142" i="2"/>
  <c r="D161" i="2" s="1"/>
  <c r="E124" i="2"/>
  <c r="H156" i="2"/>
  <c r="I151" i="2"/>
  <c r="H149" i="2"/>
  <c r="I144" i="2"/>
  <c r="H142" i="2"/>
  <c r="I124" i="2"/>
  <c r="D149" i="2"/>
  <c r="E148" i="2"/>
  <c r="Y6" i="2"/>
  <c r="V157" i="2"/>
  <c r="V159" i="2" s="1"/>
  <c r="W158" i="2" s="1"/>
  <c r="Z5" i="2"/>
  <c r="K9" i="1"/>
  <c r="G29" i="2"/>
  <c r="G4" i="2"/>
  <c r="G6" i="2" s="1"/>
  <c r="D29" i="2"/>
  <c r="D33" i="2" s="1"/>
  <c r="D4" i="2"/>
  <c r="D6" i="2" s="1"/>
  <c r="J24" i="2"/>
  <c r="J42" i="2"/>
  <c r="C24" i="2"/>
  <c r="G42" i="2"/>
  <c r="H24" i="2"/>
  <c r="H42" i="2"/>
  <c r="E29" i="2"/>
  <c r="E33" i="2" s="1"/>
  <c r="E4" i="2"/>
  <c r="E6" i="2" s="1"/>
  <c r="V29" i="2"/>
  <c r="V4" i="2"/>
  <c r="V6" i="2" s="1"/>
  <c r="F29" i="2"/>
  <c r="F33" i="2" s="1"/>
  <c r="F4" i="2"/>
  <c r="F6" i="2" s="1"/>
  <c r="I42" i="2"/>
  <c r="I24" i="2"/>
  <c r="I4" i="2" s="1"/>
  <c r="I6" i="2" s="1"/>
  <c r="W24" i="2"/>
  <c r="W42" i="2"/>
  <c r="K12" i="1" l="1"/>
  <c r="L13" i="1"/>
  <c r="L14" i="1" s="1"/>
  <c r="G33" i="2"/>
  <c r="K43" i="2"/>
  <c r="K29" i="2"/>
  <c r="Z6" i="2"/>
  <c r="AA5" i="2"/>
  <c r="W159" i="2"/>
  <c r="J144" i="2"/>
  <c r="J149" i="2" s="1"/>
  <c r="I149" i="2"/>
  <c r="F124" i="2"/>
  <c r="F142" i="2" s="1"/>
  <c r="F161" i="2" s="1"/>
  <c r="E142" i="2"/>
  <c r="J151" i="2"/>
  <c r="J156" i="2" s="1"/>
  <c r="I156" i="2"/>
  <c r="E156" i="2"/>
  <c r="F153" i="2"/>
  <c r="F156" i="2" s="1"/>
  <c r="H157" i="2"/>
  <c r="H161" i="2"/>
  <c r="I142" i="2"/>
  <c r="I161" i="2" s="1"/>
  <c r="J124" i="2"/>
  <c r="J142" i="2" s="1"/>
  <c r="E149" i="2"/>
  <c r="F148" i="2"/>
  <c r="F149" i="2" s="1"/>
  <c r="D157" i="2"/>
  <c r="D159" i="2" s="1"/>
  <c r="E158" i="2" s="1"/>
  <c r="D35" i="2"/>
  <c r="D44" i="2"/>
  <c r="E35" i="2"/>
  <c r="E44" i="2"/>
  <c r="V33" i="2"/>
  <c r="V45" i="2"/>
  <c r="F35" i="2"/>
  <c r="F44" i="2"/>
  <c r="X43" i="2"/>
  <c r="J43" i="2"/>
  <c r="J4" i="2"/>
  <c r="J6" i="2" s="1"/>
  <c r="J29" i="2"/>
  <c r="G43" i="2"/>
  <c r="C4" i="2"/>
  <c r="C6" i="2" s="1"/>
  <c r="C29" i="2"/>
  <c r="H43" i="2"/>
  <c r="H4" i="2"/>
  <c r="H6" i="2" s="1"/>
  <c r="H29" i="2"/>
  <c r="W4" i="2"/>
  <c r="W6" i="2" s="1"/>
  <c r="I29" i="2"/>
  <c r="I43" i="2"/>
  <c r="W43" i="2"/>
  <c r="W29" i="2"/>
  <c r="X29" i="2" s="1"/>
  <c r="Y29" i="2" s="1"/>
  <c r="Z29" i="2" s="1"/>
  <c r="AA29" i="2" s="1"/>
  <c r="AB29" i="2" s="1"/>
  <c r="AC29" i="2" s="1"/>
  <c r="AD29" i="2" s="1"/>
  <c r="AE29" i="2" s="1"/>
  <c r="AF29" i="2" s="1"/>
  <c r="AG29" i="2" s="1"/>
  <c r="G35" i="2" l="1"/>
  <c r="G37" i="2" s="1"/>
  <c r="G44" i="2"/>
  <c r="C33" i="2"/>
  <c r="G40" i="2"/>
  <c r="K33" i="2"/>
  <c r="K40" i="2"/>
  <c r="J33" i="2"/>
  <c r="J40" i="2"/>
  <c r="H33" i="2"/>
  <c r="H40" i="2"/>
  <c r="I33" i="2"/>
  <c r="I40" i="2"/>
  <c r="AA6" i="2"/>
  <c r="AB5" i="2"/>
  <c r="I157" i="2"/>
  <c r="F157" i="2"/>
  <c r="E161" i="2"/>
  <c r="E157" i="2"/>
  <c r="E159" i="2" s="1"/>
  <c r="F158" i="2" s="1"/>
  <c r="I164" i="2"/>
  <c r="J161" i="2"/>
  <c r="J164" i="2" s="1"/>
  <c r="J157" i="2"/>
  <c r="G123" i="2"/>
  <c r="G162" i="2" s="1"/>
  <c r="D37" i="2"/>
  <c r="D123" i="2"/>
  <c r="D162" i="2" s="1"/>
  <c r="E37" i="2"/>
  <c r="E123" i="2"/>
  <c r="E162" i="2" s="1"/>
  <c r="F37" i="2"/>
  <c r="F123" i="2"/>
  <c r="F162" i="2" s="1"/>
  <c r="V44" i="2"/>
  <c r="V39" i="2"/>
  <c r="V35" i="2"/>
  <c r="W33" i="2"/>
  <c r="X33" i="2" s="1"/>
  <c r="Y33" i="2" s="1"/>
  <c r="Z33" i="2" s="1"/>
  <c r="AA33" i="2" s="1"/>
  <c r="AB33" i="2" s="1"/>
  <c r="AC33" i="2" s="1"/>
  <c r="AD33" i="2" s="1"/>
  <c r="AE33" i="2" s="1"/>
  <c r="AF33" i="2" s="1"/>
  <c r="AG33" i="2" s="1"/>
  <c r="W45" i="2"/>
  <c r="Y43" i="2"/>
  <c r="H44" i="2" l="1"/>
  <c r="H35" i="2"/>
  <c r="C44" i="2"/>
  <c r="C35" i="2"/>
  <c r="J44" i="2"/>
  <c r="J35" i="2"/>
  <c r="K44" i="2"/>
  <c r="K35" i="2"/>
  <c r="K37" i="2" s="1"/>
  <c r="I35" i="2"/>
  <c r="I44" i="2"/>
  <c r="F159" i="2"/>
  <c r="G158" i="2" s="1"/>
  <c r="G159" i="2" s="1"/>
  <c r="H158" i="2" s="1"/>
  <c r="H159" i="2" s="1"/>
  <c r="I158" i="2" s="1"/>
  <c r="I159" i="2" s="1"/>
  <c r="J158" i="2" s="1"/>
  <c r="J159" i="2" s="1"/>
  <c r="AB6" i="2"/>
  <c r="AC5" i="2"/>
  <c r="H164" i="2"/>
  <c r="F164" i="2"/>
  <c r="G164" i="2"/>
  <c r="G165" i="2"/>
  <c r="V37" i="2"/>
  <c r="V121" i="2"/>
  <c r="W44" i="2"/>
  <c r="W39" i="2"/>
  <c r="W35" i="2"/>
  <c r="X35" i="2" s="1"/>
  <c r="Y35" i="2" s="1"/>
  <c r="Z35" i="2" s="1"/>
  <c r="AA35" i="2" s="1"/>
  <c r="AB35" i="2" s="1"/>
  <c r="AC35" i="2" s="1"/>
  <c r="AD35" i="2" s="1"/>
  <c r="AE35" i="2" s="1"/>
  <c r="AF35" i="2" s="1"/>
  <c r="AG35" i="2" s="1"/>
  <c r="Z43" i="2"/>
  <c r="H37" i="2" l="1"/>
  <c r="H123" i="2"/>
  <c r="H162" i="2" s="1"/>
  <c r="H165" i="2" s="1"/>
  <c r="C37" i="2"/>
  <c r="C123" i="2"/>
  <c r="C162" i="2" s="1"/>
  <c r="F165" i="2" s="1"/>
  <c r="J37" i="2"/>
  <c r="J123" i="2"/>
  <c r="J162" i="2" s="1"/>
  <c r="I37" i="2"/>
  <c r="I123" i="2"/>
  <c r="I162" i="2" s="1"/>
  <c r="I165" i="2" s="1"/>
  <c r="AD5" i="2"/>
  <c r="AC6" i="2"/>
  <c r="W37" i="2"/>
  <c r="X37" i="2" s="1"/>
  <c r="Y37" i="2" s="1"/>
  <c r="Z37" i="2" s="1"/>
  <c r="AA37" i="2" s="1"/>
  <c r="AB37" i="2" s="1"/>
  <c r="AC37" i="2" s="1"/>
  <c r="AD37" i="2" s="1"/>
  <c r="AE37" i="2" s="1"/>
  <c r="AF37" i="2" s="1"/>
  <c r="AG37" i="2" s="1"/>
  <c r="W121" i="2"/>
  <c r="AA43" i="2"/>
  <c r="Y44" i="2"/>
  <c r="J165" i="2" l="1"/>
  <c r="AD6" i="2"/>
  <c r="AE5" i="2"/>
  <c r="Y39" i="2"/>
  <c r="AB43" i="2"/>
  <c r="Z44" i="2"/>
  <c r="AE6" i="2" l="1"/>
  <c r="AF5" i="2"/>
  <c r="Z39" i="2"/>
  <c r="AC43" i="2"/>
  <c r="AA44" i="2"/>
  <c r="AG5" i="2" l="1"/>
  <c r="AG6" i="2" s="1"/>
  <c r="AF6" i="2"/>
  <c r="AA39" i="2"/>
  <c r="AD43" i="2"/>
  <c r="AB44" i="2"/>
  <c r="AB39" i="2" l="1"/>
  <c r="AE43" i="2"/>
  <c r="AC44" i="2"/>
  <c r="AC39" i="2" l="1"/>
  <c r="AF43" i="2"/>
  <c r="AD44" i="2"/>
  <c r="AD39" i="2" l="1"/>
  <c r="AG43" i="2"/>
  <c r="AE44" i="2"/>
  <c r="AE39" i="2" l="1"/>
  <c r="AF44" i="2"/>
  <c r="AF39" i="2" l="1"/>
  <c r="AG44" i="2"/>
  <c r="AG39" i="2" l="1"/>
  <c r="AH35" i="2" l="1"/>
  <c r="AI35" i="2" s="1"/>
  <c r="AJ35" i="2" s="1"/>
  <c r="AK35" i="2" s="1"/>
  <c r="AL35" i="2" s="1"/>
  <c r="AM35" i="2" s="1"/>
  <c r="AN35" i="2" s="1"/>
  <c r="AO35" i="2" s="1"/>
  <c r="AP35" i="2" s="1"/>
  <c r="AQ35" i="2" s="1"/>
  <c r="AR35" i="2" s="1"/>
  <c r="AS35" i="2" s="1"/>
  <c r="AT35" i="2" s="1"/>
  <c r="AU35" i="2" s="1"/>
  <c r="AV35" i="2" s="1"/>
  <c r="AW35" i="2" s="1"/>
  <c r="AX35" i="2" s="1"/>
  <c r="AY35" i="2" s="1"/>
  <c r="AZ35" i="2" s="1"/>
  <c r="BA35" i="2" s="1"/>
  <c r="X6" i="2" l="1"/>
  <c r="X44" i="2" l="1"/>
  <c r="X39" i="2" l="1"/>
  <c r="AM42" i="2" l="1"/>
  <c r="AM44" i="2" s="1"/>
  <c r="AM46" i="2" s="1"/>
  <c r="AK42" i="2"/>
  <c r="AK44" i="2" s="1"/>
  <c r="AK46" i="2" s="1"/>
  <c r="AL42" i="2"/>
  <c r="AL44" i="2" s="1"/>
  <c r="AL46" i="2" s="1"/>
  <c r="AJ42" i="2"/>
  <c r="AJ44" i="2" l="1"/>
  <c r="AJ46" i="2" s="1"/>
  <c r="AJ5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Jameel</author>
  </authors>
  <commentList>
    <comment ref="D24" authorId="0" shapeId="0" xr:uid="{3FC889A7-4C9F-DD4E-B9F6-9BED233AF86C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special cash dividend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Jameel</author>
  </authors>
  <commentList>
    <comment ref="B15" authorId="0" shapeId="0" xr:uid="{75902411-CAAB-5741-8270-C259181BD717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NOT RATED BY BY A.B. BETS RATING BUT ARE ALL FULLY COLLATERIZED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Jameel</author>
  </authors>
  <commentList>
    <comment ref="B7" authorId="0" shapeId="0" xr:uid="{47AE9F11-BD56-0848-8BAD-AD1E8F41BBEF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% of Gross premiums earned paid out to reinsurers</t>
        </r>
      </text>
    </comment>
    <comment ref="B8" authorId="0" shapeId="0" xr:uid="{DD862B05-4A88-C149-BCD0-C8053D52566C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Mgmt normalizing business </t>
        </r>
      </text>
    </comment>
    <comment ref="J62" authorId="0" shapeId="0" xr:uid="{08B06F21-4C19-1141-B572-85C4A0A67B72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$10.7M  for case reserves
</t>
        </r>
        <r>
          <rPr>
            <sz val="10"/>
            <color rgb="FF000000"/>
            <rFont val="Tahoma"/>
            <family val="2"/>
          </rPr>
          <t>255.9m for IBNR reserves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<sst xmlns="http://schemas.openxmlformats.org/spreadsheetml/2006/main" count="386" uniqueCount="329">
  <si>
    <t>P</t>
  </si>
  <si>
    <t>S</t>
  </si>
  <si>
    <t>MC</t>
  </si>
  <si>
    <t>C</t>
  </si>
  <si>
    <t>D</t>
  </si>
  <si>
    <t>EV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</si>
  <si>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</si>
  <si>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</si>
  <si>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</si>
  <si>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</si>
  <si>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</si>
  <si>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</si>
  <si>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</si>
  <si>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</si>
  <si>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</si>
  <si>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</si>
  <si>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</si>
  <si>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</si>
  <si>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CPS</t>
  </si>
  <si>
    <t>BVPS</t>
  </si>
  <si>
    <t>Gross Premiums Written</t>
  </si>
  <si>
    <t xml:space="preserve">Change in Gross Unearned Premiums </t>
  </si>
  <si>
    <t xml:space="preserve">Gross Premiums Earned </t>
  </si>
  <si>
    <t xml:space="preserve">Ceded Premiums Earned </t>
  </si>
  <si>
    <t xml:space="preserve">Net Premiums Earned </t>
  </si>
  <si>
    <t>Growth Y/Y</t>
  </si>
  <si>
    <t>EBT</t>
  </si>
  <si>
    <t>Policy Fees</t>
  </si>
  <si>
    <t xml:space="preserve">Net Investment Income </t>
  </si>
  <si>
    <t>Net Realized Gains on Investments</t>
  </si>
  <si>
    <t xml:space="preserve">Other Income </t>
  </si>
  <si>
    <t>Total Revenues</t>
  </si>
  <si>
    <t>Loss and Loss Adjustment Expenses</t>
  </si>
  <si>
    <t>Policy Acquisition</t>
  </si>
  <si>
    <t>G&amp;A</t>
  </si>
  <si>
    <t>Taxes</t>
  </si>
  <si>
    <t xml:space="preserve">Net Earnings </t>
  </si>
  <si>
    <t>Diluted Shares</t>
  </si>
  <si>
    <t>EPS</t>
  </si>
  <si>
    <t>Loss Ratio</t>
  </si>
  <si>
    <t xml:space="preserve">Expense Ratio </t>
  </si>
  <si>
    <t xml:space="preserve">Combined Ratio </t>
  </si>
  <si>
    <t xml:space="preserve">Ceded Catastrophe excess of Loss Premiums Ratio </t>
  </si>
  <si>
    <t>Underlying Loss &amp; Loss Adjustment Expense Ratio</t>
  </si>
  <si>
    <t>In Force Premium ($k)</t>
  </si>
  <si>
    <t xml:space="preserve">Earnings </t>
  </si>
  <si>
    <t>E</t>
  </si>
  <si>
    <t>TL+E</t>
  </si>
  <si>
    <t>TL</t>
  </si>
  <si>
    <t>Unpaid Losses and LAE</t>
  </si>
  <si>
    <t xml:space="preserve">Income Tax Payable </t>
  </si>
  <si>
    <t xml:space="preserve">Unearned Premiums </t>
  </si>
  <si>
    <t xml:space="preserve">Reinsurance Payable </t>
  </si>
  <si>
    <t xml:space="preserve">Advanced Premiums </t>
  </si>
  <si>
    <t xml:space="preserve">Deferred I/T Liability </t>
  </si>
  <si>
    <t xml:space="preserve">LTD </t>
  </si>
  <si>
    <t xml:space="preserve">Lease Liabilites </t>
  </si>
  <si>
    <t xml:space="preserve">Deferred Policy Acq Costs </t>
  </si>
  <si>
    <t>OL + Accrued Expense</t>
  </si>
  <si>
    <t>TA</t>
  </si>
  <si>
    <t xml:space="preserve">Fixed Maturities </t>
  </si>
  <si>
    <t>Short Term Investments</t>
  </si>
  <si>
    <t xml:space="preserve">Total Investments </t>
  </si>
  <si>
    <t xml:space="preserve">Cash </t>
  </si>
  <si>
    <t xml:space="preserve">Restricted Cash </t>
  </si>
  <si>
    <t>Premiums Recievable</t>
  </si>
  <si>
    <t>Accrued Investment Income</t>
  </si>
  <si>
    <t xml:space="preserve">Prepaid Reinsurance Premiums </t>
  </si>
  <si>
    <t>Reinsurance Recoverable</t>
  </si>
  <si>
    <t>PPE</t>
  </si>
  <si>
    <t>Deferred I/T</t>
  </si>
  <si>
    <t>OA</t>
  </si>
  <si>
    <t xml:space="preserve">Total Debt </t>
  </si>
  <si>
    <t xml:space="preserve">Total Cash </t>
  </si>
  <si>
    <t xml:space="preserve">Net Cash </t>
  </si>
  <si>
    <t>CFFO</t>
  </si>
  <si>
    <t>Capex</t>
  </si>
  <si>
    <t xml:space="preserve">FCF </t>
  </si>
  <si>
    <t>HQ: Tampa FL</t>
  </si>
  <si>
    <t>PIF</t>
  </si>
  <si>
    <t xml:space="preserve">Polk </t>
  </si>
  <si>
    <t xml:space="preserve">County </t>
  </si>
  <si>
    <t>Lee</t>
  </si>
  <si>
    <t xml:space="preserve">Orange </t>
  </si>
  <si>
    <t xml:space="preserve">Duval </t>
  </si>
  <si>
    <t xml:space="preserve">Hillsborough </t>
  </si>
  <si>
    <t>Osceola</t>
  </si>
  <si>
    <t xml:space="preserve">Pasco </t>
  </si>
  <si>
    <t xml:space="preserve">Palm Beach </t>
  </si>
  <si>
    <t>Marion</t>
  </si>
  <si>
    <t>Brevard</t>
  </si>
  <si>
    <t>Volusia</t>
  </si>
  <si>
    <t>Others</t>
  </si>
  <si>
    <t xml:space="preserve">Total </t>
  </si>
  <si>
    <t>Net In-Force Premium</t>
  </si>
  <si>
    <t xml:space="preserve">Total Insured Value </t>
  </si>
  <si>
    <t>FL</t>
  </si>
  <si>
    <t>Founded 2006</t>
  </si>
  <si>
    <t>December 2025</t>
  </si>
  <si>
    <t xml:space="preserve">Contains </t>
  </si>
  <si>
    <t>Earnings Transcript</t>
  </si>
  <si>
    <t>News</t>
  </si>
  <si>
    <t>Subsidiary: American Integrity Insurance Group</t>
  </si>
  <si>
    <t xml:space="preserve">Provides: Residential Property Insurance </t>
  </si>
  <si>
    <t>CEO: Robert Ritchie</t>
  </si>
  <si>
    <t>Seeded By: Sowell &amp; Co: https://www.sowellco.com/</t>
  </si>
  <si>
    <t>IPO: 2025</t>
  </si>
  <si>
    <t xml:space="preserve">Susbsidiaries </t>
  </si>
  <si>
    <t>American Integrity Insurance Group, LLC (AIIG), holding company formed in Texas in 2006</t>
  </si>
  <si>
    <t xml:space="preserve">American Integrity Insurance Company (AIIC) is a corporation that operates as a Florida-domiciled admitted insurance company.  Core ops performed by other subsidiaries, but employs accounting dept </t>
  </si>
  <si>
    <t xml:space="preserve">American Integrity MGA, LLC (AIMGA) operates as a Texas domiciled managing general agency to produce, underwrite, negotiate, bind, and administer policies </t>
  </si>
  <si>
    <t xml:space="preserve">American Integrity Claims Services, LLC (AICS) manages all non-catastrophe claims for AIIC and, on an as needed basis, </t>
  </si>
  <si>
    <t xml:space="preserve">Pinnacle Analytics, LLC (Pinnacle) is responsible for performing ongoing reinsurance related analytical and modeling </t>
  </si>
  <si>
    <t>Pinnacle Insurance Consultants, LLC (PIC) acts as the agent of record of policies that are assumed from Citizens</t>
  </si>
  <si>
    <t xml:space="preserve">Hurricane Szn: June 1st - Nov 30th </t>
  </si>
  <si>
    <t xml:space="preserve">Maturity </t>
  </si>
  <si>
    <t>Discount</t>
  </si>
  <si>
    <t>NPV</t>
  </si>
  <si>
    <t>Shares</t>
  </si>
  <si>
    <t xml:space="preserve">Estimate </t>
  </si>
  <si>
    <t xml:space="preserve">Current </t>
  </si>
  <si>
    <t xml:space="preserve">Upside </t>
  </si>
  <si>
    <t xml:space="preserve">Scenarios </t>
  </si>
  <si>
    <t>Flat I/S @ 15% Discount;-1% Mat &amp; Dies in 20yrs, Npv: 644m, +70%</t>
  </si>
  <si>
    <t>Flat I/S @ 16% Discount;-1% Mat &amp; Dies in 20yrs, Npv: 607m, +60%</t>
  </si>
  <si>
    <t>Flat I/S @ 17% Discount;-1% Mat &amp; Dies in 20yrs, Npv: 574m, +51%</t>
  </si>
  <si>
    <t>Flat I/S @ 18% Discount;-1% Mat &amp; Dies in 20yrs, Npv: 543m, +43%</t>
  </si>
  <si>
    <t xml:space="preserve">Increasing Total Insured Value </t>
  </si>
  <si>
    <t xml:space="preserve">CFO: Brian Foley; former: Ben Lurie </t>
  </si>
  <si>
    <t xml:space="preserve">New CFO </t>
  </si>
  <si>
    <t>Model NI</t>
  </si>
  <si>
    <t xml:space="preserve">Net Income </t>
  </si>
  <si>
    <t>D&amp;A</t>
  </si>
  <si>
    <t>SBC</t>
  </si>
  <si>
    <t>Deferred i/t</t>
  </si>
  <si>
    <t>Net realized (Gains)</t>
  </si>
  <si>
    <t>Premiums Rec</t>
  </si>
  <si>
    <t>Accrued Inv Income</t>
  </si>
  <si>
    <t>Prepaid Reinsurance Prem</t>
  </si>
  <si>
    <t xml:space="preserve">Reinsurance Recoverable </t>
  </si>
  <si>
    <t>Unpaid losses and Loss Adju Exp</t>
  </si>
  <si>
    <t>Unearned Premium</t>
  </si>
  <si>
    <t xml:space="preserve">Advance Premiums </t>
  </si>
  <si>
    <t xml:space="preserve">Income Taxes Payable </t>
  </si>
  <si>
    <t>Op Lease</t>
  </si>
  <si>
    <t>OL and accrud exp</t>
  </si>
  <si>
    <t xml:space="preserve">CFFO </t>
  </si>
  <si>
    <t xml:space="preserve">Proceeds from sales of fixed securities </t>
  </si>
  <si>
    <t xml:space="preserve">Purchases of Fixed income Securities  </t>
  </si>
  <si>
    <t xml:space="preserve">Proceeds from sales/maturities  of ST Investments </t>
  </si>
  <si>
    <t xml:space="preserve">Purchases of ST Investments </t>
  </si>
  <si>
    <t>CFFI</t>
  </si>
  <si>
    <t>Proceeds from IPO, Net of Discounts/Commissions</t>
  </si>
  <si>
    <t>Payemnts of Tax Witheld on Vesting of RSUs</t>
  </si>
  <si>
    <t>Cash Distribution to Members</t>
  </si>
  <si>
    <t xml:space="preserve">Repayments of LTD </t>
  </si>
  <si>
    <t xml:space="preserve">Payments of IPO costs </t>
  </si>
  <si>
    <t>CFFF</t>
  </si>
  <si>
    <t>Net Increase</t>
  </si>
  <si>
    <t xml:space="preserve">Ending Cash Balance </t>
  </si>
  <si>
    <t xml:space="preserve">Beginning Cash Balance </t>
  </si>
  <si>
    <t xml:space="preserve">Free Cash Flow </t>
  </si>
  <si>
    <t>Net Income</t>
  </si>
  <si>
    <t xml:space="preserve">4Q Moving FCF </t>
  </si>
  <si>
    <t xml:space="preserve">4Q Moving NI </t>
  </si>
  <si>
    <t>Gross Underlying Non-Catastrophe Ratio</t>
  </si>
  <si>
    <t>Common</t>
  </si>
  <si>
    <t>Additional PIC</t>
  </si>
  <si>
    <t xml:space="preserve">Acc &amp; other Compr Income </t>
  </si>
  <si>
    <t>Retained Earnings</t>
  </si>
  <si>
    <t>A. Primary Retention; the deductible AII keeps.  Before reinsurers pay AII absorbs 1st $35M ($10M = Insurance Exposure; $25M = Captive Exposure)</t>
  </si>
  <si>
    <t>B. Co-Participation Layer.  AII still shares some losses even after reinsurers begin to pay. (3rd event retention = $16M; 4th Event retention = $10M)</t>
  </si>
  <si>
    <t>Catastrophe Reinsurance Tower</t>
  </si>
  <si>
    <t>C. Florida Hurricane Catastrophe Fund (FHCF) - state sponsored reinsruance.  Mandatory for state of FL residential insurers.</t>
  </si>
  <si>
    <t>D. Class D CAT bond placed in 2025.  Investors buy bonds, if no catastrophe --&gt; earns interest, if catastrophe, loses principal)</t>
  </si>
  <si>
    <t>F. Class C CAT bond placed in 2024 expiring end of May 2026</t>
  </si>
  <si>
    <t>G. Class C CAT bond, expiring May 2027</t>
  </si>
  <si>
    <t xml:space="preserve">E. Multi-Tranche CAT bond (Expires May 2026) - additional Capital market reinsurance </t>
  </si>
  <si>
    <r>
      <t xml:space="preserve">H. Multi-Tranche CAT bond (Expires </t>
    </r>
    <r>
      <rPr>
        <b/>
        <sz val="10"/>
        <color theme="1"/>
        <rFont val="ArialMT"/>
      </rPr>
      <t>May 2027</t>
    </r>
    <r>
      <rPr>
        <sz val="10"/>
        <color theme="1"/>
        <rFont val="ArialMT"/>
        <family val="2"/>
      </rPr>
      <t xml:space="preserve">) </t>
    </r>
  </si>
  <si>
    <r>
      <t xml:space="preserve">I. Multi-tranche CAT bond placed in 2025 expiring end of </t>
    </r>
    <r>
      <rPr>
        <b/>
        <sz val="10"/>
        <color theme="1"/>
        <rFont val="ArialMT"/>
      </rPr>
      <t>May 2028</t>
    </r>
  </si>
  <si>
    <t>J. Probability of an event occuring in any given year that exausts the tower</t>
  </si>
  <si>
    <t>Florida Public Hurricane Loss Model https://eei.fiu.edu/_assets/images/hamid.pdf</t>
  </si>
  <si>
    <t>Normalized Hurricane Damage in the US: 1900-2022</t>
  </si>
  <si>
    <t xml:space="preserve">KCC US Hurricane Ref Model </t>
  </si>
  <si>
    <t>U.S. Property-Casualty: Underwriting Cycle Modeling and Risk Benchmarks</t>
  </si>
  <si>
    <t>Read(x)</t>
  </si>
  <si>
    <t xml:space="preserve">Distributions for Actuaries </t>
  </si>
  <si>
    <t xml:space="preserve">Ocean </t>
  </si>
  <si>
    <t xml:space="preserve">Gulf </t>
  </si>
  <si>
    <t xml:space="preserve">Atlantic </t>
  </si>
  <si>
    <t>Central FL</t>
  </si>
  <si>
    <t xml:space="preserve">Independent Agents </t>
  </si>
  <si>
    <t xml:space="preserve">Homebuilder Affiliated Agents </t>
  </si>
  <si>
    <t xml:space="preserve">Insurance Companies </t>
  </si>
  <si>
    <t xml:space="preserve">National Agencies </t>
  </si>
  <si>
    <t xml:space="preserve">Total Voluntary In-Force Premium </t>
  </si>
  <si>
    <t xml:space="preserve">Assumed from Citizens </t>
  </si>
  <si>
    <t>Internal Software: ouchstone from AIR (Verisk), Risk Modeler from RMS (Moody’s), RiskInsight from Karen Clark &amp; Company, Opterrix</t>
  </si>
  <si>
    <t>Horshoe Re Ltd</t>
  </si>
  <si>
    <t>National Liability &amp; Fire Insurance Co.</t>
  </si>
  <si>
    <t xml:space="preserve">Insurance Company Of The West </t>
  </si>
  <si>
    <t>Hanover Rück SE</t>
  </si>
  <si>
    <t>Arch Reinsurance Ltd</t>
  </si>
  <si>
    <t>Ada Re</t>
  </si>
  <si>
    <t>Renaissance Reinsurance Limited</t>
  </si>
  <si>
    <t>DaVinci Reinsurance Corporation</t>
  </si>
  <si>
    <t xml:space="preserve">General Reinsurance Company </t>
  </si>
  <si>
    <t xml:space="preserve">Transatlantic Reinsurance Company </t>
  </si>
  <si>
    <t xml:space="preserve">Top 10 Total </t>
  </si>
  <si>
    <t>Reinsurer</t>
  </si>
  <si>
    <t>All Others</t>
  </si>
  <si>
    <t xml:space="preserve">Rating </t>
  </si>
  <si>
    <t>Collaterized</t>
  </si>
  <si>
    <t>A++</t>
  </si>
  <si>
    <t>A+</t>
  </si>
  <si>
    <t>A</t>
  </si>
  <si>
    <t>Florida Hurricane Catastrophe Fund  (FHCF)</t>
  </si>
  <si>
    <t xml:space="preserve">Rating Agencies </t>
  </si>
  <si>
    <t xml:space="preserve">Demotech </t>
  </si>
  <si>
    <t>BBB+</t>
  </si>
  <si>
    <t>Kross Bond Rating Agency, LLC</t>
  </si>
  <si>
    <t>Employees: 313 as of 12/31/2026</t>
  </si>
  <si>
    <t>Actuary methods</t>
  </si>
  <si>
    <t xml:space="preserve">Bornhuetter-Ferguson </t>
  </si>
  <si>
    <t xml:space="preserve">Right of Use Assets </t>
  </si>
  <si>
    <t xml:space="preserve">Expected value of the Third Event exposure </t>
  </si>
  <si>
    <t>Known</t>
  </si>
  <si>
    <t>third event retention is $85M ater $10M</t>
  </si>
  <si>
    <t xml:space="preserve">Florida averages ~1.5 per year historically </t>
  </si>
  <si>
    <t>Probablity of 3+ named storms hitting Florida in one season :</t>
  </si>
  <si>
    <t xml:space="preserve">P(1st tower exhausted) = 1/130 or 0.77% in any given year </t>
  </si>
  <si>
    <t>Florida major hurricanes</t>
  </si>
  <si>
    <t>Storm</t>
  </si>
  <si>
    <t>Saffir–Simpson</t>
  </si>
  <si>
    <t>Category†</t>
  </si>
  <si>
    <t>Date of Impact</t>
  </si>
  <si>
    <t>(UTC)</t>
  </si>
  <si>
    <t>Year</t>
  </si>
  <si>
    <t>Landfall Winds</t>
  </si>
  <si>
    <t>(in Knots)</t>
  </si>
  <si>
    <t>Location(s)</t>
  </si>
  <si>
    <t>Alma</t>
  </si>
  <si>
    <t>Dry Tortugas*</t>
  </si>
  <si>
    <t>Andrew</t>
  </si>
  <si>
    <t>Elliott Key</t>
  </si>
  <si>
    <t>North of Homestead</t>
  </si>
  <si>
    <t>Betsy</t>
  </si>
  <si>
    <t>Tavernier</t>
  </si>
  <si>
    <t>Charley</t>
  </si>
  <si>
    <t>Cayo Costa</t>
  </si>
  <si>
    <t>Punta Gorda</t>
  </si>
  <si>
    <t>Dennis</t>
  </si>
  <si>
    <t>Santa Rosa Island</t>
  </si>
  <si>
    <t>Donna</t>
  </si>
  <si>
    <t>Conch Key</t>
  </si>
  <si>
    <t>Easy</t>
  </si>
  <si>
    <t>East of Cedar Key</t>
  </si>
  <si>
    <t>Elena</t>
  </si>
  <si>
    <t>Gulfport, Mississippi*</t>
  </si>
  <si>
    <t>Eloise</t>
  </si>
  <si>
    <t>East of Destin</t>
  </si>
  <si>
    <t>Florida Keys</t>
  </si>
  <si>
    <t>Dry Tortugas</t>
  </si>
  <si>
    <t>Great Miami</t>
  </si>
  <si>
    <t>September 18–20</t>
  </si>
  <si>
    <t>Perrine</t>
  </si>
  <si>
    <t>Great Middle Florida</t>
  </si>
  <si>
    <t>Panama City</t>
  </si>
  <si>
    <t>Helene</t>
  </si>
  <si>
    <t>Southwest of Perry</t>
  </si>
  <si>
    <t>Ian</t>
  </si>
  <si>
    <t>Idalia</t>
  </si>
  <si>
    <t>Keaton Beach</t>
  </si>
  <si>
    <t>Irma</t>
  </si>
  <si>
    <t>Cudjoe Key</t>
  </si>
  <si>
    <t>Marco Island</t>
  </si>
  <si>
    <t>Ivan</t>
  </si>
  <si>
    <t>West of Gulf Shores, Alabama*</t>
  </si>
  <si>
    <t>Jeanne</t>
  </si>
  <si>
    <t>Hutchinson Island</t>
  </si>
  <si>
    <t>King</t>
  </si>
  <si>
    <t>Miami</t>
  </si>
  <si>
    <t>Labor Day</t>
  </si>
  <si>
    <t>Craig Key</t>
  </si>
  <si>
    <t>Michael</t>
  </si>
  <si>
    <t>West of Mexico Beach</t>
  </si>
  <si>
    <t>Milton</t>
  </si>
  <si>
    <t>Siesta Key^</t>
  </si>
  <si>
    <t>Okeechobee</t>
  </si>
  <si>
    <t>Palm Beach</t>
  </si>
  <si>
    <t>Opal</t>
  </si>
  <si>
    <t>Pensacola Beach</t>
  </si>
  <si>
    <t>Tampa Bay</t>
  </si>
  <si>
    <t>Tarpon Springs</t>
  </si>
  <si>
    <t>Unnamed</t>
  </si>
  <si>
    <t>Jupiter Island</t>
  </si>
  <si>
    <t>Captiva Island</t>
  </si>
  <si>
    <t>Navarre</t>
  </si>
  <si>
    <t>Miami Beach</t>
  </si>
  <si>
    <t>Cedar Key</t>
  </si>
  <si>
    <t>Marathon</t>
  </si>
  <si>
    <t>East of Flamingo</t>
  </si>
  <si>
    <t>Fort Walton Beach</t>
  </si>
  <si>
    <t>Jupiter</t>
  </si>
  <si>
    <t>North Key Largo</t>
  </si>
  <si>
    <t>Homestead</t>
  </si>
  <si>
    <t>Fort Lauderdale</t>
  </si>
  <si>
    <t>September 21–22</t>
  </si>
  <si>
    <t>East of Chokoloskee</t>
  </si>
  <si>
    <t>Lake Worth</t>
  </si>
  <si>
    <t>Wilma</t>
  </si>
  <si>
    <t>Cape Romano</t>
  </si>
  <si>
    <t>2004 ==3</t>
  </si>
  <si>
    <t>2024 == 2</t>
  </si>
  <si>
    <t>2005 == 2</t>
  </si>
  <si>
    <t>1950 == 2</t>
  </si>
  <si>
    <t xml:space="preserve">P(2nd storm | 1st storm already hit) </t>
  </si>
  <si>
    <t xml:space="preserve">P(3rd storm | 2 storms already hit) </t>
  </si>
  <si>
    <t>P(second tower stressed) = P(first event) * P(second event | 1st tower exhausted) = 0.0077 * .093 = .07%</t>
  </si>
  <si>
    <t>P(third event) = .0077 * 0.25 = 0.179%</t>
  </si>
  <si>
    <t>Company: American Integrity Insurance Group Inc</t>
  </si>
  <si>
    <t>Accident Year</t>
  </si>
  <si>
    <t>Triangle: Incurred Losses and Allocated LAE, Net of Reinsurance ($k)</t>
  </si>
  <si>
    <t>Triangle: Cumulative Paid Losses and Allocated LAE, Net of Reinsurance ($k)</t>
  </si>
  <si>
    <t>Model Remaining</t>
  </si>
  <si>
    <t xml:space="preserve">Reported remainig </t>
  </si>
  <si>
    <t xml:space="preserve">Payout curve </t>
  </si>
  <si>
    <t xml:space="preserve">Year </t>
  </si>
  <si>
    <t>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</si>
</sst>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#,##0.0"/>
    <numFmt numFmtId="165" formatCode="0.0%"/>
    <numFmt numFmtId="172" formatCode="0.0000%"/>
    <numFmt numFmtId="174" formatCode="#,##0.000"/>
  </numFmts>
  <fonts count="9">
    <font>
      <sz val="10"/>
      <color theme="1"/>
      <name val="ArialMT"/>
      <family val="2"/>
    </font>
    <font>
      <b/>
      <sz val="10"/>
      <color theme="1"/>
      <name val="ArialMT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u/>
      <sz val="10"/>
      <color theme="10"/>
      <name val="ArialMT"/>
      <family val="2"/>
    </font>
    <font>
      <sz val="10"/>
      <color rgb="FF000000"/>
      <name val="Times New Roman"/>
      <family val="1"/>
    </font>
    <font>
      <sz val="10"/>
      <color theme="10"/>
      <name val="ArialMT"/>
      <family val="2"/>
    </font>
    <font>
      <sz val="10"/>
      <color theme="1"/>
      <name val="ArialMT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3" fontId="0" fillId="0" borderId="0" xfId="0" applyNumberFormat="1"/>
    <xf numFmtId="1" fontId="0" fillId="0" borderId="0" xfId="0" applyNumberFormat="1"/>
    <xf numFmtId="3" fontId="0" fillId="0" borderId="0" xfId="0" applyNumberFormat="1" applyAlignment="1">
      <alignment horizontal="right"/>
    </xf>
    <xf numFmtId="164" fontId="0" fillId="0" borderId="0" xfId="0" applyNumberFormat="1"/>
    <xf numFmtId="9" fontId="0" fillId="0" borderId="0" xfId="0" applyNumberFormat="1"/>
    <xf numFmtId="3" fontId="1" fillId="0" borderId="0" xfId="0" applyNumberFormat="1" applyFont="1"/>
    <xf numFmtId="165" fontId="0" fillId="0" borderId="0" xfId="0" applyNumberFormat="1"/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3" fontId="0" fillId="0" borderId="1" xfId="0" applyNumberFormat="1" applyBorder="1"/>
    <xf numFmtId="3" fontId="1" fillId="0" borderId="1" xfId="0" applyNumberFormat="1" applyFont="1" applyBorder="1"/>
    <xf numFmtId="3" fontId="1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left" indent="1"/>
    </xf>
    <xf numFmtId="3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3" fontId="4" fillId="0" borderId="0" xfId="1" applyNumberFormat="1" applyAlignment="1">
      <alignment horizontal="center"/>
    </xf>
    <xf numFmtId="0" fontId="5" fillId="0" borderId="0" xfId="0" applyFont="1"/>
    <xf numFmtId="9" fontId="0" fillId="0" borderId="1" xfId="0" applyNumberFormat="1" applyBorder="1"/>
    <xf numFmtId="6" fontId="0" fillId="0" borderId="1" xfId="0" applyNumberFormat="1" applyBorder="1"/>
    <xf numFmtId="14" fontId="0" fillId="0" borderId="0" xfId="0" applyNumberFormat="1"/>
    <xf numFmtId="14" fontId="4" fillId="0" borderId="0" xfId="1" applyNumberFormat="1" applyAlignment="1">
      <alignment horizontal="center"/>
    </xf>
    <xf numFmtId="10" fontId="0" fillId="0" borderId="0" xfId="0" applyNumberFormat="1" applyAlignment="1">
      <alignment horizontal="left" indent="2"/>
    </xf>
    <xf numFmtId="0" fontId="4" fillId="0" borderId="0" xfId="1"/>
    <xf numFmtId="0" fontId="6" fillId="0" borderId="0" xfId="1" applyFont="1"/>
    <xf numFmtId="4" fontId="0" fillId="0" borderId="0" xfId="0" applyNumberFormat="1"/>
    <xf numFmtId="3" fontId="1" fillId="0" borderId="0" xfId="0" applyNumberFormat="1" applyFont="1" applyAlignment="1">
      <alignment horizontal="left"/>
    </xf>
    <xf numFmtId="3" fontId="7" fillId="0" borderId="0" xfId="0" applyNumberFormat="1" applyFont="1"/>
    <xf numFmtId="3" fontId="7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4" fontId="1" fillId="0" borderId="1" xfId="0" applyNumberFormat="1" applyFont="1" applyBorder="1"/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8" fillId="0" borderId="0" xfId="0" applyFont="1"/>
    <xf numFmtId="3" fontId="0" fillId="0" borderId="0" xfId="0" applyNumberFormat="1" applyAlignment="1">
      <alignment horizontal="left" indent="2"/>
    </xf>
    <xf numFmtId="10" fontId="0" fillId="0" borderId="0" xfId="0" applyNumberFormat="1"/>
    <xf numFmtId="16" fontId="0" fillId="0" borderId="0" xfId="0" applyNumberFormat="1"/>
    <xf numFmtId="0" fontId="1" fillId="0" borderId="0" xfId="0" applyFont="1"/>
    <xf numFmtId="172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74" fontId="0" fillId="0" borderId="0" xfId="0" applyNumberForma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316011</xdr:colOff>
      <xdr:row>2</xdr:row>
      <xdr:rowOff>5653</xdr:rowOff>
    </xdr:from>
    <xdr:to>
      <xdr:col>24</xdr:col>
      <xdr:colOff>578595</xdr:colOff>
      <xdr:row>32</xdr:row>
      <xdr:rowOff>107406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85D17A-6C2B-828A-A5A2-D45B06637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9434" y="326013"/>
          <a:ext cx="9324205" cy="4907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</xdr:colOff>
      <xdr:row>0</xdr:row>
      <xdr:rowOff>25400</xdr:rowOff>
    </xdr:from>
    <xdr:to>
      <xdr:col>10</xdr:col>
      <xdr:colOff>22023</xdr:colOff>
      <xdr:row>188</xdr:row>
      <xdr:rowOff>161502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33B16DE-F993-99CA-3ABA-853FECD3D503}"/>
            </a:ext>
          </a:extLst>
        </xdr:cNvPr>
        <xdr:cNvCxnSpPr/>
      </xdr:nvCxnSpPr>
      <xdr:spPr>
        <a:xfrm>
          <a:off x="8595367" y="25400"/>
          <a:ext cx="15673" cy="2436153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781539</xdr:colOff>
      <xdr:row>0</xdr:row>
      <xdr:rowOff>6350</xdr:rowOff>
    </xdr:from>
    <xdr:to>
      <xdr:col>22</xdr:col>
      <xdr:colOff>787889</xdr:colOff>
      <xdr:row>187</xdr:row>
      <xdr:rowOff>5183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5228090-FBD6-6B4F-99C8-F5D6CF57914E}"/>
            </a:ext>
          </a:extLst>
        </xdr:cNvPr>
        <xdr:cNvCxnSpPr/>
      </xdr:nvCxnSpPr>
      <xdr:spPr>
        <a:xfrm flipH="1">
          <a:off x="15215577" y="6350"/>
          <a:ext cx="6350" cy="2604604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s206.q4cdn.com/412004638/files/doc_financials/2025/q2/AII-2Q25-Earnings-Release-Final.pdf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s206.q4cdn.com/412004638/files/doc_financials/2025/q3/Q3-2025-Earnings-Release.pdf" TargetMode="External"/><Relationship Id="rId1" Type="http://schemas.openxmlformats.org/officeDocument/2006/relationships/hyperlink" Target="https://investor.aii.com/news/news-details/2026/American-Integrity-Insurance-Group-Inc--Reports-Fourth-Quarter-and-Full-Year-2025-Results/default.aspx" TargetMode="External"/><Relationship Id="rId6" Type="http://schemas.openxmlformats.org/officeDocument/2006/relationships/hyperlink" Target="https://investor.aii.com/news/news-details/2026/American-Integrity-Insurance-Group-Inc--Appoints-Brian-Foley-as-Chief-Financial-Officer/default.aspx" TargetMode="External"/><Relationship Id="rId5" Type="http://schemas.openxmlformats.org/officeDocument/2006/relationships/hyperlink" Target="https://investor.aii.com/news/news-details/2026/American-Integrity-Expands-Its-Footprint-in-the-Luxury-Home-Market-Insuring-Homes-Up-to-15-Million-in-Total-Insured-Value/default.aspx" TargetMode="External"/><Relationship Id="rId4" Type="http://schemas.openxmlformats.org/officeDocument/2006/relationships/hyperlink" Target="https://s206.q4cdn.com/412004638/files/doc_financials/2025/q1/AII-Q1-2025-Earnings-Release.pdf" TargetMode="Externa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fchlpm.sbafla.com/media/xwkpit54/kcc23_submissiondocument_secondrevision_ntc_p20250516.pdf" TargetMode="External"/><Relationship Id="rId2" Type="http://schemas.openxmlformats.org/officeDocument/2006/relationships/hyperlink" Target="https://journals.ametsoc.org/view/journals/bams/106/1/BAMS-D-23-0280.1.xml" TargetMode="External"/><Relationship Id="rId1" Type="http://schemas.openxmlformats.org/officeDocument/2006/relationships/hyperlink" Target="https://eei.fiu.edu/_assets/images/hamid.pdf" TargetMode="External"/><Relationship Id="rId5" Type="http://schemas.openxmlformats.org/officeDocument/2006/relationships/hyperlink" Target="https://www.casact.org/sites/default/files/database/monographs_papers_02-bahnemann.pdf" TargetMode="External"/><Relationship Id="rId4" Type="http://schemas.openxmlformats.org/officeDocument/2006/relationships/hyperlink" Target="https://www.casact.org/sites/default/files/2021-07/US-Property-Casualty-Wang-Major-Pan-Leong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1EA7-642B-964E-B1F9-9436B869393D}">
  <dimension ref="B1:AA95"/>
  <sheetViews>
    <sheetView showGridLines="0" tabSelected="1" zoomScale="185" zoomScaleNormal="200" workbookViewId="0">
      <selection activeCell="L6" sqref="L6"/>
    </sheetView>
  </sheetViews>
  <sheetFormatPr baseColWidth="10" defaultRowHeight="13"/>
  <cols>
    <col min="1" max="1" width="3.1640625" style="1" customWidth="1"/>
    <col min="2" max="2" width="17.33203125" style="1" customWidth="1"/>
    <col min="3" max="5" width="6" style="13" customWidth="1"/>
    <col min="6" max="6" width="6" style="1" customWidth="1"/>
    <col min="7" max="13" width="7.6640625" style="1" bestFit="1" customWidth="1"/>
    <col min="14" max="16384" width="10.83203125" style="1"/>
  </cols>
  <sheetData>
    <row r="1" spans="2:26">
      <c r="B1" s="1" t="s">
        <v>320</v>
      </c>
    </row>
    <row r="2" spans="2:26">
      <c r="B2" s="1" t="s">
        <v>102</v>
      </c>
    </row>
    <row r="3" spans="2:26">
      <c r="B3" s="1" t="s">
        <v>103</v>
      </c>
    </row>
    <row r="4" spans="2:26">
      <c r="B4" s="1" t="s">
        <v>105</v>
      </c>
      <c r="J4" s="1" t="s">
        <v>0</v>
      </c>
      <c r="K4" s="29">
        <v>16.600000000000001</v>
      </c>
    </row>
    <row r="5" spans="2:26">
      <c r="B5" s="1" t="s">
        <v>104</v>
      </c>
      <c r="J5" s="1" t="s">
        <v>1</v>
      </c>
      <c r="K5" s="1">
        <v>19.590817000000001</v>
      </c>
      <c r="L5" s="3" t="s">
        <v>14</v>
      </c>
    </row>
    <row r="6" spans="2:26">
      <c r="B6" s="1" t="s">
        <v>128</v>
      </c>
      <c r="J6" s="1" t="s">
        <v>2</v>
      </c>
      <c r="K6" s="1">
        <f>+K4*K5</f>
        <v>325.20756220000004</v>
      </c>
      <c r="L6" s="3"/>
    </row>
    <row r="7" spans="2:26">
      <c r="B7" s="1" t="s">
        <v>78</v>
      </c>
      <c r="J7" s="1" t="s">
        <v>3</v>
      </c>
      <c r="K7" s="1">
        <f>171.182+55.169</f>
        <v>226.351</v>
      </c>
      <c r="L7" s="3" t="str">
        <f>+L5</f>
        <v>Q126</v>
      </c>
      <c r="Z7" s="6" t="s">
        <v>172</v>
      </c>
    </row>
    <row r="8" spans="2:26">
      <c r="B8" s="1" t="s">
        <v>97</v>
      </c>
      <c r="J8" s="1" t="s">
        <v>4</v>
      </c>
      <c r="K8" s="1">
        <v>0.51500000000000001</v>
      </c>
      <c r="L8" s="3" t="str">
        <f>+L7</f>
        <v>Q126</v>
      </c>
      <c r="Z8" s="1" t="s">
        <v>170</v>
      </c>
    </row>
    <row r="9" spans="2:26">
      <c r="B9" s="1" t="s">
        <v>106</v>
      </c>
      <c r="J9" s="1" t="s">
        <v>5</v>
      </c>
      <c r="K9" s="1">
        <f>+K6-K7+K8</f>
        <v>99.371562200000042</v>
      </c>
      <c r="L9" s="3"/>
      <c r="Z9" s="1" t="s">
        <v>171</v>
      </c>
    </row>
    <row r="10" spans="2:26">
      <c r="B10" s="1" t="s">
        <v>114</v>
      </c>
      <c r="Z10" s="1" t="s">
        <v>173</v>
      </c>
    </row>
    <row r="11" spans="2:26">
      <c r="B11" s="1" t="s">
        <v>197</v>
      </c>
      <c r="J11" s="1" t="s">
        <v>18</v>
      </c>
      <c r="K11" s="1">
        <f>+K7/K5</f>
        <v>11.553933661878419</v>
      </c>
      <c r="Z11" s="1" t="s">
        <v>174</v>
      </c>
    </row>
    <row r="12" spans="2:26">
      <c r="B12" s="1" t="s">
        <v>221</v>
      </c>
      <c r="J12" s="1" t="s">
        <v>19</v>
      </c>
      <c r="K12" s="4">
        <f>+K13/K5</f>
        <v>17.124502770864531</v>
      </c>
      <c r="Z12" s="1" t="s">
        <v>177</v>
      </c>
    </row>
    <row r="13" spans="2:26">
      <c r="J13" s="1" t="s">
        <v>328</v>
      </c>
      <c r="K13" s="1">
        <f>+Model!K77/1000</f>
        <v>335.483</v>
      </c>
      <c r="L13" s="1">
        <f>+K13-35</f>
        <v>300.483</v>
      </c>
      <c r="Z13" s="1" t="s">
        <v>175</v>
      </c>
    </row>
    <row r="14" spans="2:26">
      <c r="K14" s="29">
        <f>+K6/K13</f>
        <v>0.96937121165603035</v>
      </c>
      <c r="L14" s="1">
        <f>+L13/K5</f>
        <v>15.337951449395907</v>
      </c>
      <c r="Z14" s="1" t="s">
        <v>176</v>
      </c>
    </row>
    <row r="15" spans="2:26">
      <c r="B15" s="6" t="s">
        <v>107</v>
      </c>
      <c r="K15" s="4"/>
      <c r="Z15" s="1" t="s">
        <v>178</v>
      </c>
    </row>
    <row r="16" spans="2:26">
      <c r="B16" s="1" t="s">
        <v>108</v>
      </c>
      <c r="K16" s="4"/>
      <c r="Z16" s="1" t="s">
        <v>179</v>
      </c>
    </row>
    <row r="17" spans="2:27">
      <c r="B17" s="1" t="s">
        <v>109</v>
      </c>
      <c r="K17" s="4"/>
      <c r="Z17" s="1" t="s">
        <v>180</v>
      </c>
    </row>
    <row r="18" spans="2:27">
      <c r="B18" s="1" t="s">
        <v>110</v>
      </c>
      <c r="K18" s="4"/>
      <c r="Z18" s="26">
        <v>7.6923076923076927E-3</v>
      </c>
    </row>
    <row r="19" spans="2:27">
      <c r="B19" s="1" t="s">
        <v>111</v>
      </c>
      <c r="K19" s="4"/>
    </row>
    <row r="20" spans="2:27">
      <c r="B20" s="1" t="s">
        <v>112</v>
      </c>
      <c r="K20" s="4"/>
    </row>
    <row r="21" spans="2:27">
      <c r="B21" s="1" t="s">
        <v>113</v>
      </c>
      <c r="K21" s="4"/>
      <c r="Z21" s="6" t="s">
        <v>225</v>
      </c>
    </row>
    <row r="22" spans="2:27">
      <c r="B22" s="21"/>
      <c r="K22" s="4"/>
      <c r="Z22" s="1" t="s">
        <v>226</v>
      </c>
    </row>
    <row r="23" spans="2:27">
      <c r="B23" s="13" t="s">
        <v>101</v>
      </c>
      <c r="C23" s="13" t="s">
        <v>99</v>
      </c>
      <c r="D23" s="13" t="s">
        <v>45</v>
      </c>
      <c r="E23" s="13" t="s">
        <v>100</v>
      </c>
      <c r="K23" s="4"/>
      <c r="Z23" s="17" t="s">
        <v>227</v>
      </c>
    </row>
    <row r="24" spans="2:27">
      <c r="B24" s="25">
        <v>46148</v>
      </c>
      <c r="C24" s="18" t="s">
        <v>127</v>
      </c>
      <c r="D24" s="20" t="s">
        <v>13</v>
      </c>
      <c r="K24" s="4"/>
      <c r="Z24" s="17" t="s">
        <v>228</v>
      </c>
    </row>
    <row r="25" spans="2:27">
      <c r="B25" s="25">
        <v>46118</v>
      </c>
      <c r="C25" s="13" t="s">
        <v>129</v>
      </c>
      <c r="D25" s="20" t="s">
        <v>12</v>
      </c>
      <c r="K25" s="4"/>
      <c r="Z25" s="17" t="s">
        <v>229</v>
      </c>
    </row>
    <row r="26" spans="2:27">
      <c r="B26" s="24"/>
      <c r="D26" s="20" t="s">
        <v>11</v>
      </c>
      <c r="K26" s="4"/>
      <c r="Z26" s="38" t="s">
        <v>230</v>
      </c>
    </row>
    <row r="27" spans="2:27">
      <c r="B27" s="24"/>
      <c r="D27" s="20" t="s">
        <v>10</v>
      </c>
      <c r="K27" s="4"/>
      <c r="Z27" s="38" t="s">
        <v>318</v>
      </c>
    </row>
    <row r="28" spans="2:27">
      <c r="B28" s="21"/>
      <c r="K28" s="4"/>
      <c r="Z28" s="38" t="s">
        <v>319</v>
      </c>
    </row>
    <row r="32" spans="2:27">
      <c r="Z32" s="42">
        <f>+Z34*0.25</f>
        <v>1.7884615384615386E-4</v>
      </c>
      <c r="AA32" s="1">
        <f>1/Z32</f>
        <v>5591.3978494623652</v>
      </c>
    </row>
    <row r="33" spans="3:26">
      <c r="Z33" s="39">
        <v>7.6923076923076927E-3</v>
      </c>
    </row>
    <row r="34" spans="3:26">
      <c r="Z34" s="39">
        <f>+Z33*0.093</f>
        <v>7.1538461538461545E-4</v>
      </c>
    </row>
    <row r="44" spans="3:26">
      <c r="C44" s="1"/>
      <c r="D44" s="1"/>
      <c r="E44" s="1"/>
    </row>
    <row r="49" spans="2:17">
      <c r="B49" s="6" t="s">
        <v>322</v>
      </c>
    </row>
    <row r="50" spans="2:17">
      <c r="B50" s="1" t="s">
        <v>321</v>
      </c>
      <c r="C50" s="44">
        <v>2015</v>
      </c>
      <c r="D50" s="44">
        <f>+C50+1</f>
        <v>2016</v>
      </c>
      <c r="E50" s="44">
        <f>+D50+1</f>
        <v>2017</v>
      </c>
      <c r="F50" s="44">
        <f>+E50+1</f>
        <v>2018</v>
      </c>
      <c r="G50" s="44">
        <f>+F50+1</f>
        <v>2019</v>
      </c>
      <c r="H50" s="44">
        <f>+G50+1</f>
        <v>2020</v>
      </c>
      <c r="I50" s="44">
        <f>+H50+1</f>
        <v>2021</v>
      </c>
      <c r="J50" s="44">
        <f>+I50+1</f>
        <v>2022</v>
      </c>
      <c r="K50" s="44">
        <f>+J50+1</f>
        <v>2023</v>
      </c>
      <c r="L50" s="44">
        <f>+K50+1</f>
        <v>2024</v>
      </c>
      <c r="M50" s="44">
        <f>+L50+1</f>
        <v>2025</v>
      </c>
      <c r="N50" s="1" t="s">
        <v>325</v>
      </c>
      <c r="O50" s="43" t="s">
        <v>324</v>
      </c>
      <c r="P50" s="43"/>
      <c r="Q50" s="43"/>
    </row>
    <row r="51" spans="2:17">
      <c r="B51" s="43">
        <v>2015</v>
      </c>
      <c r="C51" s="13">
        <v>42003</v>
      </c>
      <c r="D51" s="13">
        <v>39623</v>
      </c>
      <c r="E51" s="13">
        <v>46877</v>
      </c>
      <c r="F51" s="13">
        <v>47555</v>
      </c>
      <c r="G51" s="13">
        <v>48545</v>
      </c>
      <c r="H51" s="13">
        <v>48672</v>
      </c>
      <c r="I51" s="13">
        <v>48426</v>
      </c>
      <c r="J51" s="13">
        <v>48853</v>
      </c>
      <c r="K51" s="13">
        <v>49012</v>
      </c>
      <c r="L51" s="13">
        <v>48895</v>
      </c>
      <c r="M51" s="13">
        <v>49086</v>
      </c>
      <c r="N51" s="1">
        <v>19</v>
      </c>
      <c r="O51" s="1">
        <f>+M51-M66</f>
        <v>119</v>
      </c>
    </row>
    <row r="52" spans="2:17">
      <c r="B52" s="43">
        <f>+B51+1</f>
        <v>2016</v>
      </c>
      <c r="D52" s="13">
        <v>53192</v>
      </c>
      <c r="E52" s="13">
        <v>51879</v>
      </c>
      <c r="F52" s="13">
        <v>54306</v>
      </c>
      <c r="G52" s="13">
        <v>56499</v>
      </c>
      <c r="H52" s="13">
        <v>57282</v>
      </c>
      <c r="I52" s="13">
        <v>60983</v>
      </c>
      <c r="J52" s="13">
        <v>61206</v>
      </c>
      <c r="K52" s="13">
        <v>61568</v>
      </c>
      <c r="L52" s="13">
        <v>60855</v>
      </c>
      <c r="M52" s="13">
        <v>60791</v>
      </c>
      <c r="N52" s="1">
        <v>66</v>
      </c>
      <c r="O52" s="1">
        <f>+M52-M67</f>
        <v>64</v>
      </c>
    </row>
    <row r="53" spans="2:17">
      <c r="B53" s="43">
        <f t="shared" ref="B53:B65" si="0">+B52+1</f>
        <v>2017</v>
      </c>
      <c r="E53" s="13">
        <v>57286</v>
      </c>
      <c r="F53" s="13">
        <v>48820</v>
      </c>
      <c r="G53" s="13">
        <v>26956</v>
      </c>
      <c r="H53" s="13">
        <v>24139</v>
      </c>
      <c r="I53" s="13">
        <v>22535</v>
      </c>
      <c r="J53" s="13">
        <v>18846</v>
      </c>
      <c r="K53" s="13">
        <v>19453</v>
      </c>
      <c r="L53" s="13">
        <v>19172</v>
      </c>
      <c r="M53" s="13">
        <v>19363</v>
      </c>
      <c r="N53" s="1">
        <v>25</v>
      </c>
      <c r="O53" s="1">
        <f>+M53-M68</f>
        <v>17</v>
      </c>
    </row>
    <row r="54" spans="2:17">
      <c r="B54" s="43">
        <f t="shared" si="0"/>
        <v>2018</v>
      </c>
      <c r="F54" s="13">
        <v>89565</v>
      </c>
      <c r="G54" s="13">
        <v>78270</v>
      </c>
      <c r="H54" s="13">
        <v>82013</v>
      </c>
      <c r="I54" s="13">
        <v>86354</v>
      </c>
      <c r="J54" s="13">
        <v>83734</v>
      </c>
      <c r="K54" s="13">
        <v>84985</v>
      </c>
      <c r="L54" s="13">
        <v>83191</v>
      </c>
      <c r="M54" s="13">
        <v>83072</v>
      </c>
      <c r="N54" s="1">
        <v>72</v>
      </c>
      <c r="O54" s="1">
        <f>+M54-M69</f>
        <v>61</v>
      </c>
    </row>
    <row r="55" spans="2:17">
      <c r="B55" s="43">
        <f t="shared" si="0"/>
        <v>2019</v>
      </c>
      <c r="F55" s="13"/>
      <c r="G55" s="13">
        <v>104651</v>
      </c>
      <c r="H55" s="13">
        <v>107979</v>
      </c>
      <c r="I55" s="13">
        <v>118580</v>
      </c>
      <c r="J55" s="13">
        <v>118187</v>
      </c>
      <c r="K55" s="13">
        <v>121378</v>
      </c>
      <c r="L55" s="13">
        <v>119509</v>
      </c>
      <c r="M55" s="13">
        <v>118987</v>
      </c>
      <c r="N55" s="1">
        <v>553</v>
      </c>
      <c r="O55" s="1">
        <f>+M55-M70</f>
        <v>454</v>
      </c>
    </row>
    <row r="56" spans="2:17">
      <c r="B56" s="43">
        <f t="shared" si="0"/>
        <v>2020</v>
      </c>
      <c r="F56" s="13"/>
      <c r="G56" s="13"/>
      <c r="H56" s="13">
        <v>93727</v>
      </c>
      <c r="I56" s="13">
        <v>133001</v>
      </c>
      <c r="J56" s="13">
        <v>134531</v>
      </c>
      <c r="K56" s="13">
        <v>140552</v>
      </c>
      <c r="L56" s="13">
        <v>139361</v>
      </c>
      <c r="M56" s="13">
        <v>139337</v>
      </c>
      <c r="N56" s="1">
        <v>1344</v>
      </c>
      <c r="O56" s="1">
        <f>+M56-M71</f>
        <v>1178</v>
      </c>
    </row>
    <row r="57" spans="2:17">
      <c r="B57" s="43">
        <f t="shared" si="0"/>
        <v>2021</v>
      </c>
      <c r="F57" s="13"/>
      <c r="G57" s="13"/>
      <c r="H57" s="13"/>
      <c r="I57" s="13">
        <v>78605</v>
      </c>
      <c r="J57" s="13">
        <v>110218</v>
      </c>
      <c r="K57" s="13">
        <v>114801</v>
      </c>
      <c r="L57" s="13">
        <v>116366</v>
      </c>
      <c r="M57" s="13">
        <v>116347</v>
      </c>
      <c r="N57" s="1">
        <v>2008</v>
      </c>
      <c r="O57" s="1">
        <f>+M57-M72</f>
        <v>1741</v>
      </c>
    </row>
    <row r="58" spans="2:17">
      <c r="B58" s="43">
        <f t="shared" si="0"/>
        <v>2022</v>
      </c>
      <c r="F58" s="13"/>
      <c r="G58" s="13"/>
      <c r="H58" s="13"/>
      <c r="I58" s="13"/>
      <c r="J58" s="13">
        <v>91299</v>
      </c>
      <c r="K58" s="13">
        <v>72343</v>
      </c>
      <c r="L58" s="13">
        <v>71726</v>
      </c>
      <c r="M58" s="13">
        <v>76236</v>
      </c>
      <c r="N58" s="1">
        <v>5388</v>
      </c>
      <c r="O58" s="1">
        <f>+M58-M73</f>
        <v>4860</v>
      </c>
    </row>
    <row r="59" spans="2:17">
      <c r="B59" s="43">
        <f t="shared" si="0"/>
        <v>2023</v>
      </c>
      <c r="F59" s="13"/>
      <c r="G59" s="13"/>
      <c r="H59" s="13"/>
      <c r="I59" s="13"/>
      <c r="J59" s="13"/>
      <c r="K59" s="13">
        <v>88840</v>
      </c>
      <c r="L59" s="13">
        <v>90307</v>
      </c>
      <c r="M59" s="13">
        <v>94161</v>
      </c>
      <c r="N59" s="1">
        <v>5337</v>
      </c>
      <c r="O59" s="1">
        <f>+M59-M74</f>
        <v>4609</v>
      </c>
    </row>
    <row r="60" spans="2:17">
      <c r="B60" s="43">
        <f t="shared" si="0"/>
        <v>2024</v>
      </c>
      <c r="F60" s="13"/>
      <c r="G60" s="13"/>
      <c r="H60" s="13"/>
      <c r="I60" s="13"/>
      <c r="J60" s="13"/>
      <c r="K60" s="13"/>
      <c r="L60" s="13">
        <v>94189</v>
      </c>
      <c r="M60" s="13">
        <v>84378</v>
      </c>
      <c r="N60" s="1">
        <v>11054</v>
      </c>
      <c r="O60" s="1">
        <f>+M60-M75</f>
        <v>6879</v>
      </c>
    </row>
    <row r="61" spans="2:17">
      <c r="B61" s="43">
        <f t="shared" si="0"/>
        <v>2025</v>
      </c>
      <c r="F61" s="13"/>
      <c r="G61" s="13"/>
      <c r="H61" s="13"/>
      <c r="I61" s="13"/>
      <c r="J61" s="13"/>
      <c r="K61" s="13"/>
      <c r="L61" s="13"/>
      <c r="M61" s="13">
        <v>99847</v>
      </c>
      <c r="O61" s="1">
        <f>+M61-M76</f>
        <v>54273</v>
      </c>
    </row>
    <row r="62" spans="2:17">
      <c r="B62" s="43"/>
      <c r="F62" s="13"/>
      <c r="G62" s="13"/>
      <c r="H62" s="13"/>
      <c r="I62" s="13"/>
      <c r="J62" s="13"/>
      <c r="K62" s="13"/>
      <c r="L62" s="13"/>
      <c r="M62" s="33">
        <f>SUM(M51:M61)</f>
        <v>941605</v>
      </c>
    </row>
    <row r="63" spans="2:17">
      <c r="B63" s="43"/>
    </row>
    <row r="64" spans="2:17">
      <c r="B64" s="6" t="s">
        <v>323</v>
      </c>
    </row>
    <row r="65" spans="2:13">
      <c r="B65" s="1" t="s">
        <v>321</v>
      </c>
      <c r="C65" s="44">
        <v>2015</v>
      </c>
      <c r="D65" s="44">
        <f>+C65+1</f>
        <v>2016</v>
      </c>
      <c r="E65" s="44">
        <f>+D65+1</f>
        <v>2017</v>
      </c>
      <c r="F65" s="44">
        <f>+E65+1</f>
        <v>2018</v>
      </c>
      <c r="G65" s="44">
        <f>+F65+1</f>
        <v>2019</v>
      </c>
      <c r="H65" s="44">
        <f>+G65+1</f>
        <v>2020</v>
      </c>
      <c r="I65" s="44">
        <f>+H65+1</f>
        <v>2021</v>
      </c>
      <c r="J65" s="44">
        <f>+I65+1</f>
        <v>2022</v>
      </c>
      <c r="K65" s="44">
        <f>+J65+1</f>
        <v>2023</v>
      </c>
      <c r="L65" s="44">
        <f>+K65+1</f>
        <v>2024</v>
      </c>
      <c r="M65" s="44">
        <f>+L65+1</f>
        <v>2025</v>
      </c>
    </row>
    <row r="66" spans="2:13">
      <c r="B66" s="43">
        <v>2015</v>
      </c>
      <c r="C66" s="13">
        <v>20564</v>
      </c>
      <c r="D66" s="13">
        <v>32681</v>
      </c>
      <c r="E66" s="13">
        <v>40904</v>
      </c>
      <c r="F66" s="13">
        <v>45050</v>
      </c>
      <c r="G66" s="13">
        <v>47492</v>
      </c>
      <c r="H66" s="13">
        <v>48396</v>
      </c>
      <c r="I66" s="13">
        <v>48316</v>
      </c>
      <c r="J66" s="13">
        <v>48796</v>
      </c>
      <c r="K66" s="13">
        <v>48905</v>
      </c>
      <c r="L66" s="13">
        <v>48878</v>
      </c>
      <c r="M66" s="13">
        <v>48967</v>
      </c>
    </row>
    <row r="67" spans="2:13">
      <c r="B67" s="43">
        <f>+B66+1</f>
        <v>2016</v>
      </c>
      <c r="D67" s="13">
        <v>31282</v>
      </c>
      <c r="E67" s="13">
        <v>42759</v>
      </c>
      <c r="F67" s="13">
        <v>49237</v>
      </c>
      <c r="G67" s="13">
        <v>54877</v>
      </c>
      <c r="H67" s="13">
        <v>56557</v>
      </c>
      <c r="I67" s="13">
        <v>60486</v>
      </c>
      <c r="J67" s="13">
        <v>61012</v>
      </c>
      <c r="K67" s="13">
        <v>61187</v>
      </c>
      <c r="L67" s="13">
        <v>60759</v>
      </c>
      <c r="M67" s="13">
        <v>60727</v>
      </c>
    </row>
    <row r="68" spans="2:13">
      <c r="B68" s="43">
        <f t="shared" ref="B68:B77" si="1">+B67+1</f>
        <v>2017</v>
      </c>
      <c r="E68" s="13">
        <v>25224</v>
      </c>
      <c r="F68" s="13">
        <v>40067</v>
      </c>
      <c r="G68" s="13">
        <v>24925</v>
      </c>
      <c r="H68" s="13">
        <v>22207</v>
      </c>
      <c r="I68" s="13">
        <v>21343</v>
      </c>
      <c r="J68" s="13">
        <v>18371</v>
      </c>
      <c r="K68" s="13">
        <v>19012</v>
      </c>
      <c r="L68" s="13">
        <v>19091</v>
      </c>
      <c r="M68" s="13">
        <v>19346</v>
      </c>
    </row>
    <row r="69" spans="2:13">
      <c r="B69" s="43">
        <f t="shared" si="1"/>
        <v>2018</v>
      </c>
      <c r="F69" s="13">
        <v>45454</v>
      </c>
      <c r="G69" s="13">
        <v>72404</v>
      </c>
      <c r="H69" s="13">
        <v>77680</v>
      </c>
      <c r="I69" s="13">
        <v>83699</v>
      </c>
      <c r="J69" s="13">
        <v>82836</v>
      </c>
      <c r="K69" s="13">
        <v>83761</v>
      </c>
      <c r="L69" s="13">
        <v>83091</v>
      </c>
      <c r="M69" s="13">
        <v>83011</v>
      </c>
    </row>
    <row r="70" spans="2:13">
      <c r="B70" s="43">
        <f t="shared" si="1"/>
        <v>2019</v>
      </c>
      <c r="F70" s="13"/>
      <c r="G70" s="13">
        <v>58982</v>
      </c>
      <c r="H70" s="13">
        <v>95405</v>
      </c>
      <c r="I70" s="13">
        <v>112510</v>
      </c>
      <c r="J70" s="13">
        <v>116637</v>
      </c>
      <c r="K70" s="13">
        <v>117975</v>
      </c>
      <c r="L70" s="13">
        <v>118521</v>
      </c>
      <c r="M70" s="13">
        <v>118533</v>
      </c>
    </row>
    <row r="71" spans="2:13">
      <c r="B71" s="43">
        <f t="shared" si="1"/>
        <v>2020</v>
      </c>
      <c r="F71" s="13"/>
      <c r="G71" s="13"/>
      <c r="H71" s="13">
        <v>58376</v>
      </c>
      <c r="I71" s="13">
        <v>120360</v>
      </c>
      <c r="J71" s="13">
        <v>130048</v>
      </c>
      <c r="K71" s="13">
        <v>136788</v>
      </c>
      <c r="L71" s="13">
        <v>137474</v>
      </c>
      <c r="M71" s="13">
        <v>138159</v>
      </c>
    </row>
    <row r="72" spans="2:13">
      <c r="B72" s="43">
        <f t="shared" si="1"/>
        <v>2021</v>
      </c>
      <c r="F72" s="13"/>
      <c r="G72" s="13"/>
      <c r="H72" s="13"/>
      <c r="I72" s="13">
        <v>48184</v>
      </c>
      <c r="J72" s="13">
        <v>99498</v>
      </c>
      <c r="K72" s="13">
        <v>108814</v>
      </c>
      <c r="L72" s="13">
        <v>113529</v>
      </c>
      <c r="M72" s="13">
        <v>114606</v>
      </c>
    </row>
    <row r="73" spans="2:13">
      <c r="B73" s="43">
        <f t="shared" si="1"/>
        <v>2022</v>
      </c>
      <c r="F73" s="13"/>
      <c r="G73" s="13"/>
      <c r="H73" s="13"/>
      <c r="I73" s="13"/>
      <c r="J73" s="13">
        <v>49437</v>
      </c>
      <c r="K73" s="13">
        <v>56876</v>
      </c>
      <c r="L73" s="13">
        <v>65080</v>
      </c>
      <c r="M73" s="13">
        <v>71376</v>
      </c>
    </row>
    <row r="74" spans="2:13">
      <c r="B74" s="43">
        <f t="shared" si="1"/>
        <v>2023</v>
      </c>
      <c r="F74" s="13"/>
      <c r="G74" s="13"/>
      <c r="H74" s="13"/>
      <c r="I74" s="13"/>
      <c r="J74" s="13"/>
      <c r="K74" s="13">
        <v>55107</v>
      </c>
      <c r="L74" s="13">
        <v>80487</v>
      </c>
      <c r="M74" s="13">
        <v>89552</v>
      </c>
    </row>
    <row r="75" spans="2:13">
      <c r="B75" s="43">
        <f t="shared" si="1"/>
        <v>2024</v>
      </c>
      <c r="F75" s="13"/>
      <c r="G75" s="13"/>
      <c r="H75" s="13"/>
      <c r="I75" s="13"/>
      <c r="J75" s="13"/>
      <c r="K75" s="13"/>
      <c r="L75" s="13">
        <v>56037</v>
      </c>
      <c r="M75" s="13">
        <v>77499</v>
      </c>
    </row>
    <row r="76" spans="2:13">
      <c r="B76" s="43">
        <f t="shared" si="1"/>
        <v>2025</v>
      </c>
      <c r="F76" s="13"/>
      <c r="G76" s="13"/>
      <c r="H76" s="13"/>
      <c r="I76" s="13"/>
      <c r="J76" s="13"/>
      <c r="K76" s="13"/>
      <c r="L76" s="13"/>
      <c r="M76" s="13">
        <v>45574</v>
      </c>
    </row>
    <row r="77" spans="2:13">
      <c r="B77" s="43"/>
      <c r="F77" s="13"/>
      <c r="G77" s="13"/>
      <c r="H77" s="13"/>
      <c r="I77" s="13"/>
      <c r="J77" s="13"/>
      <c r="K77" s="13"/>
      <c r="L77" s="13"/>
      <c r="M77" s="33">
        <f>SUM(M66:M76)</f>
        <v>867350</v>
      </c>
    </row>
    <row r="81" spans="2:13">
      <c r="C81" s="46">
        <f>+C66/C51</f>
        <v>0.4895840773278099</v>
      </c>
      <c r="D81" s="46">
        <f>+D66/D51</f>
        <v>0.82479872801150844</v>
      </c>
      <c r="E81" s="46">
        <f>+E66/E51</f>
        <v>0.8725814365253749</v>
      </c>
      <c r="F81" s="46">
        <f>+F66/F51</f>
        <v>0.94732415098307221</v>
      </c>
      <c r="G81" s="46">
        <f>+G66/G51</f>
        <v>0.97830878566278712</v>
      </c>
      <c r="H81" s="46">
        <f>+H66/H51</f>
        <v>0.99432938856015785</v>
      </c>
      <c r="I81" s="46">
        <f>+I66/I51</f>
        <v>0.99772849295832822</v>
      </c>
      <c r="J81" s="46">
        <f>+J66/J51</f>
        <v>0.99883323439706873</v>
      </c>
      <c r="K81" s="46">
        <f>+K66/K51</f>
        <v>0.99781686117685464</v>
      </c>
      <c r="L81" s="46">
        <f>+L66/L51</f>
        <v>0.9996523161877493</v>
      </c>
      <c r="M81" s="46">
        <f>+M66/M51</f>
        <v>0.99757568349427539</v>
      </c>
    </row>
    <row r="82" spans="2:13">
      <c r="C82" s="46"/>
      <c r="D82" s="46">
        <f>+D67/D52</f>
        <v>0.58809595427883887</v>
      </c>
      <c r="E82" s="46">
        <f>+E67/E52</f>
        <v>0.82420632625918</v>
      </c>
      <c r="F82" s="46">
        <f>+F67/F52</f>
        <v>0.9066585644311862</v>
      </c>
      <c r="G82" s="46">
        <f>+G67/G52</f>
        <v>0.97129152728366874</v>
      </c>
      <c r="H82" s="46">
        <f>+H67/H52</f>
        <v>0.98734331901819072</v>
      </c>
      <c r="I82" s="46">
        <f>+I67/I52</f>
        <v>0.99185018775724387</v>
      </c>
      <c r="J82" s="46">
        <f>+J67/J52</f>
        <v>0.9968303761069176</v>
      </c>
      <c r="K82" s="46">
        <f>+K67/K52</f>
        <v>0.99381172037422039</v>
      </c>
      <c r="L82" s="46">
        <f>+L67/L52</f>
        <v>0.99842247966477693</v>
      </c>
      <c r="M82" s="46">
        <f>+M67/M52</f>
        <v>0.99894721258080965</v>
      </c>
    </row>
    <row r="83" spans="2:13">
      <c r="C83" s="46"/>
      <c r="D83" s="46"/>
      <c r="E83" s="46">
        <f>+E68/E53</f>
        <v>0.44031700590021994</v>
      </c>
      <c r="F83" s="46">
        <f>+F68/F53</f>
        <v>0.82070872593199506</v>
      </c>
      <c r="G83" s="46">
        <f>+G68/G53</f>
        <v>0.92465499332245138</v>
      </c>
      <c r="H83" s="46">
        <f>+H68/H53</f>
        <v>0.919963544471602</v>
      </c>
      <c r="I83" s="46">
        <f>+I68/I53</f>
        <v>0.94710450410472602</v>
      </c>
      <c r="J83" s="46">
        <f>+J68/J53</f>
        <v>0.97479571261806219</v>
      </c>
      <c r="K83" s="46">
        <f>+K68/K53</f>
        <v>0.97732997481108308</v>
      </c>
      <c r="L83" s="46">
        <f>+L68/L53</f>
        <v>0.99577508867097853</v>
      </c>
      <c r="M83" s="46">
        <f>+M68/M53</f>
        <v>0.99912203687445122</v>
      </c>
    </row>
    <row r="84" spans="2:13">
      <c r="C84" s="46"/>
      <c r="D84" s="46"/>
      <c r="E84" s="46"/>
      <c r="F84" s="46">
        <f>+F69/F54</f>
        <v>0.50749734829453474</v>
      </c>
      <c r="G84" s="46">
        <f>+G69/G54</f>
        <v>0.92505429922064653</v>
      </c>
      <c r="H84" s="46">
        <f>+H69/H54</f>
        <v>0.94716691256264252</v>
      </c>
      <c r="I84" s="46">
        <f>+I69/I54</f>
        <v>0.96925446418231931</v>
      </c>
      <c r="J84" s="46">
        <f>+J69/J54</f>
        <v>0.98927556309265052</v>
      </c>
      <c r="K84" s="46">
        <f>+K69/K54</f>
        <v>0.98559745837500734</v>
      </c>
      <c r="L84" s="46">
        <f>+L69/L54</f>
        <v>0.99879794689329371</v>
      </c>
      <c r="M84" s="46">
        <f>+M69/M54</f>
        <v>0.99926569722650227</v>
      </c>
    </row>
    <row r="85" spans="2:13">
      <c r="C85" s="46"/>
      <c r="D85" s="46"/>
      <c r="E85" s="46"/>
      <c r="F85" s="46"/>
      <c r="G85" s="46">
        <f>+G70/G55</f>
        <v>0.5636066544992403</v>
      </c>
      <c r="H85" s="46">
        <f>+H70/H55</f>
        <v>0.88355143129682623</v>
      </c>
      <c r="I85" s="46">
        <f>+I70/I55</f>
        <v>0.94881092933040989</v>
      </c>
      <c r="J85" s="46">
        <f>+J70/J55</f>
        <v>0.98688519041857392</v>
      </c>
      <c r="K85" s="46">
        <f>+K70/K55</f>
        <v>0.97196361778905571</v>
      </c>
      <c r="L85" s="46">
        <f>+L70/L55</f>
        <v>0.99173284020450347</v>
      </c>
      <c r="M85" s="46">
        <f>+M70/M55</f>
        <v>0.99618445712556836</v>
      </c>
    </row>
    <row r="86" spans="2:13">
      <c r="C86" s="46"/>
      <c r="D86" s="46"/>
      <c r="E86" s="46"/>
      <c r="F86" s="46"/>
      <c r="G86" s="46"/>
      <c r="H86" s="46">
        <f>+H71/H56</f>
        <v>0.62283013432628809</v>
      </c>
      <c r="I86" s="46">
        <f>+I71/I56</f>
        <v>0.90495560183758017</v>
      </c>
      <c r="J86" s="46">
        <f>+J71/J56</f>
        <v>0.96667682541570343</v>
      </c>
      <c r="K86" s="46">
        <f>+K71/K56</f>
        <v>0.97321987591780978</v>
      </c>
      <c r="L86" s="46">
        <f>+L71/L56</f>
        <v>0.9864596264378126</v>
      </c>
      <c r="M86" s="46">
        <f>+M71/M56</f>
        <v>0.99154567702763807</v>
      </c>
    </row>
    <row r="87" spans="2:13">
      <c r="C87" s="46"/>
      <c r="D87" s="46"/>
      <c r="E87" s="46"/>
      <c r="F87" s="46"/>
      <c r="G87" s="46"/>
      <c r="H87" s="46"/>
      <c r="I87" s="46">
        <f>+I72/I57</f>
        <v>0.6129889956109662</v>
      </c>
      <c r="J87" s="46">
        <f>+J72/J57</f>
        <v>0.90273820972980823</v>
      </c>
      <c r="K87" s="46">
        <f>+K72/K57</f>
        <v>0.94784888633374276</v>
      </c>
      <c r="L87" s="46">
        <f>+L72/L57</f>
        <v>0.97562002646821233</v>
      </c>
      <c r="M87" s="46">
        <f>+M72/M57</f>
        <v>0.98503614188591027</v>
      </c>
    </row>
    <row r="88" spans="2:13">
      <c r="C88" s="46"/>
      <c r="D88" s="46"/>
      <c r="E88" s="46"/>
      <c r="F88" s="46"/>
      <c r="G88" s="46"/>
      <c r="H88" s="46"/>
      <c r="I88" s="46"/>
      <c r="J88" s="46">
        <f>+J73/J58</f>
        <v>0.54148457266782768</v>
      </c>
      <c r="K88" s="46">
        <f>+K73/K58</f>
        <v>0.78619907938570421</v>
      </c>
      <c r="L88" s="46">
        <f>+L73/L58</f>
        <v>0.90734182862560298</v>
      </c>
      <c r="M88" s="46">
        <f>+M73/M58</f>
        <v>0.93625059027231228</v>
      </c>
    </row>
    <row r="89" spans="2:13">
      <c r="C89" s="46"/>
      <c r="D89" s="46"/>
      <c r="E89" s="46"/>
      <c r="F89" s="46"/>
      <c r="G89" s="46"/>
      <c r="H89" s="46"/>
      <c r="I89" s="46"/>
      <c r="J89" s="46"/>
      <c r="K89" s="46">
        <f>+K74/K59</f>
        <v>0.62029491220171096</v>
      </c>
      <c r="L89" s="46">
        <f>+L74/L59</f>
        <v>0.8912598137464427</v>
      </c>
      <c r="M89" s="46">
        <f>+M74/M59</f>
        <v>0.95105192170856301</v>
      </c>
    </row>
    <row r="90" spans="2:13">
      <c r="L90" s="46">
        <f>+L75/L60</f>
        <v>0.59494208453216402</v>
      </c>
      <c r="M90" s="46">
        <f>+M75/M60</f>
        <v>0.91847400981298444</v>
      </c>
    </row>
    <row r="91" spans="2:13">
      <c r="M91" s="46">
        <f>+M76/M61</f>
        <v>0.4564383506765351</v>
      </c>
    </row>
    <row r="93" spans="2:13">
      <c r="C93" s="13" t="s">
        <v>327</v>
      </c>
    </row>
    <row r="94" spans="2:13">
      <c r="B94" s="1" t="s">
        <v>326</v>
      </c>
      <c r="C94" s="13">
        <v>1</v>
      </c>
      <c r="D94" s="13">
        <v>2</v>
      </c>
      <c r="E94" s="13">
        <v>3</v>
      </c>
      <c r="F94" s="1">
        <v>4</v>
      </c>
      <c r="G94" s="1">
        <v>5</v>
      </c>
      <c r="H94" s="1">
        <v>6</v>
      </c>
      <c r="I94" s="1">
        <v>7</v>
      </c>
      <c r="J94" s="1">
        <v>8</v>
      </c>
    </row>
    <row r="95" spans="2:13">
      <c r="C95" s="45">
        <f>AVERAGE(C81,D82,E83,F84,G85,H86,I87,J88,K89,L90,M91)</f>
        <v>0.54891637184692144</v>
      </c>
    </row>
  </sheetData>
  <hyperlinks>
    <hyperlink ref="D24" r:id="rId1" xr:uid="{2F1AFFDA-E61C-034A-AE48-5A8BAF3E11EE}"/>
    <hyperlink ref="D25" r:id="rId2" xr:uid="{DA9C9F78-1EDD-5143-80FA-0B1024E8B2FA}"/>
    <hyperlink ref="D26" r:id="rId3" xr:uid="{59FBB7C5-6DAD-B94B-8094-DD2404283E77}"/>
    <hyperlink ref="D27" r:id="rId4" xr:uid="{A8D29632-E9E8-6B42-970A-BA9E8D83F638}"/>
    <hyperlink ref="B24" r:id="rId5" display="https://investor.aii.com/news/news-details/2026/American-Integrity-Expands-Its-Footprint-in-the-Luxury-Home-Market-Insuring-Homes-Up-to-15-Million-in-Total-Insured-Value/default.aspx" xr:uid="{D4C9DC4F-85A0-8740-9B7E-1A7D5BC21880}"/>
    <hyperlink ref="B25" r:id="rId6" display="https://investor.aii.com/news/news-details/2026/American-Integrity-Insurance-Group-Inc--Appoints-Brian-Foley-as-Chief-Financial-Officer/default.aspx" xr:uid="{EED99ED3-9217-A248-9903-3609C4A6E280}"/>
  </hyperlinks>
  <pageMargins left="0.7" right="0.7" top="0.75" bottom="0.75" header="0.3" footer="0.3"/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752A-A92B-A24C-93BA-83E2E0B2AF30}">
  <dimension ref="B3:F45"/>
  <sheetViews>
    <sheetView workbookViewId="0">
      <selection activeCell="B30" sqref="B30:F45"/>
    </sheetView>
  </sheetViews>
  <sheetFormatPr baseColWidth="10" defaultRowHeight="13"/>
  <sheetData>
    <row r="3" spans="2:4">
      <c r="B3" s="34" t="s">
        <v>209</v>
      </c>
      <c r="C3" s="35">
        <v>46022</v>
      </c>
      <c r="D3" s="36" t="s">
        <v>211</v>
      </c>
    </row>
    <row r="4" spans="2:4">
      <c r="B4" s="1" t="s">
        <v>198</v>
      </c>
      <c r="C4" s="13">
        <v>32280</v>
      </c>
      <c r="D4" s="13" t="s">
        <v>212</v>
      </c>
    </row>
    <row r="5" spans="2:4">
      <c r="B5" s="1" t="s">
        <v>199</v>
      </c>
      <c r="C5" s="13">
        <v>30000</v>
      </c>
      <c r="D5" s="13" t="s">
        <v>213</v>
      </c>
    </row>
    <row r="6" spans="2:4">
      <c r="B6" s="1" t="s">
        <v>200</v>
      </c>
      <c r="C6" s="13">
        <v>21944</v>
      </c>
      <c r="D6" s="13" t="s">
        <v>215</v>
      </c>
    </row>
    <row r="7" spans="2:4">
      <c r="B7" s="1" t="s">
        <v>201</v>
      </c>
      <c r="C7" s="13">
        <v>20837</v>
      </c>
      <c r="D7" s="13" t="s">
        <v>214</v>
      </c>
    </row>
    <row r="8" spans="2:4">
      <c r="B8" s="1" t="s">
        <v>202</v>
      </c>
      <c r="C8" s="13">
        <v>15243</v>
      </c>
      <c r="D8" s="13" t="s">
        <v>214</v>
      </c>
    </row>
    <row r="9" spans="2:4">
      <c r="B9" s="1" t="s">
        <v>203</v>
      </c>
      <c r="C9" s="13">
        <v>14332</v>
      </c>
      <c r="D9" s="13" t="s">
        <v>212</v>
      </c>
    </row>
    <row r="10" spans="2:4">
      <c r="B10" s="1" t="s">
        <v>204</v>
      </c>
      <c r="C10" s="13">
        <v>13386</v>
      </c>
      <c r="D10" s="13" t="s">
        <v>214</v>
      </c>
    </row>
    <row r="11" spans="2:4">
      <c r="B11" s="1" t="s">
        <v>205</v>
      </c>
      <c r="C11" s="13">
        <v>13345</v>
      </c>
      <c r="D11" s="13" t="s">
        <v>215</v>
      </c>
    </row>
    <row r="12" spans="2:4">
      <c r="B12" s="1" t="s">
        <v>206</v>
      </c>
      <c r="C12" s="13">
        <v>10842</v>
      </c>
      <c r="D12" s="13" t="s">
        <v>213</v>
      </c>
    </row>
    <row r="13" spans="2:4">
      <c r="B13" s="1" t="s">
        <v>207</v>
      </c>
      <c r="C13" s="13">
        <v>10105</v>
      </c>
      <c r="D13" s="13" t="s">
        <v>213</v>
      </c>
    </row>
    <row r="14" spans="2:4">
      <c r="B14" s="31" t="s">
        <v>208</v>
      </c>
      <c r="C14" s="32">
        <f>+SUM(C4:C13)</f>
        <v>182314</v>
      </c>
      <c r="D14" s="33"/>
    </row>
    <row r="15" spans="2:4">
      <c r="B15" s="31" t="s">
        <v>210</v>
      </c>
      <c r="C15" s="32">
        <v>86742</v>
      </c>
      <c r="D15" s="13"/>
    </row>
    <row r="16" spans="2:4">
      <c r="B16" s="31" t="s">
        <v>216</v>
      </c>
      <c r="C16" s="32">
        <v>0</v>
      </c>
      <c r="D16" s="33"/>
    </row>
    <row r="17" spans="2:6">
      <c r="B17" s="6" t="s">
        <v>93</v>
      </c>
      <c r="C17" s="33">
        <f>+SUM(C14:C16)</f>
        <v>269056</v>
      </c>
      <c r="D17" s="13"/>
    </row>
    <row r="18" spans="2:6">
      <c r="B18" s="1"/>
      <c r="C18" s="13"/>
      <c r="D18" s="13"/>
    </row>
    <row r="19" spans="2:6">
      <c r="B19" s="1"/>
      <c r="C19" s="13"/>
      <c r="D19" s="13"/>
    </row>
    <row r="20" spans="2:6">
      <c r="B20" s="1" t="s">
        <v>217</v>
      </c>
      <c r="C20" s="18" t="s">
        <v>211</v>
      </c>
      <c r="D20" s="13"/>
    </row>
    <row r="21" spans="2:6">
      <c r="B21" s="1" t="s">
        <v>218</v>
      </c>
      <c r="C21" s="18" t="s">
        <v>215</v>
      </c>
      <c r="D21" s="13"/>
    </row>
    <row r="22" spans="2:6">
      <c r="B22" s="1" t="s">
        <v>220</v>
      </c>
      <c r="C22" s="18" t="s">
        <v>219</v>
      </c>
      <c r="D22" s="13"/>
    </row>
    <row r="23" spans="2:6">
      <c r="B23" s="1"/>
      <c r="C23" s="13"/>
      <c r="D23" s="13"/>
    </row>
    <row r="24" spans="2:6">
      <c r="B24" s="1" t="s">
        <v>222</v>
      </c>
      <c r="C24" s="13"/>
      <c r="D24" s="13"/>
    </row>
    <row r="25" spans="2:6" ht="17">
      <c r="B25" s="37" t="s">
        <v>223</v>
      </c>
      <c r="C25" s="13"/>
      <c r="D25" s="13"/>
    </row>
    <row r="30" spans="2:6">
      <c r="B30" s="19" t="s">
        <v>98</v>
      </c>
      <c r="C30" s="13"/>
      <c r="D30" s="13"/>
      <c r="E30" s="13"/>
      <c r="F30" s="1"/>
    </row>
    <row r="31" spans="2:6">
      <c r="B31" s="15" t="s">
        <v>81</v>
      </c>
      <c r="C31" s="16" t="s">
        <v>79</v>
      </c>
      <c r="D31" s="16" t="s">
        <v>94</v>
      </c>
      <c r="E31" s="16" t="s">
        <v>95</v>
      </c>
      <c r="F31" s="1" t="s">
        <v>187</v>
      </c>
    </row>
    <row r="32" spans="2:6">
      <c r="B32" s="1" t="s">
        <v>80</v>
      </c>
      <c r="C32" s="13">
        <v>27335</v>
      </c>
      <c r="D32" s="13">
        <v>47538</v>
      </c>
      <c r="E32" s="13">
        <v>13975</v>
      </c>
      <c r="F32" s="1" t="s">
        <v>188</v>
      </c>
    </row>
    <row r="33" spans="2:6">
      <c r="B33" s="1" t="s">
        <v>82</v>
      </c>
      <c r="C33" s="13">
        <v>25996</v>
      </c>
      <c r="D33" s="13">
        <v>67600</v>
      </c>
      <c r="E33" s="13">
        <v>14608</v>
      </c>
      <c r="F33" s="1" t="s">
        <v>188</v>
      </c>
    </row>
    <row r="34" spans="2:6">
      <c r="B34" s="1" t="s">
        <v>83</v>
      </c>
      <c r="C34" s="13">
        <v>25977</v>
      </c>
      <c r="D34" s="13">
        <v>57361</v>
      </c>
      <c r="E34" s="13">
        <v>14422</v>
      </c>
      <c r="F34" s="1" t="s">
        <v>190</v>
      </c>
    </row>
    <row r="35" spans="2:6">
      <c r="B35" s="1" t="s">
        <v>84</v>
      </c>
      <c r="C35" s="13">
        <v>22845</v>
      </c>
      <c r="D35" s="13">
        <v>36933</v>
      </c>
      <c r="E35" s="13">
        <v>11936</v>
      </c>
      <c r="F35" s="1" t="s">
        <v>189</v>
      </c>
    </row>
    <row r="36" spans="2:6">
      <c r="B36" s="1" t="s">
        <v>85</v>
      </c>
      <c r="C36" s="13">
        <v>21134</v>
      </c>
      <c r="D36" s="13">
        <v>49781</v>
      </c>
      <c r="E36" s="13">
        <v>12917</v>
      </c>
      <c r="F36" s="1" t="s">
        <v>188</v>
      </c>
    </row>
    <row r="37" spans="2:6">
      <c r="B37" s="1" t="s">
        <v>86</v>
      </c>
      <c r="C37" s="13">
        <v>20201</v>
      </c>
      <c r="D37" s="13">
        <v>41866</v>
      </c>
      <c r="E37" s="13">
        <v>10539</v>
      </c>
      <c r="F37" s="1" t="s">
        <v>189</v>
      </c>
    </row>
    <row r="38" spans="2:6">
      <c r="B38" s="1" t="s">
        <v>87</v>
      </c>
      <c r="C38" s="13">
        <v>20104</v>
      </c>
      <c r="D38" s="13">
        <v>39846</v>
      </c>
      <c r="E38" s="13">
        <v>12937</v>
      </c>
      <c r="F38" s="1" t="s">
        <v>188</v>
      </c>
    </row>
    <row r="39" spans="2:6">
      <c r="B39" s="1" t="s">
        <v>88</v>
      </c>
      <c r="C39" s="13">
        <v>19093</v>
      </c>
      <c r="D39" s="13">
        <v>73301</v>
      </c>
      <c r="E39" s="13">
        <v>8289</v>
      </c>
      <c r="F39" s="1" t="s">
        <v>189</v>
      </c>
    </row>
    <row r="40" spans="2:6">
      <c r="B40" s="1" t="s">
        <v>89</v>
      </c>
      <c r="C40" s="13">
        <v>17007</v>
      </c>
      <c r="D40" s="13">
        <v>23660</v>
      </c>
      <c r="E40" s="13">
        <v>8574</v>
      </c>
      <c r="F40" s="1" t="s">
        <v>190</v>
      </c>
    </row>
    <row r="41" spans="2:6">
      <c r="B41" s="1" t="s">
        <v>90</v>
      </c>
      <c r="C41" s="13">
        <v>14655</v>
      </c>
      <c r="D41" s="13">
        <v>36223</v>
      </c>
      <c r="E41" s="13">
        <v>7685</v>
      </c>
      <c r="F41" s="1" t="s">
        <v>189</v>
      </c>
    </row>
    <row r="42" spans="2:6">
      <c r="B42" s="1" t="s">
        <v>91</v>
      </c>
      <c r="C42" s="13">
        <v>13478</v>
      </c>
      <c r="D42" s="13">
        <v>28119</v>
      </c>
      <c r="E42" s="13">
        <v>7249</v>
      </c>
      <c r="F42" s="1" t="s">
        <v>189</v>
      </c>
    </row>
    <row r="43" spans="2:6">
      <c r="B43" s="1" t="s">
        <v>92</v>
      </c>
      <c r="C43" s="13">
        <v>167309</v>
      </c>
      <c r="D43" s="13">
        <v>446395</v>
      </c>
      <c r="E43" s="13">
        <v>91651</v>
      </c>
      <c r="F43" s="1"/>
    </row>
    <row r="44" spans="2:6">
      <c r="B44" s="15" t="s">
        <v>93</v>
      </c>
      <c r="C44" s="16">
        <f>SUM(C32:C43)</f>
        <v>395134</v>
      </c>
      <c r="D44" s="16">
        <f>SUM(D32:D43)</f>
        <v>948623</v>
      </c>
      <c r="E44" s="16">
        <f>SUM(E32:E43)</f>
        <v>214782</v>
      </c>
      <c r="F44" s="1"/>
    </row>
    <row r="45" spans="2:6">
      <c r="B45" s="1"/>
      <c r="C45" s="13"/>
      <c r="D45" s="13"/>
      <c r="E45" s="13"/>
      <c r="F45" s="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1DF16-159A-8847-A5B1-291115D684F6}">
  <dimension ref="B2:I54"/>
  <sheetViews>
    <sheetView zoomScale="138" workbookViewId="0">
      <selection activeCell="C61" sqref="C61"/>
    </sheetView>
  </sheetViews>
  <sheetFormatPr baseColWidth="10" defaultRowHeight="13"/>
  <cols>
    <col min="1" max="1" width="4.33203125" customWidth="1"/>
    <col min="2" max="2" width="19.6640625" bestFit="1" customWidth="1"/>
    <col min="3" max="3" width="12.5" bestFit="1" customWidth="1"/>
    <col min="4" max="4" width="14.5" bestFit="1" customWidth="1"/>
    <col min="5" max="5" width="8" bestFit="1" customWidth="1"/>
    <col min="6" max="6" width="12.5" bestFit="1" customWidth="1"/>
    <col min="7" max="7" width="24.5" bestFit="1" customWidth="1"/>
  </cols>
  <sheetData>
    <row r="2" spans="2:9">
      <c r="I2">
        <f>COUNTA(B6:B54)</f>
        <v>43</v>
      </c>
    </row>
    <row r="3" spans="2:9">
      <c r="B3" t="s">
        <v>231</v>
      </c>
      <c r="E3" t="e" cm="1">
        <f t="array" aca="1" ref="E3" ca="1">range(E6:E54)</f>
        <v>#NAME?</v>
      </c>
    </row>
    <row r="4" spans="2:9">
      <c r="B4" t="s">
        <v>232</v>
      </c>
      <c r="C4" t="s">
        <v>233</v>
      </c>
      <c r="D4" t="s">
        <v>235</v>
      </c>
      <c r="E4" t="s">
        <v>237</v>
      </c>
      <c r="F4" t="s">
        <v>238</v>
      </c>
      <c r="G4" t="s">
        <v>240</v>
      </c>
      <c r="I4" t="s">
        <v>312</v>
      </c>
    </row>
    <row r="5" spans="2:9">
      <c r="C5" t="s">
        <v>234</v>
      </c>
      <c r="D5" t="s">
        <v>236</v>
      </c>
      <c r="F5" t="s">
        <v>239</v>
      </c>
      <c r="I5" t="s">
        <v>313</v>
      </c>
    </row>
    <row r="6" spans="2:9">
      <c r="B6" t="s">
        <v>241</v>
      </c>
      <c r="C6">
        <v>3</v>
      </c>
      <c r="D6" s="40">
        <v>46181</v>
      </c>
      <c r="E6">
        <v>1966</v>
      </c>
      <c r="F6">
        <v>100</v>
      </c>
      <c r="G6" t="s">
        <v>242</v>
      </c>
      <c r="I6" t="s">
        <v>314</v>
      </c>
    </row>
    <row r="7" spans="2:9">
      <c r="B7" t="s">
        <v>243</v>
      </c>
      <c r="C7">
        <v>5</v>
      </c>
      <c r="D7" s="40">
        <v>46258</v>
      </c>
      <c r="E7">
        <v>1992</v>
      </c>
      <c r="F7">
        <v>145</v>
      </c>
      <c r="G7" t="s">
        <v>244</v>
      </c>
      <c r="I7" t="s">
        <v>315</v>
      </c>
    </row>
    <row r="8" spans="2:9">
      <c r="G8" t="s">
        <v>245</v>
      </c>
      <c r="I8">
        <v>9</v>
      </c>
    </row>
    <row r="9" spans="2:9">
      <c r="B9" t="s">
        <v>246</v>
      </c>
      <c r="C9">
        <v>3</v>
      </c>
      <c r="D9" s="40">
        <v>46273</v>
      </c>
      <c r="E9">
        <v>1965</v>
      </c>
      <c r="F9">
        <v>100</v>
      </c>
      <c r="G9" t="s">
        <v>247</v>
      </c>
    </row>
    <row r="10" spans="2:9">
      <c r="B10" t="s">
        <v>248</v>
      </c>
      <c r="C10">
        <v>4</v>
      </c>
      <c r="D10" s="40">
        <v>46247</v>
      </c>
      <c r="E10" s="41">
        <v>2004</v>
      </c>
      <c r="F10">
        <v>130</v>
      </c>
      <c r="G10" t="s">
        <v>249</v>
      </c>
    </row>
    <row r="11" spans="2:9">
      <c r="G11" t="s">
        <v>250</v>
      </c>
      <c r="I11" t="s">
        <v>316</v>
      </c>
    </row>
    <row r="12" spans="2:9">
      <c r="B12" t="s">
        <v>251</v>
      </c>
      <c r="C12">
        <v>3</v>
      </c>
      <c r="D12" s="40">
        <v>46213</v>
      </c>
      <c r="E12">
        <v>2005</v>
      </c>
      <c r="F12">
        <v>105</v>
      </c>
      <c r="G12" t="s">
        <v>252</v>
      </c>
      <c r="I12" s="7">
        <f>4/I2</f>
        <v>9.3023255813953487E-2</v>
      </c>
    </row>
    <row r="13" spans="2:9">
      <c r="B13" t="s">
        <v>253</v>
      </c>
      <c r="C13">
        <v>4</v>
      </c>
      <c r="D13" s="40">
        <v>46275</v>
      </c>
      <c r="E13">
        <v>1960</v>
      </c>
      <c r="F13">
        <v>125</v>
      </c>
      <c r="G13" t="s">
        <v>254</v>
      </c>
      <c r="I13" t="s">
        <v>317</v>
      </c>
    </row>
    <row r="14" spans="2:9">
      <c r="B14" t="s">
        <v>255</v>
      </c>
      <c r="C14">
        <v>3</v>
      </c>
      <c r="D14" s="40">
        <v>46270</v>
      </c>
      <c r="E14">
        <v>1950</v>
      </c>
      <c r="F14">
        <v>105</v>
      </c>
      <c r="G14" t="s">
        <v>256</v>
      </c>
      <c r="I14" s="5">
        <f>1/4</f>
        <v>0.25</v>
      </c>
    </row>
    <row r="15" spans="2:9">
      <c r="B15" t="s">
        <v>257</v>
      </c>
      <c r="C15">
        <v>3</v>
      </c>
      <c r="D15" s="40">
        <v>46267</v>
      </c>
      <c r="E15">
        <v>1985</v>
      </c>
      <c r="F15">
        <v>100</v>
      </c>
      <c r="G15" t="s">
        <v>258</v>
      </c>
    </row>
    <row r="16" spans="2:9">
      <c r="B16" t="s">
        <v>259</v>
      </c>
      <c r="C16">
        <v>3</v>
      </c>
      <c r="D16" s="40">
        <v>46288</v>
      </c>
      <c r="E16">
        <v>1975</v>
      </c>
      <c r="F16">
        <v>110</v>
      </c>
      <c r="G16" t="s">
        <v>260</v>
      </c>
    </row>
    <row r="17" spans="2:7">
      <c r="B17" t="s">
        <v>261</v>
      </c>
      <c r="C17">
        <v>4</v>
      </c>
      <c r="D17" s="40">
        <v>46275</v>
      </c>
      <c r="E17">
        <v>1919</v>
      </c>
      <c r="F17">
        <v>130</v>
      </c>
      <c r="G17" t="s">
        <v>262</v>
      </c>
    </row>
    <row r="18" spans="2:7">
      <c r="B18" t="s">
        <v>263</v>
      </c>
      <c r="C18">
        <v>4</v>
      </c>
      <c r="D18" t="s">
        <v>264</v>
      </c>
      <c r="E18">
        <v>1926</v>
      </c>
      <c r="F18">
        <v>125</v>
      </c>
      <c r="G18" t="s">
        <v>265</v>
      </c>
    </row>
    <row r="19" spans="2:7">
      <c r="B19" t="s">
        <v>266</v>
      </c>
      <c r="C19">
        <v>3</v>
      </c>
      <c r="D19" s="40">
        <v>46257</v>
      </c>
      <c r="E19">
        <v>1851</v>
      </c>
      <c r="F19">
        <v>100</v>
      </c>
      <c r="G19" t="s">
        <v>267</v>
      </c>
    </row>
    <row r="20" spans="2:7">
      <c r="B20" t="s">
        <v>268</v>
      </c>
      <c r="C20">
        <v>4</v>
      </c>
      <c r="D20" s="40">
        <v>46292</v>
      </c>
      <c r="E20">
        <v>2024</v>
      </c>
      <c r="F20">
        <v>120</v>
      </c>
      <c r="G20" t="s">
        <v>269</v>
      </c>
    </row>
    <row r="21" spans="2:7">
      <c r="B21" t="s">
        <v>270</v>
      </c>
      <c r="C21">
        <v>4</v>
      </c>
      <c r="D21" s="40">
        <v>46293</v>
      </c>
      <c r="E21">
        <v>2022</v>
      </c>
      <c r="F21">
        <v>130</v>
      </c>
      <c r="G21" t="s">
        <v>249</v>
      </c>
    </row>
    <row r="22" spans="2:7">
      <c r="G22" t="s">
        <v>250</v>
      </c>
    </row>
    <row r="23" spans="2:7">
      <c r="B23" t="s">
        <v>271</v>
      </c>
      <c r="C23">
        <v>3</v>
      </c>
      <c r="D23" s="40">
        <v>46264</v>
      </c>
      <c r="E23">
        <v>2023</v>
      </c>
      <c r="F23">
        <v>100</v>
      </c>
      <c r="G23" t="s">
        <v>272</v>
      </c>
    </row>
    <row r="24" spans="2:7">
      <c r="B24" t="s">
        <v>273</v>
      </c>
      <c r="C24">
        <v>4</v>
      </c>
      <c r="D24" s="40">
        <v>46275</v>
      </c>
      <c r="E24">
        <v>2017</v>
      </c>
      <c r="F24">
        <v>115</v>
      </c>
      <c r="G24" t="s">
        <v>274</v>
      </c>
    </row>
    <row r="25" spans="2:7">
      <c r="G25" t="s">
        <v>275</v>
      </c>
    </row>
    <row r="26" spans="2:7">
      <c r="B26" t="s">
        <v>276</v>
      </c>
      <c r="C26">
        <v>3</v>
      </c>
      <c r="D26" s="40">
        <v>46281</v>
      </c>
      <c r="E26" s="41">
        <v>2004</v>
      </c>
      <c r="F26">
        <v>105</v>
      </c>
      <c r="G26" t="s">
        <v>277</v>
      </c>
    </row>
    <row r="27" spans="2:7">
      <c r="B27" t="s">
        <v>278</v>
      </c>
      <c r="C27">
        <v>3</v>
      </c>
      <c r="D27" s="40">
        <v>46291</v>
      </c>
      <c r="E27" s="41">
        <v>2004</v>
      </c>
      <c r="F27">
        <v>105</v>
      </c>
      <c r="G27" t="s">
        <v>279</v>
      </c>
    </row>
    <row r="28" spans="2:7">
      <c r="B28" t="s">
        <v>280</v>
      </c>
      <c r="C28">
        <v>4</v>
      </c>
      <c r="D28" s="40">
        <v>46313</v>
      </c>
      <c r="E28">
        <v>1950</v>
      </c>
      <c r="F28">
        <v>115</v>
      </c>
      <c r="G28" t="s">
        <v>281</v>
      </c>
    </row>
    <row r="29" spans="2:7">
      <c r="B29" t="s">
        <v>282</v>
      </c>
      <c r="C29">
        <v>5</v>
      </c>
      <c r="D29" s="40">
        <v>46268</v>
      </c>
      <c r="E29">
        <v>1935</v>
      </c>
      <c r="F29">
        <v>160</v>
      </c>
      <c r="G29" t="s">
        <v>283</v>
      </c>
    </row>
    <row r="30" spans="2:7">
      <c r="B30" t="s">
        <v>284</v>
      </c>
      <c r="C30">
        <v>5</v>
      </c>
      <c r="D30" s="40">
        <v>46305</v>
      </c>
      <c r="E30">
        <v>2018</v>
      </c>
      <c r="F30">
        <v>140</v>
      </c>
      <c r="G30" t="s">
        <v>285</v>
      </c>
    </row>
    <row r="31" spans="2:7">
      <c r="B31" t="s">
        <v>286</v>
      </c>
      <c r="C31">
        <v>3</v>
      </c>
      <c r="D31" s="40">
        <v>46304</v>
      </c>
      <c r="E31" s="41">
        <v>2024</v>
      </c>
      <c r="F31">
        <v>100</v>
      </c>
      <c r="G31" t="s">
        <v>287</v>
      </c>
    </row>
    <row r="32" spans="2:7">
      <c r="B32" t="s">
        <v>288</v>
      </c>
      <c r="C32">
        <v>4</v>
      </c>
      <c r="D32" s="40">
        <v>46282</v>
      </c>
      <c r="E32">
        <v>1928</v>
      </c>
      <c r="F32">
        <v>125</v>
      </c>
      <c r="G32" t="s">
        <v>289</v>
      </c>
    </row>
    <row r="33" spans="2:7">
      <c r="B33" t="s">
        <v>290</v>
      </c>
      <c r="C33">
        <v>3</v>
      </c>
      <c r="D33" s="40">
        <v>46299</v>
      </c>
      <c r="E33">
        <v>1995</v>
      </c>
      <c r="F33">
        <v>100</v>
      </c>
      <c r="G33" t="s">
        <v>291</v>
      </c>
    </row>
    <row r="34" spans="2:7">
      <c r="B34" t="s">
        <v>292</v>
      </c>
      <c r="C34">
        <v>3</v>
      </c>
      <c r="D34" s="40">
        <v>46320</v>
      </c>
      <c r="E34">
        <v>1921</v>
      </c>
      <c r="F34">
        <v>100</v>
      </c>
      <c r="G34" t="s">
        <v>293</v>
      </c>
    </row>
    <row r="35" spans="2:7">
      <c r="B35" t="s">
        <v>294</v>
      </c>
      <c r="C35">
        <v>3</v>
      </c>
      <c r="D35" s="40">
        <v>46251</v>
      </c>
      <c r="E35">
        <v>1871</v>
      </c>
      <c r="F35">
        <v>100</v>
      </c>
      <c r="G35" t="s">
        <v>295</v>
      </c>
    </row>
    <row r="36" spans="2:7">
      <c r="B36" t="s">
        <v>294</v>
      </c>
      <c r="C36">
        <v>3</v>
      </c>
      <c r="D36" s="40">
        <v>46302</v>
      </c>
      <c r="E36">
        <v>1873</v>
      </c>
      <c r="F36">
        <v>100</v>
      </c>
      <c r="G36" t="s">
        <v>296</v>
      </c>
    </row>
    <row r="37" spans="2:7">
      <c r="B37" t="s">
        <v>294</v>
      </c>
      <c r="C37">
        <v>3</v>
      </c>
      <c r="D37" s="40">
        <v>46298</v>
      </c>
      <c r="E37">
        <v>1877</v>
      </c>
      <c r="F37">
        <v>100</v>
      </c>
      <c r="G37" t="s">
        <v>267</v>
      </c>
    </row>
    <row r="38" spans="2:7">
      <c r="B38" t="s">
        <v>294</v>
      </c>
      <c r="C38">
        <v>3</v>
      </c>
      <c r="D38" s="40">
        <v>46275</v>
      </c>
      <c r="E38">
        <v>1882</v>
      </c>
      <c r="F38">
        <v>110</v>
      </c>
      <c r="G38" t="s">
        <v>297</v>
      </c>
    </row>
    <row r="39" spans="2:7">
      <c r="B39" t="s">
        <v>294</v>
      </c>
      <c r="C39">
        <v>3</v>
      </c>
      <c r="D39" s="40">
        <v>46250</v>
      </c>
      <c r="E39">
        <v>1888</v>
      </c>
      <c r="F39">
        <v>110</v>
      </c>
      <c r="G39" t="s">
        <v>298</v>
      </c>
    </row>
    <row r="40" spans="2:7">
      <c r="B40" t="s">
        <v>294</v>
      </c>
      <c r="C40">
        <v>3</v>
      </c>
      <c r="D40" s="40">
        <v>46304</v>
      </c>
      <c r="E40">
        <v>1894</v>
      </c>
      <c r="F40">
        <v>105</v>
      </c>
      <c r="G40" t="s">
        <v>267</v>
      </c>
    </row>
    <row r="41" spans="2:7">
      <c r="B41" t="s">
        <v>294</v>
      </c>
      <c r="C41">
        <v>3</v>
      </c>
      <c r="D41" s="40">
        <v>46294</v>
      </c>
      <c r="E41">
        <v>1896</v>
      </c>
      <c r="F41">
        <v>110</v>
      </c>
      <c r="G41" t="s">
        <v>299</v>
      </c>
    </row>
    <row r="42" spans="2:7">
      <c r="B42" t="s">
        <v>294</v>
      </c>
      <c r="C42">
        <v>3</v>
      </c>
      <c r="D42" s="40">
        <v>46313</v>
      </c>
      <c r="E42">
        <v>1906</v>
      </c>
      <c r="F42">
        <v>105</v>
      </c>
      <c r="G42" t="s">
        <v>300</v>
      </c>
    </row>
    <row r="43" spans="2:7">
      <c r="G43" t="s">
        <v>301</v>
      </c>
    </row>
    <row r="44" spans="2:7">
      <c r="B44" t="s">
        <v>294</v>
      </c>
      <c r="C44">
        <v>3</v>
      </c>
      <c r="D44" s="40">
        <v>46306</v>
      </c>
      <c r="E44">
        <v>1909</v>
      </c>
      <c r="F44">
        <v>100</v>
      </c>
      <c r="G44" t="s">
        <v>300</v>
      </c>
    </row>
    <row r="45" spans="2:7">
      <c r="B45" t="s">
        <v>294</v>
      </c>
      <c r="C45">
        <v>3</v>
      </c>
      <c r="D45" s="40">
        <v>46294</v>
      </c>
      <c r="E45">
        <v>1917</v>
      </c>
      <c r="F45">
        <v>100</v>
      </c>
      <c r="G45" t="s">
        <v>302</v>
      </c>
    </row>
    <row r="46" spans="2:7">
      <c r="B46" t="s">
        <v>294</v>
      </c>
      <c r="C46">
        <v>3</v>
      </c>
      <c r="D46" s="40">
        <v>46293</v>
      </c>
      <c r="E46">
        <v>1929</v>
      </c>
      <c r="F46">
        <v>100</v>
      </c>
      <c r="G46" t="s">
        <v>247</v>
      </c>
    </row>
    <row r="47" spans="2:7">
      <c r="B47" t="s">
        <v>294</v>
      </c>
      <c r="C47">
        <v>3</v>
      </c>
      <c r="D47" s="40">
        <v>46269</v>
      </c>
      <c r="E47">
        <v>1933</v>
      </c>
      <c r="F47">
        <v>110</v>
      </c>
      <c r="G47" t="s">
        <v>303</v>
      </c>
    </row>
    <row r="48" spans="2:7">
      <c r="B48" t="s">
        <v>294</v>
      </c>
      <c r="C48">
        <v>3</v>
      </c>
      <c r="D48" s="40">
        <v>46313</v>
      </c>
      <c r="E48">
        <v>1944</v>
      </c>
      <c r="F48">
        <v>105</v>
      </c>
      <c r="G48" t="s">
        <v>262</v>
      </c>
    </row>
    <row r="49" spans="2:7">
      <c r="B49" t="s">
        <v>294</v>
      </c>
      <c r="C49">
        <v>4</v>
      </c>
      <c r="D49" s="40">
        <v>46280</v>
      </c>
      <c r="E49">
        <v>1945</v>
      </c>
      <c r="F49">
        <v>115</v>
      </c>
      <c r="G49" t="s">
        <v>304</v>
      </c>
    </row>
    <row r="50" spans="2:7">
      <c r="G50" t="s">
        <v>305</v>
      </c>
    </row>
    <row r="51" spans="2:7">
      <c r="B51" t="s">
        <v>294</v>
      </c>
      <c r="C51">
        <v>4</v>
      </c>
      <c r="D51" s="40">
        <v>46282</v>
      </c>
      <c r="E51">
        <v>1947</v>
      </c>
      <c r="F51">
        <v>115</v>
      </c>
      <c r="G51" t="s">
        <v>306</v>
      </c>
    </row>
    <row r="52" spans="2:7">
      <c r="B52" t="s">
        <v>294</v>
      </c>
      <c r="C52">
        <v>4</v>
      </c>
      <c r="D52" t="s">
        <v>307</v>
      </c>
      <c r="E52">
        <v>1948</v>
      </c>
      <c r="F52">
        <v>115</v>
      </c>
      <c r="G52" t="s">
        <v>308</v>
      </c>
    </row>
    <row r="53" spans="2:7">
      <c r="B53" t="s">
        <v>294</v>
      </c>
      <c r="C53">
        <v>4</v>
      </c>
      <c r="D53" s="40">
        <v>46260</v>
      </c>
      <c r="E53">
        <v>1949</v>
      </c>
      <c r="F53">
        <v>115</v>
      </c>
      <c r="G53" t="s">
        <v>309</v>
      </c>
    </row>
    <row r="54" spans="2:7">
      <c r="B54" t="s">
        <v>310</v>
      </c>
      <c r="C54">
        <v>3</v>
      </c>
      <c r="D54" s="40">
        <v>46319</v>
      </c>
      <c r="E54">
        <v>2005</v>
      </c>
      <c r="F54">
        <v>105</v>
      </c>
      <c r="G54" t="s">
        <v>311</v>
      </c>
    </row>
  </sheetData>
  <conditionalFormatting sqref="E1:E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273F-77E1-0142-BAD9-6D2A79829F20}">
  <dimension ref="B3:C7"/>
  <sheetViews>
    <sheetView showGridLines="0" topLeftCell="B1" zoomScale="189" workbookViewId="0">
      <selection activeCell="C7" sqref="C7"/>
    </sheetView>
  </sheetViews>
  <sheetFormatPr baseColWidth="10" defaultRowHeight="13"/>
  <cols>
    <col min="3" max="3" width="65" bestFit="1" customWidth="1"/>
  </cols>
  <sheetData>
    <row r="3" spans="2:3">
      <c r="B3" t="s">
        <v>185</v>
      </c>
      <c r="C3" s="28" t="s">
        <v>181</v>
      </c>
    </row>
    <row r="4" spans="2:3">
      <c r="C4" s="27" t="s">
        <v>182</v>
      </c>
    </row>
    <row r="5" spans="2:3">
      <c r="C5" s="27" t="s">
        <v>183</v>
      </c>
    </row>
    <row r="6" spans="2:3">
      <c r="C6" s="27" t="s">
        <v>184</v>
      </c>
    </row>
    <row r="7" spans="2:3">
      <c r="C7" s="27" t="s">
        <v>186</v>
      </c>
    </row>
  </sheetData>
  <hyperlinks>
    <hyperlink ref="C3" r:id="rId1" display="https://eei.fiu.edu/_assets/images/hamid.pdf" xr:uid="{D48958EE-8D79-7746-89D8-238B94D449B8}"/>
    <hyperlink ref="C4" r:id="rId2" xr:uid="{0433CD0E-37B2-E940-9434-A1A565B3E155}"/>
    <hyperlink ref="C5" r:id="rId3" xr:uid="{A6DB82D6-7AEA-7C4E-8CEE-EA6BC5C6652C}"/>
    <hyperlink ref="C6" r:id="rId4" xr:uid="{B68146A5-5EC1-D141-B8C9-8810F38C1F6B}"/>
    <hyperlink ref="C7" r:id="rId5" xr:uid="{4E5D36A8-C3C1-F241-9434-EB2BB8A5A14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A6A7-D02F-DA4B-9F47-4AAAF53B7725}">
  <dimension ref="B3:FO165"/>
  <sheetViews>
    <sheetView zoomScale="163" workbookViewId="0">
      <pane xSplit="2" ySplit="3" topLeftCell="S7" activePane="bottomRight" state="frozen"/>
      <selection pane="topRight" activeCell="C1" sqref="C1"/>
      <selection pane="bottomLeft" activeCell="A3" sqref="A3"/>
      <selection pane="bottomRight" activeCell="H77" sqref="H77"/>
    </sheetView>
  </sheetViews>
  <sheetFormatPr baseColWidth="10" defaultRowHeight="13"/>
  <cols>
    <col min="1" max="1" width="1.6640625" style="1" customWidth="1"/>
    <col min="2" max="2" width="42.33203125" style="1" bestFit="1" customWidth="1"/>
    <col min="3" max="5" width="8.1640625" style="3" bestFit="1" customWidth="1"/>
    <col min="6" max="6" width="9.6640625" style="3" bestFit="1" customWidth="1"/>
    <col min="7" max="9" width="8.1640625" style="3" bestFit="1" customWidth="1"/>
    <col min="10" max="10" width="9.1640625" style="3" bestFit="1" customWidth="1"/>
    <col min="11" max="11" width="8.1640625" style="3" bestFit="1" customWidth="1"/>
    <col min="12" max="14" width="5.5" style="3" bestFit="1" customWidth="1"/>
    <col min="15" max="16" width="10.83203125" style="1"/>
    <col min="17" max="18" width="5.1640625" style="1" bestFit="1" customWidth="1"/>
    <col min="19" max="21" width="7.6640625" style="1" bestFit="1" customWidth="1"/>
    <col min="22" max="22" width="8.1640625" style="1" bestFit="1" customWidth="1"/>
    <col min="23" max="23" width="10.6640625" style="1" bestFit="1" customWidth="1"/>
    <col min="24" max="32" width="7.6640625" style="1" bestFit="1" customWidth="1"/>
    <col min="33" max="33" width="9.1640625" style="1" bestFit="1" customWidth="1"/>
    <col min="34" max="35" width="10.83203125" style="1"/>
    <col min="36" max="36" width="13.1640625" style="1" bestFit="1" customWidth="1"/>
    <col min="37" max="16384" width="10.83203125" style="1"/>
  </cols>
  <sheetData>
    <row r="3" spans="2:171" s="2" customFormat="1"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8" t="s">
        <v>13</v>
      </c>
      <c r="K3" s="8" t="s">
        <v>14</v>
      </c>
      <c r="L3" s="8" t="s">
        <v>15</v>
      </c>
      <c r="M3" s="8" t="s">
        <v>16</v>
      </c>
      <c r="N3" s="8" t="s">
        <v>17</v>
      </c>
      <c r="Q3" s="2">
        <v>2019</v>
      </c>
      <c r="R3" s="2">
        <f>+Q3+1</f>
        <v>2020</v>
      </c>
      <c r="S3" s="2">
        <f t="shared" ref="S3:AG3" si="0">+R3+1</f>
        <v>2021</v>
      </c>
      <c r="T3" s="2">
        <f t="shared" si="0"/>
        <v>2022</v>
      </c>
      <c r="U3" s="2">
        <f t="shared" si="0"/>
        <v>2023</v>
      </c>
      <c r="V3" s="2">
        <f t="shared" si="0"/>
        <v>2024</v>
      </c>
      <c r="W3" s="2">
        <f t="shared" si="0"/>
        <v>2025</v>
      </c>
      <c r="X3" s="2">
        <f t="shared" si="0"/>
        <v>2026</v>
      </c>
      <c r="Y3" s="2">
        <f t="shared" si="0"/>
        <v>2027</v>
      </c>
      <c r="Z3" s="2">
        <f t="shared" si="0"/>
        <v>2028</v>
      </c>
      <c r="AA3" s="2">
        <f t="shared" si="0"/>
        <v>2029</v>
      </c>
      <c r="AB3" s="2">
        <f t="shared" si="0"/>
        <v>2030</v>
      </c>
      <c r="AC3" s="2">
        <f t="shared" si="0"/>
        <v>2031</v>
      </c>
      <c r="AD3" s="2">
        <f t="shared" si="0"/>
        <v>2032</v>
      </c>
      <c r="AE3" s="2">
        <f t="shared" si="0"/>
        <v>2033</v>
      </c>
      <c r="AF3" s="2">
        <f t="shared" si="0"/>
        <v>2034</v>
      </c>
      <c r="AG3" s="2">
        <f t="shared" si="0"/>
        <v>2035</v>
      </c>
      <c r="AH3" s="2">
        <f>+AG3+1</f>
        <v>2036</v>
      </c>
      <c r="AI3" s="2">
        <f t="shared" ref="AI3:CT3" si="1">+AH3+1</f>
        <v>2037</v>
      </c>
      <c r="AJ3" s="2">
        <f t="shared" si="1"/>
        <v>2038</v>
      </c>
      <c r="AK3" s="2">
        <f t="shared" si="1"/>
        <v>2039</v>
      </c>
      <c r="AL3" s="2">
        <f t="shared" si="1"/>
        <v>2040</v>
      </c>
      <c r="AM3" s="2">
        <f t="shared" si="1"/>
        <v>2041</v>
      </c>
      <c r="AN3" s="2">
        <f t="shared" si="1"/>
        <v>2042</v>
      </c>
      <c r="AO3" s="2">
        <f t="shared" si="1"/>
        <v>2043</v>
      </c>
      <c r="AP3" s="2">
        <f t="shared" si="1"/>
        <v>2044</v>
      </c>
      <c r="AQ3" s="2">
        <f t="shared" si="1"/>
        <v>2045</v>
      </c>
      <c r="AR3" s="2">
        <f t="shared" si="1"/>
        <v>2046</v>
      </c>
      <c r="AS3" s="2">
        <f t="shared" si="1"/>
        <v>2047</v>
      </c>
      <c r="AT3" s="2">
        <f t="shared" si="1"/>
        <v>2048</v>
      </c>
      <c r="AU3" s="2">
        <f t="shared" si="1"/>
        <v>2049</v>
      </c>
      <c r="AV3" s="2">
        <f t="shared" si="1"/>
        <v>2050</v>
      </c>
      <c r="AW3" s="2">
        <f t="shared" si="1"/>
        <v>2051</v>
      </c>
      <c r="AX3" s="2">
        <f t="shared" si="1"/>
        <v>2052</v>
      </c>
      <c r="AY3" s="2">
        <f t="shared" si="1"/>
        <v>2053</v>
      </c>
      <c r="AZ3" s="2">
        <f t="shared" si="1"/>
        <v>2054</v>
      </c>
      <c r="BA3" s="2">
        <f t="shared" si="1"/>
        <v>2055</v>
      </c>
      <c r="BB3" s="2">
        <f t="shared" si="1"/>
        <v>2056</v>
      </c>
      <c r="BC3" s="2">
        <f t="shared" si="1"/>
        <v>2057</v>
      </c>
      <c r="BD3" s="2">
        <f t="shared" si="1"/>
        <v>2058</v>
      </c>
      <c r="BE3" s="2">
        <f t="shared" si="1"/>
        <v>2059</v>
      </c>
      <c r="BF3" s="2">
        <f t="shared" si="1"/>
        <v>2060</v>
      </c>
      <c r="BG3" s="2">
        <f t="shared" si="1"/>
        <v>2061</v>
      </c>
      <c r="BH3" s="2">
        <f t="shared" si="1"/>
        <v>2062</v>
      </c>
      <c r="BI3" s="2">
        <f t="shared" si="1"/>
        <v>2063</v>
      </c>
      <c r="BJ3" s="2">
        <f t="shared" si="1"/>
        <v>2064</v>
      </c>
      <c r="BK3" s="2">
        <f t="shared" si="1"/>
        <v>2065</v>
      </c>
      <c r="BL3" s="2">
        <f t="shared" si="1"/>
        <v>2066</v>
      </c>
      <c r="BM3" s="2">
        <f t="shared" si="1"/>
        <v>2067</v>
      </c>
      <c r="BN3" s="2">
        <f t="shared" si="1"/>
        <v>2068</v>
      </c>
      <c r="BO3" s="2">
        <f t="shared" si="1"/>
        <v>2069</v>
      </c>
      <c r="BP3" s="2">
        <f t="shared" si="1"/>
        <v>2070</v>
      </c>
      <c r="BQ3" s="2">
        <f t="shared" si="1"/>
        <v>2071</v>
      </c>
      <c r="BR3" s="2">
        <f t="shared" si="1"/>
        <v>2072</v>
      </c>
      <c r="BS3" s="2">
        <f t="shared" si="1"/>
        <v>2073</v>
      </c>
      <c r="BT3" s="2">
        <f t="shared" si="1"/>
        <v>2074</v>
      </c>
      <c r="BU3" s="2">
        <f t="shared" si="1"/>
        <v>2075</v>
      </c>
      <c r="BV3" s="2">
        <f t="shared" si="1"/>
        <v>2076</v>
      </c>
      <c r="BW3" s="2">
        <f t="shared" si="1"/>
        <v>2077</v>
      </c>
      <c r="BX3" s="2">
        <f t="shared" si="1"/>
        <v>2078</v>
      </c>
      <c r="BY3" s="2">
        <f t="shared" si="1"/>
        <v>2079</v>
      </c>
      <c r="BZ3" s="2">
        <f t="shared" si="1"/>
        <v>2080</v>
      </c>
      <c r="CA3" s="2">
        <f t="shared" si="1"/>
        <v>2081</v>
      </c>
      <c r="CB3" s="2">
        <f t="shared" si="1"/>
        <v>2082</v>
      </c>
      <c r="CC3" s="2">
        <f t="shared" si="1"/>
        <v>2083</v>
      </c>
      <c r="CD3" s="2">
        <f t="shared" si="1"/>
        <v>2084</v>
      </c>
      <c r="CE3" s="2">
        <f t="shared" si="1"/>
        <v>2085</v>
      </c>
      <c r="CF3" s="2">
        <f t="shared" si="1"/>
        <v>2086</v>
      </c>
      <c r="CG3" s="2">
        <f t="shared" si="1"/>
        <v>2087</v>
      </c>
      <c r="CH3" s="2">
        <f t="shared" si="1"/>
        <v>2088</v>
      </c>
      <c r="CI3" s="2">
        <f t="shared" si="1"/>
        <v>2089</v>
      </c>
      <c r="CJ3" s="2">
        <f t="shared" si="1"/>
        <v>2090</v>
      </c>
      <c r="CK3" s="2">
        <f t="shared" si="1"/>
        <v>2091</v>
      </c>
      <c r="CL3" s="2">
        <f t="shared" si="1"/>
        <v>2092</v>
      </c>
      <c r="CM3" s="2">
        <f t="shared" si="1"/>
        <v>2093</v>
      </c>
      <c r="CN3" s="2">
        <f t="shared" si="1"/>
        <v>2094</v>
      </c>
      <c r="CO3" s="2">
        <f t="shared" si="1"/>
        <v>2095</v>
      </c>
      <c r="CP3" s="2">
        <f t="shared" si="1"/>
        <v>2096</v>
      </c>
      <c r="CQ3" s="2">
        <f t="shared" si="1"/>
        <v>2097</v>
      </c>
      <c r="CR3" s="2">
        <f t="shared" si="1"/>
        <v>2098</v>
      </c>
      <c r="CS3" s="2">
        <f t="shared" si="1"/>
        <v>2099</v>
      </c>
      <c r="CT3" s="2">
        <f t="shared" si="1"/>
        <v>2100</v>
      </c>
      <c r="CU3" s="2">
        <f t="shared" ref="CU3:FF3" si="2">+CT3+1</f>
        <v>2101</v>
      </c>
      <c r="CV3" s="2">
        <f t="shared" si="2"/>
        <v>2102</v>
      </c>
      <c r="CW3" s="2">
        <f t="shared" si="2"/>
        <v>2103</v>
      </c>
      <c r="CX3" s="2">
        <f t="shared" si="2"/>
        <v>2104</v>
      </c>
      <c r="CY3" s="2">
        <f t="shared" si="2"/>
        <v>2105</v>
      </c>
      <c r="CZ3" s="2">
        <f t="shared" si="2"/>
        <v>2106</v>
      </c>
      <c r="DA3" s="2">
        <f t="shared" si="2"/>
        <v>2107</v>
      </c>
      <c r="DB3" s="2">
        <f t="shared" si="2"/>
        <v>2108</v>
      </c>
      <c r="DC3" s="2">
        <f t="shared" si="2"/>
        <v>2109</v>
      </c>
      <c r="DD3" s="2">
        <f t="shared" si="2"/>
        <v>2110</v>
      </c>
      <c r="DE3" s="2">
        <f t="shared" si="2"/>
        <v>2111</v>
      </c>
      <c r="DF3" s="2">
        <f t="shared" si="2"/>
        <v>2112</v>
      </c>
      <c r="DG3" s="2">
        <f t="shared" si="2"/>
        <v>2113</v>
      </c>
      <c r="DH3" s="2">
        <f t="shared" si="2"/>
        <v>2114</v>
      </c>
      <c r="DI3" s="2">
        <f t="shared" si="2"/>
        <v>2115</v>
      </c>
      <c r="DJ3" s="2">
        <f t="shared" si="2"/>
        <v>2116</v>
      </c>
      <c r="DK3" s="2">
        <f t="shared" si="2"/>
        <v>2117</v>
      </c>
      <c r="DL3" s="2">
        <f t="shared" si="2"/>
        <v>2118</v>
      </c>
      <c r="DM3" s="2">
        <f t="shared" si="2"/>
        <v>2119</v>
      </c>
      <c r="DN3" s="2">
        <f t="shared" si="2"/>
        <v>2120</v>
      </c>
      <c r="DO3" s="2">
        <f t="shared" si="2"/>
        <v>2121</v>
      </c>
      <c r="DP3" s="2">
        <f t="shared" si="2"/>
        <v>2122</v>
      </c>
      <c r="DQ3" s="2">
        <f t="shared" si="2"/>
        <v>2123</v>
      </c>
      <c r="DR3" s="2">
        <f t="shared" si="2"/>
        <v>2124</v>
      </c>
      <c r="DS3" s="2">
        <f t="shared" si="2"/>
        <v>2125</v>
      </c>
      <c r="DT3" s="2">
        <f t="shared" si="2"/>
        <v>2126</v>
      </c>
      <c r="DU3" s="2">
        <f t="shared" si="2"/>
        <v>2127</v>
      </c>
      <c r="DV3" s="2">
        <f t="shared" si="2"/>
        <v>2128</v>
      </c>
      <c r="DW3" s="2">
        <f t="shared" si="2"/>
        <v>2129</v>
      </c>
      <c r="DX3" s="2">
        <f t="shared" si="2"/>
        <v>2130</v>
      </c>
      <c r="DY3" s="2">
        <f t="shared" si="2"/>
        <v>2131</v>
      </c>
      <c r="DZ3" s="2">
        <f t="shared" si="2"/>
        <v>2132</v>
      </c>
      <c r="EA3" s="2">
        <f t="shared" si="2"/>
        <v>2133</v>
      </c>
      <c r="EB3" s="2">
        <f t="shared" si="2"/>
        <v>2134</v>
      </c>
      <c r="EC3" s="2">
        <f t="shared" si="2"/>
        <v>2135</v>
      </c>
      <c r="ED3" s="2">
        <f t="shared" si="2"/>
        <v>2136</v>
      </c>
      <c r="EE3" s="2">
        <f t="shared" si="2"/>
        <v>2137</v>
      </c>
      <c r="EF3" s="2">
        <f t="shared" si="2"/>
        <v>2138</v>
      </c>
      <c r="EG3" s="2">
        <f t="shared" si="2"/>
        <v>2139</v>
      </c>
      <c r="EH3" s="2">
        <f t="shared" si="2"/>
        <v>2140</v>
      </c>
      <c r="EI3" s="2">
        <f t="shared" si="2"/>
        <v>2141</v>
      </c>
      <c r="EJ3" s="2">
        <f t="shared" si="2"/>
        <v>2142</v>
      </c>
      <c r="EK3" s="2">
        <f t="shared" si="2"/>
        <v>2143</v>
      </c>
      <c r="EL3" s="2">
        <f t="shared" si="2"/>
        <v>2144</v>
      </c>
      <c r="EM3" s="2">
        <f t="shared" si="2"/>
        <v>2145</v>
      </c>
      <c r="EN3" s="2">
        <f t="shared" si="2"/>
        <v>2146</v>
      </c>
      <c r="EO3" s="2">
        <f t="shared" si="2"/>
        <v>2147</v>
      </c>
      <c r="EP3" s="2">
        <f t="shared" si="2"/>
        <v>2148</v>
      </c>
      <c r="EQ3" s="2">
        <f t="shared" si="2"/>
        <v>2149</v>
      </c>
      <c r="ER3" s="2">
        <f t="shared" si="2"/>
        <v>2150</v>
      </c>
      <c r="ES3" s="2">
        <f t="shared" si="2"/>
        <v>2151</v>
      </c>
      <c r="ET3" s="2">
        <f t="shared" si="2"/>
        <v>2152</v>
      </c>
      <c r="EU3" s="2">
        <f t="shared" si="2"/>
        <v>2153</v>
      </c>
      <c r="EV3" s="2">
        <f t="shared" si="2"/>
        <v>2154</v>
      </c>
      <c r="EW3" s="2">
        <f t="shared" si="2"/>
        <v>2155</v>
      </c>
      <c r="EX3" s="2">
        <f t="shared" si="2"/>
        <v>2156</v>
      </c>
      <c r="EY3" s="2">
        <f t="shared" si="2"/>
        <v>2157</v>
      </c>
      <c r="EZ3" s="2">
        <f t="shared" si="2"/>
        <v>2158</v>
      </c>
      <c r="FA3" s="2">
        <f t="shared" si="2"/>
        <v>2159</v>
      </c>
      <c r="FB3" s="2">
        <f t="shared" si="2"/>
        <v>2160</v>
      </c>
      <c r="FC3" s="2">
        <f t="shared" si="2"/>
        <v>2161</v>
      </c>
      <c r="FD3" s="2">
        <f t="shared" si="2"/>
        <v>2162</v>
      </c>
      <c r="FE3" s="2">
        <f t="shared" si="2"/>
        <v>2163</v>
      </c>
      <c r="FF3" s="2">
        <f t="shared" si="2"/>
        <v>2164</v>
      </c>
      <c r="FG3" s="2">
        <f t="shared" ref="FG3:FO3" si="3">+FF3+1</f>
        <v>2165</v>
      </c>
      <c r="FH3" s="2">
        <f t="shared" si="3"/>
        <v>2166</v>
      </c>
      <c r="FI3" s="2">
        <f t="shared" si="3"/>
        <v>2167</v>
      </c>
      <c r="FJ3" s="2">
        <f t="shared" si="3"/>
        <v>2168</v>
      </c>
      <c r="FK3" s="2">
        <f t="shared" si="3"/>
        <v>2169</v>
      </c>
      <c r="FL3" s="2">
        <f t="shared" si="3"/>
        <v>2170</v>
      </c>
      <c r="FM3" s="2">
        <f t="shared" si="3"/>
        <v>2171</v>
      </c>
      <c r="FN3" s="2">
        <f t="shared" si="3"/>
        <v>2172</v>
      </c>
      <c r="FO3" s="2">
        <f t="shared" si="3"/>
        <v>2173</v>
      </c>
    </row>
    <row r="4" spans="2:171" s="7" customFormat="1">
      <c r="B4" s="7" t="s">
        <v>39</v>
      </c>
      <c r="C4" s="7">
        <f t="shared" ref="C4:K4" si="4">+C30/SUM(C24:C25)</f>
        <v>0.49868991355878245</v>
      </c>
      <c r="D4" s="7">
        <f t="shared" si="4"/>
        <v>0.29611411706837187</v>
      </c>
      <c r="E4" s="7">
        <f t="shared" si="4"/>
        <v>0.59013493111907911</v>
      </c>
      <c r="F4" s="7">
        <f t="shared" si="4"/>
        <v>0.51645808736717824</v>
      </c>
      <c r="G4" s="7">
        <f t="shared" si="4"/>
        <v>0.30858207851374136</v>
      </c>
      <c r="H4" s="7">
        <f t="shared" si="4"/>
        <v>0.30648287433464477</v>
      </c>
      <c r="I4" s="7">
        <f t="shared" si="4"/>
        <v>0.54105539741624697</v>
      </c>
      <c r="J4" s="7">
        <f t="shared" si="4"/>
        <v>0.42626347654352964</v>
      </c>
      <c r="K4" s="7">
        <f t="shared" si="4"/>
        <v>0.3734417854578414</v>
      </c>
      <c r="L4" s="9"/>
      <c r="M4" s="9"/>
      <c r="N4" s="9"/>
      <c r="V4" s="7">
        <f>+V30/SUM(V24:V25)</f>
        <v>0.47945610404966005</v>
      </c>
      <c r="W4" s="7">
        <f>+W30/SUM(W24:W25)</f>
        <v>0.3869966840360019</v>
      </c>
      <c r="X4" s="7">
        <f>AVERAGE(0.387,0.4)</f>
        <v>0.39350000000000002</v>
      </c>
      <c r="Y4" s="7">
        <f t="shared" ref="Y4:AF4" si="5">AVERAGE(0.387,0.4)</f>
        <v>0.39350000000000002</v>
      </c>
      <c r="Z4" s="7">
        <v>0.8</v>
      </c>
      <c r="AA4" s="7">
        <f t="shared" si="5"/>
        <v>0.39350000000000002</v>
      </c>
      <c r="AB4" s="7">
        <f t="shared" si="5"/>
        <v>0.39350000000000002</v>
      </c>
      <c r="AC4" s="7">
        <f t="shared" si="5"/>
        <v>0.39350000000000002</v>
      </c>
      <c r="AD4" s="7">
        <v>0.8</v>
      </c>
      <c r="AE4" s="7">
        <f t="shared" si="5"/>
        <v>0.39350000000000002</v>
      </c>
      <c r="AF4" s="7">
        <f t="shared" si="5"/>
        <v>0.39350000000000002</v>
      </c>
      <c r="AG4" s="7">
        <v>0.8</v>
      </c>
    </row>
    <row r="5" spans="2:171" s="7" customFormat="1">
      <c r="B5" s="7" t="s">
        <v>40</v>
      </c>
      <c r="C5" s="9">
        <v>0.26</v>
      </c>
      <c r="D5" s="9">
        <v>0.312</v>
      </c>
      <c r="E5" s="9">
        <v>0.35299999999999998</v>
      </c>
      <c r="F5" s="9">
        <v>0.371</v>
      </c>
      <c r="G5" s="9">
        <v>0.12</v>
      </c>
      <c r="H5" s="9">
        <v>0.42299999999999999</v>
      </c>
      <c r="I5" s="9">
        <v>0.248</v>
      </c>
      <c r="J5" s="9">
        <v>0.20200000000000001</v>
      </c>
      <c r="K5" s="9">
        <v>0.376</v>
      </c>
      <c r="L5" s="9"/>
      <c r="M5" s="9"/>
      <c r="N5" s="9"/>
      <c r="V5" s="7">
        <v>0.33</v>
      </c>
      <c r="W5" s="7">
        <v>0.25</v>
      </c>
      <c r="X5" s="7">
        <f>AVERAGE(V5:W5)</f>
        <v>0.29000000000000004</v>
      </c>
      <c r="Y5" s="7">
        <f t="shared" ref="Y5:AG5" si="6">AVERAGE(W5:X5)</f>
        <v>0.27</v>
      </c>
      <c r="Z5" s="7">
        <f t="shared" si="6"/>
        <v>0.28000000000000003</v>
      </c>
      <c r="AA5" s="7">
        <f t="shared" si="6"/>
        <v>0.27500000000000002</v>
      </c>
      <c r="AB5" s="7">
        <f t="shared" si="6"/>
        <v>0.27750000000000002</v>
      </c>
      <c r="AC5" s="7">
        <f t="shared" si="6"/>
        <v>0.27625</v>
      </c>
      <c r="AD5" s="7">
        <f t="shared" si="6"/>
        <v>0.27687499999999998</v>
      </c>
      <c r="AE5" s="7">
        <f t="shared" si="6"/>
        <v>0.27656249999999999</v>
      </c>
      <c r="AF5" s="7">
        <f t="shared" si="6"/>
        <v>0.27671875000000001</v>
      </c>
      <c r="AG5" s="7">
        <f t="shared" si="6"/>
        <v>0.27664062499999997</v>
      </c>
    </row>
    <row r="6" spans="2:171" s="7" customFormat="1">
      <c r="B6" s="7" t="s">
        <v>41</v>
      </c>
      <c r="C6" s="9">
        <f t="shared" ref="C6:K6" si="7">+SUM(C4:C5)</f>
        <v>0.75868991355878246</v>
      </c>
      <c r="D6" s="9">
        <f t="shared" si="7"/>
        <v>0.60811411706837193</v>
      </c>
      <c r="E6" s="9">
        <f t="shared" si="7"/>
        <v>0.94313493111907909</v>
      </c>
      <c r="F6" s="9">
        <f t="shared" si="7"/>
        <v>0.88745808736717824</v>
      </c>
      <c r="G6" s="9">
        <f t="shared" si="7"/>
        <v>0.42858207851374136</v>
      </c>
      <c r="H6" s="9">
        <f t="shared" si="7"/>
        <v>0.72948287433464476</v>
      </c>
      <c r="I6" s="9">
        <f t="shared" si="7"/>
        <v>0.78905539741624697</v>
      </c>
      <c r="J6" s="9">
        <f t="shared" si="7"/>
        <v>0.62826347654352965</v>
      </c>
      <c r="K6" s="9">
        <f t="shared" si="7"/>
        <v>0.74944178545784146</v>
      </c>
      <c r="L6" s="9"/>
      <c r="M6" s="9"/>
      <c r="N6" s="9"/>
      <c r="V6" s="7">
        <f>+SUM(V4:V5)</f>
        <v>0.80945610404966006</v>
      </c>
      <c r="W6" s="7">
        <f>+SUM(W4:W5)</f>
        <v>0.63699668403600196</v>
      </c>
      <c r="X6" s="7">
        <f>+SUM(X4:X5)</f>
        <v>0.6835</v>
      </c>
      <c r="Y6" s="7">
        <f t="shared" ref="Y6:AG6" si="8">+SUM(Y4:Y5)</f>
        <v>0.66349999999999998</v>
      </c>
      <c r="Z6" s="7">
        <f t="shared" si="8"/>
        <v>1.08</v>
      </c>
      <c r="AA6" s="7">
        <f t="shared" si="8"/>
        <v>0.66850000000000009</v>
      </c>
      <c r="AB6" s="7">
        <f t="shared" si="8"/>
        <v>0.67100000000000004</v>
      </c>
      <c r="AC6" s="7">
        <f t="shared" si="8"/>
        <v>0.66975000000000007</v>
      </c>
      <c r="AD6" s="7">
        <f t="shared" si="8"/>
        <v>1.076875</v>
      </c>
      <c r="AE6" s="7">
        <f t="shared" si="8"/>
        <v>0.67006250000000001</v>
      </c>
      <c r="AF6" s="7">
        <f t="shared" si="8"/>
        <v>0.67021875000000009</v>
      </c>
      <c r="AG6" s="7">
        <f t="shared" si="8"/>
        <v>1.076640625</v>
      </c>
    </row>
    <row r="7" spans="2:171" s="7" customFormat="1">
      <c r="B7" s="7" t="s">
        <v>42</v>
      </c>
      <c r="C7" s="9">
        <v>0.46500000000000002</v>
      </c>
      <c r="D7" s="9">
        <v>0.46100000000000002</v>
      </c>
      <c r="E7" s="9">
        <v>0.46800000000000003</v>
      </c>
      <c r="F7" s="9"/>
      <c r="G7" s="9">
        <v>0.41399999999999998</v>
      </c>
      <c r="H7" s="9">
        <v>0.42199999999999999</v>
      </c>
      <c r="I7" s="9">
        <v>0.48</v>
      </c>
      <c r="J7" s="9"/>
      <c r="K7" s="9">
        <v>0.46600000000000003</v>
      </c>
      <c r="L7" s="9"/>
      <c r="M7" s="9"/>
      <c r="N7" s="9"/>
      <c r="V7" s="7">
        <v>0.44900000000000001</v>
      </c>
      <c r="W7" s="7">
        <v>0.44500000000000001</v>
      </c>
    </row>
    <row r="8" spans="2:171" s="7" customFormat="1">
      <c r="B8" s="7" t="s">
        <v>43</v>
      </c>
      <c r="C8" s="9">
        <v>0.43099999999999999</v>
      </c>
      <c r="D8" s="9">
        <v>0.32</v>
      </c>
      <c r="E8" s="9">
        <v>0.36399999999999999</v>
      </c>
      <c r="F8" s="9"/>
      <c r="G8" s="9">
        <v>0.3</v>
      </c>
      <c r="H8" s="9">
        <v>0.33100000000000002</v>
      </c>
      <c r="I8" s="9">
        <v>0.499</v>
      </c>
      <c r="J8" s="9"/>
      <c r="K8" s="9">
        <v>0.373</v>
      </c>
      <c r="L8" s="9"/>
      <c r="M8" s="9"/>
      <c r="N8" s="9"/>
      <c r="V8" s="7">
        <v>0.32600000000000001</v>
      </c>
      <c r="W8" s="7">
        <v>0.39400000000000002</v>
      </c>
    </row>
    <row r="9" spans="2:171" s="5" customFormat="1">
      <c r="B9" s="5" t="s">
        <v>165</v>
      </c>
      <c r="C9" s="10"/>
      <c r="D9" s="10"/>
      <c r="E9" s="10"/>
      <c r="F9" s="10"/>
      <c r="G9" s="10">
        <v>0.16200000000000001</v>
      </c>
      <c r="H9" s="10"/>
      <c r="I9" s="10"/>
      <c r="J9" s="10"/>
      <c r="K9" s="10">
        <v>0.191</v>
      </c>
      <c r="L9" s="10"/>
      <c r="M9" s="10"/>
      <c r="N9" s="10"/>
      <c r="V9" s="5">
        <v>0.17</v>
      </c>
      <c r="W9" s="5">
        <v>0.17</v>
      </c>
    </row>
    <row r="10" spans="2:171" s="7" customFormat="1"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2:171">
      <c r="B11" s="18" t="s">
        <v>191</v>
      </c>
      <c r="S11" s="1">
        <v>390573.06599999999</v>
      </c>
      <c r="T11" s="1">
        <v>466624.03200000001</v>
      </c>
      <c r="U11" s="1">
        <v>531020.71400000004</v>
      </c>
      <c r="V11" s="1">
        <v>518948.72899999999</v>
      </c>
      <c r="W11" s="1">
        <v>479434.48300000001</v>
      </c>
    </row>
    <row r="12" spans="2:171">
      <c r="B12" s="18" t="s">
        <v>192</v>
      </c>
      <c r="S12" s="1">
        <v>10856.88</v>
      </c>
      <c r="T12" s="1">
        <v>16159.555</v>
      </c>
      <c r="U12" s="1">
        <v>34770.868000000002</v>
      </c>
      <c r="V12" s="1">
        <v>62979.828999999998</v>
      </c>
      <c r="W12" s="1">
        <v>87497.281000000003</v>
      </c>
    </row>
    <row r="13" spans="2:171">
      <c r="B13" s="18" t="s">
        <v>193</v>
      </c>
      <c r="S13" s="1">
        <v>17843.368999999999</v>
      </c>
      <c r="T13" s="1">
        <v>31350.203000000001</v>
      </c>
      <c r="U13" s="1">
        <v>41544.546000000002</v>
      </c>
      <c r="V13" s="1">
        <v>45232.533000000003</v>
      </c>
      <c r="W13" s="1">
        <v>52023.553</v>
      </c>
    </row>
    <row r="14" spans="2:171">
      <c r="B14" s="18" t="s">
        <v>194</v>
      </c>
      <c r="S14" s="1">
        <v>11073.5</v>
      </c>
      <c r="T14" s="1">
        <v>20670.858</v>
      </c>
      <c r="U14" s="1">
        <v>30118.603999999999</v>
      </c>
      <c r="V14" s="1">
        <v>34172.754000000001</v>
      </c>
      <c r="W14" s="1">
        <v>36670.697999999997</v>
      </c>
    </row>
    <row r="15" spans="2:171" s="6" customFormat="1">
      <c r="B15" s="30" t="s">
        <v>195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S15" s="6">
        <f>+SUM(S11:S14)</f>
        <v>430346.815</v>
      </c>
      <c r="T15" s="6">
        <f>+SUM(T11:T14)</f>
        <v>534804.64799999993</v>
      </c>
      <c r="U15" s="6">
        <f>+SUM(U11:U14)</f>
        <v>637454.73200000008</v>
      </c>
      <c r="V15" s="6">
        <f>+SUM(V11:V14)</f>
        <v>661333.84499999997</v>
      </c>
      <c r="W15" s="6">
        <f>+SUM(W11:W14)</f>
        <v>655626.0149999999</v>
      </c>
    </row>
    <row r="16" spans="2:171">
      <c r="B16" s="18" t="s">
        <v>196</v>
      </c>
      <c r="S16" s="1">
        <v>30955.106</v>
      </c>
      <c r="T16" s="1">
        <v>31402.552</v>
      </c>
      <c r="U16" s="1">
        <v>34536.1</v>
      </c>
      <c r="V16" s="1">
        <v>213923.356</v>
      </c>
      <c r="W16" s="1">
        <v>292996.93</v>
      </c>
    </row>
    <row r="17" spans="2:33" s="6" customFormat="1">
      <c r="B17" s="6" t="s">
        <v>44</v>
      </c>
      <c r="C17" s="11">
        <v>675486</v>
      </c>
      <c r="D17" s="11">
        <v>695238</v>
      </c>
      <c r="E17" s="11">
        <v>699213</v>
      </c>
      <c r="F17" s="11">
        <v>875257</v>
      </c>
      <c r="G17" s="11">
        <v>909539</v>
      </c>
      <c r="H17" s="11">
        <v>921252</v>
      </c>
      <c r="I17" s="11">
        <v>910404</v>
      </c>
      <c r="J17" s="11">
        <v>948623</v>
      </c>
      <c r="K17" s="11"/>
      <c r="L17" s="11"/>
      <c r="M17" s="11"/>
      <c r="N17" s="11"/>
      <c r="S17" s="6">
        <f>SUM(S15:S16)</f>
        <v>461301.92099999997</v>
      </c>
      <c r="T17" s="6">
        <f>SUM(T15:T16)</f>
        <v>566207.19999999995</v>
      </c>
      <c r="U17" s="6">
        <f>SUM(U15:U16)</f>
        <v>671990.83200000005</v>
      </c>
      <c r="V17" s="6">
        <f>SUM(V15:V16)</f>
        <v>875257.201</v>
      </c>
      <c r="W17" s="6">
        <f>SUM(W15:W16)</f>
        <v>948622.94499999983</v>
      </c>
    </row>
    <row r="18" spans="2:33">
      <c r="B18" s="1" t="s">
        <v>96</v>
      </c>
      <c r="W18" s="1">
        <f>+Reinsurer!D44</f>
        <v>948623</v>
      </c>
    </row>
    <row r="19" spans="2:33" s="2" customFormat="1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2:33">
      <c r="B20" s="1" t="s">
        <v>20</v>
      </c>
      <c r="C20" s="3">
        <v>147452</v>
      </c>
      <c r="D20" s="3">
        <v>221632</v>
      </c>
      <c r="E20" s="3">
        <v>160977</v>
      </c>
      <c r="F20" s="3">
        <v>237617</v>
      </c>
      <c r="G20" s="3">
        <v>212150</v>
      </c>
      <c r="H20" s="3">
        <v>286995</v>
      </c>
      <c r="I20" s="3">
        <v>239100</v>
      </c>
      <c r="J20" s="3">
        <v>206388</v>
      </c>
      <c r="K20" s="3">
        <v>220004</v>
      </c>
      <c r="V20" s="1">
        <v>767678</v>
      </c>
      <c r="W20" s="1">
        <v>944634</v>
      </c>
    </row>
    <row r="21" spans="2:33">
      <c r="B21" s="1" t="s">
        <v>21</v>
      </c>
      <c r="C21" s="3">
        <v>9476</v>
      </c>
      <c r="D21" s="3">
        <v>-61546</v>
      </c>
      <c r="E21" s="3">
        <v>4384</v>
      </c>
      <c r="F21" s="3">
        <v>-37776</v>
      </c>
      <c r="G21" s="3">
        <v>-1994</v>
      </c>
      <c r="H21" s="3">
        <v>-63255</v>
      </c>
      <c r="I21" s="3">
        <v>-17151</v>
      </c>
      <c r="J21" s="3">
        <v>22724</v>
      </c>
      <c r="K21" s="3">
        <v>10768</v>
      </c>
      <c r="V21" s="1">
        <v>-85462</v>
      </c>
      <c r="W21" s="1">
        <v>-59676</v>
      </c>
    </row>
    <row r="22" spans="2:33">
      <c r="B22" s="1" t="s">
        <v>22</v>
      </c>
      <c r="C22" s="3">
        <f t="shared" ref="C22:J22" si="9">+C20+C21</f>
        <v>156928</v>
      </c>
      <c r="D22" s="3">
        <f t="shared" si="9"/>
        <v>160086</v>
      </c>
      <c r="E22" s="3">
        <f t="shared" si="9"/>
        <v>165361</v>
      </c>
      <c r="F22" s="3">
        <f t="shared" si="9"/>
        <v>199841</v>
      </c>
      <c r="G22" s="3">
        <f t="shared" si="9"/>
        <v>210156</v>
      </c>
      <c r="H22" s="3">
        <f t="shared" si="9"/>
        <v>223740</v>
      </c>
      <c r="I22" s="3">
        <f t="shared" si="9"/>
        <v>221949</v>
      </c>
      <c r="J22" s="3">
        <f t="shared" si="9"/>
        <v>229112</v>
      </c>
      <c r="K22" s="3">
        <f t="shared" ref="K22" si="10">+K20+K21</f>
        <v>230772</v>
      </c>
      <c r="V22" s="1">
        <f>+V20+V21</f>
        <v>682216</v>
      </c>
      <c r="W22" s="1">
        <f>+W20+W21</f>
        <v>884958</v>
      </c>
    </row>
    <row r="23" spans="2:33">
      <c r="B23" s="1" t="s">
        <v>23</v>
      </c>
      <c r="C23" s="3">
        <v>-117645</v>
      </c>
      <c r="D23" s="3">
        <v>-119567</v>
      </c>
      <c r="E23" s="3">
        <v>-124897</v>
      </c>
      <c r="F23" s="3">
        <v>-138052</v>
      </c>
      <c r="G23" s="3">
        <v>-144754</v>
      </c>
      <c r="H23" s="3">
        <v>-157571</v>
      </c>
      <c r="I23" s="3">
        <v>-169950</v>
      </c>
      <c r="J23" s="3">
        <v>-169760</v>
      </c>
      <c r="K23" s="3">
        <v>-148564</v>
      </c>
      <c r="V23" s="1">
        <v>-500161</v>
      </c>
      <c r="W23" s="1">
        <v>-642035</v>
      </c>
    </row>
    <row r="24" spans="2:33">
      <c r="B24" s="1" t="s">
        <v>24</v>
      </c>
      <c r="C24" s="3">
        <f t="shared" ref="C24:J24" si="11">+C22+C23</f>
        <v>39283</v>
      </c>
      <c r="D24" s="3">
        <f t="shared" si="11"/>
        <v>40519</v>
      </c>
      <c r="E24" s="3">
        <f t="shared" si="11"/>
        <v>40464</v>
      </c>
      <c r="F24" s="3">
        <f t="shared" si="11"/>
        <v>61789</v>
      </c>
      <c r="G24" s="3">
        <f t="shared" si="11"/>
        <v>65402</v>
      </c>
      <c r="H24" s="3">
        <f t="shared" si="11"/>
        <v>66169</v>
      </c>
      <c r="I24" s="3">
        <f t="shared" si="11"/>
        <v>51999</v>
      </c>
      <c r="J24" s="3">
        <f t="shared" si="11"/>
        <v>59352</v>
      </c>
      <c r="K24" s="3">
        <f t="shared" ref="K24" si="12">+K22+K23</f>
        <v>82208</v>
      </c>
      <c r="V24" s="1">
        <f>+V22+V23</f>
        <v>182055</v>
      </c>
      <c r="W24" s="1">
        <f>+W22+W23</f>
        <v>242923</v>
      </c>
    </row>
    <row r="25" spans="2:33">
      <c r="B25" s="1" t="s">
        <v>27</v>
      </c>
      <c r="C25" s="3">
        <v>1554</v>
      </c>
      <c r="D25" s="3">
        <v>2174</v>
      </c>
      <c r="E25" s="3">
        <v>1928</v>
      </c>
      <c r="F25" s="3">
        <v>1736</v>
      </c>
      <c r="G25" s="3">
        <v>2204</v>
      </c>
      <c r="H25" s="3">
        <v>2967</v>
      </c>
      <c r="I25" s="3">
        <v>2805</v>
      </c>
      <c r="J25" s="3">
        <v>2422</v>
      </c>
      <c r="K25" s="3">
        <v>2745</v>
      </c>
      <c r="V25" s="1">
        <v>7393</v>
      </c>
      <c r="W25" s="1">
        <v>10397</v>
      </c>
    </row>
    <row r="26" spans="2:33">
      <c r="B26" s="1" t="s">
        <v>28</v>
      </c>
      <c r="C26" s="3">
        <v>3248</v>
      </c>
      <c r="D26" s="3">
        <v>3414</v>
      </c>
      <c r="E26" s="3">
        <v>3757</v>
      </c>
      <c r="F26" s="3">
        <v>3760</v>
      </c>
      <c r="G26" s="3">
        <v>4103</v>
      </c>
      <c r="H26" s="3">
        <v>4780</v>
      </c>
      <c r="I26" s="3">
        <v>6906</v>
      </c>
      <c r="J26" s="3">
        <v>5916</v>
      </c>
      <c r="K26" s="3">
        <v>5652</v>
      </c>
      <c r="V26" s="1">
        <v>14180</v>
      </c>
      <c r="W26" s="1">
        <v>21704</v>
      </c>
    </row>
    <row r="27" spans="2:33">
      <c r="B27" s="1" t="s">
        <v>29</v>
      </c>
      <c r="C27" s="3">
        <v>6</v>
      </c>
      <c r="D27" s="3">
        <v>78</v>
      </c>
      <c r="E27" s="3">
        <v>18</v>
      </c>
      <c r="F27" s="3">
        <v>16</v>
      </c>
      <c r="G27" s="3">
        <v>16</v>
      </c>
      <c r="H27" s="3">
        <v>485</v>
      </c>
      <c r="I27" s="3">
        <v>41</v>
      </c>
      <c r="J27" s="3">
        <v>27</v>
      </c>
      <c r="K27" s="3">
        <v>53</v>
      </c>
      <c r="V27" s="1">
        <v>119</v>
      </c>
      <c r="W27" s="1">
        <v>569</v>
      </c>
    </row>
    <row r="28" spans="2:33">
      <c r="B28" s="1" t="s">
        <v>30</v>
      </c>
      <c r="C28" s="3">
        <v>217</v>
      </c>
      <c r="D28" s="3">
        <v>198</v>
      </c>
      <c r="E28" s="3">
        <v>376</v>
      </c>
      <c r="F28" s="3">
        <v>-183</v>
      </c>
      <c r="G28" s="3">
        <v>161</v>
      </c>
      <c r="H28" s="3">
        <v>98</v>
      </c>
      <c r="I28" s="3">
        <v>275</v>
      </c>
      <c r="J28" s="3">
        <v>358</v>
      </c>
      <c r="K28" s="3">
        <v>273</v>
      </c>
      <c r="V28" s="1">
        <v>607</v>
      </c>
      <c r="W28" s="1">
        <v>892</v>
      </c>
    </row>
    <row r="29" spans="2:33" s="6" customFormat="1">
      <c r="B29" s="6" t="s">
        <v>31</v>
      </c>
      <c r="C29" s="11">
        <f t="shared" ref="C29:J29" si="13">+SUM(C24:C28)</f>
        <v>44308</v>
      </c>
      <c r="D29" s="11">
        <f t="shared" si="13"/>
        <v>46383</v>
      </c>
      <c r="E29" s="11">
        <f t="shared" si="13"/>
        <v>46543</v>
      </c>
      <c r="F29" s="11">
        <f t="shared" si="13"/>
        <v>67118</v>
      </c>
      <c r="G29" s="11">
        <f t="shared" si="13"/>
        <v>71886</v>
      </c>
      <c r="H29" s="11">
        <f t="shared" si="13"/>
        <v>74499</v>
      </c>
      <c r="I29" s="11">
        <f t="shared" si="13"/>
        <v>62026</v>
      </c>
      <c r="J29" s="11">
        <f t="shared" si="13"/>
        <v>68075</v>
      </c>
      <c r="K29" s="11">
        <f t="shared" ref="K29" si="14">+SUM(K24:K28)</f>
        <v>90931</v>
      </c>
      <c r="L29" s="11"/>
      <c r="M29" s="11"/>
      <c r="N29" s="11"/>
      <c r="V29" s="6">
        <f>+SUM(V24:V28)</f>
        <v>204354</v>
      </c>
      <c r="W29" s="6">
        <f>+SUM(W24:W28)</f>
        <v>276485</v>
      </c>
      <c r="X29" s="31">
        <f>W29</f>
        <v>276485</v>
      </c>
      <c r="Y29" s="31">
        <f t="shared" ref="Y29:AG29" si="15">X29</f>
        <v>276485</v>
      </c>
      <c r="Z29" s="31">
        <f t="shared" si="15"/>
        <v>276485</v>
      </c>
      <c r="AA29" s="31">
        <f t="shared" si="15"/>
        <v>276485</v>
      </c>
      <c r="AB29" s="31">
        <f t="shared" si="15"/>
        <v>276485</v>
      </c>
      <c r="AC29" s="31">
        <f t="shared" si="15"/>
        <v>276485</v>
      </c>
      <c r="AD29" s="31">
        <f t="shared" si="15"/>
        <v>276485</v>
      </c>
      <c r="AE29" s="31">
        <f t="shared" si="15"/>
        <v>276485</v>
      </c>
      <c r="AF29" s="31">
        <f t="shared" si="15"/>
        <v>276485</v>
      </c>
      <c r="AG29" s="31">
        <f t="shared" si="15"/>
        <v>276485</v>
      </c>
    </row>
    <row r="30" spans="2:33">
      <c r="B30" s="1" t="s">
        <v>32</v>
      </c>
      <c r="C30" s="3">
        <v>20365</v>
      </c>
      <c r="D30" s="3">
        <v>12642</v>
      </c>
      <c r="E30" s="3">
        <v>25017</v>
      </c>
      <c r="F30" s="3">
        <v>32808</v>
      </c>
      <c r="G30" s="3">
        <v>20862</v>
      </c>
      <c r="H30" s="3">
        <v>21189</v>
      </c>
      <c r="I30" s="3">
        <v>29652</v>
      </c>
      <c r="J30" s="3">
        <v>26332</v>
      </c>
      <c r="K30" s="3">
        <v>31725</v>
      </c>
      <c r="V30" s="1">
        <v>90832</v>
      </c>
      <c r="W30" s="1">
        <v>98034</v>
      </c>
      <c r="X30" s="31">
        <f t="shared" ref="X30:AG37" si="16">W30</f>
        <v>98034</v>
      </c>
      <c r="Y30" s="31">
        <f t="shared" si="16"/>
        <v>98034</v>
      </c>
      <c r="Z30" s="31">
        <f t="shared" si="16"/>
        <v>98034</v>
      </c>
      <c r="AA30" s="31">
        <f t="shared" si="16"/>
        <v>98034</v>
      </c>
      <c r="AB30" s="31">
        <f t="shared" si="16"/>
        <v>98034</v>
      </c>
      <c r="AC30" s="31">
        <f t="shared" si="16"/>
        <v>98034</v>
      </c>
      <c r="AD30" s="31">
        <f t="shared" si="16"/>
        <v>98034</v>
      </c>
      <c r="AE30" s="31">
        <f t="shared" si="16"/>
        <v>98034</v>
      </c>
      <c r="AF30" s="31">
        <f t="shared" si="16"/>
        <v>98034</v>
      </c>
      <c r="AG30" s="31">
        <f t="shared" si="16"/>
        <v>98034</v>
      </c>
    </row>
    <row r="31" spans="2:33">
      <c r="B31" s="1" t="s">
        <v>33</v>
      </c>
      <c r="C31" s="3">
        <v>5354</v>
      </c>
      <c r="D31" s="3">
        <v>6551</v>
      </c>
      <c r="E31" s="3">
        <v>7790</v>
      </c>
      <c r="F31" s="3">
        <v>11837</v>
      </c>
      <c r="G31" s="3">
        <v>3107</v>
      </c>
      <c r="H31" s="3">
        <v>6281</v>
      </c>
      <c r="I31" s="3">
        <v>6254</v>
      </c>
      <c r="J31" s="3">
        <v>5804</v>
      </c>
      <c r="K31" s="3">
        <v>15985</v>
      </c>
      <c r="V31" s="1">
        <v>31532</v>
      </c>
      <c r="W31" s="1">
        <v>21446</v>
      </c>
      <c r="X31" s="31">
        <f t="shared" si="16"/>
        <v>21446</v>
      </c>
      <c r="Y31" s="31">
        <f t="shared" si="16"/>
        <v>21446</v>
      </c>
      <c r="Z31" s="31">
        <f t="shared" si="16"/>
        <v>21446</v>
      </c>
      <c r="AA31" s="31">
        <f t="shared" si="16"/>
        <v>21446</v>
      </c>
      <c r="AB31" s="31">
        <f t="shared" si="16"/>
        <v>21446</v>
      </c>
      <c r="AC31" s="31">
        <f t="shared" si="16"/>
        <v>21446</v>
      </c>
      <c r="AD31" s="31">
        <f t="shared" si="16"/>
        <v>21446</v>
      </c>
      <c r="AE31" s="31">
        <f t="shared" si="16"/>
        <v>21446</v>
      </c>
      <c r="AF31" s="31">
        <f t="shared" si="16"/>
        <v>21446</v>
      </c>
      <c r="AG31" s="31">
        <f t="shared" si="16"/>
        <v>21446</v>
      </c>
    </row>
    <row r="32" spans="2:33">
      <c r="B32" s="1" t="s">
        <v>34</v>
      </c>
      <c r="C32" s="3">
        <v>5282</v>
      </c>
      <c r="D32" s="3">
        <v>6757</v>
      </c>
      <c r="E32" s="3">
        <v>7185</v>
      </c>
      <c r="F32" s="3">
        <v>11727</v>
      </c>
      <c r="G32" s="3">
        <v>5008</v>
      </c>
      <c r="H32" s="3">
        <v>22932</v>
      </c>
      <c r="I32" s="3">
        <v>7347</v>
      </c>
      <c r="J32" s="3">
        <v>6661</v>
      </c>
      <c r="K32" s="3">
        <v>15966</v>
      </c>
      <c r="V32" s="1">
        <v>30951</v>
      </c>
      <c r="W32" s="1">
        <v>41948</v>
      </c>
      <c r="X32" s="31">
        <f t="shared" si="16"/>
        <v>41948</v>
      </c>
      <c r="Y32" s="31">
        <f t="shared" si="16"/>
        <v>41948</v>
      </c>
      <c r="Z32" s="31">
        <f t="shared" si="16"/>
        <v>41948</v>
      </c>
      <c r="AA32" s="31">
        <f t="shared" si="16"/>
        <v>41948</v>
      </c>
      <c r="AB32" s="31">
        <f t="shared" si="16"/>
        <v>41948</v>
      </c>
      <c r="AC32" s="31">
        <f t="shared" si="16"/>
        <v>41948</v>
      </c>
      <c r="AD32" s="31">
        <f t="shared" si="16"/>
        <v>41948</v>
      </c>
      <c r="AE32" s="31">
        <f t="shared" si="16"/>
        <v>41948</v>
      </c>
      <c r="AF32" s="31">
        <f t="shared" si="16"/>
        <v>41948</v>
      </c>
      <c r="AG32" s="31">
        <f t="shared" si="16"/>
        <v>41948</v>
      </c>
    </row>
    <row r="33" spans="2:53">
      <c r="B33" s="1" t="s">
        <v>26</v>
      </c>
      <c r="C33" s="3">
        <f t="shared" ref="C33:J33" si="17">+C29-SUM(C30:C32)</f>
        <v>13307</v>
      </c>
      <c r="D33" s="3">
        <f t="shared" si="17"/>
        <v>20433</v>
      </c>
      <c r="E33" s="3">
        <f t="shared" si="17"/>
        <v>6551</v>
      </c>
      <c r="F33" s="3">
        <f t="shared" si="17"/>
        <v>10746</v>
      </c>
      <c r="G33" s="3">
        <f t="shared" si="17"/>
        <v>42909</v>
      </c>
      <c r="H33" s="3">
        <f t="shared" si="17"/>
        <v>24097</v>
      </c>
      <c r="I33" s="3">
        <f t="shared" si="17"/>
        <v>18773</v>
      </c>
      <c r="J33" s="3">
        <f t="shared" si="17"/>
        <v>29278</v>
      </c>
      <c r="K33" s="3">
        <f t="shared" ref="K33" si="18">+K29-SUM(K30:K32)</f>
        <v>27255</v>
      </c>
      <c r="V33" s="1">
        <f>+V29-SUM(V30:V32)</f>
        <v>51039</v>
      </c>
      <c r="W33" s="1">
        <f>+W29-SUM(W30:W32)</f>
        <v>115057</v>
      </c>
      <c r="X33" s="31">
        <f t="shared" si="16"/>
        <v>115057</v>
      </c>
      <c r="Y33" s="31">
        <f t="shared" si="16"/>
        <v>115057</v>
      </c>
      <c r="Z33" s="31">
        <f t="shared" si="16"/>
        <v>115057</v>
      </c>
      <c r="AA33" s="31">
        <f t="shared" si="16"/>
        <v>115057</v>
      </c>
      <c r="AB33" s="31">
        <f t="shared" si="16"/>
        <v>115057</v>
      </c>
      <c r="AC33" s="31">
        <f t="shared" si="16"/>
        <v>115057</v>
      </c>
      <c r="AD33" s="31">
        <f t="shared" si="16"/>
        <v>115057</v>
      </c>
      <c r="AE33" s="31">
        <f t="shared" si="16"/>
        <v>115057</v>
      </c>
      <c r="AF33" s="31">
        <f t="shared" si="16"/>
        <v>115057</v>
      </c>
      <c r="AG33" s="31">
        <f t="shared" si="16"/>
        <v>115057</v>
      </c>
    </row>
    <row r="34" spans="2:53">
      <c r="B34" s="1" t="s">
        <v>35</v>
      </c>
      <c r="C34" s="3">
        <v>1201</v>
      </c>
      <c r="D34" s="3">
        <v>5709</v>
      </c>
      <c r="E34" s="3">
        <v>2038</v>
      </c>
      <c r="F34" s="3">
        <v>2349</v>
      </c>
      <c r="G34" s="3">
        <v>4813</v>
      </c>
      <c r="H34" s="3">
        <v>-3397</v>
      </c>
      <c r="I34" s="3">
        <v>5610</v>
      </c>
      <c r="J34" s="3">
        <v>8409</v>
      </c>
      <c r="K34" s="3">
        <v>7345</v>
      </c>
      <c r="V34" s="1">
        <v>11297</v>
      </c>
      <c r="W34" s="1">
        <v>15436</v>
      </c>
      <c r="X34" s="31">
        <f t="shared" si="16"/>
        <v>15436</v>
      </c>
      <c r="Y34" s="31">
        <f t="shared" si="16"/>
        <v>15436</v>
      </c>
      <c r="Z34" s="31">
        <f t="shared" si="16"/>
        <v>15436</v>
      </c>
      <c r="AA34" s="31">
        <f t="shared" si="16"/>
        <v>15436</v>
      </c>
      <c r="AB34" s="31">
        <f t="shared" si="16"/>
        <v>15436</v>
      </c>
      <c r="AC34" s="31">
        <f t="shared" si="16"/>
        <v>15436</v>
      </c>
      <c r="AD34" s="31">
        <f t="shared" si="16"/>
        <v>15436</v>
      </c>
      <c r="AE34" s="31">
        <f t="shared" si="16"/>
        <v>15436</v>
      </c>
      <c r="AF34" s="31">
        <f t="shared" si="16"/>
        <v>15436</v>
      </c>
      <c r="AG34" s="31">
        <f t="shared" si="16"/>
        <v>15436</v>
      </c>
    </row>
    <row r="35" spans="2:53">
      <c r="B35" s="1" t="s">
        <v>36</v>
      </c>
      <c r="C35" s="3">
        <f t="shared" ref="C35:J35" si="19">+C33-C34</f>
        <v>12106</v>
      </c>
      <c r="D35" s="3">
        <f t="shared" si="19"/>
        <v>14724</v>
      </c>
      <c r="E35" s="3">
        <f t="shared" si="19"/>
        <v>4513</v>
      </c>
      <c r="F35" s="3">
        <f t="shared" si="19"/>
        <v>8397</v>
      </c>
      <c r="G35" s="3">
        <f t="shared" si="19"/>
        <v>38096</v>
      </c>
      <c r="H35" s="3">
        <f t="shared" si="19"/>
        <v>27494</v>
      </c>
      <c r="I35" s="3">
        <f t="shared" si="19"/>
        <v>13163</v>
      </c>
      <c r="J35" s="3">
        <f t="shared" si="19"/>
        <v>20869</v>
      </c>
      <c r="K35" s="3">
        <f t="shared" ref="K35" si="20">+K33-K34</f>
        <v>19910</v>
      </c>
      <c r="V35" s="1">
        <f>+V33-V34</f>
        <v>39742</v>
      </c>
      <c r="W35" s="1">
        <f>+W33-W34</f>
        <v>99621</v>
      </c>
      <c r="X35" s="31">
        <f t="shared" si="16"/>
        <v>99621</v>
      </c>
      <c r="Y35" s="31">
        <f t="shared" si="16"/>
        <v>99621</v>
      </c>
      <c r="Z35" s="31">
        <f t="shared" si="16"/>
        <v>99621</v>
      </c>
      <c r="AA35" s="31">
        <f t="shared" si="16"/>
        <v>99621</v>
      </c>
      <c r="AB35" s="31">
        <f t="shared" si="16"/>
        <v>99621</v>
      </c>
      <c r="AC35" s="31">
        <f t="shared" si="16"/>
        <v>99621</v>
      </c>
      <c r="AD35" s="31">
        <f t="shared" si="16"/>
        <v>99621</v>
      </c>
      <c r="AE35" s="31">
        <f t="shared" si="16"/>
        <v>99621</v>
      </c>
      <c r="AF35" s="31">
        <f t="shared" si="16"/>
        <v>99621</v>
      </c>
      <c r="AG35" s="31">
        <f t="shared" si="16"/>
        <v>99621</v>
      </c>
      <c r="AH35" s="1">
        <f>+AG35*(1+$AJ$39)</f>
        <v>98624.79</v>
      </c>
      <c r="AI35" s="1">
        <f t="shared" ref="AI35:BA35" si="21">+AH35*(1+$AJ$39)</f>
        <v>97638.542099999991</v>
      </c>
      <c r="AJ35" s="1">
        <f t="shared" si="21"/>
        <v>96662.156678999992</v>
      </c>
      <c r="AK35" s="1">
        <f t="shared" si="21"/>
        <v>95695.535112209996</v>
      </c>
      <c r="AL35" s="1">
        <f t="shared" si="21"/>
        <v>94738.579761087894</v>
      </c>
      <c r="AM35" s="1">
        <f t="shared" si="21"/>
        <v>93791.19396347701</v>
      </c>
      <c r="AN35" s="1">
        <f t="shared" si="21"/>
        <v>92853.282023842243</v>
      </c>
      <c r="AO35" s="1">
        <f t="shared" si="21"/>
        <v>91924.749203603817</v>
      </c>
      <c r="AP35" s="1">
        <f t="shared" si="21"/>
        <v>91005.501711567777</v>
      </c>
      <c r="AQ35" s="1">
        <f t="shared" si="21"/>
        <v>90095.446694452097</v>
      </c>
      <c r="AR35" s="1">
        <f t="shared" si="21"/>
        <v>89194.492227507581</v>
      </c>
      <c r="AS35" s="1">
        <f t="shared" si="21"/>
        <v>88302.547305232511</v>
      </c>
      <c r="AT35" s="1">
        <f t="shared" si="21"/>
        <v>87419.52183218018</v>
      </c>
      <c r="AU35" s="1">
        <f t="shared" si="21"/>
        <v>86545.326613858371</v>
      </c>
      <c r="AV35" s="1">
        <f t="shared" si="21"/>
        <v>85679.873347719782</v>
      </c>
      <c r="AW35" s="1">
        <f t="shared" si="21"/>
        <v>84823.074614242578</v>
      </c>
      <c r="AX35" s="1">
        <f t="shared" si="21"/>
        <v>83974.843868100157</v>
      </c>
      <c r="AY35" s="1">
        <f t="shared" si="21"/>
        <v>83135.095429419162</v>
      </c>
      <c r="AZ35" s="1">
        <f t="shared" si="21"/>
        <v>82303.744475124971</v>
      </c>
      <c r="BA35" s="1">
        <f t="shared" si="21"/>
        <v>81480.707030373727</v>
      </c>
    </row>
    <row r="36" spans="2:53">
      <c r="B36" s="1" t="s">
        <v>37</v>
      </c>
      <c r="C36" s="3">
        <v>122900</v>
      </c>
      <c r="D36" s="3">
        <v>12904.495000000001</v>
      </c>
      <c r="E36" s="3">
        <v>12904.495000000001</v>
      </c>
      <c r="F36" s="3">
        <v>12904.495000000001</v>
      </c>
      <c r="G36" s="3">
        <v>122900</v>
      </c>
      <c r="H36" s="3">
        <v>16962.075000000001</v>
      </c>
      <c r="I36" s="3">
        <v>19572.595000000001</v>
      </c>
      <c r="J36" s="3">
        <v>19577.036</v>
      </c>
      <c r="K36" s="3">
        <v>19579.308000000001</v>
      </c>
      <c r="V36" s="1">
        <v>12904.495000000001</v>
      </c>
      <c r="W36" s="1">
        <v>17235.376</v>
      </c>
      <c r="X36" s="31">
        <f t="shared" si="16"/>
        <v>17235.376</v>
      </c>
      <c r="Y36" s="31">
        <f t="shared" si="16"/>
        <v>17235.376</v>
      </c>
      <c r="Z36" s="31">
        <f t="shared" si="16"/>
        <v>17235.376</v>
      </c>
      <c r="AA36" s="31">
        <f t="shared" si="16"/>
        <v>17235.376</v>
      </c>
      <c r="AB36" s="31">
        <f t="shared" si="16"/>
        <v>17235.376</v>
      </c>
      <c r="AC36" s="31">
        <f t="shared" si="16"/>
        <v>17235.376</v>
      </c>
      <c r="AD36" s="31">
        <f t="shared" si="16"/>
        <v>17235.376</v>
      </c>
      <c r="AE36" s="31">
        <f t="shared" si="16"/>
        <v>17235.376</v>
      </c>
      <c r="AF36" s="31">
        <f t="shared" si="16"/>
        <v>17235.376</v>
      </c>
      <c r="AG36" s="31">
        <f t="shared" si="16"/>
        <v>17235.376</v>
      </c>
    </row>
    <row r="37" spans="2:53" s="4" customFormat="1">
      <c r="B37" s="4" t="s">
        <v>38</v>
      </c>
      <c r="C37" s="12">
        <f t="shared" ref="C37:J37" si="22">+C35/C36</f>
        <v>9.8502847843775429E-2</v>
      </c>
      <c r="D37" s="12">
        <f t="shared" si="22"/>
        <v>1.1409977686069854</v>
      </c>
      <c r="E37" s="12">
        <f t="shared" si="22"/>
        <v>0.34972310036154064</v>
      </c>
      <c r="F37" s="12">
        <f t="shared" si="22"/>
        <v>0.65070349517745552</v>
      </c>
      <c r="G37" s="12">
        <f t="shared" si="22"/>
        <v>0.30997558991049634</v>
      </c>
      <c r="H37" s="12">
        <f t="shared" si="22"/>
        <v>1.6209101775578754</v>
      </c>
      <c r="I37" s="12">
        <f t="shared" si="22"/>
        <v>0.6725219624684412</v>
      </c>
      <c r="J37" s="12">
        <f t="shared" si="22"/>
        <v>1.065993851163169</v>
      </c>
      <c r="K37" s="12">
        <f t="shared" ref="K37" si="23">+K35/K36</f>
        <v>1.0168898716951589</v>
      </c>
      <c r="L37" s="12"/>
      <c r="M37" s="12"/>
      <c r="N37" s="12"/>
      <c r="V37" s="4">
        <f>+V35/V36</f>
        <v>3.0797020728048636</v>
      </c>
      <c r="W37" s="4">
        <f>+W35/W36</f>
        <v>5.7800305604008875</v>
      </c>
      <c r="X37" s="31">
        <f t="shared" si="16"/>
        <v>5.7800305604008875</v>
      </c>
      <c r="Y37" s="31">
        <f t="shared" si="16"/>
        <v>5.7800305604008875</v>
      </c>
      <c r="Z37" s="31">
        <f t="shared" si="16"/>
        <v>5.7800305604008875</v>
      </c>
      <c r="AA37" s="31">
        <f t="shared" si="16"/>
        <v>5.7800305604008875</v>
      </c>
      <c r="AB37" s="31">
        <f t="shared" si="16"/>
        <v>5.7800305604008875</v>
      </c>
      <c r="AC37" s="31">
        <f t="shared" si="16"/>
        <v>5.7800305604008875</v>
      </c>
      <c r="AD37" s="31">
        <f t="shared" si="16"/>
        <v>5.7800305604008875</v>
      </c>
      <c r="AE37" s="31">
        <f t="shared" si="16"/>
        <v>5.7800305604008875</v>
      </c>
      <c r="AF37" s="31">
        <f t="shared" si="16"/>
        <v>5.7800305604008875</v>
      </c>
      <c r="AG37" s="31">
        <f t="shared" si="16"/>
        <v>5.7800305604008875</v>
      </c>
    </row>
    <row r="38" spans="2:53">
      <c r="V38" s="5"/>
      <c r="W38" s="2"/>
      <c r="X38" s="5"/>
    </row>
    <row r="39" spans="2:53">
      <c r="B39" s="1" t="s">
        <v>25</v>
      </c>
      <c r="V39" s="5">
        <f>+V34/V33</f>
        <v>0.22134054350594642</v>
      </c>
      <c r="W39" s="5">
        <f>+W34/W33</f>
        <v>0.13415959046385703</v>
      </c>
      <c r="X39" s="5">
        <f>+X34/X33</f>
        <v>0.13415959046385703</v>
      </c>
      <c r="Y39" s="5">
        <f t="shared" ref="Y39:AG39" si="24">+Y34/Y33</f>
        <v>0.13415959046385703</v>
      </c>
      <c r="Z39" s="5">
        <f t="shared" si="24"/>
        <v>0.13415959046385703</v>
      </c>
      <c r="AA39" s="5">
        <f t="shared" si="24"/>
        <v>0.13415959046385703</v>
      </c>
      <c r="AB39" s="5">
        <f t="shared" si="24"/>
        <v>0.13415959046385703</v>
      </c>
      <c r="AC39" s="5">
        <f t="shared" si="24"/>
        <v>0.13415959046385703</v>
      </c>
      <c r="AD39" s="5">
        <f t="shared" si="24"/>
        <v>0.13415959046385703</v>
      </c>
      <c r="AE39" s="5">
        <f t="shared" si="24"/>
        <v>0.13415959046385703</v>
      </c>
      <c r="AF39" s="5">
        <f t="shared" si="24"/>
        <v>0.13415959046385703</v>
      </c>
      <c r="AG39" s="5">
        <f t="shared" si="24"/>
        <v>0.13415959046385703</v>
      </c>
      <c r="AI39" s="1" t="s">
        <v>115</v>
      </c>
      <c r="AJ39" s="7">
        <v>-0.01</v>
      </c>
    </row>
    <row r="40" spans="2:53">
      <c r="B40" s="6" t="s">
        <v>31</v>
      </c>
      <c r="G40" s="10">
        <f>+G29/C29-1</f>
        <v>0.62241581655682943</v>
      </c>
      <c r="H40" s="10">
        <f>+H29/D29-1</f>
        <v>0.60617036414203485</v>
      </c>
      <c r="I40" s="10">
        <f>+I29/E29-1</f>
        <v>0.33266012074855511</v>
      </c>
      <c r="J40" s="10">
        <f>+J29/F29-1</f>
        <v>1.4258470157036962E-2</v>
      </c>
      <c r="K40" s="10">
        <f>+K29/G29-1</f>
        <v>0.26493336671952816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J40" s="7"/>
    </row>
    <row r="41" spans="2:53" s="5" customFormat="1">
      <c r="B41" s="5" t="s">
        <v>20</v>
      </c>
      <c r="C41" s="10"/>
      <c r="D41" s="10"/>
      <c r="E41" s="10"/>
      <c r="F41" s="10"/>
      <c r="G41" s="10">
        <f>+G20/C20-1</f>
        <v>0.4387732957165722</v>
      </c>
      <c r="H41" s="10">
        <f>+H20/D20-1</f>
        <v>0.29491679901819223</v>
      </c>
      <c r="I41" s="10">
        <f>+I20/E20-1</f>
        <v>0.48530535418103216</v>
      </c>
      <c r="J41" s="10">
        <f>+J20/F20-1</f>
        <v>-0.13142578182537445</v>
      </c>
      <c r="K41" s="10">
        <f>+K20/G20-1</f>
        <v>3.7020975724723071E-2</v>
      </c>
      <c r="L41" s="10"/>
      <c r="M41" s="10"/>
      <c r="N41" s="10"/>
      <c r="W41" s="5">
        <f>+W20/V20-1</f>
        <v>0.23050810365804408</v>
      </c>
      <c r="AI41" s="5" t="s">
        <v>116</v>
      </c>
      <c r="AJ41" s="7">
        <v>0.15</v>
      </c>
      <c r="AK41" s="7">
        <v>0.16</v>
      </c>
      <c r="AL41" s="7">
        <v>0.17</v>
      </c>
      <c r="AM41" s="7">
        <v>0.18</v>
      </c>
    </row>
    <row r="42" spans="2:53" s="5" customFormat="1">
      <c r="B42" s="5" t="s">
        <v>22</v>
      </c>
      <c r="C42" s="10"/>
      <c r="D42" s="10"/>
      <c r="E42" s="10"/>
      <c r="F42" s="10"/>
      <c r="G42" s="10">
        <f>+G22/C22-1</f>
        <v>0.33918739804241427</v>
      </c>
      <c r="H42" s="10">
        <f>+H22/D22-1</f>
        <v>0.3976237772197444</v>
      </c>
      <c r="I42" s="10">
        <f>+I22/E22-1</f>
        <v>0.34220886424247565</v>
      </c>
      <c r="J42" s="10">
        <f>+J22/F22-1</f>
        <v>0.14647144479861485</v>
      </c>
      <c r="K42" s="10">
        <f>+K22/G22-1</f>
        <v>9.8098555358876238E-2</v>
      </c>
      <c r="L42" s="10"/>
      <c r="M42" s="10"/>
      <c r="N42" s="10"/>
      <c r="W42" s="5">
        <f>+W22/V22-1</f>
        <v>0.29718153781207124</v>
      </c>
      <c r="AI42" s="22" t="s">
        <v>117</v>
      </c>
      <c r="AJ42" s="23">
        <f>NPV(AJ41,Model!$X$35:$FO$35)</f>
        <v>644726.23833613389</v>
      </c>
      <c r="AK42" s="23">
        <f>NPV(AK41,Model!$X$35:$FO$35)</f>
        <v>607473.34872456756</v>
      </c>
      <c r="AL42" s="23">
        <f>NPV(AL41,Model!$X$35:$FO$35)</f>
        <v>574046.67665445351</v>
      </c>
      <c r="AM42" s="23">
        <f>NPV(AM41,Model!$X$35:$FO$35)</f>
        <v>543921.44454592012</v>
      </c>
    </row>
    <row r="43" spans="2:53" s="5" customFormat="1">
      <c r="B43" s="5" t="s">
        <v>24</v>
      </c>
      <c r="C43" s="10"/>
      <c r="D43" s="10"/>
      <c r="E43" s="10"/>
      <c r="F43" s="10"/>
      <c r="G43" s="10">
        <f>+G24/C24-1</f>
        <v>0.6648932108036556</v>
      </c>
      <c r="H43" s="10">
        <f>+H24/D24-1</f>
        <v>0.63303635331572838</v>
      </c>
      <c r="I43" s="10">
        <f>+I24/E24-1</f>
        <v>0.28506820877817329</v>
      </c>
      <c r="J43" s="10">
        <f>+J24/F24-1</f>
        <v>-3.944067714318078E-2</v>
      </c>
      <c r="K43" s="10">
        <f>+K24/G24-1</f>
        <v>0.25696461881899646</v>
      </c>
      <c r="L43" s="10"/>
      <c r="M43" s="10"/>
      <c r="N43" s="10"/>
      <c r="W43" s="5">
        <f>+W24/V24-1</f>
        <v>0.33433852407239573</v>
      </c>
      <c r="X43" s="5">
        <f t="shared" ref="X43:AG43" si="25">+X24/W24-1</f>
        <v>-1</v>
      </c>
      <c r="Y43" s="5" t="e">
        <f t="shared" si="25"/>
        <v>#DIV/0!</v>
      </c>
      <c r="Z43" s="5" t="e">
        <f t="shared" si="25"/>
        <v>#DIV/0!</v>
      </c>
      <c r="AA43" s="5" t="e">
        <f t="shared" si="25"/>
        <v>#DIV/0!</v>
      </c>
      <c r="AB43" s="5" t="e">
        <f t="shared" si="25"/>
        <v>#DIV/0!</v>
      </c>
      <c r="AC43" s="5" t="e">
        <f t="shared" si="25"/>
        <v>#DIV/0!</v>
      </c>
      <c r="AD43" s="5" t="e">
        <f t="shared" si="25"/>
        <v>#DIV/0!</v>
      </c>
      <c r="AE43" s="5" t="e">
        <f t="shared" si="25"/>
        <v>#DIV/0!</v>
      </c>
      <c r="AF43" s="5" t="e">
        <f t="shared" si="25"/>
        <v>#DIV/0!</v>
      </c>
      <c r="AG43" s="5" t="e">
        <f t="shared" si="25"/>
        <v>#DIV/0!</v>
      </c>
      <c r="AI43" s="5" t="s">
        <v>118</v>
      </c>
      <c r="AJ43" s="1">
        <f>+Main!K5 * 1000</f>
        <v>19590.817000000003</v>
      </c>
    </row>
    <row r="44" spans="2:53">
      <c r="C44" s="5">
        <f t="shared" ref="C44:I44" si="26">+C33/C29</f>
        <v>0.30032951160061389</v>
      </c>
      <c r="D44" s="5">
        <f t="shared" si="26"/>
        <v>0.44052777957441303</v>
      </c>
      <c r="E44" s="5">
        <f t="shared" si="26"/>
        <v>0.1407515630707088</v>
      </c>
      <c r="F44" s="5">
        <f t="shared" si="26"/>
        <v>0.16010608182603772</v>
      </c>
      <c r="G44" s="5">
        <f t="shared" si="26"/>
        <v>0.59690343043151661</v>
      </c>
      <c r="H44" s="5">
        <f t="shared" si="26"/>
        <v>0.32345400609404151</v>
      </c>
      <c r="I44" s="5">
        <f t="shared" si="26"/>
        <v>0.30266339921968205</v>
      </c>
      <c r="J44" s="5">
        <f t="shared" ref="J44:K44" si="27">+J33/J29</f>
        <v>0.43008446566287184</v>
      </c>
      <c r="K44" s="5">
        <f t="shared" si="27"/>
        <v>0.29973276440377866</v>
      </c>
      <c r="V44" s="5">
        <f t="shared" ref="V44" si="28">+V33/V29</f>
        <v>0.24975777327578613</v>
      </c>
      <c r="W44" s="5">
        <f>+W33/W29</f>
        <v>0.41614192451670073</v>
      </c>
      <c r="X44" s="5">
        <f t="shared" ref="X44:AG44" si="29">+X33/X29</f>
        <v>0.41614192451670073</v>
      </c>
      <c r="Y44" s="5">
        <f t="shared" si="29"/>
        <v>0.41614192451670073</v>
      </c>
      <c r="Z44" s="5">
        <f t="shared" si="29"/>
        <v>0.41614192451670073</v>
      </c>
      <c r="AA44" s="5">
        <f t="shared" si="29"/>
        <v>0.41614192451670073</v>
      </c>
      <c r="AB44" s="5">
        <f t="shared" si="29"/>
        <v>0.41614192451670073</v>
      </c>
      <c r="AC44" s="5">
        <f t="shared" si="29"/>
        <v>0.41614192451670073</v>
      </c>
      <c r="AD44" s="5">
        <f t="shared" si="29"/>
        <v>0.41614192451670073</v>
      </c>
      <c r="AE44" s="5">
        <f t="shared" si="29"/>
        <v>0.41614192451670073</v>
      </c>
      <c r="AF44" s="5">
        <f t="shared" si="29"/>
        <v>0.41614192451670073</v>
      </c>
      <c r="AG44" s="5">
        <f t="shared" si="29"/>
        <v>0.41614192451670073</v>
      </c>
      <c r="AI44" s="14" t="s">
        <v>119</v>
      </c>
      <c r="AJ44" s="14">
        <f>+AJ42/AJ43</f>
        <v>32.909614659569009</v>
      </c>
      <c r="AK44" s="14">
        <f>+AK42/$AJ$43</f>
        <v>31.008066112024192</v>
      </c>
      <c r="AL44" s="14">
        <f t="shared" ref="AL44:AM44" si="30">+AL42/$AJ$43</f>
        <v>29.30182425033389</v>
      </c>
      <c r="AM44" s="14">
        <f t="shared" si="30"/>
        <v>27.764102157961052</v>
      </c>
    </row>
    <row r="45" spans="2:53">
      <c r="B45" s="1" t="s">
        <v>37</v>
      </c>
      <c r="G45" s="10">
        <f>+G36/C36-1</f>
        <v>0</v>
      </c>
      <c r="H45" s="10">
        <f>+H36/D36-1</f>
        <v>0.31443152172944377</v>
      </c>
      <c r="I45" s="10">
        <f>+I36/E36-1</f>
        <v>0.51672692344799231</v>
      </c>
      <c r="J45" s="10">
        <f>+J36/F36-1</f>
        <v>0.51707106709716255</v>
      </c>
      <c r="K45" s="10">
        <f>+K36/G36-1</f>
        <v>-0.84068911310008132</v>
      </c>
      <c r="V45" s="5">
        <f>+V32/V29</f>
        <v>0.15145776446754161</v>
      </c>
      <c r="W45" s="5">
        <f>+W32/W29</f>
        <v>0.15171889975948064</v>
      </c>
      <c r="AI45" s="1" t="s">
        <v>120</v>
      </c>
      <c r="AJ45" s="1">
        <f>+Main!K4</f>
        <v>16.600000000000001</v>
      </c>
    </row>
    <row r="46" spans="2:53">
      <c r="AI46" s="1" t="s">
        <v>121</v>
      </c>
      <c r="AJ46" s="5">
        <f>+AJ44/$AJ$45-1</f>
        <v>0.9825069072029522</v>
      </c>
      <c r="AK46" s="5">
        <f t="shared" ref="AK46:AM46" si="31">+AK44/$AJ$45-1</f>
        <v>0.86795578988097533</v>
      </c>
      <c r="AL46" s="5">
        <f t="shared" si="31"/>
        <v>0.76517013556228242</v>
      </c>
      <c r="AM46" s="5">
        <f t="shared" si="31"/>
        <v>0.67253627457596687</v>
      </c>
    </row>
    <row r="47" spans="2:53">
      <c r="B47" s="1" t="s">
        <v>60</v>
      </c>
      <c r="F47" s="3">
        <v>214045</v>
      </c>
      <c r="G47" s="3">
        <v>206232</v>
      </c>
      <c r="H47" s="3">
        <v>275218</v>
      </c>
      <c r="I47" s="3">
        <v>329883</v>
      </c>
      <c r="J47" s="3">
        <v>330489</v>
      </c>
      <c r="K47" s="3">
        <v>347264</v>
      </c>
    </row>
    <row r="48" spans="2:53">
      <c r="B48" s="1" t="s">
        <v>61</v>
      </c>
      <c r="F48" s="3">
        <v>0</v>
      </c>
      <c r="G48" s="3">
        <v>0</v>
      </c>
      <c r="H48" s="3">
        <v>0</v>
      </c>
      <c r="I48" s="3">
        <v>27098</v>
      </c>
      <c r="J48" s="3">
        <v>18121</v>
      </c>
      <c r="K48" s="3">
        <v>2479</v>
      </c>
      <c r="AI48" s="6" t="s">
        <v>122</v>
      </c>
    </row>
    <row r="49" spans="2:36">
      <c r="B49" s="1" t="s">
        <v>62</v>
      </c>
      <c r="F49" s="3">
        <f>+SUM(F47:F48)</f>
        <v>214045</v>
      </c>
      <c r="G49" s="3">
        <f>+SUM(G47:G48)</f>
        <v>206232</v>
      </c>
      <c r="H49" s="3">
        <f>+SUM(H47:H48)</f>
        <v>275218</v>
      </c>
      <c r="I49" s="3">
        <f>+SUM(I47:I48)</f>
        <v>356981</v>
      </c>
      <c r="J49" s="3">
        <f>+SUM(J47:J48)</f>
        <v>348610</v>
      </c>
      <c r="K49" s="3">
        <f>+SUM(K47:K48)</f>
        <v>349743</v>
      </c>
      <c r="AI49" s="1" t="s">
        <v>123</v>
      </c>
    </row>
    <row r="50" spans="2:36">
      <c r="B50" s="1" t="s">
        <v>63</v>
      </c>
      <c r="F50" s="3">
        <v>173220</v>
      </c>
      <c r="G50" s="3">
        <v>236416</v>
      </c>
      <c r="H50" s="3">
        <v>259609</v>
      </c>
      <c r="I50" s="3">
        <v>144784</v>
      </c>
      <c r="J50" s="3">
        <v>203902</v>
      </c>
      <c r="K50" s="3">
        <v>171182</v>
      </c>
      <c r="AI50" s="1" t="s">
        <v>124</v>
      </c>
    </row>
    <row r="51" spans="2:36">
      <c r="B51" s="1" t="s">
        <v>64</v>
      </c>
      <c r="F51" s="3">
        <v>6052</v>
      </c>
      <c r="G51" s="3">
        <v>4306</v>
      </c>
      <c r="H51" s="3">
        <v>17214</v>
      </c>
      <c r="I51" s="3">
        <v>39540</v>
      </c>
      <c r="J51" s="3">
        <v>40217</v>
      </c>
      <c r="K51" s="3">
        <v>55169</v>
      </c>
      <c r="AI51" s="1" t="s">
        <v>125</v>
      </c>
    </row>
    <row r="52" spans="2:36">
      <c r="B52" s="1" t="s">
        <v>65</v>
      </c>
      <c r="F52" s="3">
        <v>51594</v>
      </c>
      <c r="G52" s="3">
        <v>56493</v>
      </c>
      <c r="H52" s="3">
        <v>58625</v>
      </c>
      <c r="I52" s="3">
        <v>54172</v>
      </c>
      <c r="J52" s="3">
        <v>45031</v>
      </c>
      <c r="K52" s="3">
        <v>44432</v>
      </c>
      <c r="AI52" s="1" t="s">
        <v>126</v>
      </c>
    </row>
    <row r="53" spans="2:36">
      <c r="B53" s="1" t="s">
        <v>66</v>
      </c>
      <c r="F53" s="3">
        <v>2174</v>
      </c>
      <c r="G53" s="3">
        <v>1936</v>
      </c>
      <c r="H53" s="3">
        <v>2911</v>
      </c>
      <c r="I53" s="3">
        <v>3183</v>
      </c>
      <c r="J53" s="3">
        <v>3458</v>
      </c>
      <c r="K53" s="3">
        <v>3072</v>
      </c>
    </row>
    <row r="54" spans="2:36">
      <c r="B54" s="1" t="s">
        <v>67</v>
      </c>
      <c r="F54" s="3">
        <v>268254</v>
      </c>
      <c r="G54" s="3">
        <v>178399</v>
      </c>
      <c r="H54" s="3">
        <v>565841</v>
      </c>
      <c r="I54" s="3">
        <v>444042</v>
      </c>
      <c r="J54" s="3">
        <v>275093</v>
      </c>
      <c r="K54" s="3">
        <v>275290</v>
      </c>
    </row>
    <row r="55" spans="2:36">
      <c r="B55" s="1" t="s">
        <v>68</v>
      </c>
      <c r="F55" s="3">
        <v>462097</v>
      </c>
      <c r="G55" s="3">
        <v>439704</v>
      </c>
      <c r="H55" s="3">
        <v>392573</v>
      </c>
      <c r="I55" s="3">
        <v>371882</v>
      </c>
      <c r="J55" s="3">
        <v>269056</v>
      </c>
      <c r="K55" s="3">
        <v>58871</v>
      </c>
    </row>
    <row r="56" spans="2:36">
      <c r="B56" s="1" t="s">
        <v>69</v>
      </c>
      <c r="F56" s="3">
        <v>1843</v>
      </c>
      <c r="G56" s="3">
        <v>1755</v>
      </c>
      <c r="H56" s="3">
        <v>2016</v>
      </c>
      <c r="I56" s="3">
        <v>6255</v>
      </c>
      <c r="J56" s="3">
        <v>5718</v>
      </c>
      <c r="K56" s="3">
        <v>6390</v>
      </c>
      <c r="AJ56" s="47">
        <f>+AJ42/J77</f>
        <v>1.9130093535025425</v>
      </c>
    </row>
    <row r="57" spans="2:36">
      <c r="B57" s="1" t="s">
        <v>224</v>
      </c>
      <c r="F57" s="3">
        <v>2498</v>
      </c>
      <c r="G57" s="3">
        <v>2019</v>
      </c>
      <c r="H57" s="3">
        <v>1488</v>
      </c>
      <c r="I57" s="3">
        <v>992</v>
      </c>
      <c r="J57" s="3">
        <v>449</v>
      </c>
      <c r="K57" s="3">
        <v>35702</v>
      </c>
    </row>
    <row r="58" spans="2:36">
      <c r="B58" s="1" t="s">
        <v>70</v>
      </c>
      <c r="F58" s="3">
        <v>0</v>
      </c>
      <c r="G58" s="3">
        <v>0</v>
      </c>
      <c r="H58" s="3">
        <v>8707</v>
      </c>
      <c r="I58" s="3">
        <v>6655</v>
      </c>
      <c r="J58" s="3">
        <v>8636</v>
      </c>
      <c r="K58" s="3">
        <v>8943</v>
      </c>
    </row>
    <row r="59" spans="2:36">
      <c r="B59" s="1" t="s">
        <v>71</v>
      </c>
      <c r="F59" s="3">
        <v>16368</v>
      </c>
      <c r="G59" s="3">
        <v>7488</v>
      </c>
      <c r="H59" s="3">
        <v>7068</v>
      </c>
      <c r="I59" s="3">
        <v>5194</v>
      </c>
      <c r="J59" s="3">
        <v>24904</v>
      </c>
      <c r="K59" s="3">
        <v>8372</v>
      </c>
    </row>
    <row r="60" spans="2:36">
      <c r="B60" s="1" t="s">
        <v>59</v>
      </c>
      <c r="F60" s="3">
        <f>+SUM(F49:F59)</f>
        <v>1198145</v>
      </c>
      <c r="G60" s="3">
        <f>+SUM(G49:G59)</f>
        <v>1134748</v>
      </c>
      <c r="H60" s="3">
        <f>+SUM(H49:H59)</f>
        <v>1591270</v>
      </c>
      <c r="I60" s="3">
        <f>+SUM(I49:I59)</f>
        <v>1433680</v>
      </c>
      <c r="J60" s="3">
        <f>+SUM(J49:J59)</f>
        <v>1225074</v>
      </c>
      <c r="K60" s="3">
        <f>+SUM(K49:K59)</f>
        <v>1017166</v>
      </c>
    </row>
    <row r="62" spans="2:36" s="6" customFormat="1">
      <c r="B62" s="6" t="s">
        <v>49</v>
      </c>
      <c r="C62" s="11"/>
      <c r="D62" s="11"/>
      <c r="E62" s="11"/>
      <c r="F62" s="11">
        <v>475708</v>
      </c>
      <c r="G62" s="11">
        <v>431620</v>
      </c>
      <c r="H62" s="11">
        <v>378786</v>
      </c>
      <c r="I62" s="11">
        <v>363445</v>
      </c>
      <c r="J62" s="11">
        <v>266591</v>
      </c>
      <c r="K62" s="11">
        <v>264857</v>
      </c>
      <c r="L62" s="11"/>
      <c r="M62" s="11"/>
      <c r="N62" s="11"/>
    </row>
    <row r="63" spans="2:36">
      <c r="B63" s="1" t="s">
        <v>50</v>
      </c>
      <c r="F63" s="3">
        <v>11873</v>
      </c>
      <c r="G63" s="3">
        <v>18290</v>
      </c>
      <c r="H63" s="3">
        <v>2802</v>
      </c>
      <c r="I63" s="3">
        <v>1304</v>
      </c>
      <c r="J63" s="3">
        <v>2680</v>
      </c>
      <c r="K63" s="3">
        <v>4734</v>
      </c>
    </row>
    <row r="64" spans="2:36">
      <c r="B64" s="1" t="s">
        <v>51</v>
      </c>
      <c r="F64" s="3">
        <v>421881</v>
      </c>
      <c r="G64" s="3">
        <v>423875</v>
      </c>
      <c r="H64" s="3">
        <v>487130</v>
      </c>
      <c r="I64" s="3">
        <v>504281</v>
      </c>
      <c r="J64" s="3">
        <v>481557</v>
      </c>
      <c r="K64" s="3">
        <v>470789</v>
      </c>
    </row>
    <row r="65" spans="2:11">
      <c r="B65" s="1" t="s">
        <v>52</v>
      </c>
      <c r="F65" s="3">
        <v>56348</v>
      </c>
      <c r="G65" s="3">
        <v>1277</v>
      </c>
      <c r="H65" s="3">
        <v>344764</v>
      </c>
      <c r="I65" s="3">
        <v>177568</v>
      </c>
      <c r="J65" s="3">
        <v>78526</v>
      </c>
      <c r="K65" s="3">
        <v>5350</v>
      </c>
    </row>
    <row r="66" spans="2:11">
      <c r="B66" s="1" t="s">
        <v>53</v>
      </c>
      <c r="F66" s="3">
        <v>6561</v>
      </c>
      <c r="G66" s="3">
        <v>20512</v>
      </c>
      <c r="H66" s="3">
        <v>22565</v>
      </c>
      <c r="I66" s="3">
        <v>20812</v>
      </c>
      <c r="J66" s="3">
        <v>11752</v>
      </c>
      <c r="K66" s="3">
        <v>25892</v>
      </c>
    </row>
    <row r="67" spans="2:11">
      <c r="B67" s="1" t="s">
        <v>54</v>
      </c>
      <c r="F67" s="3">
        <v>1122</v>
      </c>
      <c r="G67" s="3">
        <v>33</v>
      </c>
      <c r="H67" s="3">
        <v>0</v>
      </c>
      <c r="I67" s="3">
        <v>0</v>
      </c>
      <c r="J67" s="3">
        <v>0</v>
      </c>
      <c r="K67" s="3">
        <v>0</v>
      </c>
    </row>
    <row r="68" spans="2:11">
      <c r="B68" s="1" t="s">
        <v>55</v>
      </c>
      <c r="F68" s="3">
        <v>1029</v>
      </c>
      <c r="G68" s="3">
        <v>926</v>
      </c>
      <c r="H68" s="3">
        <v>824</v>
      </c>
      <c r="I68" s="3">
        <v>721</v>
      </c>
      <c r="J68" s="3">
        <v>618</v>
      </c>
      <c r="K68" s="3">
        <v>515</v>
      </c>
    </row>
    <row r="69" spans="2:11">
      <c r="B69" s="1" t="s">
        <v>56</v>
      </c>
      <c r="F69" s="3">
        <v>2612</v>
      </c>
      <c r="G69" s="3">
        <v>2110</v>
      </c>
      <c r="H69" s="3">
        <v>1559</v>
      </c>
      <c r="I69" s="3">
        <v>1028</v>
      </c>
      <c r="J69" s="3">
        <v>458</v>
      </c>
      <c r="K69" s="3">
        <v>32652</v>
      </c>
    </row>
    <row r="70" spans="2:11">
      <c r="B70" s="1" t="s">
        <v>57</v>
      </c>
      <c r="F70" s="3">
        <v>31931</v>
      </c>
      <c r="G70" s="3">
        <v>26836</v>
      </c>
      <c r="H70" s="3">
        <v>26866</v>
      </c>
      <c r="I70" s="3">
        <v>22897</v>
      </c>
      <c r="J70" s="3">
        <v>12902</v>
      </c>
      <c r="K70" s="3">
        <v>8804</v>
      </c>
    </row>
    <row r="71" spans="2:11">
      <c r="B71" s="1" t="s">
        <v>58</v>
      </c>
      <c r="F71" s="3">
        <v>26688</v>
      </c>
      <c r="G71" s="3">
        <v>23211</v>
      </c>
      <c r="H71" s="3">
        <v>24300</v>
      </c>
      <c r="I71" s="3">
        <v>25744</v>
      </c>
      <c r="J71" s="3">
        <v>32968</v>
      </c>
      <c r="K71" s="3">
        <v>25978</v>
      </c>
    </row>
    <row r="72" spans="2:11">
      <c r="B72" s="1" t="s">
        <v>48</v>
      </c>
      <c r="F72" s="3">
        <f>+SUM(F62:F71)</f>
        <v>1035753</v>
      </c>
      <c r="G72" s="3">
        <f>+SUM(G62:G71)</f>
        <v>948690</v>
      </c>
      <c r="H72" s="3">
        <f>+SUM(H62:H71)</f>
        <v>1289596</v>
      </c>
      <c r="I72" s="3">
        <f>+SUM(I62:I71)</f>
        <v>1117800</v>
      </c>
      <c r="J72" s="3">
        <f>+SUM(J62:J71)</f>
        <v>888052</v>
      </c>
      <c r="K72" s="3">
        <f>+SUM(K62:K71)</f>
        <v>839571</v>
      </c>
    </row>
    <row r="73" spans="2:11">
      <c r="B73" s="1" t="s">
        <v>166</v>
      </c>
      <c r="F73" s="3">
        <v>13</v>
      </c>
      <c r="J73" s="3">
        <v>20</v>
      </c>
      <c r="K73" s="3">
        <v>20</v>
      </c>
    </row>
    <row r="74" spans="2:11">
      <c r="B74" s="1" t="s">
        <v>167</v>
      </c>
      <c r="F74" s="3">
        <v>10274</v>
      </c>
      <c r="J74" s="3">
        <v>105896</v>
      </c>
      <c r="K74" s="3">
        <v>106162</v>
      </c>
    </row>
    <row r="75" spans="2:11">
      <c r="B75" s="1" t="s">
        <v>168</v>
      </c>
      <c r="F75" s="3">
        <v>-327</v>
      </c>
      <c r="J75" s="3">
        <v>1928</v>
      </c>
      <c r="K75" s="3">
        <v>184</v>
      </c>
    </row>
    <row r="76" spans="2:11">
      <c r="B76" s="1" t="s">
        <v>169</v>
      </c>
      <c r="F76" s="3">
        <v>152432</v>
      </c>
      <c r="J76" s="3">
        <v>229178</v>
      </c>
      <c r="K76" s="3">
        <v>229117</v>
      </c>
    </row>
    <row r="77" spans="2:11">
      <c r="B77" s="1" t="s">
        <v>46</v>
      </c>
      <c r="F77" s="3">
        <f>SUM(F73:F76)</f>
        <v>162392</v>
      </c>
      <c r="G77" s="3">
        <v>186058</v>
      </c>
      <c r="H77" s="3">
        <v>301874</v>
      </c>
      <c r="I77" s="3">
        <v>315880</v>
      </c>
      <c r="J77" s="3">
        <f>SUM(J73:J76)</f>
        <v>337022</v>
      </c>
      <c r="K77" s="3">
        <f>SUM(K73:K76)</f>
        <v>335483</v>
      </c>
    </row>
    <row r="78" spans="2:11">
      <c r="B78" s="1" t="s">
        <v>47</v>
      </c>
      <c r="F78" s="3">
        <f>+F72+F77</f>
        <v>1198145</v>
      </c>
      <c r="G78" s="3">
        <f>+G72+G77</f>
        <v>1134748</v>
      </c>
      <c r="H78" s="3">
        <f>+H72+H77</f>
        <v>1591470</v>
      </c>
      <c r="I78" s="3">
        <f>+I72+I77</f>
        <v>1433680</v>
      </c>
      <c r="J78" s="3">
        <f>+J72+J77</f>
        <v>1225074</v>
      </c>
      <c r="K78" s="3">
        <f>+K72+K77</f>
        <v>1175054</v>
      </c>
    </row>
    <row r="79" spans="2:11">
      <c r="J79" s="9">
        <f>35000/J77</f>
        <v>0.1038507871889669</v>
      </c>
      <c r="K79" s="9">
        <f>35000/K77</f>
        <v>0.10432719392636884</v>
      </c>
    </row>
    <row r="80" spans="2:11">
      <c r="B80" s="1" t="s">
        <v>72</v>
      </c>
      <c r="F80" s="3">
        <f>+F68</f>
        <v>1029</v>
      </c>
      <c r="G80" s="3">
        <f t="shared" ref="G80:J80" si="32">+G68</f>
        <v>926</v>
      </c>
      <c r="H80" s="3">
        <f t="shared" si="32"/>
        <v>824</v>
      </c>
      <c r="I80" s="3">
        <f t="shared" si="32"/>
        <v>721</v>
      </c>
      <c r="J80" s="3">
        <f t="shared" si="32"/>
        <v>618</v>
      </c>
      <c r="K80" s="3">
        <f t="shared" ref="K80" si="33">+K68</f>
        <v>515</v>
      </c>
    </row>
    <row r="81" spans="2:11">
      <c r="B81" s="1" t="s">
        <v>73</v>
      </c>
      <c r="F81" s="3">
        <f>+F50+F51</f>
        <v>179272</v>
      </c>
      <c r="G81" s="3">
        <f t="shared" ref="G81:J81" si="34">+G50+G51</f>
        <v>240722</v>
      </c>
      <c r="H81" s="3">
        <f t="shared" si="34"/>
        <v>276823</v>
      </c>
      <c r="I81" s="3">
        <f t="shared" si="34"/>
        <v>184324</v>
      </c>
      <c r="J81" s="3">
        <f t="shared" si="34"/>
        <v>244119</v>
      </c>
      <c r="K81" s="3">
        <f t="shared" ref="K81" si="35">+K50+K51</f>
        <v>226351</v>
      </c>
    </row>
    <row r="82" spans="2:11">
      <c r="B82" s="1" t="s">
        <v>74</v>
      </c>
      <c r="F82" s="10">
        <f t="shared" ref="F82:I82" si="36">+F80/F77</f>
        <v>6.336519040346815E-3</v>
      </c>
      <c r="G82" s="10">
        <f t="shared" si="36"/>
        <v>4.9769426737898935E-3</v>
      </c>
      <c r="H82" s="10">
        <f t="shared" si="36"/>
        <v>2.7296156674639087E-3</v>
      </c>
      <c r="I82" s="10">
        <f t="shared" si="36"/>
        <v>2.2825123464606813E-3</v>
      </c>
      <c r="J82" s="10">
        <f>+J80/J77</f>
        <v>1.8337081852223297E-3</v>
      </c>
      <c r="K82" s="10">
        <f>+K80/K77</f>
        <v>1.5351001392022844E-3</v>
      </c>
    </row>
    <row r="84" spans="2:11">
      <c r="B84" s="1" t="s">
        <v>49</v>
      </c>
    </row>
    <row r="85" spans="2:11">
      <c r="B85" s="1" t="s">
        <v>68</v>
      </c>
    </row>
    <row r="97" spans="3:14" s="6" customFormat="1">
      <c r="K97" s="11"/>
      <c r="L97" s="11"/>
      <c r="M97" s="11"/>
      <c r="N97" s="11"/>
    </row>
    <row r="99" spans="3:14" s="6" customFormat="1">
      <c r="K99" s="11"/>
      <c r="L99" s="11"/>
      <c r="M99" s="11"/>
      <c r="N99" s="11"/>
    </row>
    <row r="101" spans="3:14" s="6" customFormat="1">
      <c r="C101" s="11"/>
      <c r="D101" s="11"/>
      <c r="E101" s="11"/>
      <c r="F101" s="11"/>
      <c r="G101" s="11"/>
      <c r="H101" s="11"/>
      <c r="I101" s="11"/>
      <c r="J101" s="11">
        <f>+SUM(Reinsurer!C16:C17)</f>
        <v>269056</v>
      </c>
      <c r="K101" s="11"/>
      <c r="L101" s="11"/>
      <c r="M101" s="11"/>
      <c r="N101" s="11"/>
    </row>
    <row r="102" spans="3:14">
      <c r="J102" s="3">
        <f>+J55</f>
        <v>269056</v>
      </c>
    </row>
    <row r="118" spans="2:23">
      <c r="B118" s="1" t="s">
        <v>75</v>
      </c>
      <c r="V118" s="1">
        <v>148909</v>
      </c>
      <c r="W118" s="1">
        <v>138192</v>
      </c>
    </row>
    <row r="119" spans="2:23">
      <c r="B119" s="1" t="s">
        <v>76</v>
      </c>
      <c r="V119" s="1">
        <v>-1307</v>
      </c>
      <c r="W119" s="1">
        <v>-5017</v>
      </c>
    </row>
    <row r="120" spans="2:23">
      <c r="B120" s="1" t="s">
        <v>77</v>
      </c>
      <c r="V120" s="1">
        <f>+V118+V119</f>
        <v>147602</v>
      </c>
      <c r="W120" s="1">
        <f>+W118+W119</f>
        <v>133175</v>
      </c>
    </row>
    <row r="121" spans="2:23">
      <c r="V121" s="1">
        <f>+V35</f>
        <v>39742</v>
      </c>
      <c r="W121" s="1">
        <f>+W35</f>
        <v>99621</v>
      </c>
    </row>
    <row r="123" spans="2:23">
      <c r="B123" s="1" t="s">
        <v>130</v>
      </c>
      <c r="C123" s="3">
        <f>+C35</f>
        <v>12106</v>
      </c>
      <c r="D123" s="3">
        <f t="shared" ref="D123:J123" si="37">+D35</f>
        <v>14724</v>
      </c>
      <c r="E123" s="3">
        <f t="shared" si="37"/>
        <v>4513</v>
      </c>
      <c r="F123" s="3">
        <f t="shared" si="37"/>
        <v>8397</v>
      </c>
      <c r="G123" s="3">
        <f t="shared" si="37"/>
        <v>38096</v>
      </c>
      <c r="H123" s="3">
        <f t="shared" si="37"/>
        <v>27494</v>
      </c>
      <c r="I123" s="3">
        <f t="shared" si="37"/>
        <v>13163</v>
      </c>
      <c r="J123" s="3">
        <f t="shared" si="37"/>
        <v>20869</v>
      </c>
    </row>
    <row r="124" spans="2:23">
      <c r="B124" s="1" t="s">
        <v>131</v>
      </c>
      <c r="C124" s="3">
        <v>12106</v>
      </c>
      <c r="D124" s="3">
        <f>26831-C124</f>
        <v>14725</v>
      </c>
      <c r="E124" s="3">
        <f>31344-SUM(C124:D124)</f>
        <v>4513</v>
      </c>
      <c r="F124" s="3">
        <f>+V124-SUM(C124:E124)</f>
        <v>8398</v>
      </c>
      <c r="G124" s="3">
        <v>38096</v>
      </c>
      <c r="H124" s="3">
        <f>65590-G124</f>
        <v>27494</v>
      </c>
      <c r="I124" s="3">
        <f>78753-SUM(G124:H124)</f>
        <v>13163</v>
      </c>
      <c r="J124" s="1">
        <f>+W124-SUM(G124:I124)</f>
        <v>20868</v>
      </c>
      <c r="V124" s="1">
        <v>39742</v>
      </c>
      <c r="W124" s="1">
        <v>99621</v>
      </c>
    </row>
    <row r="125" spans="2:23">
      <c r="B125" s="1" t="s">
        <v>133</v>
      </c>
      <c r="C125" s="3">
        <v>0</v>
      </c>
      <c r="D125" s="3">
        <f>0-C125</f>
        <v>0</v>
      </c>
      <c r="E125" s="3">
        <f>0-SUM(C125:D125)</f>
        <v>0</v>
      </c>
      <c r="F125" s="3">
        <f t="shared" ref="F125:F141" si="38">+V125-SUM(C125:E125)</f>
        <v>0</v>
      </c>
      <c r="G125" s="3">
        <v>0</v>
      </c>
      <c r="H125" s="3">
        <f>10433-G125</f>
        <v>10433</v>
      </c>
      <c r="I125" s="3">
        <f>10533-SUM(G125:H125)</f>
        <v>100</v>
      </c>
      <c r="J125" s="1">
        <f t="shared" ref="J125:J141" si="39">+W125-SUM(G125:I125)</f>
        <v>76</v>
      </c>
      <c r="V125" s="1">
        <v>0</v>
      </c>
      <c r="W125" s="1">
        <v>10609</v>
      </c>
    </row>
    <row r="126" spans="2:23">
      <c r="B126" s="1" t="s">
        <v>132</v>
      </c>
      <c r="C126" s="3">
        <v>688</v>
      </c>
      <c r="D126" s="3">
        <f>1394-C126</f>
        <v>706</v>
      </c>
      <c r="E126" s="3">
        <f>2117-SUM(C126:D126)</f>
        <v>723</v>
      </c>
      <c r="F126" s="3">
        <f t="shared" si="38"/>
        <v>724</v>
      </c>
      <c r="G126" s="3">
        <v>497</v>
      </c>
      <c r="H126" s="3">
        <f>1147-G126</f>
        <v>650</v>
      </c>
      <c r="I126" s="3">
        <f>1545-SUM(G126:H126)</f>
        <v>398</v>
      </c>
      <c r="J126" s="1">
        <f t="shared" si="39"/>
        <v>735</v>
      </c>
      <c r="V126" s="1">
        <v>2841</v>
      </c>
      <c r="W126" s="1">
        <v>2280</v>
      </c>
    </row>
    <row r="127" spans="2:23">
      <c r="B127" s="1" t="s">
        <v>134</v>
      </c>
      <c r="C127" s="3">
        <v>-914</v>
      </c>
      <c r="D127" s="3">
        <f>250-C127</f>
        <v>1164</v>
      </c>
      <c r="E127" s="3">
        <f>+-1191-SUM(C127:D127)</f>
        <v>-1441</v>
      </c>
      <c r="F127" s="3">
        <f t="shared" si="38"/>
        <v>-919</v>
      </c>
      <c r="G127" s="3">
        <v>-1090</v>
      </c>
      <c r="H127" s="3">
        <f>+-9829-G127</f>
        <v>-8739</v>
      </c>
      <c r="I127" s="3">
        <f>+-7777-SUM(G127:H127)</f>
        <v>2052</v>
      </c>
      <c r="J127" s="1">
        <f t="shared" si="39"/>
        <v>-2748</v>
      </c>
      <c r="V127" s="1">
        <v>-2110</v>
      </c>
      <c r="W127" s="1">
        <v>-10525</v>
      </c>
    </row>
    <row r="128" spans="2:23">
      <c r="B128" s="1" t="s">
        <v>135</v>
      </c>
      <c r="C128" s="3">
        <v>-6</v>
      </c>
      <c r="D128" s="3">
        <f>+-84-C128</f>
        <v>-78</v>
      </c>
      <c r="E128" s="3">
        <f>+-103-SUM(C128:D128)</f>
        <v>-19</v>
      </c>
      <c r="F128" s="3">
        <f t="shared" si="38"/>
        <v>-16</v>
      </c>
      <c r="G128" s="3">
        <v>-16</v>
      </c>
      <c r="H128" s="3">
        <f>+-501-G128</f>
        <v>-485</v>
      </c>
      <c r="I128" s="3">
        <f>+-542-SUM(G128:H128)</f>
        <v>-41</v>
      </c>
      <c r="J128" s="1">
        <f t="shared" si="39"/>
        <v>-27</v>
      </c>
      <c r="V128" s="1">
        <v>-119</v>
      </c>
      <c r="W128" s="1">
        <v>-569</v>
      </c>
    </row>
    <row r="129" spans="2:23">
      <c r="B129" s="1" t="s">
        <v>136</v>
      </c>
      <c r="C129" s="3">
        <v>-3183</v>
      </c>
      <c r="D129" s="3">
        <f>+-14611-C129</f>
        <v>-11428</v>
      </c>
      <c r="E129" s="3">
        <f>+-163-SUM(C129:D129)</f>
        <v>14448</v>
      </c>
      <c r="F129" s="3">
        <f t="shared" si="38"/>
        <v>-14662</v>
      </c>
      <c r="G129" s="3">
        <v>-4899</v>
      </c>
      <c r="H129" s="3">
        <f>+-7031-G129</f>
        <v>-2132</v>
      </c>
      <c r="I129" s="3">
        <f>+-2578-SUM(G129:H129)</f>
        <v>4453</v>
      </c>
      <c r="J129" s="1">
        <f t="shared" si="39"/>
        <v>9141</v>
      </c>
      <c r="V129" s="1">
        <v>-14825</v>
      </c>
      <c r="W129" s="1">
        <v>6563</v>
      </c>
    </row>
    <row r="130" spans="2:23">
      <c r="B130" s="1" t="s">
        <v>137</v>
      </c>
      <c r="C130" s="3">
        <v>-253</v>
      </c>
      <c r="D130" s="3">
        <f>+-36-C130</f>
        <v>217</v>
      </c>
      <c r="E130" s="3">
        <f>+-27-SUM(C130:D130)</f>
        <v>9</v>
      </c>
      <c r="F130" s="3">
        <f t="shared" si="38"/>
        <v>-452</v>
      </c>
      <c r="G130" s="3">
        <v>238</v>
      </c>
      <c r="H130" s="3">
        <f>+-737-G130</f>
        <v>-975</v>
      </c>
      <c r="I130" s="3">
        <f>+-1009-SUM(G130:H130)</f>
        <v>-272</v>
      </c>
      <c r="J130" s="1">
        <f t="shared" si="39"/>
        <v>-275</v>
      </c>
      <c r="V130" s="1">
        <v>-479</v>
      </c>
      <c r="W130" s="1">
        <v>-1284</v>
      </c>
    </row>
    <row r="131" spans="2:23">
      <c r="B131" s="1" t="s">
        <v>138</v>
      </c>
      <c r="C131" s="3">
        <v>110565</v>
      </c>
      <c r="D131" s="3">
        <f>+-216569-C131</f>
        <v>-327134</v>
      </c>
      <c r="E131" s="3">
        <f>+-117951-SUM(C131:D131)</f>
        <v>98618</v>
      </c>
      <c r="F131" s="3">
        <f t="shared" si="38"/>
        <v>75627</v>
      </c>
      <c r="G131" s="3">
        <v>89856</v>
      </c>
      <c r="H131" s="3">
        <f>+-297587-G131</f>
        <v>-387443</v>
      </c>
      <c r="I131" s="3">
        <f>+-175788-SUM(G131:H131)</f>
        <v>121799</v>
      </c>
      <c r="J131" s="1">
        <f t="shared" si="39"/>
        <v>168949</v>
      </c>
      <c r="V131" s="1">
        <v>-42324</v>
      </c>
      <c r="W131" s="1">
        <v>-6839</v>
      </c>
    </row>
    <row r="132" spans="2:23">
      <c r="B132" s="1" t="s">
        <v>139</v>
      </c>
      <c r="C132" s="3">
        <v>-36511</v>
      </c>
      <c r="D132" s="3">
        <f>38688-C132</f>
        <v>75199</v>
      </c>
      <c r="E132" s="3">
        <f>-9234-SUM(C132:D132)</f>
        <v>-47922</v>
      </c>
      <c r="F132" s="3">
        <f t="shared" si="38"/>
        <v>-127573</v>
      </c>
      <c r="G132" s="3">
        <v>22394</v>
      </c>
      <c r="H132" s="3">
        <f>69524-G132</f>
        <v>47130</v>
      </c>
      <c r="I132" s="3">
        <f>90215-SUM(G132:H132)</f>
        <v>20691</v>
      </c>
      <c r="J132" s="1">
        <f t="shared" si="39"/>
        <v>102826</v>
      </c>
      <c r="V132" s="1">
        <v>-136807</v>
      </c>
      <c r="W132" s="1">
        <v>193041</v>
      </c>
    </row>
    <row r="133" spans="2:23">
      <c r="B133" s="1" t="s">
        <v>71</v>
      </c>
      <c r="C133" s="3">
        <v>200</v>
      </c>
      <c r="D133" s="3">
        <f>908-C133</f>
        <v>708</v>
      </c>
      <c r="E133" s="3">
        <f>-8546-SUM(C133:D133)</f>
        <v>-9454</v>
      </c>
      <c r="F133" s="3">
        <f t="shared" si="38"/>
        <v>565</v>
      </c>
      <c r="G133" s="3">
        <v>8879</v>
      </c>
      <c r="H133" s="3">
        <f>9299-G133</f>
        <v>420</v>
      </c>
      <c r="I133" s="3">
        <f>11174-SUM(G133:H133)</f>
        <v>1875</v>
      </c>
      <c r="J133" s="1">
        <f t="shared" si="39"/>
        <v>-19711</v>
      </c>
      <c r="V133" s="1">
        <v>-7981</v>
      </c>
      <c r="W133" s="1">
        <v>-8537</v>
      </c>
    </row>
    <row r="134" spans="2:23">
      <c r="B134" s="1" t="s">
        <v>140</v>
      </c>
      <c r="C134" s="3">
        <v>-17773</v>
      </c>
      <c r="D134" s="3">
        <f>+-11487-C134</f>
        <v>6286</v>
      </c>
      <c r="E134" s="3">
        <f>38355-SUM(C134:D134)</f>
        <v>49842</v>
      </c>
      <c r="F134" s="3">
        <f t="shared" si="38"/>
        <v>157961</v>
      </c>
      <c r="G134" s="3">
        <v>-44089</v>
      </c>
      <c r="H134" s="3">
        <f>+-96922-G134</f>
        <v>-52833</v>
      </c>
      <c r="I134" s="3">
        <f>+-112263-SUM(G134:H134)</f>
        <v>-15341</v>
      </c>
      <c r="J134" s="1">
        <f t="shared" si="39"/>
        <v>-96854</v>
      </c>
      <c r="V134" s="1">
        <v>196316</v>
      </c>
      <c r="W134" s="1">
        <v>-209117</v>
      </c>
    </row>
    <row r="135" spans="2:23">
      <c r="B135" s="1" t="s">
        <v>141</v>
      </c>
      <c r="C135" s="3">
        <v>-37611</v>
      </c>
      <c r="D135" s="3">
        <f>50608-C135</f>
        <v>88219</v>
      </c>
      <c r="E135" s="3">
        <f>45502-SUM(C135:D135)</f>
        <v>-5106</v>
      </c>
      <c r="F135" s="3">
        <f t="shared" si="38"/>
        <v>42577</v>
      </c>
      <c r="G135" s="3">
        <v>1994</v>
      </c>
      <c r="H135" s="3">
        <f>65250-G135</f>
        <v>63256</v>
      </c>
      <c r="I135" s="3">
        <f>82400-SUM(G135:H135)</f>
        <v>17150</v>
      </c>
      <c r="J135" s="1">
        <f t="shared" si="39"/>
        <v>-22724</v>
      </c>
      <c r="V135" s="1">
        <v>88079</v>
      </c>
      <c r="W135" s="1">
        <v>59676</v>
      </c>
    </row>
    <row r="136" spans="2:23">
      <c r="B136" s="1" t="s">
        <v>52</v>
      </c>
      <c r="C136" s="3">
        <v>-61061</v>
      </c>
      <c r="D136" s="3">
        <f>130795-C136</f>
        <v>191856</v>
      </c>
      <c r="E136" s="3">
        <f>700-SUM(C136:D136)</f>
        <v>-130095</v>
      </c>
      <c r="F136" s="3">
        <f t="shared" si="38"/>
        <v>-5413</v>
      </c>
      <c r="G136" s="3">
        <v>-55072</v>
      </c>
      <c r="H136" s="3">
        <f>288416-G136</f>
        <v>343488</v>
      </c>
      <c r="I136" s="3">
        <f>121220-SUM(G136:H136)</f>
        <v>-167196</v>
      </c>
      <c r="J136" s="1">
        <f t="shared" si="39"/>
        <v>-99042</v>
      </c>
      <c r="V136" s="1">
        <v>-4713</v>
      </c>
      <c r="W136" s="1">
        <v>22178</v>
      </c>
    </row>
    <row r="137" spans="2:23">
      <c r="B137" s="1" t="s">
        <v>142</v>
      </c>
      <c r="C137" s="3">
        <v>11135</v>
      </c>
      <c r="D137" s="3">
        <f>7324-C137</f>
        <v>-3811</v>
      </c>
      <c r="E137" s="3">
        <f>-1426-SUM(C137:D137)</f>
        <v>-8750</v>
      </c>
      <c r="F137" s="3">
        <f t="shared" si="38"/>
        <v>-2706</v>
      </c>
      <c r="G137" s="3">
        <v>13950</v>
      </c>
      <c r="H137" s="3">
        <f>16004-G137</f>
        <v>2054</v>
      </c>
      <c r="I137" s="3">
        <f>14251-SUM(G137:H137)</f>
        <v>-1753</v>
      </c>
      <c r="J137" s="1">
        <f t="shared" si="39"/>
        <v>-9060</v>
      </c>
      <c r="V137" s="1">
        <v>-4132</v>
      </c>
      <c r="W137" s="1">
        <v>5191</v>
      </c>
    </row>
    <row r="138" spans="2:23">
      <c r="B138" s="1" t="s">
        <v>143</v>
      </c>
      <c r="C138" s="3">
        <v>2120</v>
      </c>
      <c r="D138" s="3">
        <f>5693-C138</f>
        <v>3573</v>
      </c>
      <c r="E138" s="3">
        <f>9522-SUM(C138:D138)</f>
        <v>3829</v>
      </c>
      <c r="F138" s="3">
        <f t="shared" si="38"/>
        <v>3118</v>
      </c>
      <c r="G138" s="3">
        <v>6418</v>
      </c>
      <c r="H138" s="3">
        <f>-9070-G138</f>
        <v>-15488</v>
      </c>
      <c r="I138" s="3">
        <f>+-10569-SUM(G138:H138)</f>
        <v>-1499</v>
      </c>
      <c r="J138" s="1">
        <f t="shared" si="39"/>
        <v>1376</v>
      </c>
      <c r="V138" s="1">
        <v>12640</v>
      </c>
      <c r="W138" s="1">
        <v>-9193</v>
      </c>
    </row>
    <row r="139" spans="2:23">
      <c r="B139" s="1" t="s">
        <v>144</v>
      </c>
      <c r="C139" s="3">
        <v>-514</v>
      </c>
      <c r="D139" s="3">
        <f>+-1030-C139</f>
        <v>-516</v>
      </c>
      <c r="E139" s="3">
        <f>+-1553-SUM(C139:D139)</f>
        <v>-523</v>
      </c>
      <c r="F139" s="3">
        <f t="shared" si="38"/>
        <v>-530</v>
      </c>
      <c r="G139" s="3">
        <v>-501</v>
      </c>
      <c r="H139" s="3">
        <f>+-1053-G139</f>
        <v>-552</v>
      </c>
      <c r="I139" s="3">
        <f>+-1584-SUM(G139:H139)</f>
        <v>-531</v>
      </c>
      <c r="J139" s="1">
        <f t="shared" si="39"/>
        <v>-695</v>
      </c>
      <c r="V139" s="1">
        <v>-2083</v>
      </c>
      <c r="W139" s="1">
        <v>-2279</v>
      </c>
    </row>
    <row r="140" spans="2:23">
      <c r="B140" s="1" t="s">
        <v>57</v>
      </c>
      <c r="C140" s="3">
        <v>7677</v>
      </c>
      <c r="D140" s="3">
        <f>13445-C140</f>
        <v>5768</v>
      </c>
      <c r="E140" s="3">
        <f>13669-SUM(C140:D140)</f>
        <v>224</v>
      </c>
      <c r="F140" s="3">
        <f t="shared" si="38"/>
        <v>18262</v>
      </c>
      <c r="G140" s="3">
        <v>-5095</v>
      </c>
      <c r="H140" s="3">
        <f>+-5066-G140</f>
        <v>29</v>
      </c>
      <c r="I140" s="3">
        <f>+-9034-SUM(G140:H140)</f>
        <v>-3968</v>
      </c>
      <c r="J140" s="1">
        <f t="shared" si="39"/>
        <v>-9995</v>
      </c>
      <c r="V140" s="1">
        <v>31931</v>
      </c>
      <c r="W140" s="1">
        <v>-19029</v>
      </c>
    </row>
    <row r="141" spans="2:23">
      <c r="B141" s="1" t="s">
        <v>145</v>
      </c>
      <c r="C141" s="3">
        <v>-6816</v>
      </c>
      <c r="D141" s="3">
        <f>+-4904-C141</f>
        <v>1912</v>
      </c>
      <c r="E141" s="3">
        <f>+-4807-SUM(C141:D141)</f>
        <v>97</v>
      </c>
      <c r="F141" s="3">
        <f t="shared" si="38"/>
        <v>-2260</v>
      </c>
      <c r="G141" s="3">
        <v>-3475</v>
      </c>
      <c r="H141" s="3">
        <f>+-2386-G141</f>
        <v>1089</v>
      </c>
      <c r="I141" s="3">
        <f>+-944-SUM(G141:H141)</f>
        <v>1442</v>
      </c>
      <c r="J141" s="1">
        <f t="shared" si="39"/>
        <v>7349</v>
      </c>
      <c r="V141" s="1">
        <v>-7067</v>
      </c>
      <c r="W141" s="1">
        <v>6405</v>
      </c>
    </row>
    <row r="142" spans="2:23" s="6" customFormat="1">
      <c r="B142" s="6" t="s">
        <v>146</v>
      </c>
      <c r="C142" s="11">
        <f t="shared" ref="C142:J142" si="40">SUM(C124:C141)</f>
        <v>-20151</v>
      </c>
      <c r="D142" s="11">
        <f t="shared" si="40"/>
        <v>47366</v>
      </c>
      <c r="E142" s="11">
        <f t="shared" si="40"/>
        <v>-31007</v>
      </c>
      <c r="F142" s="11">
        <f t="shared" si="40"/>
        <v>152701</v>
      </c>
      <c r="G142" s="11">
        <f t="shared" si="40"/>
        <v>68085</v>
      </c>
      <c r="H142" s="11">
        <f t="shared" si="40"/>
        <v>27396</v>
      </c>
      <c r="I142" s="11">
        <f t="shared" si="40"/>
        <v>-7478</v>
      </c>
      <c r="J142" s="11">
        <f t="shared" si="40"/>
        <v>50189</v>
      </c>
      <c r="K142" s="11"/>
      <c r="L142" s="11"/>
      <c r="M142" s="11"/>
      <c r="N142" s="11"/>
      <c r="V142" s="6">
        <f>+SUM(V124:V141)</f>
        <v>148909</v>
      </c>
      <c r="W142" s="6">
        <f>+SUM(W124:W141)</f>
        <v>138192</v>
      </c>
    </row>
    <row r="144" spans="2:23">
      <c r="B144" s="1" t="s">
        <v>76</v>
      </c>
      <c r="C144" s="3">
        <v>-595</v>
      </c>
      <c r="D144" s="3">
        <f>+-939-C144</f>
        <v>-344</v>
      </c>
      <c r="E144" s="3">
        <f>-1214-SUM(C144:D144)</f>
        <v>-275</v>
      </c>
      <c r="F144" s="3">
        <f t="shared" ref="F144:F148" si="41">+V144-SUM(C144:E144)</f>
        <v>-93</v>
      </c>
      <c r="G144" s="3">
        <v>-108</v>
      </c>
      <c r="H144" s="3">
        <f>+-579-G144</f>
        <v>-471</v>
      </c>
      <c r="I144" s="3">
        <f>-5036-SUM(G144:H144)</f>
        <v>-4457</v>
      </c>
      <c r="J144" s="1">
        <f t="shared" ref="J144:J148" si="42">+W144-SUM(G144:I144)</f>
        <v>19</v>
      </c>
      <c r="V144" s="1">
        <v>-1307</v>
      </c>
      <c r="W144" s="1">
        <v>-5017</v>
      </c>
    </row>
    <row r="145" spans="2:23">
      <c r="B145" s="1" t="s">
        <v>147</v>
      </c>
      <c r="C145" s="3">
        <v>3532</v>
      </c>
      <c r="D145" s="3">
        <f>52140-C145</f>
        <v>48608</v>
      </c>
      <c r="E145" s="3">
        <f>68890-SUM(C145:D145)</f>
        <v>16750</v>
      </c>
      <c r="F145" s="3">
        <f t="shared" si="41"/>
        <v>14333</v>
      </c>
      <c r="G145" s="3">
        <v>59870</v>
      </c>
      <c r="H145" s="3">
        <f>103486-G145</f>
        <v>43616</v>
      </c>
      <c r="I145" s="3">
        <f>109475-SUM(G145:H145)</f>
        <v>5989</v>
      </c>
      <c r="J145" s="1">
        <f t="shared" si="42"/>
        <v>10792</v>
      </c>
      <c r="V145" s="1">
        <v>83223</v>
      </c>
      <c r="W145" s="1">
        <v>120267</v>
      </c>
    </row>
    <row r="146" spans="2:23">
      <c r="B146" s="1" t="s">
        <v>148</v>
      </c>
      <c r="C146" s="3">
        <v>-7487</v>
      </c>
      <c r="D146" s="3">
        <f>+-9221-C146</f>
        <v>-1734</v>
      </c>
      <c r="E146" s="3">
        <f>+-46105-SUM(C146:D146)</f>
        <v>-36884</v>
      </c>
      <c r="F146" s="3">
        <f t="shared" si="41"/>
        <v>-57137</v>
      </c>
      <c r="G146" s="3">
        <v>-51419</v>
      </c>
      <c r="H146" s="3">
        <f>+-162776-G146</f>
        <v>-111357</v>
      </c>
      <c r="I146" s="3">
        <f>+-222264-SUM(G146:H146)</f>
        <v>-59488</v>
      </c>
      <c r="J146" s="1">
        <f t="shared" si="42"/>
        <v>-10224</v>
      </c>
      <c r="V146" s="1">
        <v>-103242</v>
      </c>
      <c r="W146" s="1">
        <v>-232488</v>
      </c>
    </row>
    <row r="147" spans="2:23">
      <c r="B147" s="1" t="s">
        <v>149</v>
      </c>
      <c r="C147" s="3">
        <v>-14</v>
      </c>
      <c r="D147" s="3">
        <f>+-14-C147</f>
        <v>0</v>
      </c>
      <c r="E147" s="3">
        <f>1943-SUM(C147:D147)</f>
        <v>1957</v>
      </c>
      <c r="F147" s="3">
        <f t="shared" si="41"/>
        <v>14</v>
      </c>
      <c r="H147" s="3">
        <f>0-G147</f>
        <v>0</v>
      </c>
      <c r="I147" s="3">
        <v>0</v>
      </c>
      <c r="J147" s="1">
        <f t="shared" si="42"/>
        <v>15144</v>
      </c>
      <c r="V147" s="1">
        <v>1957</v>
      </c>
      <c r="W147" s="1">
        <v>15144</v>
      </c>
    </row>
    <row r="148" spans="2:23">
      <c r="B148" s="1" t="s">
        <v>150</v>
      </c>
      <c r="D148" s="3">
        <v>0</v>
      </c>
      <c r="E148" s="3">
        <f>0-SUM(C148:D148)</f>
        <v>0</v>
      </c>
      <c r="F148" s="3">
        <f t="shared" si="41"/>
        <v>0</v>
      </c>
      <c r="H148" s="3">
        <v>0</v>
      </c>
      <c r="I148" s="3">
        <f>+-26963-SUM(G148:H148)</f>
        <v>-26963</v>
      </c>
      <c r="J148" s="1">
        <f t="shared" si="42"/>
        <v>-6022</v>
      </c>
      <c r="V148" s="1">
        <v>0</v>
      </c>
      <c r="W148" s="1">
        <v>-32985</v>
      </c>
    </row>
    <row r="149" spans="2:23" s="6" customFormat="1">
      <c r="B149" s="6" t="s">
        <v>151</v>
      </c>
      <c r="C149" s="11">
        <f t="shared" ref="C149:J149" si="43">+SUM(C144:C148)</f>
        <v>-4564</v>
      </c>
      <c r="D149" s="11">
        <f t="shared" si="43"/>
        <v>46530</v>
      </c>
      <c r="E149" s="11">
        <f t="shared" si="43"/>
        <v>-18452</v>
      </c>
      <c r="F149" s="11">
        <f t="shared" si="43"/>
        <v>-42883</v>
      </c>
      <c r="G149" s="11">
        <f t="shared" si="43"/>
        <v>8343</v>
      </c>
      <c r="H149" s="11">
        <f t="shared" si="43"/>
        <v>-68212</v>
      </c>
      <c r="I149" s="11">
        <f t="shared" si="43"/>
        <v>-84919</v>
      </c>
      <c r="J149" s="11">
        <f t="shared" si="43"/>
        <v>9709</v>
      </c>
      <c r="K149" s="11"/>
      <c r="L149" s="11"/>
      <c r="M149" s="11"/>
      <c r="N149" s="11"/>
      <c r="V149" s="6">
        <f>+SUM(V144:V148)</f>
        <v>-19369</v>
      </c>
      <c r="W149" s="6">
        <f>+SUM(W144:W148)</f>
        <v>-135079</v>
      </c>
    </row>
    <row r="151" spans="2:23">
      <c r="B151" s="1" t="s">
        <v>152</v>
      </c>
      <c r="C151" s="3">
        <v>0</v>
      </c>
      <c r="D151" s="3">
        <v>0</v>
      </c>
      <c r="E151" s="3">
        <f>0-SUM(C151:D151)</f>
        <v>0</v>
      </c>
      <c r="F151" s="3">
        <f t="shared" ref="F151:F155" si="44">+V151-SUM(C151:E151)</f>
        <v>0</v>
      </c>
      <c r="G151" s="3">
        <v>-108</v>
      </c>
      <c r="H151" s="3">
        <f>93000-G151</f>
        <v>93108</v>
      </c>
      <c r="I151" s="3">
        <f>93000-SUM(G151:H151)</f>
        <v>0</v>
      </c>
      <c r="J151" s="1">
        <f t="shared" ref="J151:J155" si="45">+W151-SUM(G151:I151)</f>
        <v>0</v>
      </c>
      <c r="V151" s="1">
        <v>0</v>
      </c>
      <c r="W151" s="1">
        <v>93000</v>
      </c>
    </row>
    <row r="152" spans="2:23">
      <c r="B152" s="1" t="s">
        <v>153</v>
      </c>
      <c r="C152" s="3">
        <v>0</v>
      </c>
      <c r="D152" s="3">
        <v>0</v>
      </c>
      <c r="E152" s="3">
        <f>0-SUM(C152:D152)</f>
        <v>0</v>
      </c>
      <c r="F152" s="3">
        <f t="shared" si="44"/>
        <v>0</v>
      </c>
      <c r="G152" s="3">
        <v>59870</v>
      </c>
      <c r="H152" s="3">
        <f>-3753-G152</f>
        <v>-63623</v>
      </c>
      <c r="I152" s="3">
        <f>+-3753-SUM(G152:H152)</f>
        <v>0</v>
      </c>
      <c r="J152" s="1">
        <f t="shared" si="45"/>
        <v>0</v>
      </c>
      <c r="V152" s="1">
        <v>0</v>
      </c>
      <c r="W152" s="1">
        <v>-3753</v>
      </c>
    </row>
    <row r="153" spans="2:23">
      <c r="B153" s="1" t="s">
        <v>154</v>
      </c>
      <c r="C153" s="3">
        <v>-4022</v>
      </c>
      <c r="D153" s="3">
        <f>+-12024-C153</f>
        <v>-8002</v>
      </c>
      <c r="E153" s="3">
        <f>+-12024-SUM(C153:D153)</f>
        <v>0</v>
      </c>
      <c r="F153" s="3">
        <f t="shared" si="44"/>
        <v>0</v>
      </c>
      <c r="G153" s="3">
        <v>-51419</v>
      </c>
      <c r="H153" s="3">
        <f>+-22875-G153</f>
        <v>28544</v>
      </c>
      <c r="I153" s="3">
        <f>+-22875-SUM(G153:H153)</f>
        <v>0</v>
      </c>
      <c r="J153" s="1">
        <f t="shared" si="45"/>
        <v>0</v>
      </c>
      <c r="V153" s="1">
        <v>-12024</v>
      </c>
      <c r="W153" s="1">
        <v>-22875</v>
      </c>
    </row>
    <row r="154" spans="2:23">
      <c r="B154" s="1" t="s">
        <v>155</v>
      </c>
      <c r="C154" s="3">
        <v>-103</v>
      </c>
      <c r="D154" s="3">
        <f>+-206-C154</f>
        <v>-103</v>
      </c>
      <c r="E154" s="3">
        <f>+-309-SUM(C154:D154)</f>
        <v>-103</v>
      </c>
      <c r="F154" s="3">
        <f t="shared" si="44"/>
        <v>-103</v>
      </c>
      <c r="H154" s="3">
        <f>+-206-G154</f>
        <v>-206</v>
      </c>
      <c r="I154" s="3">
        <f>+-308-SUM(G154:H154)</f>
        <v>-102</v>
      </c>
      <c r="J154" s="1">
        <f t="shared" si="45"/>
        <v>-103</v>
      </c>
      <c r="V154" s="1">
        <v>-412</v>
      </c>
      <c r="W154" s="1">
        <v>-411</v>
      </c>
    </row>
    <row r="155" spans="2:23">
      <c r="B155" s="1" t="s">
        <v>156</v>
      </c>
      <c r="C155" s="3">
        <v>0</v>
      </c>
      <c r="D155" s="3">
        <v>0</v>
      </c>
      <c r="E155" s="3">
        <f>0-SUM(C155:D155)</f>
        <v>0</v>
      </c>
      <c r="F155" s="3">
        <f t="shared" si="44"/>
        <v>0</v>
      </c>
      <c r="H155" s="3">
        <f>+-4227-G155</f>
        <v>-4227</v>
      </c>
      <c r="I155" s="3">
        <f>+-4227-SUM(G155:H155)</f>
        <v>0</v>
      </c>
      <c r="J155" s="1">
        <f t="shared" si="45"/>
        <v>0</v>
      </c>
      <c r="V155" s="1">
        <v>0</v>
      </c>
      <c r="W155" s="1">
        <v>-4227</v>
      </c>
    </row>
    <row r="156" spans="2:23" s="6" customFormat="1">
      <c r="B156" s="6" t="s">
        <v>157</v>
      </c>
      <c r="C156" s="11">
        <f t="shared" ref="C156:J156" si="46">SUM(C151:C155)</f>
        <v>-4125</v>
      </c>
      <c r="D156" s="11">
        <f t="shared" si="46"/>
        <v>-8105</v>
      </c>
      <c r="E156" s="11">
        <f t="shared" si="46"/>
        <v>-103</v>
      </c>
      <c r="F156" s="11">
        <f t="shared" si="46"/>
        <v>-103</v>
      </c>
      <c r="G156" s="11">
        <f t="shared" si="46"/>
        <v>8343</v>
      </c>
      <c r="H156" s="11">
        <f t="shared" si="46"/>
        <v>53596</v>
      </c>
      <c r="I156" s="11">
        <f t="shared" si="46"/>
        <v>-102</v>
      </c>
      <c r="J156" s="11">
        <f t="shared" si="46"/>
        <v>-103</v>
      </c>
      <c r="K156" s="11"/>
      <c r="L156" s="11"/>
      <c r="M156" s="11"/>
      <c r="N156" s="11"/>
      <c r="V156" s="6">
        <f>+SUM(V151:V155)</f>
        <v>-12436</v>
      </c>
      <c r="W156" s="6">
        <f>+SUM(W151:W155)</f>
        <v>61734</v>
      </c>
    </row>
    <row r="157" spans="2:23">
      <c r="B157" s="1" t="s">
        <v>158</v>
      </c>
      <c r="C157" s="1">
        <f t="shared" ref="C157:J157" si="47">+SUM(C142,C149,C156)</f>
        <v>-28840</v>
      </c>
      <c r="D157" s="1">
        <f t="shared" si="47"/>
        <v>85791</v>
      </c>
      <c r="E157" s="1">
        <f t="shared" si="47"/>
        <v>-49562</v>
      </c>
      <c r="F157" s="1">
        <f t="shared" si="47"/>
        <v>109715</v>
      </c>
      <c r="G157" s="1">
        <f t="shared" si="47"/>
        <v>84771</v>
      </c>
      <c r="H157" s="1">
        <f t="shared" si="47"/>
        <v>12780</v>
      </c>
      <c r="I157" s="1">
        <f t="shared" si="47"/>
        <v>-92499</v>
      </c>
      <c r="J157" s="1">
        <f t="shared" si="47"/>
        <v>59795</v>
      </c>
      <c r="V157" s="1">
        <f>+SUM(V142,V149,V156)</f>
        <v>117104</v>
      </c>
      <c r="W157" s="1">
        <f>+SUM(W142,W149,W156)</f>
        <v>64847</v>
      </c>
    </row>
    <row r="158" spans="2:23">
      <c r="B158" s="1" t="s">
        <v>160</v>
      </c>
      <c r="C158" s="3">
        <v>62168</v>
      </c>
      <c r="D158" s="3">
        <f t="shared" ref="D158:J158" si="48">+C159</f>
        <v>33328</v>
      </c>
      <c r="E158" s="1">
        <f t="shared" si="48"/>
        <v>119119</v>
      </c>
      <c r="F158" s="1">
        <f t="shared" si="48"/>
        <v>69557</v>
      </c>
      <c r="G158" s="3">
        <f t="shared" si="48"/>
        <v>179272</v>
      </c>
      <c r="H158" s="3">
        <f t="shared" si="48"/>
        <v>264043</v>
      </c>
      <c r="I158" s="1">
        <f t="shared" si="48"/>
        <v>276823</v>
      </c>
      <c r="J158" s="1">
        <f t="shared" si="48"/>
        <v>184324</v>
      </c>
      <c r="V158" s="1">
        <v>62168</v>
      </c>
      <c r="W158" s="1">
        <f>+V159</f>
        <v>179272</v>
      </c>
    </row>
    <row r="159" spans="2:23">
      <c r="B159" s="1" t="s">
        <v>159</v>
      </c>
      <c r="C159" s="1">
        <f t="shared" ref="C159:J159" si="49">SUM(C157:C158)</f>
        <v>33328</v>
      </c>
      <c r="D159" s="1">
        <f t="shared" si="49"/>
        <v>119119</v>
      </c>
      <c r="E159" s="1">
        <f t="shared" si="49"/>
        <v>69557</v>
      </c>
      <c r="F159" s="1">
        <f t="shared" si="49"/>
        <v>179272</v>
      </c>
      <c r="G159" s="1">
        <f t="shared" si="49"/>
        <v>264043</v>
      </c>
      <c r="H159" s="1">
        <f t="shared" si="49"/>
        <v>276823</v>
      </c>
      <c r="I159" s="1">
        <f t="shared" si="49"/>
        <v>184324</v>
      </c>
      <c r="J159" s="1">
        <f t="shared" si="49"/>
        <v>244119</v>
      </c>
      <c r="V159" s="1">
        <f>SUM(V157:V158)</f>
        <v>179272</v>
      </c>
      <c r="W159" s="1">
        <f>SUM(W157:W158)</f>
        <v>244119</v>
      </c>
    </row>
    <row r="161" spans="2:10">
      <c r="B161" s="1" t="s">
        <v>161</v>
      </c>
      <c r="C161" s="3">
        <f>+C142+C144</f>
        <v>-20746</v>
      </c>
      <c r="D161" s="3">
        <f t="shared" ref="D161:J161" si="50">+D142+D144</f>
        <v>47022</v>
      </c>
      <c r="E161" s="3">
        <f t="shared" si="50"/>
        <v>-31282</v>
      </c>
      <c r="F161" s="3">
        <f t="shared" si="50"/>
        <v>152608</v>
      </c>
      <c r="G161" s="3">
        <f t="shared" si="50"/>
        <v>67977</v>
      </c>
      <c r="H161" s="3">
        <f t="shared" si="50"/>
        <v>26925</v>
      </c>
      <c r="I161" s="3">
        <f t="shared" si="50"/>
        <v>-11935</v>
      </c>
      <c r="J161" s="3">
        <f t="shared" si="50"/>
        <v>50208</v>
      </c>
    </row>
    <row r="162" spans="2:10">
      <c r="B162" s="1" t="s">
        <v>162</v>
      </c>
      <c r="C162" s="3">
        <f>+C123</f>
        <v>12106</v>
      </c>
      <c r="D162" s="3">
        <f t="shared" ref="D162:J162" si="51">+D123</f>
        <v>14724</v>
      </c>
      <c r="E162" s="3">
        <f t="shared" si="51"/>
        <v>4513</v>
      </c>
      <c r="F162" s="3">
        <f t="shared" si="51"/>
        <v>8397</v>
      </c>
      <c r="G162" s="3">
        <f t="shared" si="51"/>
        <v>38096</v>
      </c>
      <c r="H162" s="3">
        <f t="shared" si="51"/>
        <v>27494</v>
      </c>
      <c r="I162" s="3">
        <f t="shared" si="51"/>
        <v>13163</v>
      </c>
      <c r="J162" s="3">
        <f t="shared" si="51"/>
        <v>20869</v>
      </c>
    </row>
    <row r="164" spans="2:10">
      <c r="B164" s="1" t="s">
        <v>163</v>
      </c>
      <c r="F164" s="3">
        <f t="shared" ref="F164:I164" si="52">SUM(C161:F161)</f>
        <v>147602</v>
      </c>
      <c r="G164" s="3">
        <f t="shared" si="52"/>
        <v>236325</v>
      </c>
      <c r="H164" s="3">
        <f t="shared" si="52"/>
        <v>216228</v>
      </c>
      <c r="I164" s="3">
        <f t="shared" si="52"/>
        <v>235575</v>
      </c>
      <c r="J164" s="3">
        <f>SUM(G161:J161)</f>
        <v>133175</v>
      </c>
    </row>
    <row r="165" spans="2:10">
      <c r="B165" s="1" t="s">
        <v>164</v>
      </c>
      <c r="F165" s="3">
        <f t="shared" ref="F165:I165" si="53">SUM(C162:F162)</f>
        <v>39740</v>
      </c>
      <c r="G165" s="3">
        <f t="shared" si="53"/>
        <v>65730</v>
      </c>
      <c r="H165" s="3">
        <f t="shared" si="53"/>
        <v>78500</v>
      </c>
      <c r="I165" s="3">
        <f t="shared" si="53"/>
        <v>87150</v>
      </c>
      <c r="J165" s="3">
        <f>SUM(G162:J162)</f>
        <v>99622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Reinsurer</vt:lpstr>
      <vt:lpstr>Hurricane Szns</vt:lpstr>
      <vt:lpstr>Readings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2026-05-07T03:01:28Z</dcterms:created>
  <dcterms:modified xsi:type="dcterms:W3CDTF">2026-05-21T19:42:23Z</dcterms:modified>
</cp:coreProperties>
</file>