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42308E5A-35DD-A84C-A71A-815D2DDBB1C8}" xr6:coauthVersionLast="47" xr6:coauthVersionMax="47" xr10:uidLastSave="{00000000-0000-0000-0000-000000000000}"/>
  <bookViews>
    <workbookView xWindow="5220" yWindow="600" windowWidth="25200" windowHeight="27220" xr2:uid="{7511FD2B-A61A-604C-8E92-83771CE7FD50}"/>
  </bookViews>
  <sheets>
    <sheet name="Main" sheetId="1" r:id="rId1"/>
    <sheet name="Literature" sheetId="2" r:id="rId2"/>
    <sheet name="Reinsurance " sheetId="3" r:id="rId3"/>
    <sheet name="Estimating Unpaid Claims" sheetId="4" r:id="rId4"/>
  </sheets>
  <definedNames>
    <definedName name="_xlnm._FilterDatabase" localSheetId="0" hidden="1">Main!$B$3:$K$13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" i="1" l="1"/>
  <c r="N6" i="1"/>
  <c r="O6" i="1" s="1"/>
  <c r="N7" i="1"/>
  <c r="AJ7" i="1" s="1"/>
  <c r="N8" i="1"/>
  <c r="AJ8" i="1" s="1"/>
  <c r="N9" i="1"/>
  <c r="AJ9" i="1" s="1"/>
  <c r="N10" i="1"/>
  <c r="AJ10" i="1" s="1"/>
  <c r="N11" i="1"/>
  <c r="AJ11" i="1" s="1"/>
  <c r="N12" i="1"/>
  <c r="AJ12" i="1" s="1"/>
  <c r="N13" i="1"/>
  <c r="AJ13" i="1" s="1"/>
  <c r="N14" i="1"/>
  <c r="H14" i="1"/>
  <c r="K14" i="1" s="1"/>
  <c r="H13" i="1"/>
  <c r="H12" i="1"/>
  <c r="H11" i="1"/>
  <c r="K11" i="1" s="1"/>
  <c r="AG11" i="1" s="1"/>
  <c r="H10" i="1"/>
  <c r="H9" i="1"/>
  <c r="H8" i="1"/>
  <c r="H7" i="1"/>
  <c r="K7" i="1" s="1"/>
  <c r="AG7" i="1" s="1"/>
  <c r="H6" i="1"/>
  <c r="H5" i="1"/>
  <c r="H4" i="1"/>
  <c r="AD4" i="1" s="1"/>
  <c r="AM13" i="1"/>
  <c r="AL13" i="1"/>
  <c r="AK13" i="1"/>
  <c r="AI13" i="1"/>
  <c r="AH13" i="1"/>
  <c r="AF13" i="1"/>
  <c r="AE13" i="1"/>
  <c r="AM12" i="1"/>
  <c r="AL12" i="1"/>
  <c r="AK12" i="1"/>
  <c r="AI12" i="1"/>
  <c r="AH12" i="1"/>
  <c r="AF12" i="1"/>
  <c r="AE12" i="1"/>
  <c r="AM11" i="1"/>
  <c r="AL11" i="1"/>
  <c r="AK11" i="1"/>
  <c r="AI11" i="1"/>
  <c r="AH11" i="1"/>
  <c r="AF11" i="1"/>
  <c r="AE11" i="1"/>
  <c r="AD11" i="1"/>
  <c r="AM10" i="1"/>
  <c r="AL10" i="1"/>
  <c r="AK10" i="1"/>
  <c r="AI10" i="1"/>
  <c r="AH10" i="1"/>
  <c r="AF10" i="1"/>
  <c r="AE10" i="1"/>
  <c r="AM9" i="1"/>
  <c r="AL9" i="1"/>
  <c r="AK9" i="1"/>
  <c r="AI9" i="1"/>
  <c r="AH9" i="1"/>
  <c r="AM8" i="1"/>
  <c r="AL8" i="1"/>
  <c r="AK8" i="1"/>
  <c r="AI8" i="1"/>
  <c r="AH8" i="1"/>
  <c r="AF8" i="1"/>
  <c r="AE8" i="1"/>
  <c r="AM7" i="1"/>
  <c r="AL7" i="1"/>
  <c r="AK7" i="1"/>
  <c r="AI7" i="1"/>
  <c r="AH7" i="1"/>
  <c r="AF7" i="1"/>
  <c r="AE7" i="1"/>
  <c r="AD7" i="1"/>
  <c r="AD6" i="1"/>
  <c r="N4" i="1"/>
  <c r="U14" i="1"/>
  <c r="U13" i="1"/>
  <c r="U12" i="1"/>
  <c r="U11" i="1"/>
  <c r="U10" i="1"/>
  <c r="U9" i="1"/>
  <c r="U8" i="1"/>
  <c r="U7" i="1"/>
  <c r="U4" i="1"/>
  <c r="I4" i="1"/>
  <c r="K4" i="1"/>
  <c r="T4" i="1"/>
  <c r="I5" i="1"/>
  <c r="J5" i="1"/>
  <c r="T5" i="1"/>
  <c r="AE3" i="1"/>
  <c r="T6" i="1"/>
  <c r="AE9" i="1" l="1"/>
  <c r="K10" i="1"/>
  <c r="AG10" i="1" s="1"/>
  <c r="AD10" i="1"/>
  <c r="K8" i="1"/>
  <c r="AG8" i="1" s="1"/>
  <c r="AD8" i="1"/>
  <c r="K13" i="1"/>
  <c r="AG13" i="1" s="1"/>
  <c r="AD13" i="1"/>
  <c r="AE4" i="1"/>
  <c r="AE5" i="1"/>
  <c r="K5" i="1"/>
  <c r="AD5" i="1"/>
  <c r="U5" i="1"/>
  <c r="K12" i="1"/>
  <c r="AG12" i="1" s="1"/>
  <c r="AD12" i="1"/>
  <c r="AD9" i="1"/>
  <c r="K9" i="1"/>
  <c r="U6" i="1"/>
  <c r="K6" i="1"/>
  <c r="AF3" i="1"/>
  <c r="AE6" i="1"/>
  <c r="AF9" i="1" l="1"/>
  <c r="AF5" i="1"/>
  <c r="AF6" i="1"/>
  <c r="AF4" i="1"/>
  <c r="AG3" i="1"/>
  <c r="AG5" i="1" l="1"/>
  <c r="AG9" i="1"/>
  <c r="AG6" i="1"/>
  <c r="AG4" i="1"/>
  <c r="AH3" i="1"/>
  <c r="AH4" i="1" l="1"/>
  <c r="AH5" i="1"/>
  <c r="AH6" i="1"/>
  <c r="AI3" i="1"/>
  <c r="AI6" i="1" l="1"/>
  <c r="AI5" i="1"/>
  <c r="AI4" i="1"/>
  <c r="AJ3" i="1"/>
  <c r="AJ4" i="1" l="1"/>
  <c r="AJ5" i="1"/>
  <c r="AJ6" i="1"/>
  <c r="AK3" i="1"/>
  <c r="AK6" i="1" l="1"/>
  <c r="AK4" i="1"/>
  <c r="AK5" i="1"/>
  <c r="AL3" i="1"/>
  <c r="AL5" i="1" l="1"/>
  <c r="AL4" i="1"/>
  <c r="AL6" i="1"/>
  <c r="AM3" i="1"/>
  <c r="AM6" i="1" l="1"/>
  <c r="AM5" i="1"/>
  <c r="AM4" i="1"/>
</calcChain>
</file>

<file path=xl/sharedStrings.xml><?xml version="1.0" encoding="utf-8"?>
<sst xmlns="http://schemas.openxmlformats.org/spreadsheetml/2006/main" count="115" uniqueCount="93">
  <si>
    <t>Ticker</t>
  </si>
  <si>
    <t>Company</t>
  </si>
  <si>
    <t>Sector</t>
  </si>
  <si>
    <t>Industry</t>
  </si>
  <si>
    <t>Price</t>
  </si>
  <si>
    <t>ACIC</t>
  </si>
  <si>
    <t>American Coastal Insurance Corp</t>
  </si>
  <si>
    <t>Financial</t>
  </si>
  <si>
    <t>Insurance - Property &amp; Casualty</t>
  </si>
  <si>
    <t>AII</t>
  </si>
  <si>
    <t>American Integrity Insurance Group Inc</t>
  </si>
  <si>
    <t>ASIC</t>
  </si>
  <si>
    <t>Ategrity Specialty Insurance Company Holdings</t>
  </si>
  <si>
    <t>BOW</t>
  </si>
  <si>
    <t>Bowhead Specialty Holdings Inc</t>
  </si>
  <si>
    <t>DGICA</t>
  </si>
  <si>
    <t>Donegal Group Inc</t>
  </si>
  <si>
    <t>GBLI</t>
  </si>
  <si>
    <t>HIPO</t>
  </si>
  <si>
    <t>Hippo Holdings Inc</t>
  </si>
  <si>
    <t>HRTG</t>
  </si>
  <si>
    <t>Heritage Insurance Holdings Inc</t>
  </si>
  <si>
    <t>KINS</t>
  </si>
  <si>
    <t>Kingstone Cos. Inc</t>
  </si>
  <si>
    <t>NODK</t>
  </si>
  <si>
    <t>NI Holdings Inc</t>
  </si>
  <si>
    <t>ROOT</t>
  </si>
  <si>
    <t>Root Inc</t>
  </si>
  <si>
    <t>Shares</t>
  </si>
  <si>
    <t>Cash</t>
  </si>
  <si>
    <t>Debt</t>
  </si>
  <si>
    <t xml:space="preserve">Global Indemnity </t>
  </si>
  <si>
    <t xml:space="preserve">Model </t>
  </si>
  <si>
    <t>Territory</t>
  </si>
  <si>
    <t>Florida</t>
  </si>
  <si>
    <t>NPV</t>
  </si>
  <si>
    <t>BV</t>
  </si>
  <si>
    <t>NPV/BV</t>
  </si>
  <si>
    <t>CR</t>
  </si>
  <si>
    <t>U- CR</t>
  </si>
  <si>
    <t>Disc</t>
  </si>
  <si>
    <t>MC</t>
  </si>
  <si>
    <t>EV</t>
  </si>
  <si>
    <t>Serves</t>
  </si>
  <si>
    <t>Residential</t>
  </si>
  <si>
    <t>SMBs</t>
  </si>
  <si>
    <t>Ownership ($m)</t>
  </si>
  <si>
    <t>L- Ratio</t>
  </si>
  <si>
    <t>Upside</t>
  </si>
  <si>
    <t>E- Ratio</t>
  </si>
  <si>
    <t xml:space="preserve">Last </t>
  </si>
  <si>
    <t xml:space="preserve">Readings </t>
  </si>
  <si>
    <t>Insolvency Cases</t>
  </si>
  <si>
    <t>UPC</t>
  </si>
  <si>
    <t>FedNat</t>
  </si>
  <si>
    <t>St. Johns</t>
  </si>
  <si>
    <t>Avatar</t>
  </si>
  <si>
    <t>Lighthouse</t>
  </si>
  <si>
    <t>Southern Fidelity.</t>
  </si>
  <si>
    <t>Resource: https://www.nhc.noaa.gov/</t>
  </si>
  <si>
    <t>The Essential Guide to Reinsurance: https://www.swissre.com/dam/jcr:d06472ab-2625-48cf-8b4e-7c7ac8aa63f0/The-essential-guide-to-reinsurance.pdf</t>
  </si>
  <si>
    <t>Insurance Operations: https://2012books.lardbucket.org/pdfs/enterprise-and-individual-risk-management/s11-insurance-operations.pdf</t>
  </si>
  <si>
    <t>Florida Office of Insurance Regulation Annual Report: https://floir.gov/resources-and-reports/annual-report</t>
  </si>
  <si>
    <t>Citizens Property Insurance Corporation Annual Report: https://www.citizensfla.com/reports?utm_source=chatgpt.com</t>
  </si>
  <si>
    <t>Florida Hurricane Catastrophe Fund Reports: https://fhcf.sbafla.com/reports/</t>
  </si>
  <si>
    <t>Meteorology Today by Ahrens: https://www.weather4ar.org/meteorologytoday-pdf.pdf</t>
  </si>
  <si>
    <t>Colorado State University: University Seasonal Forecasts: https://tropical.colostate.edu/forecasting.html</t>
  </si>
  <si>
    <t>Catastrophe Modeling: A New Approach to Managing Risk by Grossi: https://www.amazon.com/Catastrophe-Modeling-Approach-International-Insurance/dp/0387230823/ref=sr_1_1?crid=3RK9CDKGVNTY0&amp;dib=eyJ2IjoiMSJ9.dPzlkluZSiKX2W696dWSJhDOaIXnoBpCsGlKNVD__uVZeKezyT6VKjUKZdTWOoWWRIYmjxb_ZgHlae5bIRwnCMetwWJkF3KDmJYucE0iyJ0.IvNH3cLJWtNkirhDJnJACJCpb0DsK6-4Eq2TaBBmrZc&amp;dib_tag=se&amp;keywords=Catastrophe+Modeling%3A+A+New+Approach+to+Managing+Risk&amp;nsdOptOutParam=true&amp;qid=1778379380&amp;sprefix=catastrophe+modeling+a+new+approach+to+managing+risk%2Caps%2C154&amp;sr=8-1</t>
  </si>
  <si>
    <t xml:space="preserve">FLOIr Rate Filings for ACIC and AII </t>
  </si>
  <si>
    <t>Guy Carpenter Florida market reports</t>
  </si>
  <si>
    <t>AIR Worldwide and RMS Catastrophe Model Primers</t>
  </si>
  <si>
    <t>What do reinsurers do?</t>
  </si>
  <si>
    <t>insurance for the insurance companies</t>
  </si>
  <si>
    <t>Main</t>
  </si>
  <si>
    <t>only by sharing some of their risk with reinsurers is it possible for primary insurers to offer cover against key risks at affordable prices</t>
  </si>
  <si>
    <t>reinsurers provide coverage against all kinds of risks (earthquake risks, hurricane risks, droughts, mortality risk)</t>
  </si>
  <si>
    <t>risks are transferred from individuals and companies throgh primary insurers to the reinsurer</t>
  </si>
  <si>
    <t>reinsurance allows those parties to reduce their risk exposure and own capital requirements</t>
  </si>
  <si>
    <t xml:space="preserve">freeing up capital allows insurers to write more business and fuel growth </t>
  </si>
  <si>
    <t xml:space="preserve">Example </t>
  </si>
  <si>
    <t>Insured risks: individuals and corporates looking to insure against specific risks [motor, home, life/health,business, catastrophe]</t>
  </si>
  <si>
    <t>each party transfers a portion of the risk by paying a premium</t>
  </si>
  <si>
    <t xml:space="preserve">in return the primary insurer safeguards inidivudals and corporates </t>
  </si>
  <si>
    <t>Reinsurance: reinsurance companies diversify their portfolio of risks by geography and type of risk</t>
  </si>
  <si>
    <r>
      <t xml:space="preserve">Retrocession/capital markets: as apart of their risk management processes,a reinsurer may pass on some of these risks to  </t>
    </r>
    <r>
      <rPr>
        <b/>
        <sz val="10"/>
        <color theme="1"/>
        <rFont val="Arial"/>
        <family val="2"/>
      </rPr>
      <t>another insurer or capital markets through securitization</t>
    </r>
  </si>
  <si>
    <r>
      <rPr>
        <b/>
        <sz val="10"/>
        <color theme="1"/>
        <rFont val="Arial"/>
        <family val="2"/>
      </rPr>
      <t xml:space="preserve">Vocab: </t>
    </r>
    <r>
      <rPr>
        <sz val="10"/>
        <color theme="1"/>
        <rFont val="Arial"/>
        <family val="2"/>
      </rPr>
      <t>The party transferring the risk (primary insurer) is known as a cedant.  The original policyholder is not involved in the transaction</t>
    </r>
  </si>
  <si>
    <t xml:space="preserve">Facultative reinsurance - case by case approach </t>
  </si>
  <si>
    <t xml:space="preserve">Obligatory reinsurance -obligated to cede and assume a contractually agreed share fo portfolio risk </t>
  </si>
  <si>
    <t>Types</t>
  </si>
  <si>
    <t xml:space="preserve">Proportional reinsurance - primary insurer and the reinsurer share premiums and losses by a ratio defined in their contract </t>
  </si>
  <si>
    <t>Quota share - the reinsurer assumes an agreed upon, fixed quota or a percentage of all the policies written by the direct insurer wthint he particular branch or branches defined in the treaty</t>
  </si>
  <si>
    <t>Surplus reinsurance - the reinsurer does not participate in all risks, up to a specific amount the primary insurer retains all risk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</si>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</sst>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\x"/>
  </numFmts>
  <fonts count="9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name val="Aptos Narrow"/>
      <family val="2"/>
      <scheme val="minor"/>
    </font>
    <font>
      <sz val="13"/>
      <color theme="1"/>
      <name val=".SF 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3" fontId="4" fillId="0" borderId="0" xfId="1" applyNumberFormat="1"/>
    <xf numFmtId="3" fontId="0" fillId="0" borderId="0" xfId="0" applyNumberFormat="1"/>
    <xf numFmtId="3" fontId="5" fillId="0" borderId="0" xfId="1" applyNumberFormat="1" applyFont="1"/>
    <xf numFmtId="16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/>
    <xf numFmtId="9" fontId="6" fillId="0" borderId="0" xfId="0" applyNumberFormat="1" applyFont="1"/>
    <xf numFmtId="166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4" fillId="0" borderId="0" xfId="1"/>
    <xf numFmtId="0" fontId="8" fillId="0" borderId="0" xfId="0" applyFont="1"/>
    <xf numFmtId="0" fontId="5" fillId="0" borderId="0" xfId="1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748329</xdr:colOff>
      <xdr:row>12</xdr:row>
      <xdr:rowOff>7194</xdr:rowOff>
    </xdr:from>
    <xdr:to>
      <xdr:col>1</xdr:col>
      <xdr:colOff>751926</xdr:colOff>
      <xdr:row>13</xdr:row>
      <xdr:rowOff>3596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212606D-380F-64F8-C52B-D02E29C4D055}"/>
            </a:ext>
          </a:extLst>
        </xdr:cNvPr>
        <xdr:cNvCxnSpPr/>
      </xdr:nvCxnSpPr>
      <xdr:spPr>
        <a:xfrm flipH="1">
          <a:off x="1140482" y="2158639"/>
          <a:ext cx="3597" cy="1618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748329</xdr:colOff>
      <xdr:row>14</xdr:row>
      <xdr:rowOff>7194</xdr:rowOff>
    </xdr:from>
    <xdr:to>
      <xdr:col>1</xdr:col>
      <xdr:colOff>751926</xdr:colOff>
      <xdr:row>15</xdr:row>
      <xdr:rowOff>3596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6C96DB9-55E0-414F-BD81-37D41C7C027C}"/>
            </a:ext>
          </a:extLst>
        </xdr:cNvPr>
        <xdr:cNvCxnSpPr/>
      </xdr:nvCxnSpPr>
      <xdr:spPr>
        <a:xfrm flipH="1">
          <a:off x="1140482" y="2158639"/>
          <a:ext cx="3597" cy="1618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ASIC.xlsx" TargetMode="External"/><Relationship Id="rId2" Type="http://schemas.openxmlformats.org/officeDocument/2006/relationships/hyperlink" Target="AII.xlsx" TargetMode="External"/><Relationship Id="rId1" Type="http://schemas.openxmlformats.org/officeDocument/2006/relationships/hyperlink" Target="ACIC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F19F-5988-274B-A647-C8E7849B6E7D}">
  <dimension ref="B2:AM21"/>
  <sheetViews>
    <sheetView tabSelected="1" zoomScale="173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11" sqref="H11"/>
    </sheetView>
  </sheetViews>
  <sheetFormatPr baseColWidth="10" defaultRowHeight="13" outlineLevelRow="1" outlineLevelCol="1"/>
  <cols>
    <col min="1" max="1" width="1.5" style="2" customWidth="1"/>
    <col min="2" max="2" width="38.5" style="2" bestFit="1" customWidth="1"/>
    <col min="3" max="3" width="6.5" style="2" bestFit="1" customWidth="1"/>
    <col min="4" max="4" width="8" style="2" hidden="1" customWidth="1" outlineLevel="1"/>
    <col min="5" max="5" width="26" style="2" hidden="1" customWidth="1" outlineLevel="1"/>
    <col min="6" max="6" width="5.5" style="8" bestFit="1" customWidth="1" collapsed="1"/>
    <col min="7" max="7" width="7" style="8" bestFit="1" customWidth="1"/>
    <col min="8" max="8" width="4.1640625" style="8" bestFit="1" customWidth="1"/>
    <col min="9" max="9" width="5.33203125" style="8" bestFit="1" customWidth="1"/>
    <col min="10" max="10" width="4.83203125" style="8" bestFit="1" customWidth="1"/>
    <col min="11" max="11" width="4.1640625" style="8" bestFit="1" customWidth="1"/>
    <col min="12" max="12" width="7.1640625" style="8" bestFit="1" customWidth="1"/>
    <col min="13" max="13" width="7.33203125" style="8" bestFit="1" customWidth="1"/>
    <col min="14" max="15" width="6.1640625" style="8" bestFit="1" customWidth="1"/>
    <col min="16" max="16" width="6.5" style="10" bestFit="1" customWidth="1"/>
    <col min="17" max="17" width="4.83203125" style="10" bestFit="1" customWidth="1"/>
    <col min="18" max="18" width="4.6640625" style="10" bestFit="1" customWidth="1"/>
    <col min="19" max="19" width="4.1640625" style="10" bestFit="1" customWidth="1"/>
    <col min="20" max="20" width="7.5" style="10" bestFit="1" customWidth="1"/>
    <col min="21" max="22" width="7.5" style="10" customWidth="1"/>
    <col min="23" max="23" width="8.1640625" style="10" bestFit="1" customWidth="1"/>
    <col min="24" max="24" width="9.6640625" style="2" bestFit="1" customWidth="1"/>
    <col min="25" max="29" width="9.6640625" style="2" customWidth="1"/>
    <col min="30" max="30" width="9.83203125" style="2" bestFit="1" customWidth="1"/>
    <col min="31" max="39" width="5.1640625" style="2" bestFit="1" customWidth="1"/>
    <col min="40" max="16384" width="10.83203125" style="2"/>
  </cols>
  <sheetData>
    <row r="2" spans="2:39">
      <c r="AD2" s="2" t="s">
        <v>46</v>
      </c>
    </row>
    <row r="3" spans="2:39">
      <c r="B3" s="1" t="s">
        <v>1</v>
      </c>
      <c r="C3" s="1" t="s">
        <v>0</v>
      </c>
      <c r="D3" s="1" t="s">
        <v>2</v>
      </c>
      <c r="E3" s="1" t="s">
        <v>3</v>
      </c>
      <c r="F3" s="8" t="s">
        <v>4</v>
      </c>
      <c r="G3" s="8" t="s">
        <v>28</v>
      </c>
      <c r="H3" s="8" t="s">
        <v>41</v>
      </c>
      <c r="I3" s="8" t="s">
        <v>29</v>
      </c>
      <c r="J3" s="8" t="s">
        <v>30</v>
      </c>
      <c r="K3" s="8" t="s">
        <v>42</v>
      </c>
      <c r="L3" s="8" t="s">
        <v>47</v>
      </c>
      <c r="M3" s="8" t="s">
        <v>49</v>
      </c>
      <c r="N3" s="8" t="s">
        <v>38</v>
      </c>
      <c r="O3" s="8" t="s">
        <v>39</v>
      </c>
      <c r="P3" s="10" t="s">
        <v>32</v>
      </c>
      <c r="Q3" s="10" t="s">
        <v>40</v>
      </c>
      <c r="R3" s="8" t="s">
        <v>35</v>
      </c>
      <c r="S3" s="8" t="s">
        <v>36</v>
      </c>
      <c r="T3" s="8" t="s">
        <v>37</v>
      </c>
      <c r="U3" s="8" t="s">
        <v>48</v>
      </c>
      <c r="V3" s="8" t="s">
        <v>50</v>
      </c>
      <c r="W3" s="8" t="s">
        <v>33</v>
      </c>
      <c r="X3" s="2" t="s">
        <v>43</v>
      </c>
      <c r="AD3" s="6">
        <v>1E-3</v>
      </c>
      <c r="AE3" s="6">
        <f>+AD3+0.1%</f>
        <v>2E-3</v>
      </c>
      <c r="AF3" s="6">
        <f t="shared" ref="AF3:AM3" si="0">+AE3+0.1%</f>
        <v>3.0000000000000001E-3</v>
      </c>
      <c r="AG3" s="6">
        <f t="shared" si="0"/>
        <v>4.0000000000000001E-3</v>
      </c>
      <c r="AH3" s="6">
        <f t="shared" si="0"/>
        <v>5.0000000000000001E-3</v>
      </c>
      <c r="AI3" s="6">
        <f t="shared" si="0"/>
        <v>6.0000000000000001E-3</v>
      </c>
      <c r="AJ3" s="6">
        <f t="shared" si="0"/>
        <v>7.0000000000000001E-3</v>
      </c>
      <c r="AK3" s="6">
        <f t="shared" si="0"/>
        <v>8.0000000000000002E-3</v>
      </c>
      <c r="AL3" s="6">
        <f t="shared" si="0"/>
        <v>9.0000000000000011E-3</v>
      </c>
      <c r="AM3" s="6">
        <f t="shared" si="0"/>
        <v>1.0000000000000002E-2</v>
      </c>
    </row>
    <row r="4" spans="2:39">
      <c r="B4" s="1" t="s">
        <v>6</v>
      </c>
      <c r="C4" s="5" t="s">
        <v>5</v>
      </c>
      <c r="D4" s="1" t="s">
        <v>7</v>
      </c>
      <c r="E4" s="1" t="s">
        <v>8</v>
      </c>
      <c r="F4" s="8">
        <v>11.06</v>
      </c>
      <c r="G4" s="8">
        <v>48.656205</v>
      </c>
      <c r="H4" s="8">
        <f>+IF(G4 = "", "", F4*G4)</f>
        <v>538.13762730000008</v>
      </c>
      <c r="I4" s="8">
        <f>198.762+94.092</f>
        <v>292.85399999999998</v>
      </c>
      <c r="J4" s="8">
        <v>149.35300000000001</v>
      </c>
      <c r="K4" s="8">
        <f>IF(H4 = "", "",H4-I4+J4)</f>
        <v>394.6366273000001</v>
      </c>
      <c r="L4" s="11">
        <v>0.15</v>
      </c>
      <c r="M4" s="11">
        <v>0.45</v>
      </c>
      <c r="N4" s="11">
        <f>+IF(L4 = "", "", L4+M4)</f>
        <v>0.6</v>
      </c>
      <c r="O4" s="11">
        <v>0.61499999999999999</v>
      </c>
      <c r="P4" s="12">
        <v>0.84</v>
      </c>
      <c r="Q4" s="13">
        <v>0.15</v>
      </c>
      <c r="R4" s="8">
        <v>380.91699999999997</v>
      </c>
      <c r="S4" s="8">
        <v>317.565</v>
      </c>
      <c r="T4" s="14">
        <f>+R4/S4</f>
        <v>1.1994930171775857</v>
      </c>
      <c r="U4" s="15">
        <f>+IF(R4 = "", "", R4/H4-1)</f>
        <v>-0.29215691177148073</v>
      </c>
      <c r="V4" s="16">
        <v>46151</v>
      </c>
      <c r="W4" s="8" t="s">
        <v>34</v>
      </c>
      <c r="X4" s="2" t="s">
        <v>44</v>
      </c>
      <c r="AD4" s="7">
        <f t="shared" ref="AD4:AM4" si="1">+IF(H4 = "", "",$H4*AD$3)</f>
        <v>0.53813762730000014</v>
      </c>
      <c r="AE4" s="7">
        <f t="shared" si="1"/>
        <v>1.0762752546000003</v>
      </c>
      <c r="AF4" s="7">
        <f t="shared" si="1"/>
        <v>1.6144128819000003</v>
      </c>
      <c r="AG4" s="7">
        <f t="shared" si="1"/>
        <v>2.1525505092000006</v>
      </c>
      <c r="AH4" s="7">
        <f t="shared" si="1"/>
        <v>2.6906881365000004</v>
      </c>
      <c r="AI4" s="7">
        <f t="shared" si="1"/>
        <v>3.2288257638000006</v>
      </c>
      <c r="AJ4" s="7">
        <f t="shared" si="1"/>
        <v>3.7669633911000004</v>
      </c>
      <c r="AK4" s="7">
        <f t="shared" si="1"/>
        <v>4.3051010184000011</v>
      </c>
      <c r="AL4" s="7">
        <f t="shared" si="1"/>
        <v>4.8432386457000014</v>
      </c>
      <c r="AM4" s="7">
        <f t="shared" si="1"/>
        <v>5.3813762730000017</v>
      </c>
    </row>
    <row r="5" spans="2:39" ht="16">
      <c r="B5" s="1" t="s">
        <v>10</v>
      </c>
      <c r="C5" s="3" t="s">
        <v>9</v>
      </c>
      <c r="D5" s="1" t="s">
        <v>7</v>
      </c>
      <c r="E5" s="1" t="s">
        <v>8</v>
      </c>
      <c r="F5" s="8">
        <v>16.87</v>
      </c>
      <c r="G5" s="8">
        <v>19.579008999999999</v>
      </c>
      <c r="H5" s="8">
        <f t="shared" ref="H5:H14" si="2">+IF(G5 = "", "", F5*G5)</f>
        <v>330.29788182999999</v>
      </c>
      <c r="I5" s="8">
        <f>203.902+40.217</f>
        <v>244.11899999999997</v>
      </c>
      <c r="J5" s="8">
        <f>0.618+0</f>
        <v>0.61799999999999999</v>
      </c>
      <c r="K5" s="8">
        <f t="shared" ref="K5:K14" si="3">IF(H5 = "", "",H5-I5+J5)</f>
        <v>86.796881830000018</v>
      </c>
      <c r="L5" s="11">
        <v>0.38700000000000001</v>
      </c>
      <c r="M5" s="11">
        <v>0.25</v>
      </c>
      <c r="N5" s="11">
        <f t="shared" ref="N5:N14" si="4">+IF(L5 = "", "", L5+M5)</f>
        <v>0.63700000000000001</v>
      </c>
      <c r="O5" s="11">
        <v>0.61499999999999999</v>
      </c>
      <c r="P5" s="12">
        <v>0.68400000000000005</v>
      </c>
      <c r="Q5" s="13">
        <v>0.15</v>
      </c>
      <c r="R5" s="8">
        <v>529.79499999999996</v>
      </c>
      <c r="S5" s="8">
        <v>337.02199999999999</v>
      </c>
      <c r="T5" s="14">
        <f>+R5/S5</f>
        <v>1.5719893656793917</v>
      </c>
      <c r="U5" s="15">
        <f t="shared" ref="U5:U14" si="5">+IF(R5 = "", "", R5/H5-1)</f>
        <v>0.60399151536999107</v>
      </c>
      <c r="V5" s="16">
        <v>46151</v>
      </c>
      <c r="W5" s="8" t="s">
        <v>34</v>
      </c>
      <c r="X5" s="2" t="s">
        <v>44</v>
      </c>
      <c r="AD5" s="7">
        <f t="shared" ref="AD5:AD13" si="6">+IF(H5 = "", "",$H5*AD$3)</f>
        <v>0.33029788183000003</v>
      </c>
      <c r="AE5" s="7">
        <f t="shared" ref="AE5:AE13" si="7">+IF(I5 = "", "",$H5*AE$3)</f>
        <v>0.66059576366000006</v>
      </c>
      <c r="AF5" s="7">
        <f t="shared" ref="AF5:AF13" si="8">+IF(J5 = "", "",$H5*AF$3)</f>
        <v>0.99089364549000003</v>
      </c>
      <c r="AG5" s="7">
        <f t="shared" ref="AG5:AG13" si="9">+IF(K5 = "", "",$H5*AG$3)</f>
        <v>1.3211915273200001</v>
      </c>
      <c r="AH5" s="7">
        <f t="shared" ref="AH5:AH13" si="10">+IF(L5 = "", "",$H5*AH$3)</f>
        <v>1.6514894091500001</v>
      </c>
      <c r="AI5" s="7">
        <f t="shared" ref="AI5:AI13" si="11">+IF(M5 = "", "",$H5*AI$3)</f>
        <v>1.9817872909800001</v>
      </c>
      <c r="AJ5" s="7">
        <f t="shared" ref="AJ5:AJ13" si="12">+IF(N5 = "", "",$H5*AJ$3)</f>
        <v>2.3120851728099998</v>
      </c>
      <c r="AK5" s="7">
        <f t="shared" ref="AK5:AK13" si="13">+IF(O5 = "", "",$H5*AK$3)</f>
        <v>2.6423830546400002</v>
      </c>
      <c r="AL5" s="7">
        <f t="shared" ref="AL5:AL13" si="14">+IF(P5 = "", "",$H5*AL$3)</f>
        <v>2.9726809364700002</v>
      </c>
      <c r="AM5" s="7">
        <f t="shared" ref="AM5:AM13" si="15">+IF(Q5 = "", "",$H5*AM$3)</f>
        <v>3.3029788183000006</v>
      </c>
    </row>
    <row r="6" spans="2:39" ht="16" outlineLevel="1">
      <c r="B6" s="1" t="s">
        <v>12</v>
      </c>
      <c r="C6" s="3" t="s">
        <v>11</v>
      </c>
      <c r="D6" s="1" t="s">
        <v>7</v>
      </c>
      <c r="E6" s="1" t="s">
        <v>8</v>
      </c>
      <c r="F6" s="8">
        <v>19.670000000000002</v>
      </c>
      <c r="G6" s="9">
        <v>49.77</v>
      </c>
      <c r="H6" s="8">
        <f t="shared" si="2"/>
        <v>978.97590000000014</v>
      </c>
      <c r="I6" s="8">
        <v>47.476999999999997</v>
      </c>
      <c r="J6" s="8">
        <v>0</v>
      </c>
      <c r="K6" s="8">
        <f t="shared" si="3"/>
        <v>931.49890000000016</v>
      </c>
      <c r="L6" s="11">
        <v>0.59</v>
      </c>
      <c r="M6" s="11">
        <v>0.28999999999999998</v>
      </c>
      <c r="N6" s="11">
        <f t="shared" si="4"/>
        <v>0.87999999999999989</v>
      </c>
      <c r="O6" s="11">
        <f>+N6</f>
        <v>0.87999999999999989</v>
      </c>
      <c r="P6" s="11">
        <v>0.9</v>
      </c>
      <c r="Q6" s="13">
        <v>0.15</v>
      </c>
      <c r="R6" s="10">
        <v>499.79300000000001</v>
      </c>
      <c r="S6" s="10">
        <v>633.82500000000005</v>
      </c>
      <c r="T6" s="14">
        <f>+R6/S6</f>
        <v>0.78853469017473277</v>
      </c>
      <c r="U6" s="15">
        <f t="shared" si="5"/>
        <v>-0.48947364281388339</v>
      </c>
      <c r="V6" s="16">
        <v>46151</v>
      </c>
      <c r="X6" s="2" t="s">
        <v>45</v>
      </c>
      <c r="AD6" s="7">
        <f t="shared" si="6"/>
        <v>0.97897590000000012</v>
      </c>
      <c r="AE6" s="7">
        <f t="shared" si="7"/>
        <v>1.9579518000000002</v>
      </c>
      <c r="AF6" s="7">
        <f t="shared" si="8"/>
        <v>2.9369277000000005</v>
      </c>
      <c r="AG6" s="7">
        <f t="shared" si="9"/>
        <v>3.9159036000000005</v>
      </c>
      <c r="AH6" s="7">
        <f t="shared" si="10"/>
        <v>4.8948795000000009</v>
      </c>
      <c r="AI6" s="7">
        <f t="shared" si="11"/>
        <v>5.8738554000000009</v>
      </c>
      <c r="AJ6" s="7">
        <f t="shared" si="12"/>
        <v>6.852831300000001</v>
      </c>
      <c r="AK6" s="7">
        <f t="shared" si="13"/>
        <v>7.831807200000001</v>
      </c>
      <c r="AL6" s="7">
        <f t="shared" si="14"/>
        <v>8.8107831000000019</v>
      </c>
      <c r="AM6" s="7">
        <f t="shared" si="15"/>
        <v>9.7897590000000037</v>
      </c>
    </row>
    <row r="7" spans="2:39" outlineLevel="1">
      <c r="B7" s="1" t="s">
        <v>14</v>
      </c>
      <c r="C7" s="1" t="s">
        <v>13</v>
      </c>
      <c r="D7" s="1" t="s">
        <v>7</v>
      </c>
      <c r="E7" s="1" t="s">
        <v>8</v>
      </c>
      <c r="F7" s="8">
        <v>25.07</v>
      </c>
      <c r="H7" s="8" t="str">
        <f t="shared" si="2"/>
        <v/>
      </c>
      <c r="K7" s="8" t="str">
        <f t="shared" si="3"/>
        <v/>
      </c>
      <c r="N7" s="11" t="str">
        <f t="shared" si="4"/>
        <v/>
      </c>
      <c r="T7" s="17"/>
      <c r="U7" s="15" t="str">
        <f t="shared" si="5"/>
        <v/>
      </c>
      <c r="V7" s="16"/>
      <c r="AD7" s="7" t="str">
        <f t="shared" si="6"/>
        <v/>
      </c>
      <c r="AE7" s="7" t="str">
        <f t="shared" si="7"/>
        <v/>
      </c>
      <c r="AF7" s="7" t="str">
        <f t="shared" si="8"/>
        <v/>
      </c>
      <c r="AG7" s="7" t="str">
        <f t="shared" si="9"/>
        <v/>
      </c>
      <c r="AH7" s="7" t="str">
        <f t="shared" si="10"/>
        <v/>
      </c>
      <c r="AI7" s="7" t="str">
        <f t="shared" si="11"/>
        <v/>
      </c>
      <c r="AJ7" s="7" t="str">
        <f t="shared" si="12"/>
        <v/>
      </c>
      <c r="AK7" s="7" t="str">
        <f t="shared" si="13"/>
        <v/>
      </c>
      <c r="AL7" s="7" t="str">
        <f t="shared" si="14"/>
        <v/>
      </c>
      <c r="AM7" s="7" t="str">
        <f t="shared" si="15"/>
        <v/>
      </c>
    </row>
    <row r="8" spans="2:39" outlineLevel="1">
      <c r="B8" s="1" t="s">
        <v>16</v>
      </c>
      <c r="C8" s="1" t="s">
        <v>15</v>
      </c>
      <c r="D8" s="1" t="s">
        <v>7</v>
      </c>
      <c r="E8" s="1" t="s">
        <v>8</v>
      </c>
      <c r="F8" s="8">
        <v>16.53</v>
      </c>
      <c r="H8" s="8" t="str">
        <f t="shared" si="2"/>
        <v/>
      </c>
      <c r="K8" s="8" t="str">
        <f t="shared" si="3"/>
        <v/>
      </c>
      <c r="N8" s="11" t="str">
        <f t="shared" si="4"/>
        <v/>
      </c>
      <c r="T8" s="17"/>
      <c r="U8" s="15" t="str">
        <f t="shared" si="5"/>
        <v/>
      </c>
      <c r="V8" s="16"/>
      <c r="AD8" s="7" t="str">
        <f t="shared" si="6"/>
        <v/>
      </c>
      <c r="AE8" s="7" t="str">
        <f t="shared" si="7"/>
        <v/>
      </c>
      <c r="AF8" s="7" t="str">
        <f t="shared" si="8"/>
        <v/>
      </c>
      <c r="AG8" s="7" t="str">
        <f t="shared" si="9"/>
        <v/>
      </c>
      <c r="AH8" s="7" t="str">
        <f t="shared" si="10"/>
        <v/>
      </c>
      <c r="AI8" s="7" t="str">
        <f t="shared" si="11"/>
        <v/>
      </c>
      <c r="AJ8" s="7" t="str">
        <f t="shared" si="12"/>
        <v/>
      </c>
      <c r="AK8" s="7" t="str">
        <f t="shared" si="13"/>
        <v/>
      </c>
      <c r="AL8" s="7" t="str">
        <f t="shared" si="14"/>
        <v/>
      </c>
      <c r="AM8" s="7" t="str">
        <f t="shared" si="15"/>
        <v/>
      </c>
    </row>
    <row r="9" spans="2:39" ht="16" outlineLevel="1">
      <c r="B9" s="1" t="s">
        <v>19</v>
      </c>
      <c r="C9" s="1" t="s">
        <v>18</v>
      </c>
      <c r="D9" s="1" t="s">
        <v>7</v>
      </c>
      <c r="E9" s="1" t="s">
        <v>8</v>
      </c>
      <c r="F9" s="8">
        <v>26.78</v>
      </c>
      <c r="G9" s="4">
        <v>26.035917000000001</v>
      </c>
      <c r="H9" s="8">
        <f t="shared" si="2"/>
        <v>697.24185726000007</v>
      </c>
      <c r="I9" s="4">
        <v>275.39999999999998</v>
      </c>
      <c r="J9" s="8">
        <v>0</v>
      </c>
      <c r="K9" s="8">
        <f t="shared" si="3"/>
        <v>421.8418572600001</v>
      </c>
      <c r="N9" s="11" t="str">
        <f t="shared" si="4"/>
        <v/>
      </c>
      <c r="T9" s="17"/>
      <c r="U9" s="15" t="str">
        <f t="shared" si="5"/>
        <v/>
      </c>
      <c r="V9" s="16"/>
      <c r="AD9" s="7">
        <f t="shared" si="6"/>
        <v>0.6972418572600001</v>
      </c>
      <c r="AE9" s="7">
        <f t="shared" si="7"/>
        <v>1.3944837145200002</v>
      </c>
      <c r="AF9" s="7">
        <f t="shared" si="8"/>
        <v>2.0917255717800001</v>
      </c>
      <c r="AG9" s="7">
        <f t="shared" si="9"/>
        <v>2.7889674290400004</v>
      </c>
      <c r="AH9" s="7" t="str">
        <f t="shared" si="10"/>
        <v/>
      </c>
      <c r="AI9" s="7" t="str">
        <f t="shared" si="11"/>
        <v/>
      </c>
      <c r="AJ9" s="7" t="str">
        <f t="shared" si="12"/>
        <v/>
      </c>
      <c r="AK9" s="7" t="str">
        <f t="shared" si="13"/>
        <v/>
      </c>
      <c r="AL9" s="7" t="str">
        <f t="shared" si="14"/>
        <v/>
      </c>
      <c r="AM9" s="7" t="str">
        <f t="shared" si="15"/>
        <v/>
      </c>
    </row>
    <row r="10" spans="2:39" outlineLevel="1">
      <c r="B10" s="1" t="s">
        <v>21</v>
      </c>
      <c r="C10" s="1" t="s">
        <v>20</v>
      </c>
      <c r="D10" s="1" t="s">
        <v>7</v>
      </c>
      <c r="E10" s="1" t="s">
        <v>8</v>
      </c>
      <c r="F10" s="8">
        <v>29.02</v>
      </c>
      <c r="H10" s="8" t="str">
        <f t="shared" si="2"/>
        <v/>
      </c>
      <c r="K10" s="8" t="str">
        <f t="shared" si="3"/>
        <v/>
      </c>
      <c r="N10" s="11" t="str">
        <f t="shared" si="4"/>
        <v/>
      </c>
      <c r="T10" s="17"/>
      <c r="U10" s="15" t="str">
        <f t="shared" si="5"/>
        <v/>
      </c>
      <c r="V10" s="16"/>
      <c r="AD10" s="7" t="str">
        <f t="shared" si="6"/>
        <v/>
      </c>
      <c r="AE10" s="7" t="str">
        <f t="shared" si="7"/>
        <v/>
      </c>
      <c r="AF10" s="7" t="str">
        <f t="shared" si="8"/>
        <v/>
      </c>
      <c r="AG10" s="7" t="str">
        <f t="shared" si="9"/>
        <v/>
      </c>
      <c r="AH10" s="7" t="str">
        <f t="shared" si="10"/>
        <v/>
      </c>
      <c r="AI10" s="7" t="str">
        <f t="shared" si="11"/>
        <v/>
      </c>
      <c r="AJ10" s="7" t="str">
        <f t="shared" si="12"/>
        <v/>
      </c>
      <c r="AK10" s="7" t="str">
        <f t="shared" si="13"/>
        <v/>
      </c>
      <c r="AL10" s="7" t="str">
        <f t="shared" si="14"/>
        <v/>
      </c>
      <c r="AM10" s="7" t="str">
        <f t="shared" si="15"/>
        <v/>
      </c>
    </row>
    <row r="11" spans="2:39" outlineLevel="1">
      <c r="B11" s="1" t="s">
        <v>23</v>
      </c>
      <c r="C11" s="1" t="s">
        <v>22</v>
      </c>
      <c r="D11" s="1" t="s">
        <v>7</v>
      </c>
      <c r="E11" s="1" t="s">
        <v>8</v>
      </c>
      <c r="F11" s="8">
        <v>15.73</v>
      </c>
      <c r="H11" s="8" t="str">
        <f t="shared" si="2"/>
        <v/>
      </c>
      <c r="K11" s="8" t="str">
        <f t="shared" si="3"/>
        <v/>
      </c>
      <c r="N11" s="11" t="str">
        <f t="shared" si="4"/>
        <v/>
      </c>
      <c r="T11" s="17"/>
      <c r="U11" s="15" t="str">
        <f t="shared" si="5"/>
        <v/>
      </c>
      <c r="V11" s="16"/>
      <c r="AD11" s="7" t="str">
        <f t="shared" si="6"/>
        <v/>
      </c>
      <c r="AE11" s="7" t="str">
        <f t="shared" si="7"/>
        <v/>
      </c>
      <c r="AF11" s="7" t="str">
        <f t="shared" si="8"/>
        <v/>
      </c>
      <c r="AG11" s="7" t="str">
        <f t="shared" si="9"/>
        <v/>
      </c>
      <c r="AH11" s="7" t="str">
        <f t="shared" si="10"/>
        <v/>
      </c>
      <c r="AI11" s="7" t="str">
        <f t="shared" si="11"/>
        <v/>
      </c>
      <c r="AJ11" s="7" t="str">
        <f t="shared" si="12"/>
        <v/>
      </c>
      <c r="AK11" s="7" t="str">
        <f t="shared" si="13"/>
        <v/>
      </c>
      <c r="AL11" s="7" t="str">
        <f t="shared" si="14"/>
        <v/>
      </c>
      <c r="AM11" s="7" t="str">
        <f t="shared" si="15"/>
        <v/>
      </c>
    </row>
    <row r="12" spans="2:39" outlineLevel="1">
      <c r="B12" s="1" t="s">
        <v>25</v>
      </c>
      <c r="C12" s="1" t="s">
        <v>24</v>
      </c>
      <c r="D12" s="1" t="s">
        <v>7</v>
      </c>
      <c r="E12" s="1" t="s">
        <v>8</v>
      </c>
      <c r="F12" s="8">
        <v>12.88</v>
      </c>
      <c r="H12" s="8" t="str">
        <f t="shared" si="2"/>
        <v/>
      </c>
      <c r="K12" s="8" t="str">
        <f t="shared" si="3"/>
        <v/>
      </c>
      <c r="N12" s="11" t="str">
        <f t="shared" si="4"/>
        <v/>
      </c>
      <c r="T12" s="17"/>
      <c r="U12" s="15" t="str">
        <f t="shared" si="5"/>
        <v/>
      </c>
      <c r="V12" s="16"/>
      <c r="AD12" s="7" t="str">
        <f t="shared" si="6"/>
        <v/>
      </c>
      <c r="AE12" s="7" t="str">
        <f t="shared" si="7"/>
        <v/>
      </c>
      <c r="AF12" s="7" t="str">
        <f t="shared" si="8"/>
        <v/>
      </c>
      <c r="AG12" s="7" t="str">
        <f t="shared" si="9"/>
        <v/>
      </c>
      <c r="AH12" s="7" t="str">
        <f t="shared" si="10"/>
        <v/>
      </c>
      <c r="AI12" s="7" t="str">
        <f t="shared" si="11"/>
        <v/>
      </c>
      <c r="AJ12" s="7" t="str">
        <f t="shared" si="12"/>
        <v/>
      </c>
      <c r="AK12" s="7" t="str">
        <f t="shared" si="13"/>
        <v/>
      </c>
      <c r="AL12" s="7" t="str">
        <f t="shared" si="14"/>
        <v/>
      </c>
      <c r="AM12" s="7" t="str">
        <f t="shared" si="15"/>
        <v/>
      </c>
    </row>
    <row r="13" spans="2:39" outlineLevel="1">
      <c r="B13" s="1" t="s">
        <v>27</v>
      </c>
      <c r="C13" s="1" t="s">
        <v>26</v>
      </c>
      <c r="D13" s="1" t="s">
        <v>7</v>
      </c>
      <c r="E13" s="1" t="s">
        <v>8</v>
      </c>
      <c r="F13" s="8">
        <v>54.9</v>
      </c>
      <c r="H13" s="8" t="str">
        <f t="shared" si="2"/>
        <v/>
      </c>
      <c r="K13" s="8" t="str">
        <f t="shared" si="3"/>
        <v/>
      </c>
      <c r="N13" s="11" t="str">
        <f t="shared" si="4"/>
        <v/>
      </c>
      <c r="T13" s="17"/>
      <c r="U13" s="15" t="str">
        <f t="shared" si="5"/>
        <v/>
      </c>
      <c r="V13" s="16"/>
      <c r="AD13" s="7" t="str">
        <f t="shared" si="6"/>
        <v/>
      </c>
      <c r="AE13" s="7" t="str">
        <f t="shared" si="7"/>
        <v/>
      </c>
      <c r="AF13" s="7" t="str">
        <f t="shared" si="8"/>
        <v/>
      </c>
      <c r="AG13" s="7" t="str">
        <f t="shared" si="9"/>
        <v/>
      </c>
      <c r="AH13" s="7" t="str">
        <f t="shared" si="10"/>
        <v/>
      </c>
      <c r="AI13" s="7" t="str">
        <f t="shared" si="11"/>
        <v/>
      </c>
      <c r="AJ13" s="7" t="str">
        <f t="shared" si="12"/>
        <v/>
      </c>
      <c r="AK13" s="7" t="str">
        <f t="shared" si="13"/>
        <v/>
      </c>
      <c r="AL13" s="7" t="str">
        <f t="shared" si="14"/>
        <v/>
      </c>
      <c r="AM13" s="7" t="str">
        <f t="shared" si="15"/>
        <v/>
      </c>
    </row>
    <row r="14" spans="2:39" outlineLevel="1">
      <c r="B14" s="2" t="s">
        <v>31</v>
      </c>
      <c r="C14" s="2" t="s">
        <v>17</v>
      </c>
      <c r="H14" s="8" t="str">
        <f t="shared" si="2"/>
        <v/>
      </c>
      <c r="K14" s="8" t="str">
        <f t="shared" si="3"/>
        <v/>
      </c>
      <c r="N14" s="11" t="str">
        <f t="shared" si="4"/>
        <v/>
      </c>
      <c r="T14" s="17"/>
      <c r="U14" s="15" t="str">
        <f t="shared" si="5"/>
        <v/>
      </c>
      <c r="V14" s="16"/>
    </row>
    <row r="15" spans="2:39">
      <c r="T15" s="17"/>
      <c r="U15" s="17"/>
      <c r="V15" s="17"/>
    </row>
    <row r="16" spans="2:39">
      <c r="T16" s="17"/>
      <c r="U16" s="17"/>
      <c r="V16" s="17"/>
    </row>
    <row r="17" spans="20:22">
      <c r="T17" s="17"/>
      <c r="U17" s="17"/>
      <c r="V17" s="17"/>
    </row>
    <row r="18" spans="20:22">
      <c r="T18" s="17"/>
      <c r="U18" s="17"/>
      <c r="V18" s="17"/>
    </row>
    <row r="19" spans="20:22">
      <c r="T19" s="17"/>
      <c r="U19" s="17"/>
      <c r="V19" s="17"/>
    </row>
    <row r="20" spans="20:22">
      <c r="T20" s="17"/>
      <c r="U20" s="17"/>
      <c r="V20" s="17"/>
    </row>
    <row r="21" spans="20:22">
      <c r="T21" s="17"/>
      <c r="U21" s="17"/>
      <c r="V21" s="17"/>
    </row>
  </sheetData>
  <hyperlinks>
    <hyperlink ref="C4" r:id="rId1" xr:uid="{A03BA143-5E91-C84A-B591-5A49CBBC00AB}"/>
    <hyperlink ref="C5" r:id="rId2" xr:uid="{F9C0E51B-6E06-BA4B-BE27-4BC547667F53}"/>
    <hyperlink ref="C6" r:id="rId3" xr:uid="{8AFFBC86-CCDF-B549-AB93-3E2C33FAC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E1F6-7CBD-AB42-A1CD-152CBF420EC1}">
  <dimension ref="A1:C43"/>
  <sheetViews>
    <sheetView zoomScale="243" workbookViewId="0">
      <selection activeCell="B6" sqref="B6"/>
    </sheetView>
  </sheetViews>
  <sheetFormatPr baseColWidth="10" defaultRowHeight="16"/>
  <cols>
    <col min="1" max="1" width="5.1640625" bestFit="1" customWidth="1"/>
    <col min="2" max="2" width="3" customWidth="1"/>
    <col min="3" max="3" width="139.33203125" customWidth="1"/>
  </cols>
  <sheetData>
    <row r="1" spans="1:3">
      <c r="A1" s="18" t="s">
        <v>73</v>
      </c>
    </row>
    <row r="3" spans="1:3">
      <c r="C3" t="s">
        <v>51</v>
      </c>
    </row>
    <row r="4" spans="1:3">
      <c r="B4" s="23" t="s">
        <v>92</v>
      </c>
      <c r="C4" s="18" t="s">
        <v>60</v>
      </c>
    </row>
    <row r="5" spans="1:3">
      <c r="B5" s="23" t="s">
        <v>92</v>
      </c>
      <c r="C5" t="s">
        <v>61</v>
      </c>
    </row>
    <row r="6" spans="1:3">
      <c r="B6" s="23"/>
      <c r="C6" t="s">
        <v>62</v>
      </c>
    </row>
    <row r="7" spans="1:3">
      <c r="B7" s="23"/>
      <c r="C7" t="s">
        <v>63</v>
      </c>
    </row>
    <row r="8" spans="1:3">
      <c r="B8" s="23"/>
      <c r="C8" t="s">
        <v>64</v>
      </c>
    </row>
    <row r="9" spans="1:3">
      <c r="B9" s="23"/>
      <c r="C9" t="s">
        <v>65</v>
      </c>
    </row>
    <row r="10" spans="1:3">
      <c r="B10" s="23"/>
      <c r="C10" t="s">
        <v>59</v>
      </c>
    </row>
    <row r="11" spans="1:3">
      <c r="B11" s="23"/>
      <c r="C11" t="s">
        <v>66</v>
      </c>
    </row>
    <row r="12" spans="1:3">
      <c r="B12" s="23"/>
      <c r="C12" t="s">
        <v>67</v>
      </c>
    </row>
    <row r="13" spans="1:3">
      <c r="B13" s="23"/>
      <c r="C13" t="s">
        <v>68</v>
      </c>
    </row>
    <row r="14" spans="1:3">
      <c r="B14" s="23"/>
      <c r="C14" t="s">
        <v>69</v>
      </c>
    </row>
    <row r="15" spans="1:3">
      <c r="B15" s="23"/>
      <c r="C15" t="s">
        <v>70</v>
      </c>
    </row>
    <row r="18" spans="3:3">
      <c r="C18" t="s">
        <v>52</v>
      </c>
    </row>
    <row r="19" spans="3:3">
      <c r="C19" t="s">
        <v>53</v>
      </c>
    </row>
    <row r="20" spans="3:3">
      <c r="C20" t="s">
        <v>54</v>
      </c>
    </row>
    <row r="21" spans="3:3">
      <c r="C21" t="s">
        <v>55</v>
      </c>
    </row>
    <row r="22" spans="3:3">
      <c r="C22" t="s">
        <v>56</v>
      </c>
    </row>
    <row r="23" spans="3:3">
      <c r="C23" t="s">
        <v>57</v>
      </c>
    </row>
    <row r="24" spans="3:3">
      <c r="C24" t="s">
        <v>58</v>
      </c>
    </row>
    <row r="26" spans="3:3">
      <c r="C26" s="18"/>
    </row>
    <row r="27" spans="3:3" ht="17">
      <c r="C27" s="19"/>
    </row>
    <row r="28" spans="3:3" ht="17">
      <c r="C28" s="19"/>
    </row>
    <row r="29" spans="3:3" ht="17">
      <c r="C29" s="19"/>
    </row>
    <row r="30" spans="3:3" ht="17">
      <c r="C30" s="19"/>
    </row>
    <row r="31" spans="3:3" ht="17">
      <c r="C31" s="19"/>
    </row>
    <row r="32" spans="3:3" ht="17">
      <c r="C32" s="19"/>
    </row>
    <row r="33" spans="3:3" ht="17">
      <c r="C33" s="19"/>
    </row>
    <row r="34" spans="3:3" ht="17">
      <c r="C34" s="19"/>
    </row>
    <row r="35" spans="3:3" ht="17">
      <c r="C35" s="19"/>
    </row>
    <row r="36" spans="3:3" ht="17">
      <c r="C36" s="19"/>
    </row>
    <row r="37" spans="3:3" ht="17">
      <c r="C37" s="19"/>
    </row>
    <row r="38" spans="3:3" ht="17">
      <c r="C38" s="19"/>
    </row>
    <row r="39" spans="3:3" ht="17">
      <c r="C39" s="19"/>
    </row>
    <row r="40" spans="3:3" ht="17">
      <c r="C40" s="19"/>
    </row>
    <row r="41" spans="3:3" ht="17">
      <c r="C41" s="19"/>
    </row>
    <row r="42" spans="3:3" ht="17">
      <c r="C42" s="19"/>
    </row>
    <row r="43" spans="3:3" ht="17">
      <c r="C43" s="19"/>
    </row>
  </sheetData>
  <hyperlinks>
    <hyperlink ref="C4" location="'Reinsurance '!A1" display="The Essential Guide to Reinsurance: https://www.swissre.com/dam/jcr:d06472ab-2625-48cf-8b4e-7c7ac8aa63f0/The-essential-guide-to-reinsurance.pdf" xr:uid="{A642F84E-42E5-B547-9695-803C59D3CD07}"/>
    <hyperlink ref="A1" location="Main!A1" display="Main" xr:uid="{D57051AE-627D-0D49-86AE-EE63417E7E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64D7-14D3-7E43-8055-200D1151456E}">
  <dimension ref="A1:B25"/>
  <sheetViews>
    <sheetView zoomScale="125" workbookViewId="0">
      <selection activeCell="A16" sqref="A16"/>
    </sheetView>
  </sheetViews>
  <sheetFormatPr baseColWidth="10" defaultRowHeight="13"/>
  <cols>
    <col min="1" max="1" width="5.1640625" style="21" bestFit="1" customWidth="1"/>
    <col min="2" max="2" width="19.1640625" style="21" customWidth="1"/>
    <col min="3" max="16384" width="10.83203125" style="21"/>
  </cols>
  <sheetData>
    <row r="1" spans="1:2">
      <c r="A1" s="20" t="s">
        <v>73</v>
      </c>
    </row>
    <row r="2" spans="1:2">
      <c r="B2" s="21" t="s">
        <v>71</v>
      </c>
    </row>
    <row r="3" spans="1:2">
      <c r="B3" s="22" t="s">
        <v>72</v>
      </c>
    </row>
    <row r="4" spans="1:2">
      <c r="B4" s="22" t="s">
        <v>74</v>
      </c>
    </row>
    <row r="5" spans="1:2">
      <c r="B5" s="22" t="s">
        <v>75</v>
      </c>
    </row>
    <row r="6" spans="1:2">
      <c r="B6" s="22" t="s">
        <v>76</v>
      </c>
    </row>
    <row r="7" spans="1:2">
      <c r="B7" s="22" t="s">
        <v>77</v>
      </c>
    </row>
    <row r="8" spans="1:2">
      <c r="B8" s="22" t="s">
        <v>78</v>
      </c>
    </row>
    <row r="9" spans="1:2">
      <c r="B9" s="21" t="s">
        <v>79</v>
      </c>
    </row>
    <row r="10" spans="1:2">
      <c r="B10" s="21" t="s">
        <v>80</v>
      </c>
    </row>
    <row r="11" spans="1:2">
      <c r="B11" s="22" t="s">
        <v>81</v>
      </c>
    </row>
    <row r="12" spans="1:2">
      <c r="B12" s="22" t="s">
        <v>82</v>
      </c>
    </row>
    <row r="14" spans="1:2">
      <c r="B14" s="22" t="s">
        <v>83</v>
      </c>
    </row>
    <row r="16" spans="1:2">
      <c r="B16" s="22" t="s">
        <v>84</v>
      </c>
    </row>
    <row r="18" spans="2:2">
      <c r="B18" s="21" t="s">
        <v>85</v>
      </c>
    </row>
    <row r="20" spans="2:2">
      <c r="B20" s="21" t="s">
        <v>88</v>
      </c>
    </row>
    <row r="21" spans="2:2">
      <c r="B21" s="21" t="s">
        <v>86</v>
      </c>
    </row>
    <row r="22" spans="2:2">
      <c r="B22" s="21" t="s">
        <v>87</v>
      </c>
    </row>
    <row r="23" spans="2:2">
      <c r="B23" s="21" t="s">
        <v>89</v>
      </c>
    </row>
    <row r="24" spans="2:2">
      <c r="B24" s="21" t="s">
        <v>90</v>
      </c>
    </row>
    <row r="25" spans="2:2">
      <c r="B25" s="21" t="s">
        <v>91</v>
      </c>
    </row>
  </sheetData>
  <hyperlinks>
    <hyperlink ref="A1" location="Main!A1" display="Main" xr:uid="{07DAFAED-1BD6-9F45-89DE-45290A85E92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949D-B792-3B41-B460-384BA525CDD4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Literature</vt:lpstr>
      <vt:lpstr>Reinsurance </vt:lpstr>
      <vt:lpstr>Estimating Unpaid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2026-05-06T02:55:34Z</dcterms:created>
  <dcterms:modified xsi:type="dcterms:W3CDTF">2026-05-27T02:04:23Z</dcterms:modified>
</cp:coreProperties>
</file>