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jameelbrannon/Library/CloudStorage/Dropbox/models/BasicMaterials/"/>
    </mc:Choice>
  </mc:AlternateContent>
  <xr:revisionPtr revIDLastSave="0" documentId="13_ncr:1_{E1E0BB73-66D8-DC47-B856-721C82EE83FD}" xr6:coauthVersionLast="47" xr6:coauthVersionMax="47" xr10:uidLastSave="{00000000-0000-0000-0000-000000000000}"/>
  <bookViews>
    <workbookView xWindow="28380" yWindow="600" windowWidth="22820" windowHeight="27020" xr2:uid="{8FDC7727-ACE0-5046-9CA2-833B16E7262B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N3" i="1"/>
  <c r="I103" i="1"/>
  <c r="L103" i="1" s="1"/>
  <c r="I99" i="1"/>
  <c r="L99" i="1" s="1"/>
  <c r="I98" i="1"/>
  <c r="L98" i="1" s="1"/>
  <c r="N100" i="1"/>
  <c r="I111" i="1"/>
  <c r="L111" i="1" s="1"/>
  <c r="I110" i="1"/>
  <c r="L110" i="1" s="1"/>
  <c r="I109" i="1"/>
  <c r="L109" i="1" s="1"/>
  <c r="I108" i="1"/>
  <c r="L108" i="1" s="1"/>
  <c r="I107" i="1"/>
  <c r="L107" i="1" s="1"/>
  <c r="I106" i="1"/>
  <c r="L106" i="1" s="1"/>
  <c r="I105" i="1"/>
  <c r="L105" i="1" s="1"/>
  <c r="I104" i="1"/>
  <c r="L104" i="1" s="1"/>
  <c r="I102" i="1"/>
  <c r="L102" i="1" s="1"/>
  <c r="I101" i="1"/>
  <c r="I100" i="1"/>
  <c r="L100" i="1" s="1"/>
  <c r="I97" i="1"/>
  <c r="L97" i="1" s="1"/>
  <c r="I96" i="1"/>
  <c r="L96" i="1" s="1"/>
  <c r="I95" i="1"/>
  <c r="I94" i="1"/>
  <c r="L94" i="1" s="1"/>
  <c r="I93" i="1"/>
  <c r="L93" i="1" s="1"/>
  <c r="I92" i="1"/>
  <c r="L92" i="1" s="1"/>
  <c r="I91" i="1"/>
  <c r="L91" i="1" s="1"/>
  <c r="I90" i="1"/>
  <c r="I89" i="1"/>
  <c r="L89" i="1" s="1"/>
  <c r="I88" i="1"/>
  <c r="L88" i="1" s="1"/>
  <c r="I87" i="1"/>
  <c r="L87" i="1" s="1"/>
  <c r="I86" i="1"/>
  <c r="L86" i="1" s="1"/>
  <c r="I85" i="1"/>
  <c r="L85" i="1" s="1"/>
  <c r="I84" i="1"/>
  <c r="L84" i="1" s="1"/>
  <c r="I83" i="1"/>
  <c r="L83" i="1" s="1"/>
  <c r="H79" i="1"/>
  <c r="I79" i="1" s="1"/>
  <c r="L79" i="1" s="1"/>
  <c r="J90" i="1"/>
  <c r="I112" i="1"/>
  <c r="N112" i="1" s="1"/>
  <c r="J128" i="1"/>
  <c r="I128" i="1"/>
  <c r="S10" i="1"/>
  <c r="S92" i="1"/>
  <c r="F3" i="1"/>
  <c r="F110" i="1"/>
  <c r="B4" i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41" i="1" s="1"/>
  <c r="B42" i="1" s="1"/>
  <c r="B43" i="1" s="1"/>
  <c r="B44" i="1" s="1"/>
  <c r="B45" i="1" s="1"/>
  <c r="B46" i="1" s="1"/>
  <c r="B47" i="1" s="1"/>
  <c r="B48" i="1" s="1"/>
  <c r="B49" i="1" s="1"/>
  <c r="B50" i="1" s="1"/>
  <c r="B51" i="1" s="1"/>
  <c r="B52" i="1" s="1"/>
  <c r="B53" i="1" s="1"/>
  <c r="B54" i="1" s="1"/>
  <c r="B55" i="1" s="1"/>
  <c r="B56" i="1" s="1"/>
  <c r="B57" i="1" s="1"/>
  <c r="B58" i="1" s="1"/>
  <c r="B59" i="1" s="1"/>
  <c r="B60" i="1" s="1"/>
  <c r="B61" i="1" s="1"/>
  <c r="B62" i="1" s="1"/>
  <c r="B63" i="1" s="1"/>
  <c r="B64" i="1" s="1"/>
  <c r="B65" i="1" s="1"/>
  <c r="B66" i="1" s="1"/>
  <c r="B67" i="1" s="1"/>
  <c r="B68" i="1" s="1"/>
  <c r="B69" i="1" s="1"/>
  <c r="B70" i="1" s="1"/>
  <c r="B71" i="1" s="1"/>
  <c r="B72" i="1" s="1"/>
  <c r="B73" i="1" s="1"/>
  <c r="B74" i="1" s="1"/>
  <c r="B75" i="1" s="1"/>
  <c r="B76" i="1" s="1"/>
  <c r="B77" i="1" s="1"/>
  <c r="B78" i="1" s="1"/>
  <c r="B79" i="1" s="1"/>
  <c r="B80" i="1" s="1"/>
  <c r="B81" i="1" s="1"/>
  <c r="B82" i="1" s="1"/>
  <c r="B83" i="1" s="1"/>
  <c r="B84" i="1" s="1"/>
  <c r="B85" i="1" s="1"/>
  <c r="B86" i="1" s="1"/>
  <c r="B87" i="1" s="1"/>
  <c r="B88" i="1" s="1"/>
  <c r="B89" i="1" s="1"/>
  <c r="B90" i="1" s="1"/>
  <c r="B91" i="1" s="1"/>
  <c r="B92" i="1" s="1"/>
  <c r="B93" i="1" s="1"/>
  <c r="B94" i="1" s="1"/>
  <c r="B95" i="1" s="1"/>
  <c r="B96" i="1" s="1"/>
  <c r="B97" i="1" s="1"/>
  <c r="B98" i="1" s="1"/>
  <c r="B99" i="1" s="1"/>
  <c r="B100" i="1" s="1"/>
  <c r="B101" i="1" s="1"/>
  <c r="B102" i="1" s="1"/>
  <c r="B103" i="1" s="1"/>
  <c r="B104" i="1" s="1"/>
  <c r="B105" i="1" s="1"/>
  <c r="B106" i="1" s="1"/>
  <c r="B107" i="1" s="1"/>
  <c r="B108" i="1" s="1"/>
  <c r="B109" i="1" s="1"/>
  <c r="B110" i="1" s="1"/>
  <c r="B111" i="1" s="1"/>
  <c r="B112" i="1" s="1"/>
  <c r="B113" i="1" s="1"/>
  <c r="B114" i="1" s="1"/>
  <c r="B115" i="1" s="1"/>
  <c r="B116" i="1" s="1"/>
  <c r="B117" i="1" s="1"/>
  <c r="B118" i="1" s="1"/>
  <c r="B119" i="1" s="1"/>
  <c r="B120" i="1" s="1"/>
  <c r="B121" i="1" s="1"/>
  <c r="B122" i="1" s="1"/>
  <c r="B123" i="1" s="1"/>
  <c r="B124" i="1" s="1"/>
  <c r="B125" i="1" s="1"/>
  <c r="B126" i="1" s="1"/>
  <c r="B127" i="1" s="1"/>
  <c r="B128" i="1" s="1"/>
  <c r="B129" i="1" s="1"/>
  <c r="B130" i="1" s="1"/>
  <c r="B131" i="1" s="1"/>
  <c r="L121" i="1"/>
  <c r="L11" i="1"/>
  <c r="L25" i="1"/>
  <c r="L12" i="1"/>
  <c r="I3" i="1"/>
  <c r="L3" i="1" s="1"/>
  <c r="I4" i="1"/>
  <c r="L4" i="1" s="1"/>
  <c r="I5" i="1"/>
  <c r="L5" i="1" s="1"/>
  <c r="I119" i="1"/>
  <c r="L119" i="1" s="1"/>
  <c r="I118" i="1"/>
  <c r="L118" i="1" s="1"/>
  <c r="I6" i="1"/>
  <c r="L6" i="1" s="1"/>
  <c r="I7" i="1"/>
  <c r="L7" i="1" s="1"/>
  <c r="I8" i="1"/>
  <c r="L8" i="1" s="1"/>
  <c r="I9" i="1"/>
  <c r="L9" i="1" s="1"/>
  <c r="I10" i="1"/>
  <c r="L10" i="1" s="1"/>
  <c r="I76" i="1"/>
  <c r="L76" i="1" s="1"/>
  <c r="I77" i="1"/>
  <c r="L77" i="1" s="1"/>
  <c r="I78" i="1"/>
  <c r="L78" i="1" s="1"/>
  <c r="I80" i="1"/>
  <c r="L80" i="1" s="1"/>
  <c r="I81" i="1"/>
  <c r="L81" i="1" s="1"/>
  <c r="I82" i="1"/>
  <c r="L82" i="1" s="1"/>
  <c r="F109" i="1"/>
  <c r="R7" i="2"/>
  <c r="Q7" i="2"/>
  <c r="P7" i="2"/>
  <c r="O7" i="2"/>
  <c r="N7" i="2"/>
  <c r="M7" i="2"/>
  <c r="L7" i="2"/>
  <c r="K7" i="2"/>
  <c r="J7" i="2"/>
  <c r="I7" i="2"/>
  <c r="H7" i="2"/>
  <c r="G7" i="2"/>
  <c r="F7" i="2"/>
  <c r="E7" i="2"/>
  <c r="G5" i="2"/>
  <c r="H5" i="2" s="1"/>
  <c r="I5" i="2" s="1"/>
  <c r="J5" i="2" s="1"/>
  <c r="K5" i="2" s="1"/>
  <c r="L5" i="2" s="1"/>
  <c r="M5" i="2" s="1"/>
  <c r="N5" i="2" s="1"/>
  <c r="O5" i="2" s="1"/>
  <c r="P5" i="2" s="1"/>
  <c r="Q5" i="2" s="1"/>
  <c r="R5" i="2" s="1"/>
  <c r="F5" i="2"/>
  <c r="R6" i="2"/>
  <c r="Q6" i="2"/>
  <c r="P6" i="2"/>
  <c r="O6" i="2"/>
  <c r="N6" i="2"/>
  <c r="M6" i="2"/>
  <c r="L6" i="2"/>
  <c r="K6" i="2"/>
  <c r="J6" i="2"/>
  <c r="I6" i="2"/>
  <c r="H6" i="2"/>
  <c r="G6" i="2"/>
  <c r="F6" i="2"/>
  <c r="C12" i="2"/>
  <c r="C11" i="2"/>
  <c r="C13" i="2" s="1"/>
  <c r="F127" i="1"/>
  <c r="F108" i="1"/>
  <c r="I127" i="1"/>
  <c r="Q58" i="1"/>
  <c r="Q131" i="1"/>
  <c r="Q57" i="1"/>
  <c r="Q56" i="1"/>
  <c r="Q55" i="1"/>
  <c r="Q33" i="1"/>
  <c r="Q54" i="1"/>
  <c r="Q120" i="1"/>
  <c r="Q32" i="1"/>
  <c r="Q53" i="1"/>
  <c r="Q52" i="1"/>
  <c r="Q51" i="1"/>
  <c r="Q50" i="1"/>
  <c r="Q49" i="1"/>
  <c r="Q31" i="1"/>
  <c r="Q30" i="1"/>
  <c r="Q48" i="1"/>
  <c r="Q75" i="1"/>
  <c r="Q29" i="1"/>
  <c r="Q47" i="1"/>
  <c r="Q74" i="1"/>
  <c r="Q28" i="1"/>
  <c r="Q46" i="1"/>
  <c r="Q73" i="1"/>
  <c r="Q22" i="1"/>
  <c r="Q45" i="1"/>
  <c r="Q72" i="1"/>
  <c r="Q71" i="1"/>
  <c r="Q21" i="1"/>
  <c r="Q107" i="1"/>
  <c r="Q44" i="1"/>
  <c r="Q70" i="1"/>
  <c r="Q106" i="1"/>
  <c r="Q43" i="1"/>
  <c r="Q42" i="1"/>
  <c r="Q41" i="1"/>
  <c r="Q69" i="1"/>
  <c r="Q40" i="1"/>
  <c r="Q116" i="1"/>
  <c r="Q130" i="1"/>
  <c r="Q20" i="1"/>
  <c r="Q68" i="1"/>
  <c r="Q67" i="1"/>
  <c r="Q19" i="1"/>
  <c r="Q105" i="1"/>
  <c r="Q129" i="1"/>
  <c r="Q39" i="1"/>
  <c r="Q104" i="1"/>
  <c r="Q27" i="1"/>
  <c r="Q38" i="1"/>
  <c r="Q24" i="1"/>
  <c r="Q126" i="1"/>
  <c r="Q66" i="1"/>
  <c r="Q37" i="1"/>
  <c r="Q65" i="1"/>
  <c r="Q26" i="1"/>
  <c r="Q36" i="1"/>
  <c r="Q18" i="1"/>
  <c r="Q115" i="1"/>
  <c r="Q64" i="1"/>
  <c r="Q103" i="1"/>
  <c r="Q63" i="1"/>
  <c r="Q114" i="1"/>
  <c r="Q23" i="1"/>
  <c r="Q113" i="1"/>
  <c r="Q62" i="1"/>
  <c r="Q61" i="1"/>
  <c r="Q125" i="1"/>
  <c r="Q17" i="1"/>
  <c r="Q16" i="1"/>
  <c r="Q102" i="1"/>
  <c r="Q15" i="1"/>
  <c r="Q117" i="1"/>
  <c r="Q112" i="1"/>
  <c r="Q101" i="1"/>
  <c r="Q100" i="1"/>
  <c r="Q99" i="1"/>
  <c r="Q98" i="1"/>
  <c r="Q35" i="1"/>
  <c r="Q97" i="1"/>
  <c r="Q96" i="1"/>
  <c r="Q95" i="1"/>
  <c r="Q94" i="1"/>
  <c r="Q93" i="1"/>
  <c r="Q92" i="1"/>
  <c r="Q124" i="1"/>
  <c r="Q91" i="1"/>
  <c r="Q34" i="1"/>
  <c r="Q90" i="1"/>
  <c r="Q60" i="1"/>
  <c r="Q123" i="1"/>
  <c r="Q89" i="1"/>
  <c r="Q88" i="1"/>
  <c r="Q87" i="1"/>
  <c r="Q14" i="1"/>
  <c r="Q59" i="1"/>
  <c r="Q86" i="1"/>
  <c r="Q13" i="1"/>
  <c r="Q122" i="1"/>
  <c r="Q85" i="1"/>
  <c r="Q12" i="1"/>
  <c r="Q25" i="1"/>
  <c r="Q11" i="1"/>
  <c r="Q84" i="1"/>
  <c r="Q121" i="1"/>
  <c r="Q83" i="1"/>
  <c r="Q82" i="1"/>
  <c r="Q81" i="1"/>
  <c r="Q80" i="1"/>
  <c r="Q79" i="1"/>
  <c r="Q78" i="1"/>
  <c r="Q77" i="1"/>
  <c r="Q76" i="1"/>
  <c r="Q10" i="1"/>
  <c r="Q128" i="1"/>
  <c r="Q111" i="1"/>
  <c r="Q9" i="1"/>
  <c r="Q8" i="1"/>
  <c r="Q7" i="1"/>
  <c r="Q6" i="1"/>
  <c r="Q118" i="1"/>
  <c r="Q119" i="1"/>
  <c r="Q5" i="1"/>
  <c r="Q4" i="1"/>
  <c r="Q3" i="1"/>
  <c r="Q110" i="1"/>
  <c r="Q109" i="1"/>
  <c r="Q127" i="1"/>
  <c r="D2" i="1"/>
  <c r="Q108" i="1"/>
  <c r="L90" i="1" l="1"/>
  <c r="L101" i="1"/>
  <c r="N101" i="1"/>
  <c r="L95" i="1"/>
  <c r="N95" i="1"/>
  <c r="N111" i="1"/>
  <c r="L128" i="1"/>
  <c r="L127" i="1"/>
  <c r="N127" i="1"/>
  <c r="N108" i="1"/>
</calcChain>
</file>

<file path=xl/sharedStrings.xml><?xml version="1.0" encoding="utf-8"?>
<sst xmlns="http://schemas.openxmlformats.org/spreadsheetml/2006/main" count="437" uniqueCount="303">
  <si>
    <t xml:space="preserve">Company </t>
  </si>
  <si>
    <t>Price</t>
  </si>
  <si>
    <t>Open</t>
  </si>
  <si>
    <t>YTD</t>
  </si>
  <si>
    <t>Shares</t>
  </si>
  <si>
    <t>MC</t>
  </si>
  <si>
    <t>Cash</t>
  </si>
  <si>
    <t>Debt</t>
  </si>
  <si>
    <t>EV</t>
  </si>
  <si>
    <t>Newmont Corp</t>
  </si>
  <si>
    <t>Royal Gold, Inc</t>
  </si>
  <si>
    <t>Coeur Mining Inc</t>
  </si>
  <si>
    <t>SSR Mining Inc</t>
  </si>
  <si>
    <t>Novagold Resources Inc</t>
  </si>
  <si>
    <t>i-80 Gold Corp</t>
  </si>
  <si>
    <t>Dakota Gold Corp</t>
  </si>
  <si>
    <t>Idaho Strategic Resources Inc</t>
  </si>
  <si>
    <t>Contango Ore Inc</t>
  </si>
  <si>
    <t>U.S. Gold Corp</t>
  </si>
  <si>
    <t>Vista Gold Corp</t>
  </si>
  <si>
    <t>Hycroft Mining Holding Corporation</t>
  </si>
  <si>
    <t>Paramount Gold Nevada Corp</t>
  </si>
  <si>
    <t xml:space="preserve">NEM US </t>
  </si>
  <si>
    <t xml:space="preserve">RGLD US </t>
  </si>
  <si>
    <t xml:space="preserve">CDE US </t>
  </si>
  <si>
    <t>SSRM US</t>
  </si>
  <si>
    <t>NG US</t>
  </si>
  <si>
    <t>IAUX US</t>
  </si>
  <si>
    <t>DC US</t>
  </si>
  <si>
    <t>IDR US</t>
  </si>
  <si>
    <t>CTGO US</t>
  </si>
  <si>
    <t>USAU US</t>
  </si>
  <si>
    <t>VGZ US</t>
  </si>
  <si>
    <t>HYMC US</t>
  </si>
  <si>
    <t>PZG US</t>
  </si>
  <si>
    <t>GORO US</t>
  </si>
  <si>
    <t>AAUC CA</t>
  </si>
  <si>
    <t>AEM CA</t>
  </si>
  <si>
    <t>AGI CA</t>
  </si>
  <si>
    <t>ARIS CA</t>
  </si>
  <si>
    <t>AUST CA</t>
  </si>
  <si>
    <t>AUXX CA</t>
  </si>
  <si>
    <t>BTG CA</t>
  </si>
  <si>
    <t>Elemental Royalty Corp</t>
  </si>
  <si>
    <t>Collective Mining Ltd</t>
  </si>
  <si>
    <t>Aura Minerals Inc</t>
  </si>
  <si>
    <t>AngloGold Ashanti Plc</t>
  </si>
  <si>
    <t>Caledonia Mining Corp Plc</t>
  </si>
  <si>
    <t>Harmony Gold Mining Co Ltd ADR</t>
  </si>
  <si>
    <t>Gold Fields Ltd ADR</t>
  </si>
  <si>
    <t>DRDGold Ltd ADR</t>
  </si>
  <si>
    <t>Namib Minerals</t>
  </si>
  <si>
    <t>Blue Gold Ltd</t>
  </si>
  <si>
    <t>Wheaton Precious Metals Corp</t>
  </si>
  <si>
    <t>TRX Gold Corp</t>
  </si>
  <si>
    <t>International Tower Hill Mines Ltd</t>
  </si>
  <si>
    <t>Scorpio Gold Corp ADR</t>
  </si>
  <si>
    <t>Seabridge Gold Inc</t>
  </si>
  <si>
    <t>Pan American Silver Corp</t>
  </si>
  <si>
    <t>OR Royalties Inc</t>
  </si>
  <si>
    <t>Osisko Gold Group Inc</t>
  </si>
  <si>
    <t>OceanaGold Corp</t>
  </si>
  <si>
    <t>New Found Gold Corp</t>
  </si>
  <si>
    <t>Mayfair Gold Corp</t>
  </si>
  <si>
    <t>Mako Mining Corp</t>
  </si>
  <si>
    <t>Kinross Gold Corp</t>
  </si>
  <si>
    <t>Iamgold Corp</t>
  </si>
  <si>
    <t>Gold Royalty Corp</t>
  </si>
  <si>
    <t>Goldgroup Mining Inc</t>
  </si>
  <si>
    <t>GoldMining Inc</t>
  </si>
  <si>
    <t>Galiano Gold Inc</t>
  </si>
  <si>
    <t>Fury Gold Mines Ltd</t>
  </si>
  <si>
    <t>Fortuna Mining Corp</t>
  </si>
  <si>
    <t>Franco-Nevada Corp</t>
  </si>
  <si>
    <t>Equinox Gold Corp</t>
  </si>
  <si>
    <t>Eldorado Gold Corp</t>
  </si>
  <si>
    <t>Centerra Gold Inc</t>
  </si>
  <si>
    <t>B2Gold Corp</t>
  </si>
  <si>
    <t>Barrick Mining Corp</t>
  </si>
  <si>
    <t>Gold X2 Mining Inc</t>
  </si>
  <si>
    <t>Austin Gold Corp</t>
  </si>
  <si>
    <t>Aris Mining Corp</t>
  </si>
  <si>
    <t>Alamos Gold Inc</t>
  </si>
  <si>
    <t>Agnico Eagle Mines Ltd</t>
  </si>
  <si>
    <t>Allied Gold Corp</t>
  </si>
  <si>
    <t>ELE US</t>
  </si>
  <si>
    <t>CNL US</t>
  </si>
  <si>
    <t>AUGO US</t>
  </si>
  <si>
    <t>AU US</t>
  </si>
  <si>
    <t>CMCL UK</t>
  </si>
  <si>
    <t>HMY ZA</t>
  </si>
  <si>
    <t>GFI ZA</t>
  </si>
  <si>
    <t>DRD ZA</t>
  </si>
  <si>
    <t>NAMM KY</t>
  </si>
  <si>
    <t>BGL KY</t>
  </si>
  <si>
    <t>WPM CA</t>
  </si>
  <si>
    <t>TRX CA</t>
  </si>
  <si>
    <t>THM CA</t>
  </si>
  <si>
    <t>SGLD CA</t>
  </si>
  <si>
    <t>SA CA</t>
  </si>
  <si>
    <t>PAAS CA</t>
  </si>
  <si>
    <t>OR CA</t>
  </si>
  <si>
    <t>OGG CA</t>
  </si>
  <si>
    <t>OGC CA</t>
  </si>
  <si>
    <t>NFGC CA</t>
  </si>
  <si>
    <t>MINE CA</t>
  </si>
  <si>
    <t>MAKO CA</t>
  </si>
  <si>
    <t>KGC CA</t>
  </si>
  <si>
    <t>IAG CA</t>
  </si>
  <si>
    <t>GROY CA</t>
  </si>
  <si>
    <t>GLDG CA</t>
  </si>
  <si>
    <t>GAU CA</t>
  </si>
  <si>
    <t>FURY CA</t>
  </si>
  <si>
    <t>FSM CA</t>
  </si>
  <si>
    <t>FNV CA</t>
  </si>
  <si>
    <t>EQX CA</t>
  </si>
  <si>
    <t>EGO CA</t>
  </si>
  <si>
    <t>CGAU CA</t>
  </si>
  <si>
    <t>B CA</t>
  </si>
  <si>
    <t>https://www.merkgold.com/</t>
  </si>
  <si>
    <t>G Mining Ventures Corp.</t>
  </si>
  <si>
    <t>Americas Gold &amp; Silver Corp.</t>
  </si>
  <si>
    <t>San Cristobal Mining, Inc.</t>
  </si>
  <si>
    <t>Predictive Discovery Ltd</t>
  </si>
  <si>
    <t>Hemlo Mining Corp.</t>
  </si>
  <si>
    <t>Predictive Discovery, Ltd.</t>
  </si>
  <si>
    <t>Thesis Gold &amp; Silver, Inc.</t>
  </si>
  <si>
    <t>Metalla Royalty &amp; Streaming, Ltd.</t>
  </si>
  <si>
    <t>Cadillac Mines Corp</t>
  </si>
  <si>
    <t>Atex Resources, Inc.</t>
  </si>
  <si>
    <t>GoGold Resources, Inc.</t>
  </si>
  <si>
    <t>Tolu Minerals, Ltd.</t>
  </si>
  <si>
    <t>Mining Americas, Inc.</t>
  </si>
  <si>
    <t>Blossom Gold, Inc.</t>
  </si>
  <si>
    <t>Torex Gold Resources, Inc.</t>
  </si>
  <si>
    <t>Andean Silver, Ltd.</t>
  </si>
  <si>
    <t>Discovery Mining, Ltd.</t>
  </si>
  <si>
    <t>Silver Tiger Metals, Inc.</t>
  </si>
  <si>
    <t>Tectonic Metals Inc</t>
  </si>
  <si>
    <t>Roxmore Resources, Inc.</t>
  </si>
  <si>
    <t>Lahontan Gold Corp.</t>
  </si>
  <si>
    <t>Midas Minerals, Ltd.</t>
  </si>
  <si>
    <t>Liberty Gold Corp.</t>
  </si>
  <si>
    <t>Southwest Critical Materials</t>
  </si>
  <si>
    <t>Versamet Royalties Corp.</t>
  </si>
  <si>
    <t>FireFly Metals, Ltd.</t>
  </si>
  <si>
    <t>Barton Gold Holdings, Ltd.</t>
  </si>
  <si>
    <t>Sinclair Gold, Ltd.</t>
  </si>
  <si>
    <t>Talamore Mining Corp.</t>
  </si>
  <si>
    <t>Andean Precious Metals Corp.</t>
  </si>
  <si>
    <t>Cygnus Metals, Ltd.</t>
  </si>
  <si>
    <t>Cayenne Copper, Ltd.</t>
  </si>
  <si>
    <t>Guanajuato Silver Co., Ltd.</t>
  </si>
  <si>
    <t>Silver Mountain Resources, Inc.</t>
  </si>
  <si>
    <t>Getty Copper, Inc.</t>
  </si>
  <si>
    <t>RPX Gold, Inc.</t>
  </si>
  <si>
    <t>Integra Resources Corp.</t>
  </si>
  <si>
    <t>Evolve Royalties, Ltd.</t>
  </si>
  <si>
    <t>Pecoy Copper Corp.</t>
  </si>
  <si>
    <t>TDG Gold Corp.</t>
  </si>
  <si>
    <t>Q-Gold Resources, Ltd.</t>
  </si>
  <si>
    <t>Ridgeline Minerals Corp.</t>
  </si>
  <si>
    <t>Delta Lithium, Ltd.</t>
  </si>
  <si>
    <t>South Pacific Metals Corp.</t>
  </si>
  <si>
    <t>Genesis Minerals, Ltd.</t>
  </si>
  <si>
    <t>Newcore Gold, Ltd.</t>
  </si>
  <si>
    <t>Bellavista Resources, Ltd.</t>
  </si>
  <si>
    <t>Talisker Resources, Ltd.</t>
  </si>
  <si>
    <t>Ongwe Minerals, Inc.</t>
  </si>
  <si>
    <t>Geopacific Resources, Ltd.</t>
  </si>
  <si>
    <t>Lithium Africa Corp.</t>
  </si>
  <si>
    <t>Tier One Silver, Inc.</t>
  </si>
  <si>
    <t>STLLR Gold, Inc.</t>
  </si>
  <si>
    <t>Nexus Minerals, Ltd.</t>
  </si>
  <si>
    <t>Westhaven Gold Corp.</t>
  </si>
  <si>
    <t>Cartier Resources, Inc.</t>
  </si>
  <si>
    <t>Gorilla Gold Mines, Ltd.</t>
  </si>
  <si>
    <t>Desert Gold Ventures, Inc.</t>
  </si>
  <si>
    <t>Ballard Mining, Ltd.</t>
  </si>
  <si>
    <t>Castile Resources, Ltd.</t>
  </si>
  <si>
    <t>Sable Resources, Ltd.</t>
  </si>
  <si>
    <t>Killi Resources Ltd</t>
  </si>
  <si>
    <t>Pan Global Resources, Inc.</t>
  </si>
  <si>
    <t>Prodigy Gold NL</t>
  </si>
  <si>
    <t>Signature Resources, Ltd.</t>
  </si>
  <si>
    <t>Emerita Resources Corp.</t>
  </si>
  <si>
    <t>Culico Metals, Inc.</t>
  </si>
  <si>
    <t>Onyx Gold Corp.</t>
  </si>
  <si>
    <t>Bunker Hill Mining Corp.</t>
  </si>
  <si>
    <t>American Pacific Mining Corp.</t>
  </si>
  <si>
    <t>Max Resource Corp.</t>
  </si>
  <si>
    <t>LCL Resources, Ltd.</t>
  </si>
  <si>
    <t>Angel Wing Metals, Inc.</t>
  </si>
  <si>
    <t>Lux Metals Corp.</t>
  </si>
  <si>
    <t>GMIN CN</t>
  </si>
  <si>
    <t>SCMIF_U</t>
  </si>
  <si>
    <t>PDIDB AU</t>
  </si>
  <si>
    <t>HMMC CN</t>
  </si>
  <si>
    <t>PDI CN</t>
  </si>
  <si>
    <t>TAU CN</t>
  </si>
  <si>
    <t>MTA</t>
  </si>
  <si>
    <t>CADY CN</t>
  </si>
  <si>
    <t>ATX CN</t>
  </si>
  <si>
    <t>GGD CN</t>
  </si>
  <si>
    <t>TOK AU</t>
  </si>
  <si>
    <t>MAI CN</t>
  </si>
  <si>
    <t>BGAU CN</t>
  </si>
  <si>
    <t>TXG CN</t>
  </si>
  <si>
    <t>ASL AU</t>
  </si>
  <si>
    <t>DSV CN</t>
  </si>
  <si>
    <t>SLVR CN</t>
  </si>
  <si>
    <t>TECT CN</t>
  </si>
  <si>
    <t>RM CN</t>
  </si>
  <si>
    <t>LG CN</t>
  </si>
  <si>
    <t>MM1 AU</t>
  </si>
  <si>
    <t>LGD CN</t>
  </si>
  <si>
    <t>VMET CN</t>
  </si>
  <si>
    <t>BGD AU</t>
  </si>
  <si>
    <t>SGC AU</t>
  </si>
  <si>
    <t>TALA CN</t>
  </si>
  <si>
    <t>APM CN</t>
  </si>
  <si>
    <t>CY5 AU</t>
  </si>
  <si>
    <t>CAYCOPP</t>
  </si>
  <si>
    <t>GSVR CN</t>
  </si>
  <si>
    <t>AGMR CN</t>
  </si>
  <si>
    <t>FFM AU</t>
  </si>
  <si>
    <t>GTC CN</t>
  </si>
  <si>
    <t>RPX CN</t>
  </si>
  <si>
    <t>SWCTEMPB</t>
  </si>
  <si>
    <t>ITRG</t>
  </si>
  <si>
    <t>EVR CN</t>
  </si>
  <si>
    <t>PCU CN</t>
  </si>
  <si>
    <t>TDG CN</t>
  </si>
  <si>
    <t>QGR CN</t>
  </si>
  <si>
    <t>RDG CN</t>
  </si>
  <si>
    <t>USAS</t>
  </si>
  <si>
    <t>DLI AU</t>
  </si>
  <si>
    <t>SPMC CN</t>
  </si>
  <si>
    <t>GMD AU</t>
  </si>
  <si>
    <t>NCAU CN</t>
  </si>
  <si>
    <t>BVR AU</t>
  </si>
  <si>
    <t>TSK CN</t>
  </si>
  <si>
    <t>OGW CN</t>
  </si>
  <si>
    <t>GPR AU</t>
  </si>
  <si>
    <t>LAF CN</t>
  </si>
  <si>
    <t>TSLV CN</t>
  </si>
  <si>
    <t>STLR CN</t>
  </si>
  <si>
    <t>NXM AU</t>
  </si>
  <si>
    <t>WHN CN</t>
  </si>
  <si>
    <t>ECR CN_U</t>
  </si>
  <si>
    <t>GG8 AU</t>
  </si>
  <si>
    <t>DAU CN</t>
  </si>
  <si>
    <t>BM1 AU</t>
  </si>
  <si>
    <t>CST AU</t>
  </si>
  <si>
    <t>SAE CN</t>
  </si>
  <si>
    <t>KLI AU</t>
  </si>
  <si>
    <t>PGZ CN</t>
  </si>
  <si>
    <t>PRX AU</t>
  </si>
  <si>
    <t>SGU CN</t>
  </si>
  <si>
    <t>EMO CN</t>
  </si>
  <si>
    <t>CLCO CN</t>
  </si>
  <si>
    <t>ONYX CN</t>
  </si>
  <si>
    <t>BNKR CN</t>
  </si>
  <si>
    <t>USGD CN</t>
  </si>
  <si>
    <t>MAX CN</t>
  </si>
  <si>
    <t>LCL AU</t>
  </si>
  <si>
    <t>AWM CN</t>
  </si>
  <si>
    <t>LXM CN</t>
  </si>
  <si>
    <t xml:space="preserve">Tier </t>
  </si>
  <si>
    <t>$M</t>
  </si>
  <si>
    <t>Years</t>
  </si>
  <si>
    <t xml:space="preserve">annual cashflow </t>
  </si>
  <si>
    <t>reserve life</t>
  </si>
  <si>
    <t xml:space="preserve">discount rate </t>
  </si>
  <si>
    <t>Finite Life Math</t>
  </si>
  <si>
    <t xml:space="preserve">$1 of annual cash flow for 14 years is worth about $9.90 today at a discount of 5% </t>
  </si>
  <si>
    <t>Perpetual Business</t>
  </si>
  <si>
    <t xml:space="preserve">NAV Multiple </t>
  </si>
  <si>
    <t>NAV</t>
  </si>
  <si>
    <t>P/NAV</t>
  </si>
  <si>
    <t xml:space="preserve">Type </t>
  </si>
  <si>
    <t xml:space="preserve">Producer </t>
  </si>
  <si>
    <t>Royalty/Streamer</t>
  </si>
  <si>
    <t xml:space="preserve">Tail </t>
  </si>
  <si>
    <t>Term%</t>
  </si>
  <si>
    <t>Notes</t>
  </si>
  <si>
    <t>Developer</t>
  </si>
  <si>
    <t xml:space="preserve">Producer/Exploration </t>
  </si>
  <si>
    <t xml:space="preserve">Producer/Developer Hybrid </t>
  </si>
  <si>
    <t>Producer</t>
  </si>
  <si>
    <t>Royalty / Streamer</t>
  </si>
  <si>
    <t>Developer / Explorer</t>
  </si>
  <si>
    <t>Explorer / Developer</t>
  </si>
  <si>
    <t>Explorer</t>
  </si>
  <si>
    <t>Producer / Developer</t>
  </si>
  <si>
    <t>Producer / Private-like security</t>
  </si>
  <si>
    <t>Developer / Emerging Producer</t>
  </si>
  <si>
    <t>Unclear</t>
  </si>
  <si>
    <t>Royalty / Exploration Holding Co.</t>
  </si>
  <si>
    <t>Developer / Restart</t>
  </si>
  <si>
    <t>targeting higher production?</t>
  </si>
  <si>
    <t>x</t>
  </si>
  <si>
    <t>awaiting bankability feasibility study due in fall.. Main asset: Donlin Gold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</si>
</sst>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8" formatCode="&quot;$&quot;#,##0.00_);[Red]\(&quot;$&quot;#,##0.00\)"/>
    <numFmt numFmtId="43" formatCode="_(* #,##0.00_);_(* \(#,##0.00\);_(* &quot;-&quot;??_);_(@_)"/>
    <numFmt numFmtId="164" formatCode="&quot;$&quot;#,##0.00"/>
    <numFmt numFmtId="165" formatCode="0.0\x"/>
    <numFmt numFmtId="166" formatCode="0.00\x"/>
    <numFmt numFmtId="167" formatCode="_(* #,##0_);_(* \(#,##0\);_(* &quot;-&quot;??_);_(@_)"/>
  </numFmts>
  <fonts count="7">
    <font>
      <sz val="10"/>
      <color theme="1"/>
      <name val="ArialMT"/>
      <family val="2"/>
    </font>
    <font>
      <sz val="10"/>
      <color theme="1"/>
      <name val="Arial"/>
      <family val="2"/>
    </font>
    <font>
      <u/>
      <sz val="10"/>
      <color theme="10"/>
      <name val="ArialMT"/>
      <family val="2"/>
    </font>
    <font>
      <u/>
      <sz val="10"/>
      <color theme="10"/>
      <name val="Arial"/>
      <family val="2"/>
    </font>
    <font>
      <sz val="10"/>
      <color theme="1"/>
      <name val="ArialMT"/>
      <family val="2"/>
    </font>
    <font>
      <sz val="10"/>
      <name val="Arial"/>
      <family val="2"/>
    </font>
    <font>
      <sz val="10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43" fontId="4" fillId="0" borderId="0" applyFont="0" applyFill="0" applyBorder="0" applyAlignment="0" applyProtection="0"/>
  </cellStyleXfs>
  <cellXfs count="28">
    <xf numFmtId="0" fontId="0" fillId="0" borderId="0" xfId="0"/>
    <xf numFmtId="0" fontId="1" fillId="0" borderId="0" xfId="0" applyFont="1"/>
    <xf numFmtId="3" fontId="1" fillId="0" borderId="0" xfId="0" applyNumberFormat="1" applyFont="1" applyAlignment="1">
      <alignment horizontal="left"/>
    </xf>
    <xf numFmtId="3" fontId="3" fillId="0" borderId="0" xfId="1" applyNumberFormat="1" applyFont="1" applyAlignment="1">
      <alignment horizontal="left"/>
    </xf>
    <xf numFmtId="3" fontId="2" fillId="0" borderId="0" xfId="1" applyNumberFormat="1" applyAlignment="1">
      <alignment horizontal="left"/>
    </xf>
    <xf numFmtId="9" fontId="1" fillId="0" borderId="0" xfId="0" applyNumberFormat="1" applyFont="1"/>
    <xf numFmtId="3" fontId="1" fillId="0" borderId="0" xfId="0" applyNumberFormat="1" applyFont="1"/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8" fontId="0" fillId="0" borderId="0" xfId="0" applyNumberFormat="1"/>
    <xf numFmtId="4" fontId="1" fillId="0" borderId="0" xfId="0" applyNumberFormat="1" applyFont="1"/>
    <xf numFmtId="167" fontId="1" fillId="0" borderId="0" xfId="2" applyNumberFormat="1" applyFont="1"/>
    <xf numFmtId="166" fontId="5" fillId="0" borderId="0" xfId="0" applyNumberFormat="1" applyFont="1" applyAlignment="1">
      <alignment horizontal="center"/>
    </xf>
    <xf numFmtId="0" fontId="1" fillId="2" borderId="0" xfId="0" applyFont="1" applyFill="1"/>
    <xf numFmtId="3" fontId="1" fillId="2" borderId="0" xfId="0" applyNumberFormat="1" applyFont="1" applyFill="1" applyAlignment="1">
      <alignment horizontal="left"/>
    </xf>
    <xf numFmtId="0" fontId="1" fillId="2" borderId="0" xfId="0" applyFont="1" applyFill="1" applyAlignment="1">
      <alignment horizontal="center"/>
    </xf>
    <xf numFmtId="3" fontId="1" fillId="2" borderId="0" xfId="0" applyNumberFormat="1" applyFont="1" applyFill="1" applyAlignment="1">
      <alignment horizontal="center"/>
    </xf>
    <xf numFmtId="166" fontId="5" fillId="2" borderId="0" xfId="0" applyNumberFormat="1" applyFont="1" applyFill="1" applyAlignment="1">
      <alignment horizontal="center"/>
    </xf>
    <xf numFmtId="9" fontId="1" fillId="2" borderId="0" xfId="0" applyNumberFormat="1" applyFont="1" applyFill="1"/>
    <xf numFmtId="3" fontId="6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/>
    </xf>
    <xf numFmtId="4" fontId="6" fillId="0" borderId="0" xfId="0" applyNumberFormat="1" applyFont="1" applyAlignment="1">
      <alignment horizontal="center"/>
    </xf>
    <xf numFmtId="0" fontId="6" fillId="0" borderId="0" xfId="0" applyFont="1"/>
    <xf numFmtId="9" fontId="6" fillId="0" borderId="0" xfId="0" applyNumberFormat="1" applyFont="1"/>
  </cellXfs>
  <cellStyles count="3">
    <cellStyle name="Comma" xfId="2" builtinId="3"/>
    <cellStyle name="Hyperlink" xfId="1" builtinId="8"/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ownloads/Gold_fixed.xlsx" TargetMode="External"/><Relationship Id="rId2" Type="http://schemas.openxmlformats.org/officeDocument/2006/relationships/externalLinkPath" Target="/Users/jameelbrannon/Downloads/Gold_fixed.xlsx" TargetMode="External"/><Relationship Id="rId1" Type="http://schemas.openxmlformats.org/officeDocument/2006/relationships/externalLinkPath" Target="/Users/jameelbrannon/Downloads/Gold_fix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  <sheetName val="Sheet2"/>
    </sheetNames>
    <sheetDataSet>
      <sheetData sheetId="0">
        <row r="2">
          <cell r="B2" t="str">
            <v xml:space="preserve">Company </v>
          </cell>
          <cell r="C2" t="str">
            <v>Ticker</v>
          </cell>
          <cell r="R2" t="str">
            <v xml:space="preserve">Tier </v>
          </cell>
        </row>
        <row r="3">
          <cell r="B3" t="str">
            <v>Newmont Corp</v>
          </cell>
          <cell r="C3" t="str">
            <v xml:space="preserve">NEM US </v>
          </cell>
          <cell r="R3" t="str">
            <v>Tier 1</v>
          </cell>
        </row>
        <row r="4">
          <cell r="B4" t="str">
            <v>Royal Gold, Inc</v>
          </cell>
          <cell r="C4" t="str">
            <v xml:space="preserve">RGLD US </v>
          </cell>
          <cell r="R4" t="str">
            <v>Tier 1</v>
          </cell>
        </row>
        <row r="5">
          <cell r="B5" t="str">
            <v>Coeur Mining Inc</v>
          </cell>
          <cell r="C5" t="str">
            <v xml:space="preserve">CDE US </v>
          </cell>
          <cell r="R5" t="str">
            <v>Tier 2</v>
          </cell>
        </row>
        <row r="6">
          <cell r="B6" t="str">
            <v>SSR Mining Inc</v>
          </cell>
          <cell r="C6" t="str">
            <v>SSRM US</v>
          </cell>
          <cell r="R6" t="str">
            <v>Tier 2</v>
          </cell>
        </row>
        <row r="7">
          <cell r="B7" t="str">
            <v>Novagold Resources Inc</v>
          </cell>
          <cell r="C7" t="str">
            <v>NG US</v>
          </cell>
          <cell r="R7" t="str">
            <v>Tier 1</v>
          </cell>
        </row>
        <row r="8">
          <cell r="B8" t="str">
            <v>i-80 Gold Corp</v>
          </cell>
          <cell r="C8" t="str">
            <v>IAUX US</v>
          </cell>
          <cell r="R8" t="str">
            <v>Tier 2</v>
          </cell>
        </row>
        <row r="9">
          <cell r="B9" t="str">
            <v>Dakota Gold Corp</v>
          </cell>
          <cell r="C9" t="str">
            <v>DC US</v>
          </cell>
          <cell r="R9" t="str">
            <v>Tier 2</v>
          </cell>
        </row>
        <row r="10">
          <cell r="B10" t="str">
            <v>Idaho Strategic Resources Inc</v>
          </cell>
          <cell r="C10" t="str">
            <v>IDR US</v>
          </cell>
          <cell r="R10" t="str">
            <v>Tier 2</v>
          </cell>
        </row>
        <row r="11">
          <cell r="B11" t="str">
            <v>Contango Ore Inc</v>
          </cell>
          <cell r="C11" t="str">
            <v>CTGO US</v>
          </cell>
          <cell r="R11" t="str">
            <v>Tier 2</v>
          </cell>
        </row>
        <row r="12">
          <cell r="B12" t="str">
            <v>U.S. Gold Corp</v>
          </cell>
          <cell r="C12" t="str">
            <v>USAU US</v>
          </cell>
          <cell r="R12" t="str">
            <v>Tier 2</v>
          </cell>
        </row>
        <row r="13">
          <cell r="B13" t="str">
            <v>Vista Gold Corp</v>
          </cell>
          <cell r="C13" t="str">
            <v>VGZ US</v>
          </cell>
          <cell r="R13" t="str">
            <v>Tier 2</v>
          </cell>
        </row>
        <row r="14">
          <cell r="B14" t="str">
            <v>Hycroft Mining Holding Corporation</v>
          </cell>
          <cell r="C14" t="str">
            <v>HYMC US</v>
          </cell>
          <cell r="R14" t="str">
            <v>Tier 3</v>
          </cell>
        </row>
        <row r="15">
          <cell r="B15" t="str">
            <v>Paramount Gold Nevada Corp</v>
          </cell>
          <cell r="C15" t="str">
            <v>PZG US</v>
          </cell>
          <cell r="R15" t="str">
            <v>Tier 3</v>
          </cell>
        </row>
        <row r="16">
          <cell r="B16" t="str">
            <v>Goldgroup Mining Inc</v>
          </cell>
          <cell r="C16" t="str">
            <v>GORO US</v>
          </cell>
          <cell r="R16" t="str">
            <v>Tier 3</v>
          </cell>
        </row>
        <row r="17">
          <cell r="B17" t="str">
            <v>Elemental Royalty Corp</v>
          </cell>
          <cell r="C17" t="str">
            <v>ELE US</v>
          </cell>
          <cell r="R17" t="str">
            <v>Tier 2</v>
          </cell>
        </row>
        <row r="18">
          <cell r="B18" t="str">
            <v>Collective Mining Ltd</v>
          </cell>
          <cell r="C18" t="str">
            <v>CNL US</v>
          </cell>
          <cell r="R18" t="str">
            <v>Tier 1</v>
          </cell>
        </row>
        <row r="19">
          <cell r="B19" t="str">
            <v>Aura Minerals Inc</v>
          </cell>
          <cell r="C19" t="str">
            <v>AUGO US</v>
          </cell>
          <cell r="R19" t="str">
            <v>Tier 1</v>
          </cell>
        </row>
        <row r="20">
          <cell r="B20" t="str">
            <v>AngloGold Ashanti Plc</v>
          </cell>
          <cell r="C20" t="str">
            <v>AU US</v>
          </cell>
          <cell r="R20" t="str">
            <v>Tier 1</v>
          </cell>
        </row>
        <row r="21">
          <cell r="B21" t="str">
            <v>Caledonia Mining Corp Plc</v>
          </cell>
          <cell r="C21" t="str">
            <v>CMCL UK</v>
          </cell>
          <cell r="R21" t="str">
            <v>Tier 2</v>
          </cell>
        </row>
        <row r="22">
          <cell r="B22" t="str">
            <v>Harmony Gold Mining Co Ltd ADR</v>
          </cell>
          <cell r="C22" t="str">
            <v>HMY ZA</v>
          </cell>
          <cell r="R22" t="str">
            <v>Tier 1</v>
          </cell>
        </row>
        <row r="23">
          <cell r="B23" t="str">
            <v>Gold Fields Ltd ADR</v>
          </cell>
          <cell r="C23" t="str">
            <v>GFI ZA</v>
          </cell>
          <cell r="R23" t="str">
            <v>Tier 1</v>
          </cell>
        </row>
        <row r="24">
          <cell r="B24" t="str">
            <v>DRDGold Ltd ADR</v>
          </cell>
          <cell r="C24" t="str">
            <v>DRD ZA</v>
          </cell>
          <cell r="R24" t="str">
            <v>Tier 2</v>
          </cell>
        </row>
        <row r="25">
          <cell r="B25" t="str">
            <v>Namib Minerals</v>
          </cell>
          <cell r="C25" t="str">
            <v>NAMM KY</v>
          </cell>
          <cell r="R25" t="str">
            <v>Tier 3</v>
          </cell>
        </row>
        <row r="26">
          <cell r="B26" t="str">
            <v>Blue Gold Ltd</v>
          </cell>
          <cell r="C26" t="str">
            <v>BGL KY</v>
          </cell>
          <cell r="R26" t="str">
            <v>Tier 3</v>
          </cell>
        </row>
        <row r="27">
          <cell r="B27" t="str">
            <v>Wheaton Precious Metals Corp</v>
          </cell>
          <cell r="C27" t="str">
            <v>WPM CA</v>
          </cell>
          <cell r="R27" t="str">
            <v>Tier 1</v>
          </cell>
        </row>
        <row r="28">
          <cell r="B28" t="str">
            <v>TRX Gold Corp</v>
          </cell>
          <cell r="C28" t="str">
            <v>TRX CA</v>
          </cell>
          <cell r="R28" t="str">
            <v>Tier 3</v>
          </cell>
        </row>
        <row r="29">
          <cell r="B29" t="str">
            <v>International Tower Hill Mines Ltd</v>
          </cell>
          <cell r="C29" t="str">
            <v>THM CA</v>
          </cell>
          <cell r="R29" t="str">
            <v>Tier 2</v>
          </cell>
        </row>
        <row r="30">
          <cell r="B30" t="str">
            <v>Scorpio Gold Corp ADR</v>
          </cell>
          <cell r="C30" t="str">
            <v>SGLD CA</v>
          </cell>
          <cell r="R30" t="str">
            <v>Tier 3</v>
          </cell>
        </row>
        <row r="31">
          <cell r="B31" t="str">
            <v>Seabridge Gold Inc</v>
          </cell>
          <cell r="C31" t="str">
            <v>SA CA</v>
          </cell>
          <cell r="R31" t="str">
            <v>Tier 1</v>
          </cell>
        </row>
        <row r="32">
          <cell r="B32" t="str">
            <v>Pan American Silver Corp</v>
          </cell>
          <cell r="C32" t="str">
            <v>PAAS CA</v>
          </cell>
          <cell r="R32" t="str">
            <v>Tier 1</v>
          </cell>
        </row>
        <row r="33">
          <cell r="B33" t="str">
            <v>OR Royalties Inc</v>
          </cell>
          <cell r="C33" t="str">
            <v>OR CA</v>
          </cell>
          <cell r="R33" t="str">
            <v>Tier 1</v>
          </cell>
        </row>
        <row r="34">
          <cell r="B34" t="str">
            <v>Osisko Gold Group Inc</v>
          </cell>
          <cell r="C34" t="str">
            <v>OGG CA</v>
          </cell>
          <cell r="R34" t="str">
            <v>Tier 2</v>
          </cell>
        </row>
        <row r="35">
          <cell r="B35" t="str">
            <v>OceanaGold Corp</v>
          </cell>
          <cell r="C35" t="str">
            <v>OGC CA</v>
          </cell>
          <cell r="R35" t="str">
            <v>Tier 1</v>
          </cell>
        </row>
        <row r="36">
          <cell r="B36" t="str">
            <v>New Found Gold Corp</v>
          </cell>
          <cell r="C36" t="str">
            <v>NFGC CA</v>
          </cell>
          <cell r="R36" t="str">
            <v>Tier 1</v>
          </cell>
        </row>
        <row r="37">
          <cell r="B37" t="str">
            <v>Mayfair Gold Corp</v>
          </cell>
          <cell r="C37" t="str">
            <v>MINE CA</v>
          </cell>
          <cell r="R37" t="str">
            <v>Tier 3</v>
          </cell>
        </row>
        <row r="38">
          <cell r="B38" t="str">
            <v>Mako Mining Corp</v>
          </cell>
          <cell r="C38" t="str">
            <v>MAKO CA</v>
          </cell>
          <cell r="R38" t="str">
            <v>Tier 2</v>
          </cell>
        </row>
        <row r="39">
          <cell r="B39" t="str">
            <v>Kinross Gold Corp</v>
          </cell>
          <cell r="C39" t="str">
            <v>KGC CA</v>
          </cell>
          <cell r="R39" t="str">
            <v>Tier 1</v>
          </cell>
        </row>
        <row r="40">
          <cell r="B40" t="str">
            <v>Iamgold Corp</v>
          </cell>
          <cell r="C40" t="str">
            <v>IAG CA</v>
          </cell>
          <cell r="R40" t="str">
            <v>Tier 1</v>
          </cell>
        </row>
        <row r="41">
          <cell r="B41" t="str">
            <v>Gold Royalty Corp</v>
          </cell>
          <cell r="C41" t="str">
            <v>GROY CA</v>
          </cell>
          <cell r="R41" t="str">
            <v>Tier 2</v>
          </cell>
        </row>
        <row r="42">
          <cell r="B42" t="str">
            <v>Goldgroup Mining Inc</v>
          </cell>
          <cell r="C42" t="str">
            <v>GORO CA</v>
          </cell>
          <cell r="R42" t="str">
            <v>Tier 3</v>
          </cell>
        </row>
        <row r="43">
          <cell r="B43" t="str">
            <v>GoldMining Inc</v>
          </cell>
          <cell r="C43" t="str">
            <v>GLDG CA</v>
          </cell>
          <cell r="R43" t="str">
            <v>Tier 2</v>
          </cell>
        </row>
        <row r="44">
          <cell r="B44" t="str">
            <v>Galiano Gold Inc</v>
          </cell>
          <cell r="C44" t="str">
            <v>GAU CA</v>
          </cell>
          <cell r="R44" t="str">
            <v>Tier 2</v>
          </cell>
        </row>
        <row r="45">
          <cell r="B45" t="str">
            <v>Fury Gold Mines Ltd</v>
          </cell>
          <cell r="C45" t="str">
            <v>FURY CA</v>
          </cell>
          <cell r="R45" t="str">
            <v>Tier 2</v>
          </cell>
        </row>
        <row r="46">
          <cell r="B46" t="str">
            <v>Fortuna Mining Corp</v>
          </cell>
          <cell r="C46" t="str">
            <v>FSM CA</v>
          </cell>
          <cell r="R46" t="str">
            <v>Tier 1</v>
          </cell>
        </row>
        <row r="47">
          <cell r="B47" t="str">
            <v>Franco-Nevada Corp</v>
          </cell>
          <cell r="C47" t="str">
            <v>FNV CA</v>
          </cell>
          <cell r="R47" t="str">
            <v>Tier 1</v>
          </cell>
        </row>
        <row r="48">
          <cell r="B48" t="str">
            <v>Equinox Gold Corp</v>
          </cell>
          <cell r="C48" t="str">
            <v>EQX CA</v>
          </cell>
          <cell r="R48" t="str">
            <v>Tier 1</v>
          </cell>
        </row>
        <row r="49">
          <cell r="B49" t="str">
            <v>Eldorado Gold Corp</v>
          </cell>
          <cell r="C49" t="str">
            <v>EGO CA</v>
          </cell>
          <cell r="R49" t="str">
            <v>Tier 1</v>
          </cell>
        </row>
        <row r="50">
          <cell r="B50" t="str">
            <v>Centerra Gold Inc</v>
          </cell>
          <cell r="C50" t="str">
            <v>CGAU CA</v>
          </cell>
          <cell r="R50" t="str">
            <v>Tier 1</v>
          </cell>
        </row>
        <row r="51">
          <cell r="B51" t="str">
            <v>B2Gold Corp</v>
          </cell>
          <cell r="C51" t="str">
            <v>BTG CA</v>
          </cell>
          <cell r="R51" t="str">
            <v>Tier 1</v>
          </cell>
        </row>
        <row r="52">
          <cell r="B52" t="str">
            <v>Barrick Mining Corp</v>
          </cell>
          <cell r="C52" t="str">
            <v>B CA</v>
          </cell>
          <cell r="R52" t="str">
            <v>Tier 1</v>
          </cell>
        </row>
        <row r="53">
          <cell r="B53" t="str">
            <v>Gold X2 Mining Inc</v>
          </cell>
          <cell r="C53" t="str">
            <v>AUXX CA</v>
          </cell>
          <cell r="R53" t="str">
            <v>Tier 2</v>
          </cell>
        </row>
        <row r="54">
          <cell r="B54" t="str">
            <v>Austin Gold Corp</v>
          </cell>
          <cell r="C54" t="str">
            <v>AUST CA</v>
          </cell>
          <cell r="R54" t="str">
            <v>Tier 3</v>
          </cell>
        </row>
        <row r="55">
          <cell r="B55" t="str">
            <v>Aris Mining Corp</v>
          </cell>
          <cell r="C55" t="str">
            <v>ARIS CA</v>
          </cell>
          <cell r="R55" t="str">
            <v>Tier 1</v>
          </cell>
        </row>
        <row r="56">
          <cell r="B56" t="str">
            <v>Alamos Gold Inc</v>
          </cell>
          <cell r="C56" t="str">
            <v>AGI CA</v>
          </cell>
          <cell r="R56" t="str">
            <v>Tier 1</v>
          </cell>
        </row>
        <row r="57">
          <cell r="B57" t="str">
            <v>Agnico Eagle Mines Ltd</v>
          </cell>
          <cell r="C57" t="str">
            <v>AEM CA</v>
          </cell>
          <cell r="R57" t="str">
            <v>Tier 1</v>
          </cell>
        </row>
        <row r="58">
          <cell r="B58" t="str">
            <v>Allied Gold Corp</v>
          </cell>
          <cell r="C58" t="str">
            <v>AAUC CA</v>
          </cell>
          <cell r="R58" t="str">
            <v>Tier 1</v>
          </cell>
        </row>
        <row r="59">
          <cell r="B59" t="str">
            <v>G Mining Ventures Corp.</v>
          </cell>
          <cell r="C59" t="str">
            <v>GMIN CN</v>
          </cell>
          <cell r="R59" t="str">
            <v>Tier 1</v>
          </cell>
        </row>
        <row r="60">
          <cell r="B60" t="str">
            <v>San Cristobal Mining, Inc.</v>
          </cell>
          <cell r="C60" t="str">
            <v>SCMIF_U</v>
          </cell>
          <cell r="R60" t="str">
            <v>Tier 1</v>
          </cell>
        </row>
        <row r="61">
          <cell r="B61" t="str">
            <v>Predictive Discovery Ltd</v>
          </cell>
          <cell r="C61" t="str">
            <v>PDIDB AU</v>
          </cell>
          <cell r="R61" t="str">
            <v>Tier 1</v>
          </cell>
        </row>
        <row r="62">
          <cell r="B62" t="str">
            <v>Hemlo Mining Corp.</v>
          </cell>
          <cell r="C62" t="str">
            <v>HMMC CN</v>
          </cell>
          <cell r="R62" t="str">
            <v>Tier 1</v>
          </cell>
        </row>
        <row r="63">
          <cell r="B63" t="str">
            <v>Predictive Discovery, Ltd.</v>
          </cell>
          <cell r="C63" t="str">
            <v>PDI CN</v>
          </cell>
          <cell r="R63" t="str">
            <v>Tier 1</v>
          </cell>
        </row>
        <row r="64">
          <cell r="B64" t="str">
            <v>Thesis Gold &amp; Silver, Inc.</v>
          </cell>
          <cell r="C64" t="str">
            <v>TAU CN</v>
          </cell>
          <cell r="R64" t="str">
            <v>Tier 1</v>
          </cell>
        </row>
        <row r="65">
          <cell r="B65" t="str">
            <v>Metalla Royalty &amp; Streaming, Ltd.</v>
          </cell>
          <cell r="C65" t="str">
            <v>MTA</v>
          </cell>
          <cell r="R65" t="str">
            <v>Tier 1</v>
          </cell>
        </row>
        <row r="66">
          <cell r="B66" t="str">
            <v>Cadillac Mines Corp</v>
          </cell>
          <cell r="C66" t="str">
            <v>CADY CN</v>
          </cell>
          <cell r="R66" t="str">
            <v>Tier 1</v>
          </cell>
        </row>
        <row r="67">
          <cell r="B67" t="str">
            <v>Atex Resources, Inc.</v>
          </cell>
          <cell r="C67" t="str">
            <v>ATX CN</v>
          </cell>
          <cell r="R67" t="str">
            <v>Tier 1</v>
          </cell>
        </row>
        <row r="68">
          <cell r="B68" t="str">
            <v>GoGold Resources, Inc.</v>
          </cell>
          <cell r="C68" t="str">
            <v>GGD CN</v>
          </cell>
          <cell r="R68" t="str">
            <v>Tier 1</v>
          </cell>
        </row>
        <row r="69">
          <cell r="B69" t="str">
            <v>Tolu Minerals, Ltd.</v>
          </cell>
          <cell r="C69" t="str">
            <v>TOK AU</v>
          </cell>
          <cell r="R69" t="str">
            <v>Tier 1</v>
          </cell>
        </row>
        <row r="70">
          <cell r="B70" t="str">
            <v>Mining Americas, Inc.</v>
          </cell>
          <cell r="C70" t="str">
            <v>MAI CN</v>
          </cell>
          <cell r="R70" t="str">
            <v>Tier 1</v>
          </cell>
        </row>
        <row r="71">
          <cell r="B71" t="str">
            <v>Blossom Gold, Inc.</v>
          </cell>
          <cell r="C71" t="str">
            <v>BGAU CN</v>
          </cell>
          <cell r="R71" t="str">
            <v>Tier 1</v>
          </cell>
        </row>
        <row r="72">
          <cell r="B72" t="str">
            <v>Torex Gold Resources, Inc.</v>
          </cell>
          <cell r="C72" t="str">
            <v>TXG CN</v>
          </cell>
          <cell r="R72" t="str">
            <v>Tier 1</v>
          </cell>
        </row>
        <row r="73">
          <cell r="B73" t="str">
            <v>Andean Silver, Ltd.</v>
          </cell>
          <cell r="C73" t="str">
            <v>ASL AU</v>
          </cell>
          <cell r="R73" t="str">
            <v>Tier 1</v>
          </cell>
        </row>
        <row r="74">
          <cell r="B74" t="str">
            <v>Discovery Mining, Ltd.</v>
          </cell>
          <cell r="C74" t="str">
            <v>DSV CN</v>
          </cell>
          <cell r="R74" t="str">
            <v>Tier 1</v>
          </cell>
        </row>
        <row r="75">
          <cell r="B75" t="str">
            <v>Silver Tiger Metals, Inc.</v>
          </cell>
          <cell r="C75" t="str">
            <v>SLVR CN</v>
          </cell>
          <cell r="R75" t="str">
            <v>Tier 1</v>
          </cell>
        </row>
        <row r="76">
          <cell r="B76" t="str">
            <v>Tectonic Metals Inc</v>
          </cell>
          <cell r="C76" t="str">
            <v>TECT CN</v>
          </cell>
          <cell r="R76" t="str">
            <v>Tier 1</v>
          </cell>
        </row>
        <row r="77">
          <cell r="B77" t="str">
            <v>Roxmore Resources, Inc.</v>
          </cell>
          <cell r="C77" t="str">
            <v>RM CN</v>
          </cell>
          <cell r="R77" t="str">
            <v>Tier 1</v>
          </cell>
        </row>
        <row r="78">
          <cell r="B78" t="str">
            <v>Lahontan Gold Corp.</v>
          </cell>
          <cell r="C78" t="str">
            <v>LG CN</v>
          </cell>
          <cell r="R78" t="str">
            <v>Tier 1</v>
          </cell>
        </row>
        <row r="79">
          <cell r="B79" t="str">
            <v>Midas Minerals, Ltd.</v>
          </cell>
          <cell r="C79" t="str">
            <v>MM1 AU</v>
          </cell>
          <cell r="R79" t="str">
            <v>Tier 1</v>
          </cell>
        </row>
        <row r="80">
          <cell r="B80" t="str">
            <v>Liberty Gold Corp.</v>
          </cell>
          <cell r="C80" t="str">
            <v>LGD CN</v>
          </cell>
          <cell r="R80" t="str">
            <v>Tier 1</v>
          </cell>
        </row>
        <row r="81">
          <cell r="B81" t="str">
            <v>Versamet Royalties Corp.</v>
          </cell>
          <cell r="C81" t="str">
            <v>VMET CN</v>
          </cell>
          <cell r="R81" t="str">
            <v>Tier 2</v>
          </cell>
        </row>
        <row r="82">
          <cell r="B82" t="str">
            <v>Barton Gold Holdings, Ltd.</v>
          </cell>
          <cell r="C82" t="str">
            <v>BGD AU</v>
          </cell>
          <cell r="R82" t="str">
            <v>Tier 2</v>
          </cell>
        </row>
        <row r="83">
          <cell r="B83" t="str">
            <v>Sinclair Gold, Ltd.</v>
          </cell>
          <cell r="C83" t="str">
            <v>SGC AU</v>
          </cell>
          <cell r="R83" t="str">
            <v>Tier 2</v>
          </cell>
        </row>
        <row r="84">
          <cell r="B84" t="str">
            <v>Talamore Mining Corp.</v>
          </cell>
          <cell r="C84" t="str">
            <v>TALA CN</v>
          </cell>
          <cell r="R84" t="str">
            <v>Tier 2</v>
          </cell>
        </row>
        <row r="85">
          <cell r="B85" t="str">
            <v>Andean Precious Metals Corp.</v>
          </cell>
          <cell r="C85" t="str">
            <v>APM CN</v>
          </cell>
          <cell r="R85" t="str">
            <v>Tier 2</v>
          </cell>
        </row>
        <row r="86">
          <cell r="B86" t="str">
            <v>Cygnus Metals, Ltd.</v>
          </cell>
          <cell r="C86" t="str">
            <v>CY5 AU</v>
          </cell>
          <cell r="R86" t="str">
            <v>Tier 2</v>
          </cell>
        </row>
        <row r="87">
          <cell r="B87" t="str">
            <v>Cayenne Copper, Ltd.</v>
          </cell>
          <cell r="C87" t="str">
            <v>CAYCOPP</v>
          </cell>
          <cell r="R87" t="str">
            <v>Tier 2</v>
          </cell>
        </row>
        <row r="88">
          <cell r="B88" t="str">
            <v>Guanajuato Silver Co., Ltd.</v>
          </cell>
          <cell r="C88" t="str">
            <v>GSVR CN</v>
          </cell>
          <cell r="R88" t="str">
            <v>Tier 2</v>
          </cell>
        </row>
        <row r="89">
          <cell r="B89" t="str">
            <v>Silver Mountain Resources, Inc.</v>
          </cell>
          <cell r="C89" t="str">
            <v>AGMR CN</v>
          </cell>
          <cell r="R89" t="str">
            <v>Tier 2</v>
          </cell>
        </row>
        <row r="90">
          <cell r="B90" t="str">
            <v>FireFly Metals, Ltd.</v>
          </cell>
          <cell r="C90" t="str">
            <v>FFM AU</v>
          </cell>
          <cell r="R90" t="str">
            <v>Tier 2</v>
          </cell>
        </row>
        <row r="91">
          <cell r="B91" t="str">
            <v>Getty Copper, Inc.</v>
          </cell>
          <cell r="C91" t="str">
            <v>GTC CN</v>
          </cell>
          <cell r="R91" t="str">
            <v>Tier 2</v>
          </cell>
        </row>
        <row r="92">
          <cell r="B92" t="str">
            <v>RPX Gold, Inc.</v>
          </cell>
          <cell r="C92" t="str">
            <v>RPX CN</v>
          </cell>
          <cell r="R92" t="str">
            <v>Tier 2</v>
          </cell>
        </row>
        <row r="93">
          <cell r="B93" t="str">
            <v>Southwest Critical Materials</v>
          </cell>
          <cell r="C93" t="str">
            <v>SWCTEMPB</v>
          </cell>
          <cell r="R93" t="str">
            <v>Tier 2</v>
          </cell>
        </row>
        <row r="94">
          <cell r="B94" t="str">
            <v>Integra Resources Corp.</v>
          </cell>
          <cell r="C94" t="str">
            <v>ITRG</v>
          </cell>
          <cell r="R94" t="str">
            <v>Tier 2</v>
          </cell>
        </row>
        <row r="95">
          <cell r="B95" t="str">
            <v>Evolve Royalties, Ltd.</v>
          </cell>
          <cell r="C95" t="str">
            <v>EVR CN</v>
          </cell>
          <cell r="R95" t="str">
            <v>Tier 2</v>
          </cell>
        </row>
        <row r="96">
          <cell r="B96" t="str">
            <v>Pecoy Copper Corp.</v>
          </cell>
          <cell r="C96" t="str">
            <v>PCU CN</v>
          </cell>
          <cell r="R96" t="str">
            <v>Tier 2</v>
          </cell>
        </row>
        <row r="97">
          <cell r="B97" t="str">
            <v>TDG Gold Corp.</v>
          </cell>
          <cell r="C97" t="str">
            <v>TDG CN</v>
          </cell>
          <cell r="R97" t="str">
            <v>Tier 2</v>
          </cell>
        </row>
        <row r="98">
          <cell r="B98" t="str">
            <v>Q-Gold Resources, Ltd.</v>
          </cell>
          <cell r="C98" t="str">
            <v>QGR CN</v>
          </cell>
          <cell r="R98" t="str">
            <v>Tier 2</v>
          </cell>
        </row>
        <row r="99">
          <cell r="B99" t="str">
            <v>Ridgeline Minerals Corp.</v>
          </cell>
          <cell r="C99" t="str">
            <v>RDG CN</v>
          </cell>
          <cell r="R99" t="str">
            <v>Tier 2</v>
          </cell>
        </row>
        <row r="100">
          <cell r="B100" t="str">
            <v>Americas Gold &amp; Silver Corp.</v>
          </cell>
          <cell r="C100" t="str">
            <v>USAS</v>
          </cell>
          <cell r="R100" t="str">
            <v>Tier 1</v>
          </cell>
        </row>
        <row r="101">
          <cell r="B101" t="str">
            <v>Delta Lithium, Ltd.</v>
          </cell>
          <cell r="C101" t="str">
            <v>DLI AU</v>
          </cell>
          <cell r="R101" t="str">
            <v>Tier 2</v>
          </cell>
        </row>
        <row r="102">
          <cell r="B102" t="str">
            <v>South Pacific Metals Corp.</v>
          </cell>
          <cell r="C102" t="str">
            <v>SPMC CN</v>
          </cell>
          <cell r="R102" t="str">
            <v>Tier 2</v>
          </cell>
        </row>
        <row r="103">
          <cell r="B103" t="str">
            <v>Genesis Minerals, Ltd.</v>
          </cell>
          <cell r="C103" t="str">
            <v>GMD AU</v>
          </cell>
          <cell r="R103" t="str">
            <v>Tier 2</v>
          </cell>
        </row>
        <row r="104">
          <cell r="B104" t="str">
            <v>Newcore Gold, Ltd.</v>
          </cell>
          <cell r="C104" t="str">
            <v>NCAU CN</v>
          </cell>
          <cell r="R104" t="str">
            <v>Tier 3</v>
          </cell>
        </row>
        <row r="105">
          <cell r="B105" t="str">
            <v>Bellavista Resources, Ltd.</v>
          </cell>
          <cell r="C105" t="str">
            <v>BVR AU</v>
          </cell>
          <cell r="R105" t="str">
            <v>Tier 3</v>
          </cell>
        </row>
        <row r="106">
          <cell r="B106" t="str">
            <v>Talisker Resources, Ltd.</v>
          </cell>
          <cell r="C106" t="str">
            <v>TSK CN</v>
          </cell>
          <cell r="R106" t="str">
            <v>Tier 3</v>
          </cell>
        </row>
        <row r="107">
          <cell r="B107" t="str">
            <v>Ongwe Minerals, Inc.</v>
          </cell>
          <cell r="C107" t="str">
            <v>OGW CN</v>
          </cell>
          <cell r="R107" t="str">
            <v>Tier 3</v>
          </cell>
        </row>
        <row r="108">
          <cell r="B108" t="str">
            <v>Geopacific Resources, Ltd.</v>
          </cell>
          <cell r="C108" t="str">
            <v>GPR AU</v>
          </cell>
          <cell r="R108" t="str">
            <v>Tier 3</v>
          </cell>
        </row>
        <row r="109">
          <cell r="B109" t="str">
            <v>Lithium Africa Corp.</v>
          </cell>
          <cell r="C109" t="str">
            <v>LAF CN</v>
          </cell>
          <cell r="R109" t="str">
            <v>Tier 3</v>
          </cell>
        </row>
        <row r="110">
          <cell r="B110" t="str">
            <v>Tier One Silver, Inc.</v>
          </cell>
          <cell r="C110" t="str">
            <v>TSLV CN</v>
          </cell>
          <cell r="R110" t="str">
            <v>Tier 3</v>
          </cell>
        </row>
        <row r="111">
          <cell r="B111" t="str">
            <v>STLLR Gold, Inc.</v>
          </cell>
          <cell r="C111" t="str">
            <v>STLR CN</v>
          </cell>
          <cell r="R111" t="str">
            <v>Tier 3</v>
          </cell>
        </row>
        <row r="112">
          <cell r="B112" t="str">
            <v>Nexus Minerals, Ltd.</v>
          </cell>
          <cell r="C112" t="str">
            <v>NXM AU</v>
          </cell>
          <cell r="R112" t="str">
            <v>Tier 3</v>
          </cell>
        </row>
        <row r="113">
          <cell r="B113" t="str">
            <v>Westhaven Gold Corp.</v>
          </cell>
          <cell r="C113" t="str">
            <v>WHN CN</v>
          </cell>
          <cell r="R113" t="str">
            <v>Tier 3</v>
          </cell>
        </row>
        <row r="114">
          <cell r="B114" t="str">
            <v>Cartier Resources, Inc.</v>
          </cell>
          <cell r="C114" t="str">
            <v>ECR CN_U</v>
          </cell>
          <cell r="R114" t="str">
            <v>Tier 3</v>
          </cell>
        </row>
        <row r="115">
          <cell r="B115" t="str">
            <v>Gorilla Gold Mines, Ltd.</v>
          </cell>
          <cell r="C115" t="str">
            <v>GG8 AU</v>
          </cell>
          <cell r="R115" t="str">
            <v>Tier 3</v>
          </cell>
        </row>
        <row r="116">
          <cell r="B116" t="str">
            <v>Desert Gold Ventures, Inc.</v>
          </cell>
          <cell r="C116" t="str">
            <v>DAU CN</v>
          </cell>
          <cell r="R116" t="str">
            <v>Tier 3</v>
          </cell>
        </row>
        <row r="117">
          <cell r="B117" t="str">
            <v>Ballard Mining, Ltd.</v>
          </cell>
          <cell r="C117" t="str">
            <v>BM1 AU</v>
          </cell>
          <cell r="R117" t="str">
            <v>Tier 3</v>
          </cell>
        </row>
        <row r="118">
          <cell r="B118" t="str">
            <v>Castile Resources, Ltd.</v>
          </cell>
          <cell r="C118" t="str">
            <v>CST AU</v>
          </cell>
          <cell r="R118" t="str">
            <v>Tier 3</v>
          </cell>
        </row>
        <row r="119">
          <cell r="B119" t="str">
            <v>Sable Resources, Ltd.</v>
          </cell>
          <cell r="C119" t="str">
            <v>SAE CN</v>
          </cell>
          <cell r="R119" t="str">
            <v>Tier 3</v>
          </cell>
        </row>
        <row r="120">
          <cell r="B120" t="str">
            <v>Killi Resources Ltd</v>
          </cell>
          <cell r="C120" t="str">
            <v>KLI AU</v>
          </cell>
          <cell r="R120" t="str">
            <v>Tier 3</v>
          </cell>
        </row>
        <row r="121">
          <cell r="B121" t="str">
            <v>Pan Global Resources, Inc.</v>
          </cell>
          <cell r="C121" t="str">
            <v>PGZ CN</v>
          </cell>
          <cell r="R121" t="str">
            <v>Tier 3</v>
          </cell>
        </row>
        <row r="122">
          <cell r="B122" t="str">
            <v>Prodigy Gold NL</v>
          </cell>
          <cell r="C122" t="str">
            <v>PRX AU</v>
          </cell>
          <cell r="R122" t="str">
            <v>Tier 3</v>
          </cell>
        </row>
        <row r="123">
          <cell r="B123" t="str">
            <v>Signature Resources, Ltd.</v>
          </cell>
          <cell r="C123" t="str">
            <v>SGU CN</v>
          </cell>
          <cell r="R123" t="str">
            <v>Tier 3</v>
          </cell>
        </row>
        <row r="124">
          <cell r="B124" t="str">
            <v>Emerita Resources Corp.</v>
          </cell>
          <cell r="C124" t="str">
            <v>EMO CN</v>
          </cell>
          <cell r="R124" t="str">
            <v>Tier 3</v>
          </cell>
        </row>
        <row r="125">
          <cell r="B125" t="str">
            <v>Culico Metals, Inc.</v>
          </cell>
          <cell r="C125" t="str">
            <v>CLCO CN</v>
          </cell>
          <cell r="R125" t="str">
            <v>Tier 3</v>
          </cell>
        </row>
        <row r="126">
          <cell r="B126" t="str">
            <v>Onyx Gold Corp.</v>
          </cell>
          <cell r="C126" t="str">
            <v>ONYX CN</v>
          </cell>
          <cell r="R126" t="str">
            <v>Tier 3</v>
          </cell>
        </row>
        <row r="127">
          <cell r="B127" t="str">
            <v>Bunker Hill Mining Corp.</v>
          </cell>
          <cell r="C127" t="str">
            <v>BNKR CN</v>
          </cell>
          <cell r="R127" t="str">
            <v>Tier 3</v>
          </cell>
        </row>
        <row r="128">
          <cell r="B128" t="str">
            <v>American Pacific Mining Corp.</v>
          </cell>
          <cell r="C128" t="str">
            <v>USGD CN</v>
          </cell>
          <cell r="R128" t="str">
            <v>Tier 3</v>
          </cell>
        </row>
        <row r="129">
          <cell r="B129" t="str">
            <v>Max Resource Corp.</v>
          </cell>
          <cell r="C129" t="str">
            <v>MAX CN</v>
          </cell>
          <cell r="R129" t="str">
            <v>Tier 3</v>
          </cell>
        </row>
        <row r="130">
          <cell r="B130" t="str">
            <v>LCL Resources, Ltd.</v>
          </cell>
          <cell r="C130" t="str">
            <v>LCL AU</v>
          </cell>
          <cell r="R130" t="str">
            <v>Tier 3</v>
          </cell>
        </row>
        <row r="131">
          <cell r="B131" t="str">
            <v>Angel Wing Metals, Inc.</v>
          </cell>
          <cell r="C131" t="str">
            <v>AWM CN</v>
          </cell>
          <cell r="R131" t="str">
            <v>Tier 3</v>
          </cell>
        </row>
        <row r="132">
          <cell r="B132" t="str">
            <v>Lux Metals Corp.</v>
          </cell>
          <cell r="C132" t="str">
            <v>LXM CN</v>
          </cell>
          <cell r="R132" t="str">
            <v>Tier 3</v>
          </cell>
        </row>
        <row r="133">
          <cell r="B133" t="str">
            <v>SUA Holdings, Ltd.</v>
          </cell>
          <cell r="C133" t="str">
            <v>2540849D</v>
          </cell>
          <cell r="R133" t="str">
            <v>Tier 3</v>
          </cell>
        </row>
        <row r="134">
          <cell r="B134" t="str">
            <v>Bendito Resources, Inc.</v>
          </cell>
          <cell r="C134" t="str">
            <v>BENTEMP</v>
          </cell>
          <cell r="R134" t="str">
            <v>Tier 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Blue Warm">
      <a:dk1>
        <a:sysClr val="windowText" lastClr="000000"/>
      </a:dk1>
      <a:lt1>
        <a:sysClr val="window" lastClr="FFFFFF"/>
      </a:lt1>
      <a:dk2>
        <a:srgbClr val="242852"/>
      </a:dk2>
      <a:lt2>
        <a:srgbClr val="ACCBF9"/>
      </a:lt2>
      <a:accent1>
        <a:srgbClr val="4A66AC"/>
      </a:accent1>
      <a:accent2>
        <a:srgbClr val="629DD1"/>
      </a:accent2>
      <a:accent3>
        <a:srgbClr val="297FD5"/>
      </a:accent3>
      <a:accent4>
        <a:srgbClr val="7F8FA9"/>
      </a:accent4>
      <a:accent5>
        <a:srgbClr val="5AA2AE"/>
      </a:accent5>
      <a:accent6>
        <a:srgbClr val="9D90A0"/>
      </a:accent6>
      <a:hlink>
        <a:srgbClr val="9454C3"/>
      </a:hlink>
      <a:folHlink>
        <a:srgbClr val="3EBBF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IDR.xlsx" TargetMode="External"/><Relationship Id="rId2" Type="http://schemas.openxmlformats.org/officeDocument/2006/relationships/hyperlink" Target="CDE.xlsx" TargetMode="External"/><Relationship Id="rId1" Type="http://schemas.openxmlformats.org/officeDocument/2006/relationships/hyperlink" Target="RGLD.xlsx" TargetMode="External"/><Relationship Id="rId6" Type="http://schemas.openxmlformats.org/officeDocument/2006/relationships/hyperlink" Target="SSRM.xlsx" TargetMode="External"/><Relationship Id="rId5" Type="http://schemas.openxmlformats.org/officeDocument/2006/relationships/hyperlink" Target="NG.xlsx" TargetMode="External"/><Relationship Id="rId4" Type="http://schemas.openxmlformats.org/officeDocument/2006/relationships/hyperlink" Target="NEM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CDD3B-7FDA-E84A-8CD4-88A37F5BAE19}">
  <dimension ref="A1:S131"/>
  <sheetViews>
    <sheetView showGridLines="0" tabSelected="1" zoomScale="191" zoomScaleNormal="170" workbookViewId="0">
      <pane xSplit="6" ySplit="2" topLeftCell="G3" activePane="bottomRight" state="frozen"/>
      <selection pane="topRight" activeCell="G1" sqref="G1"/>
      <selection pane="bottomLeft" activeCell="A3" sqref="A3"/>
      <selection pane="bottomRight" activeCell="D3" sqref="D3"/>
    </sheetView>
  </sheetViews>
  <sheetFormatPr baseColWidth="10" defaultRowHeight="13" outlineLevelCol="1"/>
  <cols>
    <col min="1" max="1" width="3.5" style="1" customWidth="1"/>
    <col min="2" max="2" width="4.1640625" style="1" bestFit="1" customWidth="1"/>
    <col min="3" max="3" width="30.33203125" style="1" bestFit="1" customWidth="1"/>
    <col min="4" max="4" width="9.1640625" style="1" bestFit="1" customWidth="1"/>
    <col min="5" max="5" width="7.33203125" style="7" hidden="1" customWidth="1" outlineLevel="1"/>
    <col min="6" max="6" width="5.1640625" style="7" hidden="1" customWidth="1" outlineLevel="1"/>
    <col min="7" max="7" width="5.1640625" style="8" bestFit="1" customWidth="1" collapsed="1"/>
    <col min="8" max="9" width="9.1640625" style="8" bestFit="1" customWidth="1"/>
    <col min="10" max="10" width="5.6640625" style="8" bestFit="1" customWidth="1" collapsed="1"/>
    <col min="11" max="11" width="6.83203125" style="8" bestFit="1" customWidth="1"/>
    <col min="12" max="12" width="7.6640625" style="8" bestFit="1" customWidth="1"/>
    <col min="13" max="13" width="7.83203125" style="8" bestFit="1" customWidth="1"/>
    <col min="14" max="14" width="7.5" style="16" bestFit="1" customWidth="1"/>
    <col min="15" max="15" width="4.5" style="1" bestFit="1" customWidth="1"/>
    <col min="16" max="16" width="7" style="5" bestFit="1" customWidth="1"/>
    <col min="17" max="17" width="10.83203125" style="1"/>
    <col min="18" max="18" width="14.33203125" style="1" bestFit="1" customWidth="1"/>
    <col min="19" max="16384" width="10.83203125" style="1"/>
  </cols>
  <sheetData>
    <row r="1" spans="1:19">
      <c r="A1" s="1" t="s">
        <v>269</v>
      </c>
    </row>
    <row r="2" spans="1:19">
      <c r="C2" s="17" t="s">
        <v>0</v>
      </c>
      <c r="D2" s="18" t="str">
        <f>_xlfn.XLOOKUP(C2,[1]Sheet1!$B:$B,[1]Sheet1!$C:$C)</f>
        <v>Ticker</v>
      </c>
      <c r="E2" s="19" t="s">
        <v>2</v>
      </c>
      <c r="F2" s="19" t="s">
        <v>3</v>
      </c>
      <c r="G2" s="20" t="s">
        <v>1</v>
      </c>
      <c r="H2" s="20" t="s">
        <v>4</v>
      </c>
      <c r="I2" s="20" t="s">
        <v>5</v>
      </c>
      <c r="J2" s="20" t="s">
        <v>6</v>
      </c>
      <c r="K2" s="20" t="s">
        <v>7</v>
      </c>
      <c r="L2" s="20" t="s">
        <v>8</v>
      </c>
      <c r="M2" s="20" t="s">
        <v>278</v>
      </c>
      <c r="N2" s="21" t="s">
        <v>279</v>
      </c>
      <c r="O2" s="17" t="s">
        <v>283</v>
      </c>
      <c r="P2" s="22" t="s">
        <v>284</v>
      </c>
      <c r="Q2" s="17" t="s">
        <v>268</v>
      </c>
      <c r="R2" s="17" t="s">
        <v>280</v>
      </c>
      <c r="S2" s="17" t="s">
        <v>285</v>
      </c>
    </row>
    <row r="3" spans="1:19">
      <c r="A3" s="1" t="s">
        <v>301</v>
      </c>
      <c r="B3" s="1">
        <v>1</v>
      </c>
      <c r="C3" s="1" t="s">
        <v>13</v>
      </c>
      <c r="D3" s="4" t="s">
        <v>26</v>
      </c>
      <c r="E3" s="7">
        <v>9.1999999999999993</v>
      </c>
      <c r="F3" s="9">
        <f>+G3/E3-1</f>
        <v>-0.26413043478260867</v>
      </c>
      <c r="G3" s="23">
        <v>6.77</v>
      </c>
      <c r="H3" s="23">
        <v>439</v>
      </c>
      <c r="I3" s="8">
        <f t="shared" ref="I3:I10" si="0">+IF(H3 = "", "", G3*H3)</f>
        <v>2972.0299999999997</v>
      </c>
      <c r="J3" s="23">
        <v>343</v>
      </c>
      <c r="K3" s="23">
        <v>178</v>
      </c>
      <c r="L3" s="8">
        <f t="shared" ref="L3:L12" si="1">IF(I3 = "", "", I3-J3+K3)</f>
        <v>2807.0299999999997</v>
      </c>
      <c r="M3" s="23">
        <f>3.03*1000</f>
        <v>3030</v>
      </c>
      <c r="N3" s="24">
        <f>+I3/M3</f>
        <v>0.98086798679867981</v>
      </c>
      <c r="O3" s="26"/>
      <c r="P3" s="27"/>
      <c r="Q3" s="1" t="str">
        <f>_xlfn.XLOOKUP(D3,[1]Sheet1!$C:$C,[1]Sheet1!$R:$R)</f>
        <v>Tier 1</v>
      </c>
      <c r="R3" s="1" t="s">
        <v>286</v>
      </c>
      <c r="S3" s="1" t="s">
        <v>302</v>
      </c>
    </row>
    <row r="4" spans="1:19">
      <c r="A4" s="1" t="s">
        <v>301</v>
      </c>
      <c r="B4" s="1">
        <f>+B3+1</f>
        <v>2</v>
      </c>
      <c r="C4" s="1" t="s">
        <v>14</v>
      </c>
      <c r="D4" s="2" t="s">
        <v>27</v>
      </c>
      <c r="G4" s="23"/>
      <c r="H4" s="23"/>
      <c r="I4" s="8" t="str">
        <f t="shared" si="0"/>
        <v/>
      </c>
      <c r="J4" s="23"/>
      <c r="K4" s="23"/>
      <c r="L4" s="8" t="str">
        <f t="shared" si="1"/>
        <v/>
      </c>
      <c r="M4" s="23"/>
      <c r="N4" s="24"/>
      <c r="O4" s="26"/>
      <c r="P4" s="27"/>
      <c r="Q4" s="1" t="str">
        <f>_xlfn.XLOOKUP(D4,[1]Sheet1!$C:$C,[1]Sheet1!$R:$R)</f>
        <v>Tier 2</v>
      </c>
      <c r="R4" s="1" t="s">
        <v>286</v>
      </c>
    </row>
    <row r="5" spans="1:19">
      <c r="A5" s="1" t="s">
        <v>301</v>
      </c>
      <c r="B5" s="1">
        <f t="shared" ref="B5:B68" si="2">+B4+1</f>
        <v>3</v>
      </c>
      <c r="C5" s="1" t="s">
        <v>15</v>
      </c>
      <c r="D5" s="2" t="s">
        <v>28</v>
      </c>
      <c r="G5" s="23"/>
      <c r="H5" s="23"/>
      <c r="I5" s="8" t="str">
        <f t="shared" si="0"/>
        <v/>
      </c>
      <c r="J5" s="23"/>
      <c r="K5" s="23"/>
      <c r="L5" s="8" t="str">
        <f t="shared" si="1"/>
        <v/>
      </c>
      <c r="M5" s="23"/>
      <c r="N5" s="24"/>
      <c r="O5" s="26"/>
      <c r="P5" s="27"/>
      <c r="Q5" s="1" t="str">
        <f>_xlfn.XLOOKUP(D5,[1]Sheet1!$C:$C,[1]Sheet1!$R:$R)</f>
        <v>Tier 2</v>
      </c>
      <c r="R5" s="1" t="s">
        <v>286</v>
      </c>
    </row>
    <row r="6" spans="1:19">
      <c r="A6" s="1" t="s">
        <v>301</v>
      </c>
      <c r="B6" s="1">
        <f t="shared" si="2"/>
        <v>4</v>
      </c>
      <c r="C6" s="1" t="s">
        <v>18</v>
      </c>
      <c r="D6" s="2" t="s">
        <v>31</v>
      </c>
      <c r="G6" s="23"/>
      <c r="H6" s="23"/>
      <c r="I6" s="8" t="str">
        <f t="shared" si="0"/>
        <v/>
      </c>
      <c r="J6" s="23"/>
      <c r="K6" s="23"/>
      <c r="L6" s="8" t="str">
        <f t="shared" si="1"/>
        <v/>
      </c>
      <c r="M6" s="23"/>
      <c r="N6" s="24"/>
      <c r="O6" s="26"/>
      <c r="P6" s="27"/>
      <c r="Q6" s="1" t="str">
        <f>_xlfn.XLOOKUP(D6,[1]Sheet1!$C:$C,[1]Sheet1!$R:$R)</f>
        <v>Tier 2</v>
      </c>
      <c r="R6" s="1" t="s">
        <v>286</v>
      </c>
    </row>
    <row r="7" spans="1:19">
      <c r="B7" s="1">
        <f t="shared" si="2"/>
        <v>5</v>
      </c>
      <c r="C7" s="1" t="s">
        <v>19</v>
      </c>
      <c r="D7" s="2" t="s">
        <v>32</v>
      </c>
      <c r="G7" s="23"/>
      <c r="H7" s="23"/>
      <c r="I7" s="8" t="str">
        <f t="shared" si="0"/>
        <v/>
      </c>
      <c r="J7" s="23"/>
      <c r="K7" s="23"/>
      <c r="L7" s="8" t="str">
        <f t="shared" si="1"/>
        <v/>
      </c>
      <c r="M7" s="23"/>
      <c r="N7" s="24"/>
      <c r="O7" s="26"/>
      <c r="P7" s="27"/>
      <c r="Q7" s="1" t="str">
        <f>_xlfn.XLOOKUP(D7,[1]Sheet1!$C:$C,[1]Sheet1!$R:$R)</f>
        <v>Tier 2</v>
      </c>
      <c r="R7" s="1" t="s">
        <v>286</v>
      </c>
    </row>
    <row r="8" spans="1:19">
      <c r="B8" s="1">
        <f t="shared" si="2"/>
        <v>6</v>
      </c>
      <c r="C8" s="1" t="s">
        <v>20</v>
      </c>
      <c r="D8" s="2" t="s">
        <v>33</v>
      </c>
      <c r="G8" s="23"/>
      <c r="H8" s="23"/>
      <c r="I8" s="8" t="str">
        <f t="shared" si="0"/>
        <v/>
      </c>
      <c r="J8" s="23"/>
      <c r="K8" s="23"/>
      <c r="L8" s="8" t="str">
        <f t="shared" si="1"/>
        <v/>
      </c>
      <c r="M8" s="23"/>
      <c r="N8" s="24"/>
      <c r="O8" s="26"/>
      <c r="P8" s="27"/>
      <c r="Q8" s="1" t="str">
        <f>_xlfn.XLOOKUP(D8,[1]Sheet1!$C:$C,[1]Sheet1!$R:$R)</f>
        <v>Tier 3</v>
      </c>
      <c r="R8" s="1" t="s">
        <v>286</v>
      </c>
    </row>
    <row r="9" spans="1:19">
      <c r="A9" s="1" t="s">
        <v>301</v>
      </c>
      <c r="B9" s="1">
        <f t="shared" si="2"/>
        <v>7</v>
      </c>
      <c r="C9" s="1" t="s">
        <v>21</v>
      </c>
      <c r="D9" s="2" t="s">
        <v>34</v>
      </c>
      <c r="G9" s="23"/>
      <c r="H9" s="23"/>
      <c r="I9" s="8" t="str">
        <f t="shared" si="0"/>
        <v/>
      </c>
      <c r="J9" s="23"/>
      <c r="K9" s="23"/>
      <c r="L9" s="8" t="str">
        <f t="shared" si="1"/>
        <v/>
      </c>
      <c r="M9" s="23"/>
      <c r="N9" s="24"/>
      <c r="O9" s="26"/>
      <c r="P9" s="27"/>
      <c r="Q9" s="1" t="str">
        <f>_xlfn.XLOOKUP(D9,[1]Sheet1!$C:$C,[1]Sheet1!$R:$R)</f>
        <v>Tier 3</v>
      </c>
      <c r="R9" s="1" t="s">
        <v>286</v>
      </c>
    </row>
    <row r="10" spans="1:19">
      <c r="B10" s="1">
        <f t="shared" si="2"/>
        <v>8</v>
      </c>
      <c r="C10" s="1" t="s">
        <v>44</v>
      </c>
      <c r="D10" s="2" t="s">
        <v>86</v>
      </c>
      <c r="G10" s="23"/>
      <c r="H10" s="23"/>
      <c r="I10" s="8" t="str">
        <f t="shared" si="0"/>
        <v/>
      </c>
      <c r="J10" s="23"/>
      <c r="K10" s="23"/>
      <c r="L10" s="8" t="str">
        <f t="shared" si="1"/>
        <v/>
      </c>
      <c r="M10" s="23"/>
      <c r="N10" s="24"/>
      <c r="O10" s="26"/>
      <c r="P10" s="27"/>
      <c r="Q10" s="1" t="str">
        <f>_xlfn.XLOOKUP(D10,[1]Sheet1!$C:$C,[1]Sheet1!$R:$R)</f>
        <v>Tier 1</v>
      </c>
      <c r="R10" s="1" t="s">
        <v>286</v>
      </c>
      <c r="S10" s="1">
        <f>+S8*S9</f>
        <v>0</v>
      </c>
    </row>
    <row r="11" spans="1:19">
      <c r="A11" s="1" t="s">
        <v>301</v>
      </c>
      <c r="B11" s="1">
        <f t="shared" si="2"/>
        <v>9</v>
      </c>
      <c r="C11" s="1" t="s">
        <v>55</v>
      </c>
      <c r="D11" s="2" t="s">
        <v>97</v>
      </c>
      <c r="G11" s="23"/>
      <c r="H11" s="23"/>
      <c r="J11" s="23"/>
      <c r="K11" s="23"/>
      <c r="L11" s="8" t="str">
        <f t="shared" si="1"/>
        <v/>
      </c>
      <c r="M11" s="23"/>
      <c r="N11" s="24"/>
      <c r="O11" s="26"/>
      <c r="P11" s="27"/>
      <c r="Q11" s="1" t="str">
        <f>_xlfn.XLOOKUP(D11,[1]Sheet1!$C:$C,[1]Sheet1!$R:$R)</f>
        <v>Tier 2</v>
      </c>
      <c r="R11" s="1" t="s">
        <v>286</v>
      </c>
    </row>
    <row r="12" spans="1:19">
      <c r="B12" s="1">
        <f t="shared" si="2"/>
        <v>10</v>
      </c>
      <c r="C12" s="1" t="s">
        <v>57</v>
      </c>
      <c r="D12" s="2" t="s">
        <v>99</v>
      </c>
      <c r="G12" s="23"/>
      <c r="H12" s="23"/>
      <c r="J12" s="23"/>
      <c r="K12" s="23"/>
      <c r="L12" s="8" t="str">
        <f t="shared" si="1"/>
        <v/>
      </c>
      <c r="M12" s="23"/>
      <c r="N12" s="24"/>
      <c r="O12" s="26"/>
      <c r="P12" s="27"/>
      <c r="Q12" s="1" t="str">
        <f>_xlfn.XLOOKUP(D12,[1]Sheet1!$C:$C,[1]Sheet1!$R:$R)</f>
        <v>Tier 1</v>
      </c>
      <c r="R12" s="1" t="s">
        <v>286</v>
      </c>
    </row>
    <row r="13" spans="1:19">
      <c r="B13" s="1">
        <f t="shared" si="2"/>
        <v>11</v>
      </c>
      <c r="C13" s="1" t="s">
        <v>60</v>
      </c>
      <c r="D13" s="2" t="s">
        <v>102</v>
      </c>
      <c r="G13" s="23"/>
      <c r="H13" s="23"/>
      <c r="J13" s="23"/>
      <c r="K13" s="23"/>
      <c r="M13" s="23"/>
      <c r="N13" s="24"/>
      <c r="O13" s="26"/>
      <c r="P13" s="27"/>
      <c r="Q13" s="1" t="str">
        <f>_xlfn.XLOOKUP(D13,[1]Sheet1!$C:$C,[1]Sheet1!$R:$R)</f>
        <v>Tier 2</v>
      </c>
      <c r="R13" s="1" t="s">
        <v>286</v>
      </c>
    </row>
    <row r="14" spans="1:19">
      <c r="A14" s="1" t="s">
        <v>301</v>
      </c>
      <c r="B14" s="1">
        <f t="shared" si="2"/>
        <v>12</v>
      </c>
      <c r="C14" s="1" t="s">
        <v>63</v>
      </c>
      <c r="D14" s="2" t="s">
        <v>105</v>
      </c>
      <c r="G14" s="23"/>
      <c r="H14" s="23"/>
      <c r="J14" s="23"/>
      <c r="K14" s="23"/>
      <c r="M14" s="23"/>
      <c r="N14" s="24"/>
      <c r="O14" s="26"/>
      <c r="P14" s="27"/>
      <c r="Q14" s="1" t="str">
        <f>_xlfn.XLOOKUP(D14,[1]Sheet1!$C:$C,[1]Sheet1!$R:$R)</f>
        <v>Tier 3</v>
      </c>
      <c r="R14" s="1" t="s">
        <v>286</v>
      </c>
    </row>
    <row r="15" spans="1:19">
      <c r="B15" s="1">
        <f t="shared" si="2"/>
        <v>13</v>
      </c>
      <c r="C15" s="1" t="s">
        <v>123</v>
      </c>
      <c r="D15" s="2" t="s">
        <v>196</v>
      </c>
      <c r="G15" s="23"/>
      <c r="H15" s="23"/>
      <c r="J15" s="23"/>
      <c r="K15" s="23"/>
      <c r="M15" s="23"/>
      <c r="N15" s="24"/>
      <c r="O15" s="26"/>
      <c r="P15" s="27"/>
      <c r="Q15" s="1" t="str">
        <f>_xlfn.XLOOKUP(D15,[1]Sheet1!$C:$C,[1]Sheet1!$R:$R)</f>
        <v>Tier 1</v>
      </c>
      <c r="R15" s="1" t="s">
        <v>286</v>
      </c>
    </row>
    <row r="16" spans="1:19">
      <c r="B16" s="1">
        <f t="shared" si="2"/>
        <v>14</v>
      </c>
      <c r="C16" s="1" t="s">
        <v>125</v>
      </c>
      <c r="D16" s="2" t="s">
        <v>198</v>
      </c>
      <c r="G16" s="23"/>
      <c r="H16" s="23"/>
      <c r="J16" s="23"/>
      <c r="K16" s="23"/>
      <c r="M16" s="23"/>
      <c r="N16" s="24"/>
      <c r="O16" s="26"/>
      <c r="P16" s="27"/>
      <c r="Q16" s="1" t="str">
        <f>_xlfn.XLOOKUP(D16,[1]Sheet1!$C:$C,[1]Sheet1!$R:$R)</f>
        <v>Tier 1</v>
      </c>
      <c r="R16" s="1" t="s">
        <v>286</v>
      </c>
    </row>
    <row r="17" spans="1:18">
      <c r="B17" s="1">
        <f t="shared" si="2"/>
        <v>15</v>
      </c>
      <c r="C17" s="1" t="s">
        <v>126</v>
      </c>
      <c r="D17" s="2" t="s">
        <v>199</v>
      </c>
      <c r="G17" s="23"/>
      <c r="H17" s="23"/>
      <c r="J17" s="23"/>
      <c r="K17" s="23"/>
      <c r="M17" s="23"/>
      <c r="N17" s="24"/>
      <c r="O17" s="26"/>
      <c r="P17" s="27"/>
      <c r="Q17" s="1" t="str">
        <f>_xlfn.XLOOKUP(D17,[1]Sheet1!$C:$C,[1]Sheet1!$R:$R)</f>
        <v>Tier 1</v>
      </c>
      <c r="R17" s="1" t="s">
        <v>286</v>
      </c>
    </row>
    <row r="18" spans="1:18">
      <c r="B18" s="1">
        <f t="shared" si="2"/>
        <v>16</v>
      </c>
      <c r="C18" s="1" t="s">
        <v>137</v>
      </c>
      <c r="D18" s="2" t="s">
        <v>210</v>
      </c>
      <c r="G18" s="23"/>
      <c r="H18" s="23"/>
      <c r="J18" s="23"/>
      <c r="K18" s="23"/>
      <c r="M18" s="23"/>
      <c r="N18" s="24"/>
      <c r="O18" s="26"/>
      <c r="P18" s="27"/>
      <c r="Q18" s="1" t="str">
        <f>_xlfn.XLOOKUP(D18,[1]Sheet1!$C:$C,[1]Sheet1!$R:$R)</f>
        <v>Tier 1</v>
      </c>
      <c r="R18" s="1" t="s">
        <v>286</v>
      </c>
    </row>
    <row r="19" spans="1:18">
      <c r="B19" s="1">
        <f t="shared" si="2"/>
        <v>17</v>
      </c>
      <c r="C19" s="1" t="s">
        <v>153</v>
      </c>
      <c r="D19" s="2" t="s">
        <v>224</v>
      </c>
      <c r="G19" s="23"/>
      <c r="H19" s="23"/>
      <c r="J19" s="23"/>
      <c r="K19" s="23"/>
      <c r="M19" s="23"/>
      <c r="N19" s="24"/>
      <c r="O19" s="26"/>
      <c r="P19" s="27"/>
      <c r="Q19" s="1" t="str">
        <f>_xlfn.XLOOKUP(D19,[1]Sheet1!$C:$C,[1]Sheet1!$R:$R)</f>
        <v>Tier 2</v>
      </c>
      <c r="R19" s="1" t="s">
        <v>286</v>
      </c>
    </row>
    <row r="20" spans="1:18">
      <c r="B20" s="1">
        <f t="shared" si="2"/>
        <v>18</v>
      </c>
      <c r="C20" s="1" t="s">
        <v>155</v>
      </c>
      <c r="D20" s="2" t="s">
        <v>227</v>
      </c>
      <c r="G20" s="23"/>
      <c r="H20" s="23"/>
      <c r="J20" s="23"/>
      <c r="K20" s="23"/>
      <c r="M20" s="23"/>
      <c r="N20" s="24"/>
      <c r="O20" s="26"/>
      <c r="P20" s="27"/>
      <c r="Q20" s="1" t="str">
        <f>_xlfn.XLOOKUP(D20,[1]Sheet1!$C:$C,[1]Sheet1!$R:$R)</f>
        <v>Tier 2</v>
      </c>
      <c r="R20" s="1" t="s">
        <v>286</v>
      </c>
    </row>
    <row r="21" spans="1:18">
      <c r="B21" s="1">
        <f t="shared" si="2"/>
        <v>19</v>
      </c>
      <c r="C21" s="1" t="s">
        <v>165</v>
      </c>
      <c r="D21" s="2" t="s">
        <v>239</v>
      </c>
      <c r="G21" s="23"/>
      <c r="H21" s="23"/>
      <c r="J21" s="23"/>
      <c r="K21" s="23"/>
      <c r="M21" s="23"/>
      <c r="N21" s="24"/>
      <c r="O21" s="26"/>
      <c r="P21" s="27"/>
      <c r="Q21" s="1" t="str">
        <f>_xlfn.XLOOKUP(D21,[1]Sheet1!$C:$C,[1]Sheet1!$R:$R)</f>
        <v>Tier 3</v>
      </c>
      <c r="R21" s="1" t="s">
        <v>286</v>
      </c>
    </row>
    <row r="22" spans="1:18">
      <c r="B22" s="1">
        <f t="shared" si="2"/>
        <v>20</v>
      </c>
      <c r="C22" s="1" t="s">
        <v>169</v>
      </c>
      <c r="D22" s="2" t="s">
        <v>243</v>
      </c>
      <c r="G22" s="23"/>
      <c r="H22" s="23"/>
      <c r="J22" s="23"/>
      <c r="K22" s="23"/>
      <c r="M22" s="23"/>
      <c r="N22" s="24"/>
      <c r="O22" s="26"/>
      <c r="P22" s="27"/>
      <c r="Q22" s="1" t="str">
        <f>_xlfn.XLOOKUP(D22,[1]Sheet1!$C:$C,[1]Sheet1!$R:$R)</f>
        <v>Tier 3</v>
      </c>
      <c r="R22" s="1" t="s">
        <v>286</v>
      </c>
    </row>
    <row r="23" spans="1:18">
      <c r="B23" s="1">
        <f t="shared" si="2"/>
        <v>21</v>
      </c>
      <c r="C23" s="1" t="s">
        <v>131</v>
      </c>
      <c r="D23" s="2" t="s">
        <v>204</v>
      </c>
      <c r="G23" s="23"/>
      <c r="H23" s="23"/>
      <c r="J23" s="23"/>
      <c r="K23" s="23"/>
      <c r="M23" s="23"/>
      <c r="N23" s="24"/>
      <c r="O23" s="26"/>
      <c r="P23" s="27"/>
      <c r="Q23" s="1" t="str">
        <f>_xlfn.XLOOKUP(D23,[1]Sheet1!$C:$C,[1]Sheet1!$R:$R)</f>
        <v>Tier 1</v>
      </c>
      <c r="R23" s="1" t="s">
        <v>296</v>
      </c>
    </row>
    <row r="24" spans="1:18">
      <c r="B24" s="1">
        <f t="shared" si="2"/>
        <v>22</v>
      </c>
      <c r="C24" s="1" t="s">
        <v>146</v>
      </c>
      <c r="D24" s="2" t="s">
        <v>217</v>
      </c>
      <c r="G24" s="23"/>
      <c r="H24" s="23"/>
      <c r="J24" s="23"/>
      <c r="K24" s="23"/>
      <c r="M24" s="23"/>
      <c r="N24" s="24"/>
      <c r="O24" s="26"/>
      <c r="P24" s="27"/>
      <c r="Q24" s="1" t="str">
        <f>_xlfn.XLOOKUP(D24,[1]Sheet1!$C:$C,[1]Sheet1!$R:$R)</f>
        <v>Tier 2</v>
      </c>
      <c r="R24" s="1" t="s">
        <v>296</v>
      </c>
    </row>
    <row r="25" spans="1:18">
      <c r="B25" s="1">
        <f t="shared" si="2"/>
        <v>23</v>
      </c>
      <c r="C25" s="1" t="s">
        <v>56</v>
      </c>
      <c r="D25" s="2" t="s">
        <v>98</v>
      </c>
      <c r="G25" s="23"/>
      <c r="H25" s="23"/>
      <c r="J25" s="23"/>
      <c r="K25" s="23"/>
      <c r="L25" s="8" t="str">
        <f>IF(I25 = "", "", I25-J25+K25)</f>
        <v/>
      </c>
      <c r="M25" s="23"/>
      <c r="N25" s="24"/>
      <c r="O25" s="26"/>
      <c r="P25" s="27"/>
      <c r="Q25" s="1" t="str">
        <f>_xlfn.XLOOKUP(D25,[1]Sheet1!$C:$C,[1]Sheet1!$R:$R)</f>
        <v>Tier 3</v>
      </c>
      <c r="R25" s="1" t="s">
        <v>291</v>
      </c>
    </row>
    <row r="26" spans="1:18">
      <c r="B26" s="1">
        <f t="shared" si="2"/>
        <v>24</v>
      </c>
      <c r="C26" s="1" t="s">
        <v>139</v>
      </c>
      <c r="D26" s="2" t="s">
        <v>212</v>
      </c>
      <c r="G26" s="23"/>
      <c r="H26" s="23"/>
      <c r="J26" s="23"/>
      <c r="K26" s="23"/>
      <c r="M26" s="23"/>
      <c r="N26" s="24"/>
      <c r="O26" s="26"/>
      <c r="P26" s="27"/>
      <c r="Q26" s="1" t="str">
        <f>_xlfn.XLOOKUP(D26,[1]Sheet1!$C:$C,[1]Sheet1!$R:$R)</f>
        <v>Tier 1</v>
      </c>
      <c r="R26" s="1" t="s">
        <v>291</v>
      </c>
    </row>
    <row r="27" spans="1:18">
      <c r="B27" s="1">
        <f t="shared" si="2"/>
        <v>25</v>
      </c>
      <c r="C27" s="1" t="s">
        <v>148</v>
      </c>
      <c r="D27" s="2" t="s">
        <v>219</v>
      </c>
      <c r="G27" s="23"/>
      <c r="H27" s="23"/>
      <c r="J27" s="23"/>
      <c r="K27" s="23"/>
      <c r="M27" s="23"/>
      <c r="N27" s="24"/>
      <c r="O27" s="26"/>
      <c r="P27" s="27"/>
      <c r="Q27" s="1" t="str">
        <f>_xlfn.XLOOKUP(D27,[1]Sheet1!$C:$C,[1]Sheet1!$R:$R)</f>
        <v>Tier 2</v>
      </c>
      <c r="R27" s="1" t="s">
        <v>291</v>
      </c>
    </row>
    <row r="28" spans="1:18">
      <c r="A28" s="1" t="s">
        <v>301</v>
      </c>
      <c r="B28" s="1">
        <f t="shared" si="2"/>
        <v>26</v>
      </c>
      <c r="C28" s="1" t="s">
        <v>172</v>
      </c>
      <c r="D28" s="2" t="s">
        <v>246</v>
      </c>
      <c r="G28" s="23"/>
      <c r="H28" s="23"/>
      <c r="J28" s="23"/>
      <c r="K28" s="23"/>
      <c r="M28" s="23"/>
      <c r="N28" s="24"/>
      <c r="O28" s="26"/>
      <c r="P28" s="27"/>
      <c r="Q28" s="1" t="str">
        <f>_xlfn.XLOOKUP(D28,[1]Sheet1!$C:$C,[1]Sheet1!$R:$R)</f>
        <v>Tier 3</v>
      </c>
      <c r="R28" s="1" t="s">
        <v>291</v>
      </c>
    </row>
    <row r="29" spans="1:18">
      <c r="B29" s="1">
        <f t="shared" si="2"/>
        <v>27</v>
      </c>
      <c r="C29" s="1" t="s">
        <v>175</v>
      </c>
      <c r="D29" s="2" t="s">
        <v>249</v>
      </c>
      <c r="G29" s="23"/>
      <c r="H29" s="23"/>
      <c r="J29" s="23"/>
      <c r="K29" s="23"/>
      <c r="M29" s="23"/>
      <c r="N29" s="24"/>
      <c r="O29" s="26"/>
      <c r="P29" s="27"/>
      <c r="Q29" s="1" t="str">
        <f>_xlfn.XLOOKUP(D29,[1]Sheet1!$C:$C,[1]Sheet1!$R:$R)</f>
        <v>Tier 3</v>
      </c>
      <c r="R29" s="1" t="s">
        <v>291</v>
      </c>
    </row>
    <row r="30" spans="1:18">
      <c r="B30" s="1">
        <f t="shared" si="2"/>
        <v>28</v>
      </c>
      <c r="C30" s="1" t="s">
        <v>178</v>
      </c>
      <c r="D30" s="2" t="s">
        <v>252</v>
      </c>
      <c r="G30" s="23"/>
      <c r="H30" s="23"/>
      <c r="J30" s="23"/>
      <c r="K30" s="23"/>
      <c r="M30" s="23"/>
      <c r="N30" s="24"/>
      <c r="O30" s="26"/>
      <c r="P30" s="27"/>
      <c r="Q30" s="1" t="str">
        <f>_xlfn.XLOOKUP(D30,[1]Sheet1!$C:$C,[1]Sheet1!$R:$R)</f>
        <v>Tier 3</v>
      </c>
      <c r="R30" s="1" t="s">
        <v>291</v>
      </c>
    </row>
    <row r="31" spans="1:18">
      <c r="B31" s="1">
        <f t="shared" si="2"/>
        <v>29</v>
      </c>
      <c r="C31" s="1" t="s">
        <v>179</v>
      </c>
      <c r="D31" s="2" t="s">
        <v>253</v>
      </c>
      <c r="G31" s="23"/>
      <c r="H31" s="23"/>
      <c r="J31" s="23"/>
      <c r="K31" s="23"/>
      <c r="M31" s="23"/>
      <c r="N31" s="24"/>
      <c r="O31" s="26"/>
      <c r="P31" s="27"/>
      <c r="Q31" s="1" t="str">
        <f>_xlfn.XLOOKUP(D31,[1]Sheet1!$C:$C,[1]Sheet1!$R:$R)</f>
        <v>Tier 3</v>
      </c>
      <c r="R31" s="1" t="s">
        <v>291</v>
      </c>
    </row>
    <row r="32" spans="1:18">
      <c r="B32" s="1">
        <f t="shared" si="2"/>
        <v>30</v>
      </c>
      <c r="C32" s="1" t="s">
        <v>185</v>
      </c>
      <c r="D32" s="2" t="s">
        <v>259</v>
      </c>
      <c r="G32" s="23"/>
      <c r="H32" s="23"/>
      <c r="J32" s="23"/>
      <c r="K32" s="23"/>
      <c r="M32" s="23"/>
      <c r="N32" s="24"/>
      <c r="O32" s="26"/>
      <c r="P32" s="27"/>
      <c r="Q32" s="1" t="str">
        <f>_xlfn.XLOOKUP(D32,[1]Sheet1!$C:$C,[1]Sheet1!$R:$R)</f>
        <v>Tier 3</v>
      </c>
      <c r="R32" s="1" t="s">
        <v>291</v>
      </c>
    </row>
    <row r="33" spans="1:18">
      <c r="B33" s="1">
        <f t="shared" si="2"/>
        <v>31</v>
      </c>
      <c r="C33" s="1" t="s">
        <v>188</v>
      </c>
      <c r="D33" s="2" t="s">
        <v>262</v>
      </c>
      <c r="G33" s="23"/>
      <c r="H33" s="23"/>
      <c r="J33" s="23"/>
      <c r="K33" s="23"/>
      <c r="M33" s="23"/>
      <c r="N33" s="24"/>
      <c r="O33" s="26"/>
      <c r="P33" s="27"/>
      <c r="Q33" s="1" t="str">
        <f>_xlfn.XLOOKUP(D33,[1]Sheet1!$C:$C,[1]Sheet1!$R:$R)</f>
        <v>Tier 3</v>
      </c>
      <c r="R33" s="1" t="s">
        <v>299</v>
      </c>
    </row>
    <row r="34" spans="1:18">
      <c r="A34" s="1" t="s">
        <v>301</v>
      </c>
      <c r="B34" s="1">
        <f t="shared" si="2"/>
        <v>32</v>
      </c>
      <c r="C34" s="1" t="s">
        <v>71</v>
      </c>
      <c r="D34" s="2" t="s">
        <v>112</v>
      </c>
      <c r="G34" s="23"/>
      <c r="H34" s="23"/>
      <c r="J34" s="23"/>
      <c r="K34" s="23"/>
      <c r="M34" s="23"/>
      <c r="N34" s="24"/>
      <c r="O34" s="26"/>
      <c r="P34" s="27"/>
      <c r="Q34" s="1" t="str">
        <f>_xlfn.XLOOKUP(D34,[1]Sheet1!$C:$C,[1]Sheet1!$R:$R)</f>
        <v>Tier 2</v>
      </c>
      <c r="R34" s="1" t="s">
        <v>293</v>
      </c>
    </row>
    <row r="35" spans="1:18">
      <c r="B35" s="1">
        <f t="shared" si="2"/>
        <v>33</v>
      </c>
      <c r="C35" s="1" t="s">
        <v>80</v>
      </c>
      <c r="D35" s="2" t="s">
        <v>40</v>
      </c>
      <c r="G35" s="23"/>
      <c r="H35" s="23"/>
      <c r="J35" s="23"/>
      <c r="K35" s="23"/>
      <c r="M35" s="23"/>
      <c r="N35" s="24"/>
      <c r="O35" s="26"/>
      <c r="P35" s="27"/>
      <c r="Q35" s="1" t="str">
        <f>_xlfn.XLOOKUP(D35,[1]Sheet1!$C:$C,[1]Sheet1!$R:$R)</f>
        <v>Tier 3</v>
      </c>
      <c r="R35" s="1" t="s">
        <v>293</v>
      </c>
    </row>
    <row r="36" spans="1:18">
      <c r="A36" s="1" t="s">
        <v>301</v>
      </c>
      <c r="B36" s="1">
        <f t="shared" si="2"/>
        <v>34</v>
      </c>
      <c r="C36" s="1" t="s">
        <v>138</v>
      </c>
      <c r="D36" s="2" t="s">
        <v>211</v>
      </c>
      <c r="G36" s="23"/>
      <c r="H36" s="23"/>
      <c r="J36" s="23"/>
      <c r="K36" s="23"/>
      <c r="M36" s="23"/>
      <c r="N36" s="24"/>
      <c r="O36" s="26"/>
      <c r="P36" s="27"/>
      <c r="Q36" s="1" t="str">
        <f>_xlfn.XLOOKUP(D36,[1]Sheet1!$C:$C,[1]Sheet1!$R:$R)</f>
        <v>Tier 1</v>
      </c>
      <c r="R36" s="1" t="s">
        <v>293</v>
      </c>
    </row>
    <row r="37" spans="1:18">
      <c r="B37" s="1">
        <f t="shared" si="2"/>
        <v>35</v>
      </c>
      <c r="C37" s="1" t="s">
        <v>141</v>
      </c>
      <c r="D37" s="2" t="s">
        <v>214</v>
      </c>
      <c r="G37" s="23"/>
      <c r="H37" s="23"/>
      <c r="J37" s="23"/>
      <c r="K37" s="23"/>
      <c r="M37" s="23"/>
      <c r="N37" s="24"/>
      <c r="O37" s="26"/>
      <c r="P37" s="27"/>
      <c r="Q37" s="1" t="str">
        <f>_xlfn.XLOOKUP(D37,[1]Sheet1!$C:$C,[1]Sheet1!$R:$R)</f>
        <v>Tier 1</v>
      </c>
      <c r="R37" s="1" t="s">
        <v>293</v>
      </c>
    </row>
    <row r="38" spans="1:18">
      <c r="B38" s="1">
        <f t="shared" si="2"/>
        <v>36</v>
      </c>
      <c r="C38" s="1" t="s">
        <v>147</v>
      </c>
      <c r="D38" s="2" t="s">
        <v>218</v>
      </c>
      <c r="G38" s="23"/>
      <c r="H38" s="23"/>
      <c r="J38" s="23"/>
      <c r="K38" s="23"/>
      <c r="M38" s="23"/>
      <c r="N38" s="24"/>
      <c r="O38" s="26"/>
      <c r="P38" s="27"/>
      <c r="Q38" s="1" t="str">
        <f>_xlfn.XLOOKUP(D38,[1]Sheet1!$C:$C,[1]Sheet1!$R:$R)</f>
        <v>Tier 2</v>
      </c>
      <c r="R38" s="1" t="s">
        <v>293</v>
      </c>
    </row>
    <row r="39" spans="1:18">
      <c r="B39" s="1">
        <f t="shared" si="2"/>
        <v>37</v>
      </c>
      <c r="C39" s="1" t="s">
        <v>150</v>
      </c>
      <c r="D39" s="2" t="s">
        <v>221</v>
      </c>
      <c r="G39" s="23"/>
      <c r="H39" s="23"/>
      <c r="J39" s="23"/>
      <c r="K39" s="23"/>
      <c r="M39" s="23"/>
      <c r="N39" s="24"/>
      <c r="O39" s="26"/>
      <c r="P39" s="27"/>
      <c r="Q39" s="1" t="str">
        <f>_xlfn.XLOOKUP(D39,[1]Sheet1!$C:$C,[1]Sheet1!$R:$R)</f>
        <v>Tier 2</v>
      </c>
      <c r="R39" s="1" t="s">
        <v>293</v>
      </c>
    </row>
    <row r="40" spans="1:18">
      <c r="B40" s="1">
        <f t="shared" si="2"/>
        <v>38</v>
      </c>
      <c r="C40" s="1" t="s">
        <v>157</v>
      </c>
      <c r="D40" s="2" t="s">
        <v>230</v>
      </c>
      <c r="G40" s="23"/>
      <c r="H40" s="23"/>
      <c r="J40" s="23"/>
      <c r="K40" s="23"/>
      <c r="M40" s="23"/>
      <c r="N40" s="24"/>
      <c r="O40" s="26"/>
      <c r="P40" s="27"/>
      <c r="Q40" s="1" t="str">
        <f>_xlfn.XLOOKUP(D40,[1]Sheet1!$C:$C,[1]Sheet1!$R:$R)</f>
        <v>Tier 2</v>
      </c>
      <c r="R40" s="1" t="s">
        <v>293</v>
      </c>
    </row>
    <row r="41" spans="1:18">
      <c r="B41" s="1">
        <f t="shared" si="2"/>
        <v>39</v>
      </c>
      <c r="C41" s="1" t="s">
        <v>159</v>
      </c>
      <c r="D41" s="2" t="s">
        <v>232</v>
      </c>
      <c r="G41" s="23"/>
      <c r="H41" s="23"/>
      <c r="J41" s="23"/>
      <c r="K41" s="23"/>
      <c r="M41" s="23"/>
      <c r="N41" s="24"/>
      <c r="O41" s="26"/>
      <c r="P41" s="27"/>
      <c r="Q41" s="1" t="str">
        <f>_xlfn.XLOOKUP(D41,[1]Sheet1!$C:$C,[1]Sheet1!$R:$R)</f>
        <v>Tier 2</v>
      </c>
      <c r="R41" s="1" t="s">
        <v>293</v>
      </c>
    </row>
    <row r="42" spans="1:18">
      <c r="B42" s="1">
        <f t="shared" si="2"/>
        <v>40</v>
      </c>
      <c r="C42" s="1" t="s">
        <v>160</v>
      </c>
      <c r="D42" s="2" t="s">
        <v>233</v>
      </c>
      <c r="G42" s="23"/>
      <c r="H42" s="23"/>
      <c r="J42" s="23"/>
      <c r="K42" s="23"/>
      <c r="M42" s="23"/>
      <c r="N42" s="24"/>
      <c r="O42" s="26"/>
      <c r="P42" s="27"/>
      <c r="Q42" s="1" t="str">
        <f>_xlfn.XLOOKUP(D42,[1]Sheet1!$C:$C,[1]Sheet1!$R:$R)</f>
        <v>Tier 2</v>
      </c>
      <c r="R42" s="1" t="s">
        <v>293</v>
      </c>
    </row>
    <row r="43" spans="1:18">
      <c r="A43" s="1" t="s">
        <v>301</v>
      </c>
      <c r="B43" s="1">
        <f t="shared" si="2"/>
        <v>41</v>
      </c>
      <c r="C43" s="1" t="s">
        <v>161</v>
      </c>
      <c r="D43" s="2" t="s">
        <v>234</v>
      </c>
      <c r="G43" s="23"/>
      <c r="H43" s="23"/>
      <c r="J43" s="23"/>
      <c r="K43" s="23"/>
      <c r="M43" s="23"/>
      <c r="N43" s="24"/>
      <c r="O43" s="26"/>
      <c r="P43" s="27"/>
      <c r="Q43" s="1" t="str">
        <f>_xlfn.XLOOKUP(D43,[1]Sheet1!$C:$C,[1]Sheet1!$R:$R)</f>
        <v>Tier 2</v>
      </c>
      <c r="R43" s="1" t="s">
        <v>293</v>
      </c>
    </row>
    <row r="44" spans="1:18">
      <c r="B44" s="1">
        <f t="shared" si="2"/>
        <v>42</v>
      </c>
      <c r="C44" s="1" t="s">
        <v>163</v>
      </c>
      <c r="D44" s="2" t="s">
        <v>237</v>
      </c>
      <c r="G44" s="23"/>
      <c r="H44" s="23"/>
      <c r="J44" s="23"/>
      <c r="K44" s="23"/>
      <c r="M44" s="23"/>
      <c r="N44" s="24"/>
      <c r="O44" s="26"/>
      <c r="P44" s="27"/>
      <c r="Q44" s="1" t="str">
        <f>_xlfn.XLOOKUP(D44,[1]Sheet1!$C:$C,[1]Sheet1!$R:$R)</f>
        <v>Tier 2</v>
      </c>
      <c r="R44" s="1" t="s">
        <v>293</v>
      </c>
    </row>
    <row r="45" spans="1:18">
      <c r="B45" s="1">
        <f t="shared" si="2"/>
        <v>43</v>
      </c>
      <c r="C45" s="1" t="s">
        <v>168</v>
      </c>
      <c r="D45" s="2" t="s">
        <v>242</v>
      </c>
      <c r="G45" s="23"/>
      <c r="H45" s="23"/>
      <c r="J45" s="23"/>
      <c r="K45" s="23"/>
      <c r="M45" s="23"/>
      <c r="N45" s="24"/>
      <c r="O45" s="26"/>
      <c r="P45" s="27"/>
      <c r="Q45" s="1" t="str">
        <f>_xlfn.XLOOKUP(D45,[1]Sheet1!$C:$C,[1]Sheet1!$R:$R)</f>
        <v>Tier 3</v>
      </c>
      <c r="R45" s="1" t="s">
        <v>293</v>
      </c>
    </row>
    <row r="46" spans="1:18">
      <c r="B46" s="1">
        <f t="shared" si="2"/>
        <v>44</v>
      </c>
      <c r="C46" s="1" t="s">
        <v>171</v>
      </c>
      <c r="D46" s="2" t="s">
        <v>245</v>
      </c>
      <c r="G46" s="23"/>
      <c r="H46" s="23"/>
      <c r="J46" s="23"/>
      <c r="K46" s="23"/>
      <c r="M46" s="23"/>
      <c r="N46" s="24"/>
      <c r="O46" s="26"/>
      <c r="P46" s="27"/>
      <c r="Q46" s="1" t="str">
        <f>_xlfn.XLOOKUP(D46,[1]Sheet1!$C:$C,[1]Sheet1!$R:$R)</f>
        <v>Tier 3</v>
      </c>
      <c r="R46" s="1" t="s">
        <v>293</v>
      </c>
    </row>
    <row r="47" spans="1:18">
      <c r="B47" s="1">
        <f t="shared" si="2"/>
        <v>45</v>
      </c>
      <c r="C47" s="1" t="s">
        <v>174</v>
      </c>
      <c r="D47" s="2" t="s">
        <v>248</v>
      </c>
      <c r="G47" s="23"/>
      <c r="H47" s="23"/>
      <c r="J47" s="23"/>
      <c r="K47" s="23"/>
      <c r="M47" s="23"/>
      <c r="N47" s="24"/>
      <c r="O47" s="26"/>
      <c r="P47" s="27"/>
      <c r="Q47" s="1" t="str">
        <f>_xlfn.XLOOKUP(D47,[1]Sheet1!$C:$C,[1]Sheet1!$R:$R)</f>
        <v>Tier 3</v>
      </c>
      <c r="R47" s="1" t="s">
        <v>293</v>
      </c>
    </row>
    <row r="48" spans="1:18">
      <c r="B48" s="1">
        <f t="shared" si="2"/>
        <v>46</v>
      </c>
      <c r="C48" s="1" t="s">
        <v>177</v>
      </c>
      <c r="D48" s="2" t="s">
        <v>251</v>
      </c>
      <c r="G48" s="23"/>
      <c r="H48" s="23"/>
      <c r="J48" s="23"/>
      <c r="K48" s="23"/>
      <c r="M48" s="23"/>
      <c r="N48" s="24"/>
      <c r="O48" s="26"/>
      <c r="P48" s="27"/>
      <c r="Q48" s="1" t="str">
        <f>_xlfn.XLOOKUP(D48,[1]Sheet1!$C:$C,[1]Sheet1!$R:$R)</f>
        <v>Tier 3</v>
      </c>
      <c r="R48" s="1" t="s">
        <v>293</v>
      </c>
    </row>
    <row r="49" spans="1:18">
      <c r="B49" s="1">
        <f t="shared" si="2"/>
        <v>47</v>
      </c>
      <c r="C49" s="1" t="s">
        <v>180</v>
      </c>
      <c r="D49" s="2" t="s">
        <v>254</v>
      </c>
      <c r="G49" s="23"/>
      <c r="H49" s="23"/>
      <c r="J49" s="23"/>
      <c r="K49" s="23"/>
      <c r="M49" s="23"/>
      <c r="N49" s="24"/>
      <c r="O49" s="26"/>
      <c r="P49" s="27"/>
      <c r="Q49" s="1" t="str">
        <f>_xlfn.XLOOKUP(D49,[1]Sheet1!$C:$C,[1]Sheet1!$R:$R)</f>
        <v>Tier 3</v>
      </c>
      <c r="R49" s="1" t="s">
        <v>293</v>
      </c>
    </row>
    <row r="50" spans="1:18">
      <c r="B50" s="1">
        <f t="shared" si="2"/>
        <v>48</v>
      </c>
      <c r="C50" s="1" t="s">
        <v>181</v>
      </c>
      <c r="D50" s="2" t="s">
        <v>255</v>
      </c>
      <c r="G50" s="23"/>
      <c r="H50" s="23"/>
      <c r="J50" s="23"/>
      <c r="K50" s="23"/>
      <c r="M50" s="23"/>
      <c r="N50" s="24"/>
      <c r="O50" s="26"/>
      <c r="P50" s="27"/>
      <c r="Q50" s="1" t="str">
        <f>_xlfn.XLOOKUP(D50,[1]Sheet1!$C:$C,[1]Sheet1!$R:$R)</f>
        <v>Tier 3</v>
      </c>
      <c r="R50" s="1" t="s">
        <v>293</v>
      </c>
    </row>
    <row r="51" spans="1:18">
      <c r="B51" s="1">
        <f t="shared" si="2"/>
        <v>49</v>
      </c>
      <c r="C51" s="1" t="s">
        <v>182</v>
      </c>
      <c r="D51" s="2" t="s">
        <v>256</v>
      </c>
      <c r="G51" s="23"/>
      <c r="H51" s="23"/>
      <c r="J51" s="23"/>
      <c r="K51" s="23"/>
      <c r="M51" s="23"/>
      <c r="N51" s="24"/>
      <c r="O51" s="26"/>
      <c r="P51" s="27"/>
      <c r="Q51" s="1" t="str">
        <f>_xlfn.XLOOKUP(D51,[1]Sheet1!$C:$C,[1]Sheet1!$R:$R)</f>
        <v>Tier 3</v>
      </c>
      <c r="R51" s="1" t="s">
        <v>293</v>
      </c>
    </row>
    <row r="52" spans="1:18">
      <c r="B52" s="1">
        <f t="shared" si="2"/>
        <v>50</v>
      </c>
      <c r="C52" s="1" t="s">
        <v>183</v>
      </c>
      <c r="D52" s="2" t="s">
        <v>257</v>
      </c>
      <c r="G52" s="23"/>
      <c r="H52" s="23"/>
      <c r="J52" s="23"/>
      <c r="K52" s="23"/>
      <c r="M52" s="23"/>
      <c r="N52" s="24"/>
      <c r="O52" s="26"/>
      <c r="P52" s="27"/>
      <c r="Q52" s="1" t="str">
        <f>_xlfn.XLOOKUP(D52,[1]Sheet1!$C:$C,[1]Sheet1!$R:$R)</f>
        <v>Tier 3</v>
      </c>
      <c r="R52" s="1" t="s">
        <v>293</v>
      </c>
    </row>
    <row r="53" spans="1:18">
      <c r="B53" s="1">
        <f t="shared" si="2"/>
        <v>51</v>
      </c>
      <c r="C53" s="1" t="s">
        <v>184</v>
      </c>
      <c r="D53" s="2" t="s">
        <v>258</v>
      </c>
      <c r="G53" s="23"/>
      <c r="H53" s="23"/>
      <c r="J53" s="23"/>
      <c r="K53" s="23"/>
      <c r="M53" s="23"/>
      <c r="N53" s="24"/>
      <c r="O53" s="26"/>
      <c r="P53" s="27"/>
      <c r="Q53" s="1" t="str">
        <f>_xlfn.XLOOKUP(D53,[1]Sheet1!$C:$C,[1]Sheet1!$R:$R)</f>
        <v>Tier 3</v>
      </c>
      <c r="R53" s="1" t="s">
        <v>293</v>
      </c>
    </row>
    <row r="54" spans="1:18">
      <c r="B54" s="1">
        <f t="shared" si="2"/>
        <v>52</v>
      </c>
      <c r="C54" s="1" t="s">
        <v>187</v>
      </c>
      <c r="D54" s="2" t="s">
        <v>261</v>
      </c>
      <c r="G54" s="23"/>
      <c r="H54" s="23"/>
      <c r="J54" s="23"/>
      <c r="K54" s="23"/>
      <c r="M54" s="23"/>
      <c r="N54" s="24"/>
      <c r="O54" s="26"/>
      <c r="P54" s="27"/>
      <c r="Q54" s="1" t="str">
        <f>_xlfn.XLOOKUP(D54,[1]Sheet1!$C:$C,[1]Sheet1!$R:$R)</f>
        <v>Tier 3</v>
      </c>
      <c r="R54" s="1" t="s">
        <v>293</v>
      </c>
    </row>
    <row r="55" spans="1:18">
      <c r="B55" s="1">
        <f t="shared" si="2"/>
        <v>53</v>
      </c>
      <c r="C55" s="1" t="s">
        <v>189</v>
      </c>
      <c r="D55" s="2" t="s">
        <v>263</v>
      </c>
      <c r="G55" s="23"/>
      <c r="H55" s="23"/>
      <c r="J55" s="23"/>
      <c r="K55" s="23"/>
      <c r="M55" s="23"/>
      <c r="N55" s="24"/>
      <c r="O55" s="26"/>
      <c r="P55" s="27"/>
      <c r="Q55" s="1" t="str">
        <f>_xlfn.XLOOKUP(D55,[1]Sheet1!$C:$C,[1]Sheet1!$R:$R)</f>
        <v>Tier 3</v>
      </c>
      <c r="R55" s="1" t="s">
        <v>293</v>
      </c>
    </row>
    <row r="56" spans="1:18">
      <c r="B56" s="1">
        <f t="shared" si="2"/>
        <v>54</v>
      </c>
      <c r="C56" s="1" t="s">
        <v>190</v>
      </c>
      <c r="D56" s="2" t="s">
        <v>264</v>
      </c>
      <c r="G56" s="23"/>
      <c r="H56" s="23"/>
      <c r="J56" s="23"/>
      <c r="K56" s="23"/>
      <c r="M56" s="23"/>
      <c r="N56" s="24"/>
      <c r="O56" s="26"/>
      <c r="P56" s="27"/>
      <c r="Q56" s="1" t="str">
        <f>_xlfn.XLOOKUP(D56,[1]Sheet1!$C:$C,[1]Sheet1!$R:$R)</f>
        <v>Tier 3</v>
      </c>
      <c r="R56" s="1" t="s">
        <v>293</v>
      </c>
    </row>
    <row r="57" spans="1:18">
      <c r="B57" s="1">
        <f t="shared" si="2"/>
        <v>55</v>
      </c>
      <c r="C57" s="1" t="s">
        <v>191</v>
      </c>
      <c r="D57" s="2" t="s">
        <v>265</v>
      </c>
      <c r="G57" s="23"/>
      <c r="H57" s="23"/>
      <c r="J57" s="23"/>
      <c r="K57" s="23"/>
      <c r="M57" s="23"/>
      <c r="N57" s="24"/>
      <c r="O57" s="26"/>
      <c r="P57" s="27"/>
      <c r="Q57" s="1" t="str">
        <f>_xlfn.XLOOKUP(D57,[1]Sheet1!$C:$C,[1]Sheet1!$R:$R)</f>
        <v>Tier 3</v>
      </c>
      <c r="R57" s="1" t="s">
        <v>293</v>
      </c>
    </row>
    <row r="58" spans="1:18">
      <c r="B58" s="1">
        <f t="shared" si="2"/>
        <v>56</v>
      </c>
      <c r="C58" s="1" t="s">
        <v>193</v>
      </c>
      <c r="D58" s="2" t="s">
        <v>267</v>
      </c>
      <c r="G58" s="23"/>
      <c r="H58" s="23"/>
      <c r="J58" s="23"/>
      <c r="K58" s="23"/>
      <c r="M58" s="23"/>
      <c r="N58" s="24"/>
      <c r="O58" s="26"/>
      <c r="P58" s="27"/>
      <c r="Q58" s="1" t="str">
        <f>_xlfn.XLOOKUP(D58,[1]Sheet1!$C:$C,[1]Sheet1!$R:$R)</f>
        <v>Tier 3</v>
      </c>
      <c r="R58" s="1" t="s">
        <v>293</v>
      </c>
    </row>
    <row r="59" spans="1:18">
      <c r="A59" s="1" t="s">
        <v>301</v>
      </c>
      <c r="B59" s="1">
        <f t="shared" si="2"/>
        <v>57</v>
      </c>
      <c r="C59" s="1" t="s">
        <v>62</v>
      </c>
      <c r="D59" s="2" t="s">
        <v>104</v>
      </c>
      <c r="G59" s="23"/>
      <c r="H59" s="23"/>
      <c r="J59" s="23"/>
      <c r="K59" s="23"/>
      <c r="M59" s="23"/>
      <c r="N59" s="24"/>
      <c r="O59" s="26"/>
      <c r="P59" s="27"/>
      <c r="Q59" s="1" t="str">
        <f>_xlfn.XLOOKUP(D59,[1]Sheet1!$C:$C,[1]Sheet1!$R:$R)</f>
        <v>Tier 1</v>
      </c>
      <c r="R59" s="1" t="s">
        <v>292</v>
      </c>
    </row>
    <row r="60" spans="1:18">
      <c r="B60" s="1">
        <f t="shared" si="2"/>
        <v>58</v>
      </c>
      <c r="C60" s="1" t="s">
        <v>69</v>
      </c>
      <c r="D60" s="2" t="s">
        <v>110</v>
      </c>
      <c r="G60" s="23"/>
      <c r="H60" s="23"/>
      <c r="J60" s="23"/>
      <c r="K60" s="23"/>
      <c r="M60" s="23"/>
      <c r="N60" s="24"/>
      <c r="O60" s="26"/>
      <c r="P60" s="27"/>
      <c r="Q60" s="1" t="str">
        <f>_xlfn.XLOOKUP(D60,[1]Sheet1!$C:$C,[1]Sheet1!$R:$R)</f>
        <v>Tier 2</v>
      </c>
      <c r="R60" s="1" t="s">
        <v>292</v>
      </c>
    </row>
    <row r="61" spans="1:18">
      <c r="B61" s="1">
        <f t="shared" si="2"/>
        <v>59</v>
      </c>
      <c r="C61" s="1" t="s">
        <v>128</v>
      </c>
      <c r="D61" s="2" t="s">
        <v>201</v>
      </c>
      <c r="G61" s="23"/>
      <c r="H61" s="23"/>
      <c r="J61" s="23"/>
      <c r="K61" s="23"/>
      <c r="M61" s="23"/>
      <c r="N61" s="24"/>
      <c r="O61" s="26"/>
      <c r="P61" s="27"/>
      <c r="Q61" s="1" t="str">
        <f>_xlfn.XLOOKUP(D61,[1]Sheet1!$C:$C,[1]Sheet1!$R:$R)</f>
        <v>Tier 1</v>
      </c>
      <c r="R61" s="1" t="s">
        <v>292</v>
      </c>
    </row>
    <row r="62" spans="1:18">
      <c r="B62" s="1">
        <f t="shared" si="2"/>
        <v>60</v>
      </c>
      <c r="C62" s="1" t="s">
        <v>129</v>
      </c>
      <c r="D62" s="2" t="s">
        <v>202</v>
      </c>
      <c r="G62" s="23"/>
      <c r="H62" s="23"/>
      <c r="J62" s="23"/>
      <c r="K62" s="23"/>
      <c r="M62" s="23"/>
      <c r="N62" s="24"/>
      <c r="O62" s="26"/>
      <c r="P62" s="27"/>
      <c r="Q62" s="1" t="str">
        <f>_xlfn.XLOOKUP(D62,[1]Sheet1!$C:$C,[1]Sheet1!$R:$R)</f>
        <v>Tier 1</v>
      </c>
      <c r="R62" s="1" t="s">
        <v>292</v>
      </c>
    </row>
    <row r="63" spans="1:18">
      <c r="B63" s="1">
        <f t="shared" si="2"/>
        <v>61</v>
      </c>
      <c r="C63" s="1" t="s">
        <v>133</v>
      </c>
      <c r="D63" s="2" t="s">
        <v>206</v>
      </c>
      <c r="G63" s="23"/>
      <c r="H63" s="23"/>
      <c r="J63" s="23"/>
      <c r="K63" s="23"/>
      <c r="M63" s="23"/>
      <c r="N63" s="24"/>
      <c r="O63" s="26"/>
      <c r="P63" s="27"/>
      <c r="Q63" s="1" t="str">
        <f>_xlfn.XLOOKUP(D63,[1]Sheet1!$C:$C,[1]Sheet1!$R:$R)</f>
        <v>Tier 1</v>
      </c>
      <c r="R63" s="1" t="s">
        <v>292</v>
      </c>
    </row>
    <row r="64" spans="1:18">
      <c r="B64" s="1">
        <f t="shared" si="2"/>
        <v>62</v>
      </c>
      <c r="C64" s="1" t="s">
        <v>135</v>
      </c>
      <c r="D64" s="2" t="s">
        <v>208</v>
      </c>
      <c r="G64" s="23"/>
      <c r="H64" s="23"/>
      <c r="J64" s="23"/>
      <c r="K64" s="23"/>
      <c r="M64" s="23"/>
      <c r="N64" s="24"/>
      <c r="O64" s="26"/>
      <c r="P64" s="27"/>
      <c r="Q64" s="1" t="str">
        <f>_xlfn.XLOOKUP(D64,[1]Sheet1!$C:$C,[1]Sheet1!$R:$R)</f>
        <v>Tier 1</v>
      </c>
      <c r="R64" s="1" t="s">
        <v>292</v>
      </c>
    </row>
    <row r="65" spans="1:19">
      <c r="B65" s="1">
        <f t="shared" si="2"/>
        <v>63</v>
      </c>
      <c r="C65" s="1" t="s">
        <v>140</v>
      </c>
      <c r="D65" s="2" t="s">
        <v>213</v>
      </c>
      <c r="G65" s="23"/>
      <c r="H65" s="23"/>
      <c r="J65" s="23"/>
      <c r="K65" s="23"/>
      <c r="M65" s="23"/>
      <c r="N65" s="24"/>
      <c r="O65" s="26"/>
      <c r="P65" s="27"/>
      <c r="Q65" s="1" t="str">
        <f>_xlfn.XLOOKUP(D65,[1]Sheet1!$C:$C,[1]Sheet1!$R:$R)</f>
        <v>Tier 1</v>
      </c>
      <c r="R65" s="1" t="s">
        <v>292</v>
      </c>
    </row>
    <row r="66" spans="1:19">
      <c r="A66" s="1" t="s">
        <v>301</v>
      </c>
      <c r="B66" s="1">
        <f t="shared" si="2"/>
        <v>64</v>
      </c>
      <c r="C66" s="1" t="s">
        <v>142</v>
      </c>
      <c r="D66" s="2" t="s">
        <v>215</v>
      </c>
      <c r="G66" s="23"/>
      <c r="H66" s="23"/>
      <c r="J66" s="23"/>
      <c r="K66" s="23"/>
      <c r="M66" s="23"/>
      <c r="N66" s="24"/>
      <c r="O66" s="26"/>
      <c r="P66" s="27"/>
      <c r="Q66" s="1" t="str">
        <f>_xlfn.XLOOKUP(D66,[1]Sheet1!$C:$C,[1]Sheet1!$R:$R)</f>
        <v>Tier 1</v>
      </c>
      <c r="R66" s="1" t="s">
        <v>292</v>
      </c>
    </row>
    <row r="67" spans="1:19">
      <c r="B67" s="1">
        <f t="shared" si="2"/>
        <v>65</v>
      </c>
      <c r="C67" s="1" t="s">
        <v>145</v>
      </c>
      <c r="D67" s="2" t="s">
        <v>225</v>
      </c>
      <c r="G67" s="23"/>
      <c r="H67" s="23"/>
      <c r="J67" s="23"/>
      <c r="K67" s="23"/>
      <c r="M67" s="23"/>
      <c r="N67" s="24"/>
      <c r="O67" s="26"/>
      <c r="P67" s="27"/>
      <c r="Q67" s="1" t="str">
        <f>_xlfn.XLOOKUP(D67,[1]Sheet1!$C:$C,[1]Sheet1!$R:$R)</f>
        <v>Tier 2</v>
      </c>
      <c r="R67" s="1" t="s">
        <v>292</v>
      </c>
    </row>
    <row r="68" spans="1:19">
      <c r="A68" s="1" t="s">
        <v>301</v>
      </c>
      <c r="B68" s="1">
        <f t="shared" si="2"/>
        <v>66</v>
      </c>
      <c r="C68" s="1" t="s">
        <v>154</v>
      </c>
      <c r="D68" s="2" t="s">
        <v>226</v>
      </c>
      <c r="G68" s="23"/>
      <c r="H68" s="23"/>
      <c r="J68" s="23"/>
      <c r="K68" s="23"/>
      <c r="M68" s="23"/>
      <c r="N68" s="24"/>
      <c r="O68" s="26"/>
      <c r="P68" s="27"/>
      <c r="Q68" s="1" t="str">
        <f>_xlfn.XLOOKUP(D68,[1]Sheet1!$C:$C,[1]Sheet1!$R:$R)</f>
        <v>Tier 2</v>
      </c>
      <c r="R68" s="1" t="s">
        <v>292</v>
      </c>
    </row>
    <row r="69" spans="1:19">
      <c r="B69" s="1">
        <f t="shared" ref="B69:B131" si="3">+B68+1</f>
        <v>67</v>
      </c>
      <c r="C69" s="1" t="s">
        <v>158</v>
      </c>
      <c r="D69" s="2" t="s">
        <v>231</v>
      </c>
      <c r="G69" s="23"/>
      <c r="H69" s="23"/>
      <c r="J69" s="23"/>
      <c r="K69" s="23"/>
      <c r="M69" s="23"/>
      <c r="N69" s="24"/>
      <c r="O69" s="26"/>
      <c r="P69" s="27"/>
      <c r="Q69" s="1" t="str">
        <f>_xlfn.XLOOKUP(D69,[1]Sheet1!$C:$C,[1]Sheet1!$R:$R)</f>
        <v>Tier 2</v>
      </c>
      <c r="R69" s="1" t="s">
        <v>292</v>
      </c>
    </row>
    <row r="70" spans="1:19">
      <c r="B70" s="1">
        <f t="shared" si="3"/>
        <v>68</v>
      </c>
      <c r="C70" s="1" t="s">
        <v>162</v>
      </c>
      <c r="D70" s="2" t="s">
        <v>236</v>
      </c>
      <c r="G70" s="23"/>
      <c r="H70" s="23"/>
      <c r="J70" s="23"/>
      <c r="K70" s="23"/>
      <c r="M70" s="23"/>
      <c r="N70" s="24"/>
      <c r="O70" s="26"/>
      <c r="P70" s="27"/>
      <c r="Q70" s="1" t="str">
        <f>_xlfn.XLOOKUP(D70,[1]Sheet1!$C:$C,[1]Sheet1!$R:$R)</f>
        <v>Tier 2</v>
      </c>
      <c r="R70" s="1" t="s">
        <v>292</v>
      </c>
    </row>
    <row r="71" spans="1:19">
      <c r="B71" s="1">
        <f t="shared" si="3"/>
        <v>69</v>
      </c>
      <c r="C71" s="1" t="s">
        <v>166</v>
      </c>
      <c r="D71" s="2" t="s">
        <v>240</v>
      </c>
      <c r="G71" s="23"/>
      <c r="H71" s="23"/>
      <c r="J71" s="23"/>
      <c r="K71" s="23"/>
      <c r="M71" s="23"/>
      <c r="N71" s="24"/>
      <c r="O71" s="26"/>
      <c r="P71" s="27"/>
      <c r="Q71" s="1" t="str">
        <f>_xlfn.XLOOKUP(D71,[1]Sheet1!$C:$C,[1]Sheet1!$R:$R)</f>
        <v>Tier 3</v>
      </c>
      <c r="R71" s="1" t="s">
        <v>292</v>
      </c>
    </row>
    <row r="72" spans="1:19">
      <c r="A72" s="1" t="s">
        <v>301</v>
      </c>
      <c r="B72" s="1">
        <f t="shared" si="3"/>
        <v>70</v>
      </c>
      <c r="C72" s="1" t="s">
        <v>167</v>
      </c>
      <c r="D72" s="2" t="s">
        <v>241</v>
      </c>
      <c r="G72" s="23"/>
      <c r="H72" s="23"/>
      <c r="J72" s="23"/>
      <c r="K72" s="23"/>
      <c r="M72" s="23"/>
      <c r="N72" s="24"/>
      <c r="O72" s="26"/>
      <c r="P72" s="27"/>
      <c r="Q72" s="1" t="str">
        <f>_xlfn.XLOOKUP(D72,[1]Sheet1!$C:$C,[1]Sheet1!$R:$R)</f>
        <v>Tier 3</v>
      </c>
      <c r="R72" s="1" t="s">
        <v>292</v>
      </c>
    </row>
    <row r="73" spans="1:19">
      <c r="B73" s="1">
        <f t="shared" si="3"/>
        <v>71</v>
      </c>
      <c r="C73" s="1" t="s">
        <v>170</v>
      </c>
      <c r="D73" s="2" t="s">
        <v>244</v>
      </c>
      <c r="G73" s="23"/>
      <c r="H73" s="23"/>
      <c r="J73" s="23"/>
      <c r="K73" s="23"/>
      <c r="M73" s="23"/>
      <c r="N73" s="24"/>
      <c r="O73" s="26"/>
      <c r="P73" s="27"/>
      <c r="Q73" s="1" t="str">
        <f>_xlfn.XLOOKUP(D73,[1]Sheet1!$C:$C,[1]Sheet1!$R:$R)</f>
        <v>Tier 3</v>
      </c>
      <c r="R73" s="1" t="s">
        <v>292</v>
      </c>
    </row>
    <row r="74" spans="1:19">
      <c r="B74" s="1">
        <f t="shared" si="3"/>
        <v>72</v>
      </c>
      <c r="C74" s="1" t="s">
        <v>173</v>
      </c>
      <c r="D74" s="2" t="s">
        <v>247</v>
      </c>
      <c r="G74" s="23"/>
      <c r="H74" s="23"/>
      <c r="J74" s="23"/>
      <c r="K74" s="23"/>
      <c r="M74" s="23"/>
      <c r="N74" s="24"/>
      <c r="O74" s="26"/>
      <c r="P74" s="27"/>
      <c r="Q74" s="1" t="str">
        <f>_xlfn.XLOOKUP(D74,[1]Sheet1!$C:$C,[1]Sheet1!$R:$R)</f>
        <v>Tier 3</v>
      </c>
      <c r="R74" s="1" t="s">
        <v>292</v>
      </c>
    </row>
    <row r="75" spans="1:19">
      <c r="B75" s="1">
        <f t="shared" si="3"/>
        <v>73</v>
      </c>
      <c r="C75" s="1" t="s">
        <v>176</v>
      </c>
      <c r="D75" s="2" t="s">
        <v>250</v>
      </c>
      <c r="G75" s="23"/>
      <c r="H75" s="23"/>
      <c r="J75" s="23"/>
      <c r="K75" s="23"/>
      <c r="M75" s="23"/>
      <c r="N75" s="24"/>
      <c r="O75" s="26"/>
      <c r="P75" s="27"/>
      <c r="Q75" s="1" t="str">
        <f>_xlfn.XLOOKUP(D75,[1]Sheet1!$C:$C,[1]Sheet1!$R:$R)</f>
        <v>Tier 3</v>
      </c>
      <c r="R75" s="1" t="s">
        <v>292</v>
      </c>
    </row>
    <row r="76" spans="1:19">
      <c r="B76" s="1">
        <f t="shared" si="3"/>
        <v>74</v>
      </c>
      <c r="C76" s="1" t="s">
        <v>45</v>
      </c>
      <c r="D76" s="2" t="s">
        <v>87</v>
      </c>
      <c r="G76" s="23">
        <v>82.02</v>
      </c>
      <c r="H76" s="23">
        <v>83.836843000000002</v>
      </c>
      <c r="I76" s="8">
        <f t="shared" ref="I76:I82" si="4">+IF(H76 = "", "", G76*H76)</f>
        <v>6876.2978628599994</v>
      </c>
      <c r="J76" s="23"/>
      <c r="K76" s="23"/>
      <c r="L76" s="8">
        <f t="shared" ref="L76:L82" si="5">IF(I76 = "", "", I76-J76+K76)</f>
        <v>6876.2978628599994</v>
      </c>
      <c r="M76" s="25"/>
      <c r="N76" s="24">
        <v>2.4300000000000002</v>
      </c>
      <c r="O76" s="26"/>
      <c r="P76" s="27"/>
      <c r="Q76" s="1" t="str">
        <f>_xlfn.XLOOKUP(D76,[1]Sheet1!$C:$C,[1]Sheet1!$R:$R)</f>
        <v>Tier 1</v>
      </c>
      <c r="R76" s="1" t="s">
        <v>289</v>
      </c>
      <c r="S76" s="6"/>
    </row>
    <row r="77" spans="1:19">
      <c r="B77" s="1">
        <f t="shared" si="3"/>
        <v>75</v>
      </c>
      <c r="C77" s="1" t="s">
        <v>46</v>
      </c>
      <c r="D77" s="2" t="s">
        <v>88</v>
      </c>
      <c r="G77" s="23">
        <v>90.05</v>
      </c>
      <c r="H77" s="23">
        <v>505.76925599999998</v>
      </c>
      <c r="I77" s="8">
        <f t="shared" si="4"/>
        <v>45544.521502799995</v>
      </c>
      <c r="J77" s="23"/>
      <c r="K77" s="23"/>
      <c r="L77" s="8">
        <f t="shared" si="5"/>
        <v>45544.521502799995</v>
      </c>
      <c r="M77" s="23"/>
      <c r="N77" s="24">
        <v>1.3</v>
      </c>
      <c r="O77" s="26"/>
      <c r="P77" s="27"/>
      <c r="Q77" s="1" t="str">
        <f>_xlfn.XLOOKUP(D77,[1]Sheet1!$C:$C,[1]Sheet1!$R:$R)</f>
        <v>Tier 1</v>
      </c>
      <c r="R77" s="1" t="s">
        <v>289</v>
      </c>
      <c r="S77" s="1" t="s">
        <v>300</v>
      </c>
    </row>
    <row r="78" spans="1:19">
      <c r="B78" s="1">
        <f t="shared" si="3"/>
        <v>76</v>
      </c>
      <c r="C78" s="1" t="s">
        <v>47</v>
      </c>
      <c r="D78" s="2" t="s">
        <v>89</v>
      </c>
      <c r="G78" s="23">
        <v>24.15</v>
      </c>
      <c r="H78" s="23">
        <v>19.335079</v>
      </c>
      <c r="I78" s="8">
        <f t="shared" si="4"/>
        <v>466.94215785</v>
      </c>
      <c r="J78" s="23"/>
      <c r="K78" s="23"/>
      <c r="L78" s="8">
        <f t="shared" si="5"/>
        <v>466.94215785</v>
      </c>
      <c r="M78" s="23"/>
      <c r="N78" s="24">
        <v>0.752</v>
      </c>
      <c r="O78" s="26"/>
      <c r="P78" s="27"/>
      <c r="Q78" s="1" t="str">
        <f>_xlfn.XLOOKUP(D78,[1]Sheet1!$C:$C,[1]Sheet1!$R:$R)</f>
        <v>Tier 2</v>
      </c>
      <c r="R78" s="1" t="s">
        <v>289</v>
      </c>
    </row>
    <row r="79" spans="1:19">
      <c r="B79" s="1">
        <f t="shared" si="3"/>
        <v>77</v>
      </c>
      <c r="C79" s="1" t="s">
        <v>48</v>
      </c>
      <c r="D79" s="2" t="s">
        <v>90</v>
      </c>
      <c r="G79" s="23">
        <v>16.489999999999998</v>
      </c>
      <c r="H79" s="23">
        <f>10510/G79</f>
        <v>637.35597331716201</v>
      </c>
      <c r="I79" s="8">
        <f t="shared" si="4"/>
        <v>10510</v>
      </c>
      <c r="J79" s="23"/>
      <c r="K79" s="23"/>
      <c r="L79" s="8">
        <f t="shared" si="5"/>
        <v>10510</v>
      </c>
      <c r="M79" s="23"/>
      <c r="N79" s="24">
        <v>1.8926706284891051</v>
      </c>
      <c r="O79" s="26"/>
      <c r="P79" s="27"/>
      <c r="Q79" s="1" t="str">
        <f>_xlfn.XLOOKUP(D79,[1]Sheet1!$C:$C,[1]Sheet1!$R:$R)</f>
        <v>Tier 1</v>
      </c>
      <c r="R79" s="1" t="s">
        <v>289</v>
      </c>
    </row>
    <row r="80" spans="1:19">
      <c r="B80" s="1">
        <f t="shared" si="3"/>
        <v>78</v>
      </c>
      <c r="C80" s="1" t="s">
        <v>49</v>
      </c>
      <c r="D80" s="2" t="s">
        <v>91</v>
      </c>
      <c r="G80" s="23">
        <v>35.86</v>
      </c>
      <c r="H80" s="23"/>
      <c r="I80" s="8" t="str">
        <f t="shared" si="4"/>
        <v/>
      </c>
      <c r="J80" s="23"/>
      <c r="K80" s="23"/>
      <c r="L80" s="8" t="str">
        <f t="shared" si="5"/>
        <v/>
      </c>
      <c r="M80" s="23"/>
      <c r="N80" s="24"/>
      <c r="O80" s="26"/>
      <c r="P80" s="27"/>
      <c r="Q80" s="1" t="str">
        <f>_xlfn.XLOOKUP(D80,[1]Sheet1!$C:$C,[1]Sheet1!$R:$R)</f>
        <v>Tier 1</v>
      </c>
      <c r="R80" s="1" t="s">
        <v>289</v>
      </c>
      <c r="S80" s="14"/>
    </row>
    <row r="81" spans="2:19">
      <c r="B81" s="1">
        <f t="shared" si="3"/>
        <v>79</v>
      </c>
      <c r="C81" s="1" t="s">
        <v>50</v>
      </c>
      <c r="D81" s="2" t="s">
        <v>92</v>
      </c>
      <c r="G81" s="23"/>
      <c r="H81" s="23"/>
      <c r="I81" s="8" t="str">
        <f t="shared" si="4"/>
        <v/>
      </c>
      <c r="J81" s="23"/>
      <c r="K81" s="23"/>
      <c r="L81" s="8" t="str">
        <f t="shared" si="5"/>
        <v/>
      </c>
      <c r="M81" s="23"/>
      <c r="N81" s="24"/>
      <c r="O81" s="26"/>
      <c r="P81" s="27"/>
      <c r="Q81" s="1" t="str">
        <f>_xlfn.XLOOKUP(D81,[1]Sheet1!$C:$C,[1]Sheet1!$R:$R)</f>
        <v>Tier 2</v>
      </c>
      <c r="R81" s="1" t="s">
        <v>289</v>
      </c>
    </row>
    <row r="82" spans="2:19">
      <c r="B82" s="1">
        <f t="shared" si="3"/>
        <v>80</v>
      </c>
      <c r="C82" s="1" t="s">
        <v>51</v>
      </c>
      <c r="D82" s="2" t="s">
        <v>93</v>
      </c>
      <c r="G82" s="23"/>
      <c r="H82" s="23"/>
      <c r="I82" s="8" t="str">
        <f t="shared" si="4"/>
        <v/>
      </c>
      <c r="J82" s="23"/>
      <c r="K82" s="23"/>
      <c r="L82" s="8" t="str">
        <f t="shared" si="5"/>
        <v/>
      </c>
      <c r="M82" s="23"/>
      <c r="N82" s="24"/>
      <c r="O82" s="26"/>
      <c r="P82" s="27"/>
      <c r="Q82" s="1" t="str">
        <f>_xlfn.XLOOKUP(D82,[1]Sheet1!$C:$C,[1]Sheet1!$R:$R)</f>
        <v>Tier 3</v>
      </c>
      <c r="R82" s="1" t="s">
        <v>289</v>
      </c>
    </row>
    <row r="83" spans="2:19">
      <c r="B83" s="1">
        <f t="shared" si="3"/>
        <v>81</v>
      </c>
      <c r="C83" s="1" t="s">
        <v>52</v>
      </c>
      <c r="D83" s="2" t="s">
        <v>94</v>
      </c>
      <c r="G83" s="23"/>
      <c r="H83" s="23"/>
      <c r="I83" s="8" t="str">
        <f t="shared" ref="I83:I111" si="6">+IF(H83 = "", "", G83*H83)</f>
        <v/>
      </c>
      <c r="J83" s="23"/>
      <c r="K83" s="23"/>
      <c r="L83" s="8" t="str">
        <f t="shared" ref="L83:L111" si="7">IF(I83 = "", "", I83-J83+K83)</f>
        <v/>
      </c>
      <c r="M83" s="23"/>
      <c r="N83" s="24"/>
      <c r="O83" s="26"/>
      <c r="P83" s="27"/>
      <c r="Q83" s="1" t="str">
        <f>_xlfn.XLOOKUP(D83,[1]Sheet1!$C:$C,[1]Sheet1!$R:$R)</f>
        <v>Tier 3</v>
      </c>
      <c r="R83" s="1" t="s">
        <v>289</v>
      </c>
    </row>
    <row r="84" spans="2:19">
      <c r="B84" s="1">
        <f t="shared" si="3"/>
        <v>82</v>
      </c>
      <c r="C84" s="1" t="s">
        <v>54</v>
      </c>
      <c r="D84" s="2" t="s">
        <v>96</v>
      </c>
      <c r="G84" s="23">
        <v>1.1299999999999999</v>
      </c>
      <c r="H84" s="23">
        <v>327.47400900000002</v>
      </c>
      <c r="I84" s="8">
        <f t="shared" si="6"/>
        <v>370.04563016999998</v>
      </c>
      <c r="J84" s="23"/>
      <c r="K84" s="23"/>
      <c r="L84" s="8">
        <f t="shared" si="7"/>
        <v>370.04563016999998</v>
      </c>
      <c r="M84" s="23"/>
      <c r="N84" s="24">
        <v>2</v>
      </c>
      <c r="O84" s="26"/>
      <c r="P84" s="27"/>
      <c r="Q84" s="1" t="str">
        <f>_xlfn.XLOOKUP(D84,[1]Sheet1!$C:$C,[1]Sheet1!$R:$R)</f>
        <v>Tier 3</v>
      </c>
      <c r="R84" s="1" t="s">
        <v>289</v>
      </c>
    </row>
    <row r="85" spans="2:19">
      <c r="B85" s="1">
        <f t="shared" si="3"/>
        <v>83</v>
      </c>
      <c r="C85" s="1" t="s">
        <v>58</v>
      </c>
      <c r="D85" s="2" t="s">
        <v>100</v>
      </c>
      <c r="G85" s="23">
        <v>44.35</v>
      </c>
      <c r="H85" s="23">
        <v>417.07400000000001</v>
      </c>
      <c r="I85" s="8">
        <f t="shared" si="6"/>
        <v>18497.231900000002</v>
      </c>
      <c r="J85" s="23"/>
      <c r="K85" s="23"/>
      <c r="L85" s="8">
        <f t="shared" si="7"/>
        <v>18497.231900000002</v>
      </c>
      <c r="M85" s="23"/>
      <c r="N85" s="24">
        <v>1.2</v>
      </c>
      <c r="O85" s="26"/>
      <c r="P85" s="27"/>
      <c r="Q85" s="1" t="str">
        <f>_xlfn.XLOOKUP(D85,[1]Sheet1!$C:$C,[1]Sheet1!$R:$R)</f>
        <v>Tier 1</v>
      </c>
      <c r="R85" s="1" t="s">
        <v>289</v>
      </c>
    </row>
    <row r="86" spans="2:19">
      <c r="B86" s="1">
        <f t="shared" si="3"/>
        <v>84</v>
      </c>
      <c r="C86" s="1" t="s">
        <v>61</v>
      </c>
      <c r="D86" s="2" t="s">
        <v>103</v>
      </c>
      <c r="G86" s="23">
        <v>37.68</v>
      </c>
      <c r="H86" s="23">
        <v>225.1</v>
      </c>
      <c r="I86" s="8">
        <f t="shared" si="6"/>
        <v>8481.768</v>
      </c>
      <c r="J86" s="23"/>
      <c r="K86" s="23"/>
      <c r="L86" s="8">
        <f t="shared" si="7"/>
        <v>8481.768</v>
      </c>
      <c r="M86" s="23"/>
      <c r="N86" s="24">
        <v>1.1697489839234414</v>
      </c>
      <c r="O86" s="26"/>
      <c r="P86" s="27"/>
      <c r="Q86" s="1" t="str">
        <f>_xlfn.XLOOKUP(D86,[1]Sheet1!$C:$C,[1]Sheet1!$R:$R)</f>
        <v>Tier 1</v>
      </c>
      <c r="R86" s="1" t="s">
        <v>289</v>
      </c>
    </row>
    <row r="87" spans="2:19">
      <c r="B87" s="1">
        <f t="shared" si="3"/>
        <v>85</v>
      </c>
      <c r="C87" s="1" t="s">
        <v>64</v>
      </c>
      <c r="D87" s="2" t="s">
        <v>106</v>
      </c>
      <c r="G87" s="23">
        <v>8.82</v>
      </c>
      <c r="H87" s="23">
        <v>87.605908999999997</v>
      </c>
      <c r="I87" s="8">
        <f t="shared" si="6"/>
        <v>772.68411737999998</v>
      </c>
      <c r="J87" s="23">
        <v>71.912999999999997</v>
      </c>
      <c r="K87" s="23"/>
      <c r="L87" s="8">
        <f t="shared" si="7"/>
        <v>700.77111737999996</v>
      </c>
      <c r="M87" s="23"/>
      <c r="N87" s="24">
        <v>2.0182767624020888</v>
      </c>
      <c r="O87" s="26"/>
      <c r="P87" s="27"/>
      <c r="Q87" s="1" t="str">
        <f>_xlfn.XLOOKUP(D87,[1]Sheet1!$C:$C,[1]Sheet1!$R:$R)</f>
        <v>Tier 2</v>
      </c>
      <c r="R87" s="1" t="s">
        <v>289</v>
      </c>
    </row>
    <row r="88" spans="2:19">
      <c r="B88" s="1">
        <f t="shared" si="3"/>
        <v>86</v>
      </c>
      <c r="C88" s="1" t="s">
        <v>65</v>
      </c>
      <c r="D88" s="2" t="s">
        <v>107</v>
      </c>
      <c r="G88" s="23">
        <v>23.18</v>
      </c>
      <c r="H88" s="23">
        <v>1186.2407889999999</v>
      </c>
      <c r="I88" s="8">
        <f t="shared" si="6"/>
        <v>27497.061489019998</v>
      </c>
      <c r="J88" s="23">
        <v>2656.4</v>
      </c>
      <c r="K88" s="23">
        <v>738.8</v>
      </c>
      <c r="L88" s="8">
        <f t="shared" si="7"/>
        <v>25579.461489019995</v>
      </c>
      <c r="M88" s="23"/>
      <c r="N88" s="24">
        <v>0.95818592497543287</v>
      </c>
      <c r="O88" s="26"/>
      <c r="P88" s="27"/>
      <c r="Q88" s="1" t="str">
        <f>_xlfn.XLOOKUP(D88,[1]Sheet1!$C:$C,[1]Sheet1!$R:$R)</f>
        <v>Tier 1</v>
      </c>
      <c r="R88" s="1" t="s">
        <v>289</v>
      </c>
    </row>
    <row r="89" spans="2:19">
      <c r="B89" s="1">
        <f t="shared" si="3"/>
        <v>87</v>
      </c>
      <c r="C89" s="1" t="s">
        <v>66</v>
      </c>
      <c r="D89" s="2" t="s">
        <v>108</v>
      </c>
      <c r="G89" s="23">
        <v>18.03</v>
      </c>
      <c r="H89" s="23">
        <v>578</v>
      </c>
      <c r="I89" s="8">
        <f t="shared" si="6"/>
        <v>10421.34</v>
      </c>
      <c r="J89" s="23">
        <v>501.4</v>
      </c>
      <c r="K89" s="23">
        <v>449.3</v>
      </c>
      <c r="L89" s="8">
        <f t="shared" si="7"/>
        <v>10369.24</v>
      </c>
      <c r="M89" s="23"/>
      <c r="N89" s="24">
        <v>0.76010211524434723</v>
      </c>
      <c r="O89" s="26"/>
      <c r="P89" s="27"/>
      <c r="Q89" s="1" t="str">
        <f>_xlfn.XLOOKUP(D89,[1]Sheet1!$C:$C,[1]Sheet1!$R:$R)</f>
        <v>Tier 1</v>
      </c>
      <c r="R89" s="1" t="s">
        <v>289</v>
      </c>
    </row>
    <row r="90" spans="2:19">
      <c r="B90" s="1">
        <f t="shared" si="3"/>
        <v>88</v>
      </c>
      <c r="C90" s="1" t="s">
        <v>70</v>
      </c>
      <c r="D90" s="2" t="s">
        <v>111</v>
      </c>
      <c r="G90" s="23">
        <v>2.1</v>
      </c>
      <c r="H90" s="23">
        <v>261.40876400000002</v>
      </c>
      <c r="I90" s="8">
        <f t="shared" si="6"/>
        <v>548.95840440000006</v>
      </c>
      <c r="J90" s="23">
        <f>80+25.9</f>
        <v>105.9</v>
      </c>
      <c r="K90" s="23">
        <v>0</v>
      </c>
      <c r="L90" s="8">
        <f t="shared" si="7"/>
        <v>443.05840440000009</v>
      </c>
      <c r="M90" s="23"/>
      <c r="N90" s="24">
        <v>1.4040920716112533</v>
      </c>
      <c r="O90" s="26"/>
      <c r="P90" s="27"/>
      <c r="Q90" s="1" t="str">
        <f>_xlfn.XLOOKUP(D90,[1]Sheet1!$C:$C,[1]Sheet1!$R:$R)</f>
        <v>Tier 2</v>
      </c>
      <c r="R90" s="1" t="s">
        <v>289</v>
      </c>
      <c r="S90" s="6"/>
    </row>
    <row r="91" spans="2:19">
      <c r="B91" s="1">
        <f t="shared" si="3"/>
        <v>89</v>
      </c>
      <c r="C91" s="1" t="s">
        <v>72</v>
      </c>
      <c r="D91" s="2" t="s">
        <v>113</v>
      </c>
      <c r="G91" s="23">
        <v>11</v>
      </c>
      <c r="H91" s="23">
        <v>406</v>
      </c>
      <c r="I91" s="8">
        <f t="shared" si="6"/>
        <v>4466</v>
      </c>
      <c r="J91" s="23">
        <v>606.70000000000005</v>
      </c>
      <c r="K91" s="23">
        <v>138.9</v>
      </c>
      <c r="L91" s="8">
        <f t="shared" si="7"/>
        <v>3998.2000000000003</v>
      </c>
      <c r="M91" s="23"/>
      <c r="N91" s="24">
        <v>0.99643016510486393</v>
      </c>
      <c r="O91" s="26"/>
      <c r="P91" s="27"/>
      <c r="Q91" s="1" t="str">
        <f>_xlfn.XLOOKUP(D91,[1]Sheet1!$C:$C,[1]Sheet1!$R:$R)</f>
        <v>Tier 1</v>
      </c>
      <c r="R91" s="1" t="s">
        <v>289</v>
      </c>
    </row>
    <row r="92" spans="2:19">
      <c r="B92" s="1">
        <f t="shared" si="3"/>
        <v>90</v>
      </c>
      <c r="C92" s="1" t="s">
        <v>74</v>
      </c>
      <c r="D92" s="2" t="s">
        <v>115</v>
      </c>
      <c r="G92" s="23">
        <v>11.12</v>
      </c>
      <c r="H92" s="23">
        <v>1168</v>
      </c>
      <c r="I92" s="8">
        <f t="shared" si="6"/>
        <v>12988.16</v>
      </c>
      <c r="J92" s="23">
        <v>317.8</v>
      </c>
      <c r="K92" s="23">
        <v>583</v>
      </c>
      <c r="L92" s="8">
        <f t="shared" si="7"/>
        <v>13253.36</v>
      </c>
      <c r="M92" s="23"/>
      <c r="N92" s="24">
        <v>21.574750830564785</v>
      </c>
      <c r="O92" s="26"/>
      <c r="P92" s="27"/>
      <c r="Q92" s="1" t="str">
        <f>_xlfn.XLOOKUP(D92,[1]Sheet1!$C:$C,[1]Sheet1!$R:$R)</f>
        <v>Tier 1</v>
      </c>
      <c r="R92" s="1" t="s">
        <v>289</v>
      </c>
      <c r="S92" s="1">
        <f>(1-(1+0.08)^-15)/0.08</f>
        <v>8.5594786879263758</v>
      </c>
    </row>
    <row r="93" spans="2:19">
      <c r="B93" s="1">
        <f t="shared" si="3"/>
        <v>91</v>
      </c>
      <c r="C93" s="1" t="s">
        <v>75</v>
      </c>
      <c r="D93" s="2" t="s">
        <v>116</v>
      </c>
      <c r="G93" s="23">
        <v>36.86</v>
      </c>
      <c r="H93" s="23">
        <v>261.319863</v>
      </c>
      <c r="I93" s="8">
        <f t="shared" si="6"/>
        <v>9632.2501501799998</v>
      </c>
      <c r="J93" s="23"/>
      <c r="K93" s="23"/>
      <c r="L93" s="8">
        <f t="shared" si="7"/>
        <v>9632.2501501799998</v>
      </c>
      <c r="M93" s="23"/>
      <c r="N93" s="24"/>
      <c r="O93" s="26"/>
      <c r="P93" s="27"/>
      <c r="Q93" s="1" t="str">
        <f>_xlfn.XLOOKUP(D93,[1]Sheet1!$C:$C,[1]Sheet1!$R:$R)</f>
        <v>Tier 1</v>
      </c>
      <c r="R93" s="1" t="s">
        <v>289</v>
      </c>
    </row>
    <row r="94" spans="2:19">
      <c r="B94" s="1">
        <f t="shared" si="3"/>
        <v>92</v>
      </c>
      <c r="C94" s="1" t="s">
        <v>76</v>
      </c>
      <c r="D94" s="2" t="s">
        <v>117</v>
      </c>
      <c r="G94" s="23"/>
      <c r="H94" s="23"/>
      <c r="I94" s="8" t="str">
        <f t="shared" si="6"/>
        <v/>
      </c>
      <c r="J94" s="23"/>
      <c r="K94" s="23"/>
      <c r="L94" s="8" t="str">
        <f t="shared" si="7"/>
        <v/>
      </c>
      <c r="M94" s="23"/>
      <c r="N94" s="24"/>
      <c r="O94" s="26"/>
      <c r="P94" s="27"/>
      <c r="Q94" s="1" t="str">
        <f>_xlfn.XLOOKUP(D94,[1]Sheet1!$C:$C,[1]Sheet1!$R:$R)</f>
        <v>Tier 1</v>
      </c>
      <c r="R94" s="1" t="s">
        <v>289</v>
      </c>
    </row>
    <row r="95" spans="2:19">
      <c r="B95" s="1">
        <f t="shared" si="3"/>
        <v>93</v>
      </c>
      <c r="C95" s="1" t="s">
        <v>77</v>
      </c>
      <c r="D95" s="2" t="s">
        <v>42</v>
      </c>
      <c r="G95" s="23">
        <v>5.12</v>
      </c>
      <c r="H95" s="23">
        <v>1321.386966</v>
      </c>
      <c r="I95" s="8">
        <f t="shared" si="6"/>
        <v>6765.5012659200002</v>
      </c>
      <c r="J95" s="23">
        <v>287</v>
      </c>
      <c r="K95" s="23">
        <v>460</v>
      </c>
      <c r="L95" s="8">
        <f t="shared" si="7"/>
        <v>6938.5012659200002</v>
      </c>
      <c r="M95" s="23"/>
      <c r="N95" s="24">
        <f>+I95/1612</f>
        <v>4.1969610830769231</v>
      </c>
      <c r="O95" s="26"/>
      <c r="P95" s="27"/>
      <c r="Q95" s="1" t="str">
        <f>_xlfn.XLOOKUP(D95,[1]Sheet1!$C:$C,[1]Sheet1!$R:$R)</f>
        <v>Tier 1</v>
      </c>
      <c r="R95" s="1" t="s">
        <v>289</v>
      </c>
    </row>
    <row r="96" spans="2:19">
      <c r="B96" s="1">
        <f t="shared" si="3"/>
        <v>94</v>
      </c>
      <c r="C96" s="1" t="s">
        <v>78</v>
      </c>
      <c r="D96" s="2" t="s">
        <v>118</v>
      </c>
      <c r="G96" s="23"/>
      <c r="H96" s="23"/>
      <c r="I96" s="8" t="str">
        <f t="shared" si="6"/>
        <v/>
      </c>
      <c r="J96" s="23"/>
      <c r="K96" s="23"/>
      <c r="L96" s="8" t="str">
        <f t="shared" si="7"/>
        <v/>
      </c>
      <c r="M96" s="23"/>
      <c r="N96" s="24"/>
      <c r="O96" s="26"/>
      <c r="P96" s="27"/>
      <c r="Q96" s="1" t="str">
        <f>_xlfn.XLOOKUP(D96,[1]Sheet1!$C:$C,[1]Sheet1!$R:$R)</f>
        <v>Tier 1</v>
      </c>
      <c r="R96" s="1" t="s">
        <v>289</v>
      </c>
    </row>
    <row r="97" spans="2:19">
      <c r="B97" s="1">
        <f t="shared" si="3"/>
        <v>95</v>
      </c>
      <c r="C97" s="1" t="s">
        <v>79</v>
      </c>
      <c r="D97" s="2" t="s">
        <v>41</v>
      </c>
      <c r="G97" s="23"/>
      <c r="H97" s="23"/>
      <c r="I97" s="8" t="str">
        <f t="shared" si="6"/>
        <v/>
      </c>
      <c r="J97" s="23"/>
      <c r="K97" s="23"/>
      <c r="L97" s="8" t="str">
        <f t="shared" si="7"/>
        <v/>
      </c>
      <c r="M97" s="23"/>
      <c r="N97" s="24"/>
      <c r="O97" s="26"/>
      <c r="P97" s="27"/>
      <c r="Q97" s="1" t="str">
        <f>_xlfn.XLOOKUP(D97,[1]Sheet1!$C:$C,[1]Sheet1!$R:$R)</f>
        <v>Tier 2</v>
      </c>
      <c r="R97" s="1" t="s">
        <v>289</v>
      </c>
    </row>
    <row r="98" spans="2:19">
      <c r="B98" s="1">
        <f t="shared" si="3"/>
        <v>96</v>
      </c>
      <c r="C98" s="1" t="s">
        <v>81</v>
      </c>
      <c r="D98" s="2" t="s">
        <v>39</v>
      </c>
      <c r="G98" s="23">
        <v>16.760000000000002</v>
      </c>
      <c r="H98" s="23">
        <v>206.8</v>
      </c>
      <c r="I98" s="8">
        <f t="shared" si="6"/>
        <v>3465.9680000000003</v>
      </c>
      <c r="J98" s="23">
        <v>425.6</v>
      </c>
      <c r="K98" s="23">
        <v>469.6</v>
      </c>
      <c r="L98" s="8">
        <f t="shared" si="7"/>
        <v>3509.9680000000003</v>
      </c>
      <c r="M98" s="23"/>
      <c r="N98" s="24"/>
      <c r="O98" s="26"/>
      <c r="P98" s="27"/>
      <c r="Q98" s="1" t="str">
        <f>_xlfn.XLOOKUP(D98,[1]Sheet1!$C:$C,[1]Sheet1!$R:$R)</f>
        <v>Tier 1</v>
      </c>
      <c r="R98" s="1" t="s">
        <v>289</v>
      </c>
    </row>
    <row r="99" spans="2:19">
      <c r="B99" s="1">
        <f t="shared" si="3"/>
        <v>97</v>
      </c>
      <c r="C99" s="1" t="s">
        <v>82</v>
      </c>
      <c r="D99" s="2" t="s">
        <v>38</v>
      </c>
      <c r="G99" s="23">
        <v>32.22</v>
      </c>
      <c r="H99" s="23"/>
      <c r="I99" s="8" t="str">
        <f t="shared" si="6"/>
        <v/>
      </c>
      <c r="J99" s="23"/>
      <c r="K99" s="23"/>
      <c r="L99" s="8" t="str">
        <f t="shared" si="7"/>
        <v/>
      </c>
      <c r="M99" s="23"/>
      <c r="N99" s="24"/>
      <c r="O99" s="26"/>
      <c r="P99" s="27"/>
      <c r="Q99" s="1" t="str">
        <f>_xlfn.XLOOKUP(D99,[1]Sheet1!$C:$C,[1]Sheet1!$R:$R)</f>
        <v>Tier 1</v>
      </c>
      <c r="R99" s="1" t="s">
        <v>289</v>
      </c>
    </row>
    <row r="100" spans="2:19">
      <c r="B100" s="1">
        <f t="shared" si="3"/>
        <v>98</v>
      </c>
      <c r="C100" s="1" t="s">
        <v>83</v>
      </c>
      <c r="D100" s="2" t="s">
        <v>37</v>
      </c>
      <c r="G100" s="23">
        <v>184</v>
      </c>
      <c r="H100" s="23">
        <v>506.36500000000001</v>
      </c>
      <c r="I100" s="8">
        <f t="shared" si="6"/>
        <v>93171.16</v>
      </c>
      <c r="J100" s="23">
        <v>3464</v>
      </c>
      <c r="K100" s="23">
        <v>197</v>
      </c>
      <c r="L100" s="8">
        <f t="shared" si="7"/>
        <v>89904.16</v>
      </c>
      <c r="M100" s="23"/>
      <c r="N100" s="24">
        <f>93171/38949</f>
        <v>2.3921281676037895</v>
      </c>
      <c r="O100" s="26"/>
      <c r="P100" s="27"/>
      <c r="Q100" s="1" t="str">
        <f>_xlfn.XLOOKUP(D100,[1]Sheet1!$C:$C,[1]Sheet1!$R:$R)</f>
        <v>Tier 1</v>
      </c>
      <c r="R100" s="1" t="s">
        <v>289</v>
      </c>
    </row>
    <row r="101" spans="2:19">
      <c r="B101" s="1">
        <f t="shared" si="3"/>
        <v>99</v>
      </c>
      <c r="C101" s="1" t="s">
        <v>84</v>
      </c>
      <c r="D101" s="2" t="s">
        <v>36</v>
      </c>
      <c r="G101" s="23">
        <v>27.93</v>
      </c>
      <c r="H101" s="23">
        <v>419.8</v>
      </c>
      <c r="I101" s="8">
        <f t="shared" si="6"/>
        <v>11725.014000000001</v>
      </c>
      <c r="J101" s="23">
        <v>636.9</v>
      </c>
      <c r="K101" s="23">
        <v>200</v>
      </c>
      <c r="L101" s="8">
        <f t="shared" si="7"/>
        <v>11288.114000000001</v>
      </c>
      <c r="M101" s="23"/>
      <c r="N101" s="24">
        <f>+I101/4634</f>
        <v>2.5302145015105744</v>
      </c>
      <c r="O101" s="26"/>
      <c r="P101" s="27"/>
      <c r="Q101" s="1" t="str">
        <f>_xlfn.XLOOKUP(D101,[1]Sheet1!$C:$C,[1]Sheet1!$R:$R)</f>
        <v>Tier 1</v>
      </c>
      <c r="R101" s="1" t="s">
        <v>289</v>
      </c>
      <c r="S101" s="15"/>
    </row>
    <row r="102" spans="2:19">
      <c r="B102" s="1">
        <f t="shared" si="3"/>
        <v>100</v>
      </c>
      <c r="C102" s="1" t="s">
        <v>124</v>
      </c>
      <c r="D102" s="2" t="s">
        <v>197</v>
      </c>
      <c r="G102" s="23"/>
      <c r="H102" s="23"/>
      <c r="I102" s="8" t="str">
        <f t="shared" si="6"/>
        <v/>
      </c>
      <c r="J102" s="23"/>
      <c r="K102" s="23"/>
      <c r="L102" s="8" t="str">
        <f t="shared" si="7"/>
        <v/>
      </c>
      <c r="M102" s="23"/>
      <c r="N102" s="24"/>
      <c r="O102" s="26"/>
      <c r="P102" s="27"/>
      <c r="Q102" s="1" t="str">
        <f>_xlfn.XLOOKUP(D102,[1]Sheet1!$C:$C,[1]Sheet1!$R:$R)</f>
        <v>Tier 1</v>
      </c>
      <c r="R102" s="1" t="s">
        <v>289</v>
      </c>
      <c r="S102" s="15"/>
    </row>
    <row r="103" spans="2:19">
      <c r="B103" s="1">
        <f t="shared" si="3"/>
        <v>101</v>
      </c>
      <c r="C103" s="1" t="s">
        <v>134</v>
      </c>
      <c r="D103" s="2" t="s">
        <v>207</v>
      </c>
      <c r="G103" s="23">
        <v>49.65</v>
      </c>
      <c r="H103" s="23">
        <v>93.36</v>
      </c>
      <c r="I103" s="8">
        <f>+IF(H103 = "", "", G103*H103)</f>
        <v>4635.3239999999996</v>
      </c>
      <c r="J103" s="23">
        <v>169.4</v>
      </c>
      <c r="K103" s="23">
        <v>0</v>
      </c>
      <c r="L103" s="8">
        <f t="shared" si="7"/>
        <v>4465.924</v>
      </c>
      <c r="M103" s="23"/>
      <c r="N103" s="24">
        <v>1.035754189944134</v>
      </c>
      <c r="O103" s="26"/>
      <c r="P103" s="27"/>
      <c r="Q103" s="1" t="str">
        <f>_xlfn.XLOOKUP(D103,[1]Sheet1!$C:$C,[1]Sheet1!$R:$R)</f>
        <v>Tier 1</v>
      </c>
      <c r="R103" s="1" t="s">
        <v>289</v>
      </c>
      <c r="S103" s="15"/>
    </row>
    <row r="104" spans="2:19">
      <c r="B104" s="1">
        <f t="shared" si="3"/>
        <v>102</v>
      </c>
      <c r="C104" s="1" t="s">
        <v>149</v>
      </c>
      <c r="D104" s="2" t="s">
        <v>220</v>
      </c>
      <c r="G104" s="23"/>
      <c r="H104" s="23"/>
      <c r="I104" s="8" t="str">
        <f t="shared" si="6"/>
        <v/>
      </c>
      <c r="J104" s="23"/>
      <c r="K104" s="23"/>
      <c r="L104" s="8" t="str">
        <f t="shared" si="7"/>
        <v/>
      </c>
      <c r="M104" s="23"/>
      <c r="N104" s="24"/>
      <c r="O104" s="26"/>
      <c r="P104" s="27"/>
      <c r="Q104" s="1" t="str">
        <f>_xlfn.XLOOKUP(D104,[1]Sheet1!$C:$C,[1]Sheet1!$R:$R)</f>
        <v>Tier 2</v>
      </c>
      <c r="R104" s="1" t="s">
        <v>289</v>
      </c>
    </row>
    <row r="105" spans="2:19">
      <c r="B105" s="1">
        <f t="shared" si="3"/>
        <v>103</v>
      </c>
      <c r="C105" s="1" t="s">
        <v>152</v>
      </c>
      <c r="D105" s="2" t="s">
        <v>223</v>
      </c>
      <c r="G105" s="23"/>
      <c r="H105" s="23"/>
      <c r="I105" s="8" t="str">
        <f t="shared" si="6"/>
        <v/>
      </c>
      <c r="J105" s="23"/>
      <c r="K105" s="23"/>
      <c r="L105" s="8" t="str">
        <f t="shared" si="7"/>
        <v/>
      </c>
      <c r="M105" s="23"/>
      <c r="N105" s="24"/>
      <c r="O105" s="26"/>
      <c r="P105" s="27"/>
      <c r="Q105" s="1" t="str">
        <f>_xlfn.XLOOKUP(D105,[1]Sheet1!$C:$C,[1]Sheet1!$R:$R)</f>
        <v>Tier 2</v>
      </c>
      <c r="R105" s="1" t="s">
        <v>289</v>
      </c>
    </row>
    <row r="106" spans="2:19">
      <c r="B106" s="1">
        <f t="shared" si="3"/>
        <v>104</v>
      </c>
      <c r="C106" s="1" t="s">
        <v>121</v>
      </c>
      <c r="D106" s="2" t="s">
        <v>235</v>
      </c>
      <c r="G106" s="23"/>
      <c r="H106" s="23"/>
      <c r="I106" s="8" t="str">
        <f t="shared" si="6"/>
        <v/>
      </c>
      <c r="J106" s="23"/>
      <c r="K106" s="23"/>
      <c r="L106" s="8" t="str">
        <f t="shared" si="7"/>
        <v/>
      </c>
      <c r="M106" s="23"/>
      <c r="N106" s="24"/>
      <c r="O106" s="26"/>
      <c r="P106" s="27"/>
      <c r="Q106" s="1" t="str">
        <f>_xlfn.XLOOKUP(D106,[1]Sheet1!$C:$C,[1]Sheet1!$R:$R)</f>
        <v>Tier 1</v>
      </c>
      <c r="R106" s="1" t="s">
        <v>289</v>
      </c>
    </row>
    <row r="107" spans="2:19">
      <c r="B107" s="1">
        <f t="shared" si="3"/>
        <v>105</v>
      </c>
      <c r="C107" s="1" t="s">
        <v>164</v>
      </c>
      <c r="D107" s="2" t="s">
        <v>238</v>
      </c>
      <c r="G107" s="23"/>
      <c r="H107" s="23"/>
      <c r="I107" s="8" t="str">
        <f t="shared" si="6"/>
        <v/>
      </c>
      <c r="J107" s="23"/>
      <c r="K107" s="23"/>
      <c r="L107" s="8" t="str">
        <f t="shared" si="7"/>
        <v/>
      </c>
      <c r="M107" s="23"/>
      <c r="N107" s="24"/>
      <c r="O107" s="26"/>
      <c r="P107" s="27"/>
      <c r="Q107" s="1" t="str">
        <f>_xlfn.XLOOKUP(D107,[1]Sheet1!$C:$C,[1]Sheet1!$R:$R)</f>
        <v>Tier 2</v>
      </c>
      <c r="R107" s="1" t="s">
        <v>289</v>
      </c>
    </row>
    <row r="108" spans="2:19">
      <c r="B108" s="1">
        <f t="shared" si="3"/>
        <v>106</v>
      </c>
      <c r="C108" s="1" t="s">
        <v>9</v>
      </c>
      <c r="D108" s="2" t="s">
        <v>22</v>
      </c>
      <c r="E108" s="7">
        <v>101.22</v>
      </c>
      <c r="F108" s="9">
        <f>+G108/E108-1</f>
        <v>0.14424026872159645</v>
      </c>
      <c r="G108" s="23">
        <v>115.82</v>
      </c>
      <c r="H108" s="23">
        <v>1053.6922709999999</v>
      </c>
      <c r="I108" s="8">
        <f t="shared" si="6"/>
        <v>122038.63882721998</v>
      </c>
      <c r="J108" s="23">
        <v>9009</v>
      </c>
      <c r="K108" s="23">
        <v>5083</v>
      </c>
      <c r="L108" s="8">
        <f t="shared" si="7"/>
        <v>118112.63882721998</v>
      </c>
      <c r="M108" s="23">
        <v>123070</v>
      </c>
      <c r="N108" s="24">
        <f>+I108/M108</f>
        <v>0.99161971908036062</v>
      </c>
      <c r="O108" s="26">
        <v>15</v>
      </c>
      <c r="P108" s="27">
        <v>-0.05</v>
      </c>
      <c r="Q108" s="1" t="str">
        <f>_xlfn.XLOOKUP(D108,[1]Sheet1!$C:$C,[1]Sheet1!$R:$R)</f>
        <v>Tier 1</v>
      </c>
      <c r="R108" s="1" t="s">
        <v>281</v>
      </c>
    </row>
    <row r="109" spans="2:19">
      <c r="B109" s="1">
        <f t="shared" si="3"/>
        <v>107</v>
      </c>
      <c r="C109" s="1" t="s">
        <v>11</v>
      </c>
      <c r="D109" s="2" t="s">
        <v>24</v>
      </c>
      <c r="E109" s="7">
        <v>17.55</v>
      </c>
      <c r="F109" s="9">
        <f>+G109/E109-1</f>
        <v>-2.165242165242165E-2</v>
      </c>
      <c r="G109" s="23">
        <v>17.170000000000002</v>
      </c>
      <c r="H109" s="23">
        <v>206.9</v>
      </c>
      <c r="I109" s="8">
        <f t="shared" si="6"/>
        <v>3552.4730000000004</v>
      </c>
      <c r="J109" s="23">
        <v>1883.9639999999999</v>
      </c>
      <c r="K109" s="23">
        <v>705</v>
      </c>
      <c r="L109" s="8">
        <f t="shared" si="7"/>
        <v>2373.5090000000005</v>
      </c>
      <c r="M109" s="23"/>
      <c r="N109" s="24">
        <v>1.5</v>
      </c>
      <c r="O109" s="26"/>
      <c r="P109" s="27"/>
      <c r="Q109" s="1" t="str">
        <f>_xlfn.XLOOKUP(D109,[1]Sheet1!$C:$C,[1]Sheet1!$R:$R)</f>
        <v>Tier 2</v>
      </c>
      <c r="R109" s="1" t="s">
        <v>281</v>
      </c>
    </row>
    <row r="110" spans="2:19">
      <c r="B110" s="1">
        <f t="shared" si="3"/>
        <v>108</v>
      </c>
      <c r="C110" s="1" t="s">
        <v>12</v>
      </c>
      <c r="D110" s="4" t="s">
        <v>25</v>
      </c>
      <c r="E110" s="7">
        <v>21.52</v>
      </c>
      <c r="F110" s="9">
        <f>+G110/E110-1</f>
        <v>0.59293680297397788</v>
      </c>
      <c r="G110" s="23">
        <v>34.28</v>
      </c>
      <c r="H110" s="23"/>
      <c r="I110" s="8" t="str">
        <f t="shared" si="6"/>
        <v/>
      </c>
      <c r="J110" s="23"/>
      <c r="K110" s="23"/>
      <c r="L110" s="8" t="str">
        <f t="shared" si="7"/>
        <v/>
      </c>
      <c r="M110" s="23"/>
      <c r="N110" s="24">
        <v>1</v>
      </c>
      <c r="O110" s="26"/>
      <c r="P110" s="27"/>
      <c r="Q110" s="1" t="str">
        <f>_xlfn.XLOOKUP(D110,[1]Sheet1!$C:$C,[1]Sheet1!$R:$R)</f>
        <v>Tier 2</v>
      </c>
      <c r="R110" s="1" t="s">
        <v>281</v>
      </c>
    </row>
    <row r="111" spans="2:19">
      <c r="B111" s="1">
        <f t="shared" si="3"/>
        <v>109</v>
      </c>
      <c r="C111" s="1" t="s">
        <v>68</v>
      </c>
      <c r="D111" s="2" t="s">
        <v>35</v>
      </c>
      <c r="G111" s="23">
        <v>3.19</v>
      </c>
      <c r="H111" s="23">
        <v>74.623999999999995</v>
      </c>
      <c r="I111" s="8">
        <f t="shared" si="6"/>
        <v>238.05055999999999</v>
      </c>
      <c r="J111" s="23">
        <v>59</v>
      </c>
      <c r="K111" s="23"/>
      <c r="L111" s="8">
        <f t="shared" si="7"/>
        <v>179.05055999999999</v>
      </c>
      <c r="M111" s="23"/>
      <c r="N111" s="24">
        <f>+I111/312</f>
        <v>0.76298256410256404</v>
      </c>
      <c r="O111" s="26"/>
      <c r="P111" s="27"/>
      <c r="Q111" s="1" t="str">
        <f>_xlfn.XLOOKUP(D111,[1]Sheet1!$C:$C,[1]Sheet1!$R:$R)</f>
        <v>Tier 3</v>
      </c>
      <c r="R111" s="1" t="s">
        <v>281</v>
      </c>
      <c r="S111" s="14"/>
    </row>
    <row r="112" spans="2:19">
      <c r="B112" s="1">
        <f t="shared" si="3"/>
        <v>110</v>
      </c>
      <c r="C112" s="1" t="s">
        <v>120</v>
      </c>
      <c r="D112" s="2" t="s">
        <v>194</v>
      </c>
      <c r="G112" s="23">
        <v>47.78</v>
      </c>
      <c r="H112" s="23">
        <v>296.255538</v>
      </c>
      <c r="I112" s="8">
        <f>+IF(H112 = "", "", G112*H112)</f>
        <v>14155.08960564</v>
      </c>
      <c r="J112" s="23">
        <v>225.7</v>
      </c>
      <c r="K112" s="23">
        <v>33.1</v>
      </c>
      <c r="M112" s="23"/>
      <c r="N112" s="24">
        <f>+I112/1643</f>
        <v>8.6153923345343877</v>
      </c>
      <c r="O112" s="26"/>
      <c r="P112" s="27"/>
      <c r="Q112" s="1" t="str">
        <f>_xlfn.XLOOKUP(D112,[1]Sheet1!$C:$C,[1]Sheet1!$R:$R)</f>
        <v>Tier 1</v>
      </c>
      <c r="R112" s="1" t="s">
        <v>294</v>
      </c>
    </row>
    <row r="113" spans="1:19">
      <c r="B113" s="1">
        <f t="shared" si="3"/>
        <v>111</v>
      </c>
      <c r="C113" s="1" t="s">
        <v>130</v>
      </c>
      <c r="D113" s="2" t="s">
        <v>203</v>
      </c>
      <c r="G113" s="23">
        <v>3.82</v>
      </c>
      <c r="H113" s="23"/>
      <c r="J113" s="23"/>
      <c r="K113" s="23"/>
      <c r="M113" s="23"/>
      <c r="N113" s="24"/>
      <c r="O113" s="26"/>
      <c r="P113" s="27"/>
      <c r="Q113" s="1" t="str">
        <f>_xlfn.XLOOKUP(D113,[1]Sheet1!$C:$C,[1]Sheet1!$R:$R)</f>
        <v>Tier 1</v>
      </c>
      <c r="R113" s="1" t="s">
        <v>294</v>
      </c>
    </row>
    <row r="114" spans="1:19">
      <c r="B114" s="1">
        <f t="shared" si="3"/>
        <v>112</v>
      </c>
      <c r="C114" s="1" t="s">
        <v>132</v>
      </c>
      <c r="D114" s="2" t="s">
        <v>205</v>
      </c>
      <c r="G114" s="23"/>
      <c r="H114" s="23"/>
      <c r="J114" s="23"/>
      <c r="K114" s="23"/>
      <c r="M114" s="23"/>
      <c r="N114" s="24"/>
      <c r="O114" s="26"/>
      <c r="P114" s="27"/>
      <c r="Q114" s="1" t="str">
        <f>_xlfn.XLOOKUP(D114,[1]Sheet1!$C:$C,[1]Sheet1!$R:$R)</f>
        <v>Tier 1</v>
      </c>
      <c r="R114" s="1" t="s">
        <v>294</v>
      </c>
    </row>
    <row r="115" spans="1:19">
      <c r="B115" s="1">
        <f t="shared" si="3"/>
        <v>113</v>
      </c>
      <c r="C115" s="1" t="s">
        <v>136</v>
      </c>
      <c r="D115" s="2" t="s">
        <v>209</v>
      </c>
      <c r="G115" s="23"/>
      <c r="H115" s="23"/>
      <c r="J115" s="23"/>
      <c r="K115" s="23"/>
      <c r="M115" s="23"/>
      <c r="N115" s="24"/>
      <c r="O115" s="26"/>
      <c r="P115" s="27"/>
      <c r="Q115" s="1" t="str">
        <f>_xlfn.XLOOKUP(D115,[1]Sheet1!$C:$C,[1]Sheet1!$R:$R)</f>
        <v>Tier 1</v>
      </c>
      <c r="R115" s="1" t="s">
        <v>294</v>
      </c>
    </row>
    <row r="116" spans="1:19">
      <c r="B116" s="1">
        <f t="shared" si="3"/>
        <v>114</v>
      </c>
      <c r="C116" s="1" t="s">
        <v>156</v>
      </c>
      <c r="D116" s="2" t="s">
        <v>229</v>
      </c>
      <c r="G116" s="23"/>
      <c r="H116" s="23"/>
      <c r="J116" s="23"/>
      <c r="K116" s="23"/>
      <c r="M116" s="23"/>
      <c r="N116" s="24"/>
      <c r="O116" s="26"/>
      <c r="P116" s="27"/>
      <c r="Q116" s="1" t="str">
        <f>_xlfn.XLOOKUP(D116,[1]Sheet1!$C:$C,[1]Sheet1!$R:$R)</f>
        <v>Tier 2</v>
      </c>
      <c r="R116" s="1" t="s">
        <v>294</v>
      </c>
    </row>
    <row r="117" spans="1:19">
      <c r="B117" s="1">
        <f t="shared" si="3"/>
        <v>115</v>
      </c>
      <c r="C117" s="1" t="s">
        <v>122</v>
      </c>
      <c r="D117" s="2" t="s">
        <v>195</v>
      </c>
      <c r="G117" s="23"/>
      <c r="H117" s="23"/>
      <c r="J117" s="23"/>
      <c r="K117" s="23"/>
      <c r="M117" s="23"/>
      <c r="N117" s="24"/>
      <c r="O117" s="26"/>
      <c r="P117" s="27"/>
      <c r="Q117" s="1" t="str">
        <f>_xlfn.XLOOKUP(D117,[1]Sheet1!$C:$C,[1]Sheet1!$R:$R)</f>
        <v>Tier 1</v>
      </c>
      <c r="R117" s="1" t="s">
        <v>295</v>
      </c>
      <c r="S117" s="6"/>
    </row>
    <row r="118" spans="1:19">
      <c r="B118" s="1">
        <f t="shared" si="3"/>
        <v>116</v>
      </c>
      <c r="C118" s="1" t="s">
        <v>17</v>
      </c>
      <c r="D118" s="2" t="s">
        <v>30</v>
      </c>
      <c r="G118" s="23"/>
      <c r="H118" s="23"/>
      <c r="I118" s="8" t="str">
        <f>+IF(H118 = "", "", G118*H118)</f>
        <v/>
      </c>
      <c r="J118" s="23"/>
      <c r="K118" s="23"/>
      <c r="L118" s="8" t="str">
        <f>IF(I118 = "", "", I118-J118+K118)</f>
        <v/>
      </c>
      <c r="M118" s="23"/>
      <c r="N118" s="24"/>
      <c r="O118" s="26"/>
      <c r="P118" s="27"/>
      <c r="Q118" s="1" t="str">
        <f>_xlfn.XLOOKUP(D118,[1]Sheet1!$C:$C,[1]Sheet1!$R:$R)</f>
        <v>Tier 2</v>
      </c>
      <c r="R118" s="1" t="s">
        <v>288</v>
      </c>
    </row>
    <row r="119" spans="1:19">
      <c r="B119" s="1">
        <f t="shared" si="3"/>
        <v>117</v>
      </c>
      <c r="C119" s="1" t="s">
        <v>16</v>
      </c>
      <c r="D119" s="4" t="s">
        <v>29</v>
      </c>
      <c r="G119" s="23"/>
      <c r="H119" s="23"/>
      <c r="I119" s="8" t="str">
        <f>+IF(H119 = "", "", G119*H119)</f>
        <v/>
      </c>
      <c r="J119" s="23"/>
      <c r="K119" s="23"/>
      <c r="L119" s="8" t="str">
        <f>IF(I119 = "", "", I119-J119+K119)</f>
        <v/>
      </c>
      <c r="M119" s="23"/>
      <c r="N119" s="24"/>
      <c r="O119" s="26"/>
      <c r="P119" s="27"/>
      <c r="Q119" s="1" t="str">
        <f>_xlfn.XLOOKUP(D119,[1]Sheet1!$C:$C,[1]Sheet1!$R:$R)</f>
        <v>Tier 2</v>
      </c>
      <c r="R119" s="1" t="s">
        <v>287</v>
      </c>
    </row>
    <row r="120" spans="1:19">
      <c r="B120" s="1">
        <f t="shared" si="3"/>
        <v>118</v>
      </c>
      <c r="C120" s="1" t="s">
        <v>186</v>
      </c>
      <c r="D120" s="2" t="s">
        <v>260</v>
      </c>
      <c r="G120" s="23"/>
      <c r="H120" s="23"/>
      <c r="J120" s="23"/>
      <c r="K120" s="23"/>
      <c r="M120" s="23"/>
      <c r="N120" s="24"/>
      <c r="O120" s="26"/>
      <c r="P120" s="27"/>
      <c r="Q120" s="1" t="str">
        <f>_xlfn.XLOOKUP(D120,[1]Sheet1!$C:$C,[1]Sheet1!$R:$R)</f>
        <v>Tier 3</v>
      </c>
      <c r="R120" s="1" t="s">
        <v>298</v>
      </c>
    </row>
    <row r="121" spans="1:19">
      <c r="A121" s="1" t="s">
        <v>301</v>
      </c>
      <c r="B121" s="1">
        <f t="shared" si="3"/>
        <v>119</v>
      </c>
      <c r="C121" s="1" t="s">
        <v>53</v>
      </c>
      <c r="D121" s="2" t="s">
        <v>95</v>
      </c>
      <c r="G121" s="23"/>
      <c r="H121" s="23"/>
      <c r="J121" s="23"/>
      <c r="K121" s="23"/>
      <c r="L121" s="8" t="str">
        <f>IF(I121 = "", "", I121-J121+K121)</f>
        <v/>
      </c>
      <c r="M121" s="23"/>
      <c r="N121" s="24"/>
      <c r="O121" s="26"/>
      <c r="P121" s="27"/>
      <c r="Q121" s="1" t="str">
        <f>_xlfn.XLOOKUP(D121,[1]Sheet1!$C:$C,[1]Sheet1!$R:$R)</f>
        <v>Tier 1</v>
      </c>
      <c r="R121" s="1" t="s">
        <v>290</v>
      </c>
    </row>
    <row r="122" spans="1:19">
      <c r="A122" s="1" t="s">
        <v>301</v>
      </c>
      <c r="B122" s="1">
        <f t="shared" si="3"/>
        <v>120</v>
      </c>
      <c r="C122" s="1" t="s">
        <v>59</v>
      </c>
      <c r="D122" s="2" t="s">
        <v>101</v>
      </c>
      <c r="G122" s="23"/>
      <c r="H122" s="23"/>
      <c r="J122" s="23"/>
      <c r="K122" s="23"/>
      <c r="M122" s="23"/>
      <c r="N122" s="24"/>
      <c r="O122" s="26"/>
      <c r="P122" s="27"/>
      <c r="Q122" s="1" t="str">
        <f>_xlfn.XLOOKUP(D122,[1]Sheet1!$C:$C,[1]Sheet1!$R:$R)</f>
        <v>Tier 1</v>
      </c>
      <c r="R122" s="1" t="s">
        <v>290</v>
      </c>
    </row>
    <row r="123" spans="1:19">
      <c r="A123" s="1" t="s">
        <v>301</v>
      </c>
      <c r="B123" s="1">
        <f t="shared" si="3"/>
        <v>121</v>
      </c>
      <c r="C123" s="1" t="s">
        <v>67</v>
      </c>
      <c r="D123" s="2" t="s">
        <v>109</v>
      </c>
      <c r="G123" s="23"/>
      <c r="H123" s="23"/>
      <c r="J123" s="23"/>
      <c r="K123" s="23"/>
      <c r="M123" s="23"/>
      <c r="N123" s="24"/>
      <c r="O123" s="26"/>
      <c r="P123" s="27"/>
      <c r="Q123" s="1" t="str">
        <f>_xlfn.XLOOKUP(D123,[1]Sheet1!$C:$C,[1]Sheet1!$R:$R)</f>
        <v>Tier 2</v>
      </c>
      <c r="R123" s="1" t="s">
        <v>290</v>
      </c>
    </row>
    <row r="124" spans="1:19">
      <c r="A124" s="1" t="s">
        <v>301</v>
      </c>
      <c r="B124" s="1">
        <f t="shared" si="3"/>
        <v>122</v>
      </c>
      <c r="C124" s="1" t="s">
        <v>73</v>
      </c>
      <c r="D124" s="2" t="s">
        <v>114</v>
      </c>
      <c r="G124" s="23"/>
      <c r="H124" s="23"/>
      <c r="J124" s="23"/>
      <c r="K124" s="23"/>
      <c r="M124" s="23"/>
      <c r="N124" s="24"/>
      <c r="O124" s="26"/>
      <c r="P124" s="27"/>
      <c r="Q124" s="1" t="str">
        <f>_xlfn.XLOOKUP(D124,[1]Sheet1!$C:$C,[1]Sheet1!$R:$R)</f>
        <v>Tier 1</v>
      </c>
      <c r="R124" s="1" t="s">
        <v>290</v>
      </c>
    </row>
    <row r="125" spans="1:19">
      <c r="A125" s="1" t="s">
        <v>301</v>
      </c>
      <c r="B125" s="1">
        <f t="shared" si="3"/>
        <v>123</v>
      </c>
      <c r="C125" s="1" t="s">
        <v>127</v>
      </c>
      <c r="D125" s="2" t="s">
        <v>200</v>
      </c>
      <c r="G125" s="23"/>
      <c r="H125" s="23"/>
      <c r="J125" s="23"/>
      <c r="K125" s="23"/>
      <c r="M125" s="23"/>
      <c r="N125" s="24"/>
      <c r="O125" s="26"/>
      <c r="P125" s="27"/>
      <c r="Q125" s="1" t="str">
        <f>_xlfn.XLOOKUP(D125,[1]Sheet1!$C:$C,[1]Sheet1!$R:$R)</f>
        <v>Tier 1</v>
      </c>
      <c r="R125" s="1" t="s">
        <v>290</v>
      </c>
    </row>
    <row r="126" spans="1:19">
      <c r="B126" s="1">
        <f t="shared" si="3"/>
        <v>124</v>
      </c>
      <c r="C126" s="1" t="s">
        <v>144</v>
      </c>
      <c r="D126" s="2" t="s">
        <v>216</v>
      </c>
      <c r="G126" s="23"/>
      <c r="H126" s="23"/>
      <c r="J126" s="23"/>
      <c r="K126" s="23"/>
      <c r="M126" s="23"/>
      <c r="N126" s="24"/>
      <c r="O126" s="26"/>
      <c r="P126" s="27"/>
      <c r="Q126" s="1" t="str">
        <f>_xlfn.XLOOKUP(D126,[1]Sheet1!$C:$C,[1]Sheet1!$R:$R)</f>
        <v>Tier 2</v>
      </c>
      <c r="R126" s="1" t="s">
        <v>290</v>
      </c>
    </row>
    <row r="127" spans="1:19">
      <c r="A127" s="1" t="s">
        <v>301</v>
      </c>
      <c r="B127" s="1">
        <f t="shared" si="3"/>
        <v>125</v>
      </c>
      <c r="C127" s="1" t="s">
        <v>10</v>
      </c>
      <c r="D127" s="3" t="s">
        <v>23</v>
      </c>
      <c r="E127" s="7">
        <v>221</v>
      </c>
      <c r="F127" s="9">
        <f>+G127/E127-1</f>
        <v>5.7194570135746581E-2</v>
      </c>
      <c r="G127" s="23">
        <v>233.64</v>
      </c>
      <c r="H127" s="23">
        <v>85</v>
      </c>
      <c r="I127" s="8">
        <f>+IF(H127 = "", "", G127*H127)</f>
        <v>19859.399999999998</v>
      </c>
      <c r="J127" s="23">
        <v>182.47</v>
      </c>
      <c r="K127" s="23">
        <v>396</v>
      </c>
      <c r="L127" s="8">
        <f>IF(I127 = "", "", I127-J127+K127)</f>
        <v>20072.929999999997</v>
      </c>
      <c r="M127" s="23">
        <v>14646</v>
      </c>
      <c r="N127" s="24">
        <f>+I127/M127</f>
        <v>1.3559606718557966</v>
      </c>
      <c r="O127" s="26">
        <v>15</v>
      </c>
      <c r="P127" s="27">
        <v>-0.02</v>
      </c>
      <c r="Q127" s="1" t="str">
        <f>_xlfn.XLOOKUP(D127,[1]Sheet1!$C:$C,[1]Sheet1!$R:$R)</f>
        <v>Tier 1</v>
      </c>
      <c r="R127" s="1" t="s">
        <v>282</v>
      </c>
    </row>
    <row r="128" spans="1:19">
      <c r="A128" s="1" t="s">
        <v>301</v>
      </c>
      <c r="B128" s="1">
        <f t="shared" si="3"/>
        <v>126</v>
      </c>
      <c r="C128" s="1" t="s">
        <v>43</v>
      </c>
      <c r="D128" s="2" t="s">
        <v>85</v>
      </c>
      <c r="G128" s="23">
        <v>24.89</v>
      </c>
      <c r="H128" s="23">
        <v>66.545178000000007</v>
      </c>
      <c r="I128" s="8">
        <f>+IF(H128 = "", "", G128*H128)</f>
        <v>1656.3094804200002</v>
      </c>
      <c r="J128" s="23">
        <f>74.221+16.052</f>
        <v>90.272999999999996</v>
      </c>
      <c r="K128" s="23">
        <v>0</v>
      </c>
      <c r="L128" s="8">
        <f>IF(I128 = "", "", I128-J128+K128)</f>
        <v>1566.0364804200003</v>
      </c>
      <c r="M128" s="23"/>
      <c r="N128" s="24">
        <v>3.2</v>
      </c>
      <c r="O128" s="26"/>
      <c r="P128" s="27"/>
      <c r="Q128" s="1" t="str">
        <f>_xlfn.XLOOKUP(D128,[1]Sheet1!$C:$C,[1]Sheet1!$R:$R)</f>
        <v>Tier 2</v>
      </c>
      <c r="R128" s="1" t="s">
        <v>282</v>
      </c>
    </row>
    <row r="129" spans="2:18">
      <c r="B129" s="1">
        <f t="shared" si="3"/>
        <v>127</v>
      </c>
      <c r="C129" s="1" t="s">
        <v>151</v>
      </c>
      <c r="D129" s="2" t="s">
        <v>222</v>
      </c>
      <c r="G129" s="23"/>
      <c r="H129" s="23"/>
      <c r="J129" s="23"/>
      <c r="K129" s="23"/>
      <c r="M129" s="23"/>
      <c r="N129" s="24"/>
      <c r="O129" s="26"/>
      <c r="P129" s="27"/>
      <c r="Q129" s="1" t="str">
        <f>_xlfn.XLOOKUP(D129,[1]Sheet1!$C:$C,[1]Sheet1!$R:$R)</f>
        <v>Tier 2</v>
      </c>
      <c r="R129" s="1" t="s">
        <v>297</v>
      </c>
    </row>
    <row r="130" spans="2:18">
      <c r="B130" s="1">
        <f t="shared" si="3"/>
        <v>128</v>
      </c>
      <c r="C130" s="1" t="s">
        <v>143</v>
      </c>
      <c r="D130" s="2" t="s">
        <v>228</v>
      </c>
      <c r="G130" s="23"/>
      <c r="H130" s="23"/>
      <c r="J130" s="23"/>
      <c r="K130" s="23"/>
      <c r="M130" s="23"/>
      <c r="N130" s="24"/>
      <c r="O130" s="26"/>
      <c r="P130" s="27"/>
      <c r="Q130" s="1" t="str">
        <f>_xlfn.XLOOKUP(D130,[1]Sheet1!$C:$C,[1]Sheet1!$R:$R)</f>
        <v>Tier 2</v>
      </c>
      <c r="R130" s="1" t="s">
        <v>297</v>
      </c>
    </row>
    <row r="131" spans="2:18">
      <c r="B131" s="1">
        <f t="shared" si="3"/>
        <v>129</v>
      </c>
      <c r="C131" s="1" t="s">
        <v>192</v>
      </c>
      <c r="D131" s="2" t="s">
        <v>266</v>
      </c>
      <c r="G131" s="23"/>
      <c r="H131" s="23"/>
      <c r="J131" s="23"/>
      <c r="K131" s="23"/>
      <c r="M131" s="23"/>
      <c r="N131" s="24"/>
      <c r="O131" s="26"/>
      <c r="P131" s="27"/>
      <c r="Q131" s="1" t="str">
        <f>_xlfn.XLOOKUP(D131,[1]Sheet1!$C:$C,[1]Sheet1!$R:$R)</f>
        <v>Tier 3</v>
      </c>
      <c r="R131" s="1" t="s">
        <v>297</v>
      </c>
    </row>
  </sheetData>
  <conditionalFormatting sqref="C1:C1048576">
    <cfRule type="duplicateValues" dxfId="2" priority="1"/>
    <cfRule type="duplicateValues" dxfId="1" priority="2"/>
  </conditionalFormatting>
  <conditionalFormatting sqref="C132:C1048576 C1:C59">
    <cfRule type="duplicateValues" dxfId="0" priority="3"/>
  </conditionalFormatting>
  <hyperlinks>
    <hyperlink ref="D127" r:id="rId1" display="RGLD.xlsx" xr:uid="{983FB423-A2F9-0949-AEDF-DBFF7E6228D1}"/>
    <hyperlink ref="D109" r:id="rId2" display="CDE" xr:uid="{518B5DA7-C1F2-6246-9482-FE2E087911C4}"/>
    <hyperlink ref="D119" r:id="rId3" xr:uid="{A3A40BC3-035E-BE43-AEDE-7BD792A57718}"/>
    <hyperlink ref="D108" r:id="rId4" display="NEM.xlsx" xr:uid="{5FC327BF-1CBE-0B48-AC65-88FB9F97FF48}"/>
    <hyperlink ref="D3" r:id="rId5" display="NG.xlsx" xr:uid="{BA4E31B5-8211-D046-9398-B95C54992B20}"/>
    <hyperlink ref="D110" r:id="rId6" xr:uid="{98C1897C-D1AD-764A-9F8C-36CB593E650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F21DF-15BD-354E-BC64-9B8F9A9A6667}">
  <dimension ref="A1:R19"/>
  <sheetViews>
    <sheetView zoomScale="170" workbookViewId="0">
      <selection activeCell="B7" sqref="B7"/>
    </sheetView>
  </sheetViews>
  <sheetFormatPr baseColWidth="10" defaultRowHeight="13"/>
  <cols>
    <col min="1" max="1" width="4.5" customWidth="1"/>
    <col min="2" max="2" width="14.1640625" bestFit="1" customWidth="1"/>
  </cols>
  <sheetData>
    <row r="1" spans="1:18">
      <c r="A1" t="s">
        <v>119</v>
      </c>
    </row>
    <row r="5" spans="1:18">
      <c r="B5" t="s">
        <v>270</v>
      </c>
      <c r="C5">
        <v>1</v>
      </c>
      <c r="E5">
        <v>1</v>
      </c>
      <c r="F5">
        <f>+E5+1</f>
        <v>2</v>
      </c>
      <c r="G5">
        <f t="shared" ref="G5:R5" si="0">+F5+1</f>
        <v>3</v>
      </c>
      <c r="H5">
        <f t="shared" si="0"/>
        <v>4</v>
      </c>
      <c r="I5">
        <f t="shared" si="0"/>
        <v>5</v>
      </c>
      <c r="J5">
        <f t="shared" si="0"/>
        <v>6</v>
      </c>
      <c r="K5">
        <f t="shared" si="0"/>
        <v>7</v>
      </c>
      <c r="L5">
        <f t="shared" si="0"/>
        <v>8</v>
      </c>
      <c r="M5">
        <f t="shared" si="0"/>
        <v>9</v>
      </c>
      <c r="N5">
        <f t="shared" si="0"/>
        <v>10</v>
      </c>
      <c r="O5">
        <f t="shared" si="0"/>
        <v>11</v>
      </c>
      <c r="P5">
        <f t="shared" si="0"/>
        <v>12</v>
      </c>
      <c r="Q5">
        <f t="shared" si="0"/>
        <v>13</v>
      </c>
      <c r="R5">
        <f t="shared" si="0"/>
        <v>14</v>
      </c>
    </row>
    <row r="6" spans="1:18">
      <c r="B6" t="s">
        <v>271</v>
      </c>
      <c r="C6" s="10">
        <v>1</v>
      </c>
      <c r="E6">
        <v>1</v>
      </c>
      <c r="F6">
        <f t="shared" ref="F6:R6" si="1">+E6</f>
        <v>1</v>
      </c>
      <c r="G6">
        <f t="shared" si="1"/>
        <v>1</v>
      </c>
      <c r="H6">
        <f t="shared" si="1"/>
        <v>1</v>
      </c>
      <c r="I6">
        <f t="shared" si="1"/>
        <v>1</v>
      </c>
      <c r="J6">
        <f t="shared" si="1"/>
        <v>1</v>
      </c>
      <c r="K6">
        <f t="shared" si="1"/>
        <v>1</v>
      </c>
      <c r="L6">
        <f t="shared" si="1"/>
        <v>1</v>
      </c>
      <c r="M6">
        <f t="shared" si="1"/>
        <v>1</v>
      </c>
      <c r="N6">
        <f t="shared" si="1"/>
        <v>1</v>
      </c>
      <c r="O6">
        <f t="shared" si="1"/>
        <v>1</v>
      </c>
      <c r="P6">
        <f t="shared" si="1"/>
        <v>1</v>
      </c>
      <c r="Q6">
        <f t="shared" si="1"/>
        <v>1</v>
      </c>
      <c r="R6">
        <f t="shared" si="1"/>
        <v>1</v>
      </c>
    </row>
    <row r="7" spans="1:18">
      <c r="B7" t="s">
        <v>272</v>
      </c>
      <c r="C7">
        <v>14</v>
      </c>
      <c r="E7">
        <f>+E6/(1+$C$8)^E5</f>
        <v>0.95238095238095233</v>
      </c>
      <c r="F7">
        <f>+F6/(1+$C$8)^F5</f>
        <v>0.90702947845804982</v>
      </c>
      <c r="G7">
        <f t="shared" ref="G7:R7" si="2">+G6/(1+$C$8)^G5</f>
        <v>0.86383759853147601</v>
      </c>
      <c r="H7">
        <f t="shared" si="2"/>
        <v>0.82270247479188197</v>
      </c>
      <c r="I7">
        <f t="shared" si="2"/>
        <v>0.78352616646845896</v>
      </c>
      <c r="J7">
        <f t="shared" si="2"/>
        <v>0.74621539663662761</v>
      </c>
      <c r="K7">
        <f t="shared" si="2"/>
        <v>0.71068133013012147</v>
      </c>
      <c r="L7">
        <f t="shared" si="2"/>
        <v>0.67683936202868722</v>
      </c>
      <c r="M7">
        <f t="shared" si="2"/>
        <v>0.64460891621779726</v>
      </c>
      <c r="N7">
        <f t="shared" si="2"/>
        <v>0.61391325354075932</v>
      </c>
      <c r="O7">
        <f t="shared" si="2"/>
        <v>0.5846792890864374</v>
      </c>
      <c r="P7">
        <f t="shared" si="2"/>
        <v>0.5568374181775595</v>
      </c>
      <c r="Q7">
        <f t="shared" si="2"/>
        <v>0.53032135064529462</v>
      </c>
      <c r="R7">
        <f t="shared" si="2"/>
        <v>0.50506795299551888</v>
      </c>
    </row>
    <row r="8" spans="1:18">
      <c r="B8" t="s">
        <v>273</v>
      </c>
      <c r="C8" s="11">
        <v>0.05</v>
      </c>
      <c r="E8" s="13"/>
    </row>
    <row r="11" spans="1:18">
      <c r="B11" t="s">
        <v>274</v>
      </c>
      <c r="C11" s="10">
        <f>PV(C8,C7,-C6,0,0)</f>
        <v>9.8986409400896225</v>
      </c>
    </row>
    <row r="12" spans="1:18">
      <c r="B12" t="s">
        <v>276</v>
      </c>
      <c r="C12" s="10">
        <f>+C6/C8</f>
        <v>20</v>
      </c>
    </row>
    <row r="13" spans="1:18">
      <c r="B13" t="s">
        <v>277</v>
      </c>
      <c r="C13" s="12">
        <f>+C12/C11</f>
        <v>2.0204793891452053</v>
      </c>
    </row>
    <row r="19" spans="2:2">
      <c r="B19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Jameel Brannon</dc:creator>
  <cp:lastModifiedBy>Jameel Brannon</cp:lastModifiedBy>
  <dcterms:created xsi:type="dcterms:W3CDTF">2026-10-06T02:35:20Z</dcterms:created>
  <dcterms:modified xsi:type="dcterms:W3CDTF">2026-10-11T04:37:28Z</dcterms:modified>
</cp:coreProperties>
</file>