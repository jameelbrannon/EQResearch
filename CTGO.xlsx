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4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jameelbrannon/Library/CloudStorage/Dropbox/models/BasicMaterials/"/>
    </mc:Choice>
  </mc:AlternateContent>
  <xr:revisionPtr revIDLastSave="0" documentId="13_ncr:1_{4B977146-DF16-6C48-9C95-FEC854CBD6AC}" xr6:coauthVersionLast="47" xr6:coauthVersionMax="47" xr10:uidLastSave="{00000000-0000-0000-0000-000000000000}"/>
  <bookViews>
    <workbookView xWindow="30920" yWindow="7180" windowWidth="27240" windowHeight="21620" xr2:uid="{49DA96FE-BA99-AB44-8550-BEBF2FB7211F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15" i="1" l="1"/>
  <c r="D14" i="1"/>
  <c r="D13" i="1"/>
  <c r="D12" i="1"/>
  <c r="D11" i="1"/>
  <c r="D10" i="1"/>
  <c r="L6" i="1"/>
  <c r="L7" i="1" s="1"/>
  <c r="K5" i="1"/>
  <c r="K8" i="1"/>
  <c r="K7" i="1"/>
  <c r="K6" i="1"/>
</calcChain>
</file>

<file path=xl/sharedStrings.xml><?xml version="1.0" encoding="utf-8"?>
<sst xmlns="http://schemas.openxmlformats.org/spreadsheetml/2006/main" count="10" uniqueCount="10">
  <si>
    <t>P</t>
  </si>
  <si>
    <t>S</t>
  </si>
  <si>
    <t>MC</t>
  </si>
  <si>
    <t>C</t>
  </si>
  <si>
    <t>D</t>
  </si>
  <si>
    <t>EV</t>
  </si>
  <si>
    <t xml:space="preserve">CEO </t>
  </si>
  <si>
    <t xml:space="preserve">CFO </t>
  </si>
  <si>
    <t>Q226</t>
  </si>
  <si>
    <t>ß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</si>
</sst>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5" formatCode="_(* #,##0_);_(* \(#,##0\);_(* &quot;-&quot;??_);_(@_)"/>
  </numFmts>
  <fonts count="2">
    <font>
      <sz val="10"/>
      <color theme="1"/>
      <name val="ArialMT"/>
      <family val="2"/>
    </font>
    <font>
      <sz val="10"/>
      <color theme="1"/>
      <name val="ArialMT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4">
    <xf numFmtId="0" fontId="0" fillId="0" borderId="0" xfId="0"/>
    <xf numFmtId="3" fontId="0" fillId="0" borderId="0" xfId="0" applyNumberFormat="1"/>
    <xf numFmtId="0" fontId="0" fillId="0" borderId="0" xfId="0" applyAlignment="1">
      <alignment horizontal="right"/>
    </xf>
    <xf numFmtId="165" fontId="0" fillId="0" borderId="0" xfId="1" applyNumberFormat="1" applyFont="1"/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482B5C-37F3-E243-9FD6-9846DEBE68CB}">
  <dimension ref="B2:L16"/>
  <sheetViews>
    <sheetView tabSelected="1" topLeftCell="A2" zoomScale="150" workbookViewId="0">
      <selection activeCell="E7" sqref="E7"/>
    </sheetView>
  </sheetViews>
  <sheetFormatPr baseColWidth="10" defaultRowHeight="13"/>
  <cols>
    <col min="1" max="1" width="4.6640625" customWidth="1"/>
    <col min="2" max="2" width="5.33203125" bestFit="1" customWidth="1"/>
    <col min="4" max="4" width="12.6640625" bestFit="1" customWidth="1"/>
    <col min="10" max="10" width="3.6640625" bestFit="1" customWidth="1"/>
    <col min="11" max="11" width="4.1640625" bestFit="1" customWidth="1"/>
    <col min="12" max="12" width="7" style="2" customWidth="1"/>
  </cols>
  <sheetData>
    <row r="2" spans="2:12">
      <c r="B2" t="s">
        <v>6</v>
      </c>
    </row>
    <row r="3" spans="2:12">
      <c r="B3" t="s">
        <v>7</v>
      </c>
      <c r="J3" t="s">
        <v>0</v>
      </c>
      <c r="K3" s="1">
        <v>16.25</v>
      </c>
    </row>
    <row r="4" spans="2:12">
      <c r="J4" t="s">
        <v>1</v>
      </c>
      <c r="K4" s="1">
        <v>33.440691000000001</v>
      </c>
      <c r="L4" s="2" t="s">
        <v>8</v>
      </c>
    </row>
    <row r="5" spans="2:12">
      <c r="J5" t="s">
        <v>2</v>
      </c>
      <c r="K5" s="1">
        <f>+K4*K3</f>
        <v>543.41122874999996</v>
      </c>
    </row>
    <row r="6" spans="2:12">
      <c r="J6" t="s">
        <v>3</v>
      </c>
      <c r="K6" s="1">
        <f>89.038319+0.108037</f>
        <v>89.146355999999997</v>
      </c>
      <c r="L6" s="2" t="str">
        <f>+L4</f>
        <v>Q226</v>
      </c>
    </row>
    <row r="7" spans="2:12">
      <c r="E7" t="s">
        <v>9</v>
      </c>
      <c r="J7" t="s">
        <v>4</v>
      </c>
      <c r="K7" s="1">
        <f>12.6+19.51384</f>
        <v>32.113839999999996</v>
      </c>
      <c r="L7" s="2" t="str">
        <f>+L6</f>
        <v>Q226</v>
      </c>
    </row>
    <row r="8" spans="2:12">
      <c r="J8" t="s">
        <v>5</v>
      </c>
      <c r="K8" s="1">
        <f>+K5-K6+K7</f>
        <v>486.37871274999998</v>
      </c>
    </row>
    <row r="9" spans="2:12">
      <c r="K9" s="1"/>
    </row>
    <row r="10" spans="2:12">
      <c r="D10" s="3">
        <f>+-50333141+50895505</f>
        <v>562364</v>
      </c>
      <c r="K10" s="1"/>
    </row>
    <row r="11" spans="2:12">
      <c r="D11" s="3">
        <f>+D10*2</f>
        <v>1124728</v>
      </c>
      <c r="K11" s="1"/>
    </row>
    <row r="12" spans="2:12">
      <c r="D12">
        <f>1-(1+0.08)^-15</f>
        <v>0.68475829503411001</v>
      </c>
      <c r="K12" s="1"/>
    </row>
    <row r="13" spans="2:12">
      <c r="D13">
        <f>+D12/0.08</f>
        <v>8.5594786879263758</v>
      </c>
      <c r="K13" s="1"/>
    </row>
    <row r="14" spans="2:12">
      <c r="D14" s="3">
        <f>+D13*D11</f>
        <v>9627085.3457140569</v>
      </c>
    </row>
    <row r="15" spans="2:12">
      <c r="D15" s="3">
        <f>+D14+K6-K7</f>
        <v>9627142.3782300558</v>
      </c>
    </row>
    <row r="16" spans="2:12">
      <c r="D16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Jameel Brannon</dc:creator>
  <cp:lastModifiedBy>Jameel Brannon</cp:lastModifiedBy>
  <dcterms:created xsi:type="dcterms:W3CDTF">2026-10-08T01:39:47Z</dcterms:created>
  <dcterms:modified xsi:type="dcterms:W3CDTF">2026-10-10T03:41:37Z</dcterms:modified>
</cp:coreProperties>
</file>