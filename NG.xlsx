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BasicMaterials/"/>
    </mc:Choice>
  </mc:AlternateContent>
  <xr:revisionPtr revIDLastSave="0" documentId="13_ncr:1_{428282B1-BB87-694C-8544-4F67E400F37B}" xr6:coauthVersionLast="47" xr6:coauthVersionMax="47" xr10:uidLastSave="{00000000-0000-0000-0000-000000000000}"/>
  <bookViews>
    <workbookView xWindow="23000" yWindow="1900" windowWidth="26260" windowHeight="25260" xr2:uid="{1DD5199A-C36F-BA4C-BE90-9543CEB7B5F7}"/>
  </bookViews>
  <sheets>
    <sheet name="Model" sheetId="2" r:id="rId1"/>
    <sheet name="Main" sheetId="1" r:id="rId2"/>
    <sheet name="Donlin Gold" sheetId="5" r:id="rId3"/>
    <sheet name="Galore Creek" sheetId="3" r:id="rId4"/>
    <sheet name="Drill Hol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D27" i="2"/>
  <c r="D28" i="2" s="1"/>
  <c r="D11" i="2"/>
  <c r="E18" i="2" s="1"/>
  <c r="D10" i="2"/>
  <c r="D9" i="2"/>
  <c r="D8" i="2"/>
  <c r="D7" i="2"/>
  <c r="D6" i="2"/>
  <c r="D5" i="2"/>
  <c r="E17" i="2"/>
  <c r="E16" i="2"/>
  <c r="K4" i="1"/>
  <c r="K7" i="1"/>
  <c r="K5" i="1"/>
  <c r="J7" i="3"/>
  <c r="I7" i="3"/>
  <c r="J6" i="3"/>
  <c r="I6" i="3"/>
  <c r="J5" i="3"/>
  <c r="I5" i="3"/>
  <c r="J4" i="3"/>
  <c r="I4" i="3"/>
  <c r="J3" i="3"/>
  <c r="I3" i="3"/>
  <c r="H7" i="3"/>
  <c r="H6" i="3"/>
  <c r="H5" i="3"/>
  <c r="H4" i="3"/>
  <c r="H3" i="3"/>
  <c r="D25" i="2" l="1"/>
  <c r="D29" i="2" s="1"/>
  <c r="D31" i="2" s="1"/>
  <c r="D33" i="2" s="1"/>
  <c r="E20" i="2"/>
  <c r="E19" i="2"/>
  <c r="D35" i="2" l="1"/>
  <c r="D37" i="2"/>
  <c r="D38" i="2" s="1"/>
</calcChain>
</file>

<file path=xl/sharedStrings.xml><?xml version="1.0" encoding="utf-8"?>
<sst xmlns="http://schemas.openxmlformats.org/spreadsheetml/2006/main" count="112" uniqueCount="92">
  <si>
    <t>CEO</t>
  </si>
  <si>
    <t>CFO</t>
  </si>
  <si>
    <t>Main</t>
  </si>
  <si>
    <t>Shares</t>
  </si>
  <si>
    <t>Market Cap</t>
  </si>
  <si>
    <t xml:space="preserve">Cash </t>
  </si>
  <si>
    <t xml:space="preserve">Debt </t>
  </si>
  <si>
    <t xml:space="preserve">Enterprise Value </t>
  </si>
  <si>
    <t>Price</t>
  </si>
  <si>
    <t>https://novagold.com/investors/financials-reports/</t>
  </si>
  <si>
    <t>Press Releases</t>
  </si>
  <si>
    <t>https://novagold.com/2014/</t>
  </si>
  <si>
    <t>Contains</t>
  </si>
  <si>
    <t>Drill results at Galore Creek, 50% owned by Novagold &amp; Teck Resources (50/50 Partnership)</t>
  </si>
  <si>
    <t xml:space="preserve">Identification </t>
  </si>
  <si>
    <t>GC13-0889</t>
  </si>
  <si>
    <t>GC13-0890</t>
  </si>
  <si>
    <t>Copper</t>
  </si>
  <si>
    <t>Metric tonnes</t>
  </si>
  <si>
    <t>GC13-0895 (1)</t>
  </si>
  <si>
    <t>GC13-0895 (2)</t>
  </si>
  <si>
    <t>Silver g/t</t>
  </si>
  <si>
    <t>Gold g/t</t>
  </si>
  <si>
    <t>GC13-0901</t>
  </si>
  <si>
    <t>Length  m</t>
  </si>
  <si>
    <t>1metric tonne = 1,000 kg</t>
  </si>
  <si>
    <t>Copper kg/t</t>
  </si>
  <si>
    <t xml:space="preserve">Advanced permitting at Donlin Gold </t>
  </si>
  <si>
    <t>Donlin Gold Draft Environmental Impact Statement (DEIC)</t>
  </si>
  <si>
    <t>Donlin Gold Project Reports Drill Results</t>
  </si>
  <si>
    <t>Entered agreement to sell 50% interest in galore Creek Project ~$275M</t>
  </si>
  <si>
    <t>Responds to short sellet report</t>
  </si>
  <si>
    <t xml:space="preserve">Files lawsuit against J Capital research </t>
  </si>
  <si>
    <t>Technical Reports</t>
  </si>
  <si>
    <t>S-K 1300</t>
  </si>
  <si>
    <t>NI 43-101</t>
  </si>
  <si>
    <t xml:space="preserve">Main </t>
  </si>
  <si>
    <t xml:space="preserve">current status == sold in 2028 </t>
  </si>
  <si>
    <t>Donlin is one of the largest undeveloped gold deposits in the U.S.</t>
  </si>
  <si>
    <t>P&amp;P reserves are 32.8 Moz at 2.02 g/t</t>
  </si>
  <si>
    <t xml:space="preserve">NOVAGOLD owns 60% of Donlin </t>
  </si>
  <si>
    <t xml:space="preserve">The deposit is reduced intrusion related gold system </t>
  </si>
  <si>
    <t xml:space="preserve">Gold is mostly sub microscopic and hosted in Arsenopyrite with pyrite secondary </t>
  </si>
  <si>
    <t xml:space="preserve">The ore is refractory os simple cyanidation is not enough </t>
  </si>
  <si>
    <t>Processing requires flotation --&gt; POX --&gt; CIL</t>
  </si>
  <si>
    <t>LOM gold recovery is modeled at ~90%</t>
  </si>
  <si>
    <t>Donlin is massive open pit mine with a ~6.5:1 strip ratio</t>
  </si>
  <si>
    <t xml:space="preserve">The mine processes ~504.8 Mt of ore but moves ~3.8Bt of total material </t>
  </si>
  <si>
    <t>Mining lasts ~24 years with a ~3 additional years of stockpile processing</t>
  </si>
  <si>
    <t>Average recovered gold is roughly ~1.1 Moz/year, with stonger production in early/mid years</t>
  </si>
  <si>
    <t>Initial CapEx is ~$9.2B</t>
  </si>
  <si>
    <t>Sustaining CapEx is $2.3B (additional to te ~$9.2B)</t>
  </si>
  <si>
    <t>Project requires large infra builds, 507 km gas pipeline, power plant, roads, ports, camp, TSF, and water systems.</t>
  </si>
  <si>
    <t xml:space="preserve">The project is remote with no existing roadf or grid access to the mine site </t>
  </si>
  <si>
    <t>At ~$2,100 gold, after tax NPV5 is ~$5.1B and IRR ~10.3%</t>
  </si>
  <si>
    <t>Donlin is highly sensitive to gold price and feed grade</t>
  </si>
  <si>
    <t>Current mine plan assumes ~29% dilution and reducing dilution could materially improve economics</t>
  </si>
  <si>
    <t xml:space="preserve">Biggest investment risk is financing, construciton, infra builds, permitting, and execution </t>
  </si>
  <si>
    <t>proposed ghas supply solution with Glenfarne</t>
  </si>
  <si>
    <t>Fluor Corpo (FLR) selected to lead the Bankable feasiblity Study (BFS)</t>
  </si>
  <si>
    <t xml:space="preserve">WSP/Worley/Hatch.  Worley working on power plant, Worley on nat gas pipeline, and Hatch on POX/Oxygen engineering </t>
  </si>
  <si>
    <t>NOVAGOLD to acquire Paulson's Donlin Godl Holdings interests in Donlin Gold in a all share transaction</t>
  </si>
  <si>
    <t xml:space="preserve">Endeavour Financial  and Macquarie were hired to start structuring project and infra financing </t>
  </si>
  <si>
    <t xml:space="preserve">Geotechnical work will conclude in the fall with drill holes and test pits at Jungjuk Port, access corridor, borrow sites and plant site </t>
  </si>
  <si>
    <t xml:space="preserve">Donlin project </t>
  </si>
  <si>
    <t>$M</t>
  </si>
  <si>
    <t>Source</t>
  </si>
  <si>
    <t>Gold Price ($/oz)</t>
  </si>
  <si>
    <t>After-tax IRR</t>
  </si>
  <si>
    <t>Payback (yrs)</t>
  </si>
  <si>
    <t>Status</t>
  </si>
  <si>
    <t>Reported</t>
  </si>
  <si>
    <t>SK1300 Table 19-3</t>
  </si>
  <si>
    <t>Method</t>
  </si>
  <si>
    <t>Official point</t>
  </si>
  <si>
    <t>Linear interpolation</t>
  </si>
  <si>
    <t>Linear extrapolation from $2,520-$2,730 slope</t>
  </si>
  <si>
    <t>After-tax NPV5 ($M)</t>
  </si>
  <si>
    <t>Est. NPV5</t>
  </si>
  <si>
    <t xml:space="preserve">Valuation </t>
  </si>
  <si>
    <t>NPV Est.</t>
  </si>
  <si>
    <t>Scenario CapEx</t>
  </si>
  <si>
    <t>PFS Initial CapEx</t>
  </si>
  <si>
    <t>Incremental CapEx vs PFS</t>
  </si>
  <si>
    <t>NPV Less CapEx</t>
  </si>
  <si>
    <t xml:space="preserve">Ng Ownership </t>
  </si>
  <si>
    <t>Attributable NPV</t>
  </si>
  <si>
    <t>Developmental Probability</t>
  </si>
  <si>
    <t>Risked Project NAV</t>
  </si>
  <si>
    <t>Current Market Cap</t>
  </si>
  <si>
    <t>Upside</t>
  </si>
  <si>
    <t xml:space="preserve">Build prob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</si>
</sst>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"/>
    <numFmt numFmtId="172" formatCode="0.0"/>
    <numFmt numFmtId="174" formatCode="_(* #,##0_);_(* \(#,##0\);_(* &quot;-&quot;??_);_(@_)"/>
    <numFmt numFmtId="178" formatCode="\$#,##0"/>
    <numFmt numFmtId="180" formatCode="0.0%;[Red]\(0.0%\);\-"/>
    <numFmt numFmtId="181" formatCode="\$0.00;[Red]\(\$0.00&quot;B&quot;\);\-"/>
    <numFmt numFmtId="182" formatCode="\$0.00;[Red]\(\$0.00\);\-"/>
  </numFmts>
  <fonts count="14">
    <font>
      <sz val="10"/>
      <color theme="1"/>
      <name val="ArialMT"/>
      <family val="2"/>
    </font>
    <font>
      <sz val="10"/>
      <color theme="1"/>
      <name val="ArialMT"/>
      <family val="2"/>
    </font>
    <font>
      <u/>
      <sz val="10"/>
      <color theme="10"/>
      <name val="ArialMT"/>
      <family val="2"/>
    </font>
    <font>
      <sz val="10"/>
      <color rgb="FF000000"/>
      <name val="ArialMT"/>
      <family val="2"/>
    </font>
    <font>
      <sz val="10"/>
      <color theme="1"/>
      <name val="ArialMT"/>
    </font>
    <font>
      <u/>
      <sz val="10"/>
      <color theme="1"/>
      <name val="ArialMT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2"/>
    <xf numFmtId="14" fontId="0" fillId="0" borderId="0" xfId="0" applyNumberFormat="1"/>
    <xf numFmtId="0" fontId="0" fillId="0" borderId="0" xfId="0" applyAlignment="1">
      <alignment horizontal="left"/>
    </xf>
    <xf numFmtId="14" fontId="2" fillId="0" borderId="0" xfId="2" applyNumberFormat="1" applyAlignment="1">
      <alignment horizontal="left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2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0" xfId="0" applyBorder="1" applyAlignment="1">
      <alignment vertical="top"/>
    </xf>
    <xf numFmtId="9" fontId="0" fillId="0" borderId="0" xfId="0" applyNumberFormat="1" applyBorder="1" applyAlignment="1">
      <alignment horizontal="center"/>
    </xf>
    <xf numFmtId="0" fontId="4" fillId="0" borderId="0" xfId="0" applyFont="1"/>
    <xf numFmtId="3" fontId="4" fillId="0" borderId="0" xfId="0" applyNumberFormat="1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/>
    <xf numFmtId="0" fontId="4" fillId="0" borderId="0" xfId="0" applyFont="1" applyFill="1" applyBorder="1" applyAlignment="1"/>
    <xf numFmtId="0" fontId="0" fillId="0" borderId="0" xfId="0" applyFill="1" applyBorder="1" applyAlignment="1">
      <alignment vertical="top"/>
    </xf>
    <xf numFmtId="174" fontId="0" fillId="0" borderId="0" xfId="1" applyNumberFormat="1" applyFont="1"/>
    <xf numFmtId="0" fontId="5" fillId="0" borderId="0" xfId="0" applyFont="1"/>
    <xf numFmtId="0" fontId="6" fillId="0" borderId="0" xfId="2" applyFont="1"/>
    <xf numFmtId="0" fontId="7" fillId="0" borderId="0" xfId="0" applyFont="1"/>
    <xf numFmtId="178" fontId="10" fillId="0" borderId="0" xfId="0" applyNumberFormat="1" applyFont="1"/>
    <xf numFmtId="180" fontId="10" fillId="0" borderId="0" xfId="0" applyNumberFormat="1" applyFont="1"/>
    <xf numFmtId="172" fontId="10" fillId="0" borderId="0" xfId="0" applyNumberFormat="1" applyFont="1"/>
    <xf numFmtId="0" fontId="10" fillId="0" borderId="0" xfId="0" applyFont="1"/>
    <xf numFmtId="3" fontId="7" fillId="0" borderId="0" xfId="0" applyNumberFormat="1" applyFont="1"/>
    <xf numFmtId="0" fontId="9" fillId="0" borderId="0" xfId="0" applyFont="1" applyFill="1" applyAlignment="1">
      <alignment horizontal="center" vertical="center"/>
    </xf>
    <xf numFmtId="178" fontId="10" fillId="2" borderId="0" xfId="0" applyNumberFormat="1" applyFont="1" applyFill="1"/>
    <xf numFmtId="180" fontId="10" fillId="2" borderId="0" xfId="0" applyNumberFormat="1" applyFont="1" applyFill="1"/>
    <xf numFmtId="172" fontId="10" fillId="2" borderId="0" xfId="0" applyNumberFormat="1" applyFont="1" applyFill="1"/>
    <xf numFmtId="0" fontId="10" fillId="2" borderId="0" xfId="0" applyFont="1" applyFill="1"/>
    <xf numFmtId="181" fontId="10" fillId="0" borderId="0" xfId="0" applyNumberFormat="1" applyFont="1"/>
    <xf numFmtId="181" fontId="10" fillId="2" borderId="0" xfId="0" applyNumberFormat="1" applyFont="1" applyFill="1"/>
    <xf numFmtId="182" fontId="10" fillId="0" borderId="0" xfId="0" applyNumberFormat="1" applyFont="1"/>
    <xf numFmtId="182" fontId="11" fillId="0" borderId="0" xfId="0" applyNumberFormat="1" applyFont="1"/>
    <xf numFmtId="0" fontId="12" fillId="0" borderId="0" xfId="0" applyFont="1" applyFill="1"/>
    <xf numFmtId="0" fontId="13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178" fontId="10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ovagold.com/novagold-enters-agreement-to-sell-its-50-stake-in-galore-creek-to-newmont-for-up-to-275-million/" TargetMode="External"/><Relationship Id="rId13" Type="http://schemas.openxmlformats.org/officeDocument/2006/relationships/hyperlink" Target="https://novagold.com/novagold-provides-update-on-donlin-gold-infrastructure-and-energy-supply-with-initial-glenfarne-letter-of-intent/?utm_source=chatgpt.com" TargetMode="External"/><Relationship Id="rId18" Type="http://schemas.openxmlformats.org/officeDocument/2006/relationships/hyperlink" Target="https://novagold.com/novagold-files-third-quarter-2026-report-unlocking-donlin-golds-full-potential-and-advancing-the-path-to-development/?utm_source=chatgpt.com" TargetMode="External"/><Relationship Id="rId3" Type="http://schemas.openxmlformats.org/officeDocument/2006/relationships/hyperlink" Target="https://novagold.com/novagolds-2013-drill-results-at-galore-creek-identify-extensions-to-mineralization-at-legacy-zone/" TargetMode="External"/><Relationship Id="rId7" Type="http://schemas.openxmlformats.org/officeDocument/2006/relationships/hyperlink" Target="https://novagold.com/novagolds-donlin-gold-project-reports-excellent-results-from-2017-drill-program/" TargetMode="External"/><Relationship Id="rId12" Type="http://schemas.openxmlformats.org/officeDocument/2006/relationships/hyperlink" Target="NI%2043-101.pdf" TargetMode="External"/><Relationship Id="rId17" Type="http://schemas.openxmlformats.org/officeDocument/2006/relationships/hyperlink" Target="https://novagold.com/novagold-paulson-announce-the-appointment-of-endeavour-financial-and-macquarie-capital-as-financial-advisors-to-the-donlin-gold-project/?utm_source=chatgpt.com" TargetMode="External"/><Relationship Id="rId2" Type="http://schemas.openxmlformats.org/officeDocument/2006/relationships/hyperlink" Target="https://novagold.com/save-the-date-novagold-fourth-quarter-2013-results-release-conference-call-and-webcast/" TargetMode="External"/><Relationship Id="rId16" Type="http://schemas.openxmlformats.org/officeDocument/2006/relationships/hyperlink" Target="https://novagold.com/novagold-enters-into-definitive-agreements-to-acquire-100-of-donlin-gold/?utm_source=chatgpt.com" TargetMode="External"/><Relationship Id="rId1" Type="http://schemas.openxmlformats.org/officeDocument/2006/relationships/hyperlink" Target="https://novagold.com/investors/financials-reports/" TargetMode="External"/><Relationship Id="rId6" Type="http://schemas.openxmlformats.org/officeDocument/2006/relationships/hyperlink" Target="https://novagold.com/barrick-and-novagold-report-filing-of-draft-environmental-impact-statement-advancing-permitting-for-donlin-gold/" TargetMode="External"/><Relationship Id="rId11" Type="http://schemas.openxmlformats.org/officeDocument/2006/relationships/hyperlink" Target="SK1300%20NG.pdf" TargetMode="External"/><Relationship Id="rId5" Type="http://schemas.openxmlformats.org/officeDocument/2006/relationships/hyperlink" Target="https://novagold.com/2014/" TargetMode="External"/><Relationship Id="rId15" Type="http://schemas.openxmlformats.org/officeDocument/2006/relationships/hyperlink" Target="https://novagold.com/novagold-paulson-award-engineering-contracts-to-wsp-worley-and-hatch-for-key-infrastructure-and-unit-operations-in-bankable-feasibility-study/?utm_source=chatgpt.com" TargetMode="External"/><Relationship Id="rId10" Type="http://schemas.openxmlformats.org/officeDocument/2006/relationships/hyperlink" Target="https://novagold.com/novagold-files-lawsuit-against-j-capital-research-for-damages-sustained-from-manipulative-short-and-distort-report/" TargetMode="External"/><Relationship Id="rId4" Type="http://schemas.openxmlformats.org/officeDocument/2006/relationships/hyperlink" Target="https://novagold.com/novagold-advances-its-projects-and-strengthens-financial-position/" TargetMode="External"/><Relationship Id="rId9" Type="http://schemas.openxmlformats.org/officeDocument/2006/relationships/hyperlink" Target="https://wp-novagold-2024.s3.ca-central-1.amazonaws.com/media/2024/05/2020-06-08c.pdf" TargetMode="External"/><Relationship Id="rId14" Type="http://schemas.openxmlformats.org/officeDocument/2006/relationships/hyperlink" Target="https://novagold.com/novagold-provides-update-on-donlin-gold-infrastructure-and-energy-supply-with-initial-glenfarne-letter-of-intent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CE34-1F0D-5445-B337-C7A54977582E}">
  <dimension ref="A1:H38"/>
  <sheetViews>
    <sheetView showGridLines="0" tabSelected="1" zoomScale="165" workbookViewId="0">
      <selection activeCell="D37" sqref="D37"/>
    </sheetView>
  </sheetViews>
  <sheetFormatPr baseColWidth="10" defaultRowHeight="13"/>
  <cols>
    <col min="1" max="1" width="4.83203125" style="28" bestFit="1" customWidth="1"/>
    <col min="2" max="2" width="7.33203125" style="28" customWidth="1"/>
    <col min="3" max="3" width="37.83203125" style="28" bestFit="1" customWidth="1"/>
    <col min="4" max="4" width="19.5" style="28" bestFit="1" customWidth="1"/>
    <col min="5" max="5" width="13.83203125" style="28" bestFit="1" customWidth="1"/>
    <col min="6" max="6" width="13" style="28" bestFit="1" customWidth="1"/>
    <col min="7" max="7" width="8.6640625" style="28" bestFit="1" customWidth="1"/>
    <col min="8" max="8" width="16.83203125" style="28" bestFit="1" customWidth="1"/>
    <col min="9" max="9" width="5.5" style="28" bestFit="1" customWidth="1"/>
    <col min="10" max="11" width="10.83203125" style="28"/>
    <col min="12" max="23" width="5.1640625" style="28" bestFit="1" customWidth="1"/>
    <col min="24" max="16384" width="10.83203125" style="28"/>
  </cols>
  <sheetData>
    <row r="1" spans="1:8">
      <c r="A1" s="27" t="s">
        <v>2</v>
      </c>
      <c r="B1" s="27"/>
    </row>
    <row r="2" spans="1:8">
      <c r="A2" s="28" t="s">
        <v>65</v>
      </c>
    </row>
    <row r="4" spans="1:8" s="43" customFormat="1" ht="14">
      <c r="C4" s="44" t="s">
        <v>67</v>
      </c>
      <c r="D4" s="44" t="s">
        <v>77</v>
      </c>
      <c r="E4" s="44" t="s">
        <v>68</v>
      </c>
      <c r="F4" s="44" t="s">
        <v>69</v>
      </c>
      <c r="G4" s="44" t="s">
        <v>70</v>
      </c>
      <c r="H4" s="44" t="s">
        <v>66</v>
      </c>
    </row>
    <row r="5" spans="1:8" ht="14">
      <c r="C5" s="29">
        <v>1470</v>
      </c>
      <c r="D5" s="41">
        <f>+-0.787*1000</f>
        <v>-787</v>
      </c>
      <c r="E5" s="30">
        <v>0.04</v>
      </c>
      <c r="F5" s="31">
        <v>13</v>
      </c>
      <c r="G5" s="32" t="s">
        <v>71</v>
      </c>
      <c r="H5" s="32" t="s">
        <v>72</v>
      </c>
    </row>
    <row r="6" spans="1:8" ht="14">
      <c r="C6" s="29">
        <v>1680</v>
      </c>
      <c r="D6" s="39">
        <f>1.206*1000</f>
        <v>1206</v>
      </c>
      <c r="E6" s="30">
        <v>6.4000000000000001E-2</v>
      </c>
      <c r="F6" s="31">
        <v>9.1999999999999993</v>
      </c>
      <c r="G6" s="32" t="s">
        <v>71</v>
      </c>
      <c r="H6" s="32" t="s">
        <v>72</v>
      </c>
    </row>
    <row r="7" spans="1:8" ht="14">
      <c r="C7" s="29">
        <v>1890</v>
      </c>
      <c r="D7" s="39">
        <f>3.128*1000</f>
        <v>3128</v>
      </c>
      <c r="E7" s="30">
        <v>8.5000000000000006E-2</v>
      </c>
      <c r="F7" s="31">
        <v>7.5</v>
      </c>
      <c r="G7" s="32" t="s">
        <v>71</v>
      </c>
      <c r="H7" s="32" t="s">
        <v>72</v>
      </c>
    </row>
    <row r="8" spans="1:8" ht="14">
      <c r="C8" s="35">
        <v>2100</v>
      </c>
      <c r="D8" s="40">
        <f>5.058*1000</f>
        <v>5058</v>
      </c>
      <c r="E8" s="36">
        <v>0.10299999999999999</v>
      </c>
      <c r="F8" s="37">
        <v>6.5</v>
      </c>
      <c r="G8" s="38" t="s">
        <v>71</v>
      </c>
      <c r="H8" s="38" t="s">
        <v>72</v>
      </c>
    </row>
    <row r="9" spans="1:8" ht="14">
      <c r="C9" s="29">
        <v>2310</v>
      </c>
      <c r="D9" s="39">
        <f>6.94*1000</f>
        <v>6940</v>
      </c>
      <c r="E9" s="30">
        <v>0.12</v>
      </c>
      <c r="F9" s="31">
        <v>5.6</v>
      </c>
      <c r="G9" s="32" t="s">
        <v>71</v>
      </c>
      <c r="H9" s="32" t="s">
        <v>72</v>
      </c>
    </row>
    <row r="10" spans="1:8" ht="14">
      <c r="C10" s="29">
        <v>2520</v>
      </c>
      <c r="D10" s="39">
        <f>8.681*1000</f>
        <v>8681</v>
      </c>
      <c r="E10" s="30">
        <v>0.13500000000000001</v>
      </c>
      <c r="F10" s="31">
        <v>5.0999999999999996</v>
      </c>
      <c r="G10" s="32" t="s">
        <v>71</v>
      </c>
      <c r="H10" s="32" t="s">
        <v>72</v>
      </c>
    </row>
    <row r="11" spans="1:8" ht="14">
      <c r="C11" s="29">
        <v>2730</v>
      </c>
      <c r="D11" s="39">
        <f>10.235*1000</f>
        <v>10235</v>
      </c>
      <c r="E11" s="30">
        <v>0.14799999999999999</v>
      </c>
      <c r="F11" s="31">
        <v>4.5999999999999996</v>
      </c>
      <c r="G11" s="32" t="s">
        <v>71</v>
      </c>
      <c r="H11" s="32" t="s">
        <v>72</v>
      </c>
    </row>
    <row r="15" spans="1:8" s="43" customFormat="1" ht="14">
      <c r="C15" s="43" t="s">
        <v>73</v>
      </c>
      <c r="D15" s="44" t="s">
        <v>67</v>
      </c>
      <c r="E15" s="44" t="s">
        <v>78</v>
      </c>
    </row>
    <row r="16" spans="1:8" ht="14">
      <c r="C16" s="28" t="s">
        <v>74</v>
      </c>
      <c r="D16" s="29">
        <v>2100</v>
      </c>
      <c r="E16" s="42">
        <f>D8</f>
        <v>5058</v>
      </c>
    </row>
    <row r="17" spans="3:5" ht="14">
      <c r="C17" s="28" t="s">
        <v>75</v>
      </c>
      <c r="D17" s="29">
        <v>2500</v>
      </c>
      <c r="E17" s="42">
        <f>D9+(D17-C9)*(D10-D9)/(C10-C9)</f>
        <v>8515.1904761904771</v>
      </c>
    </row>
    <row r="18" spans="3:5" ht="14">
      <c r="C18" s="28" t="s">
        <v>76</v>
      </c>
      <c r="D18" s="29">
        <v>3000</v>
      </c>
      <c r="E18" s="42">
        <f>D11+(D18-C11)*(D11-D10)/(C11-C10)</f>
        <v>12233</v>
      </c>
    </row>
    <row r="19" spans="3:5" ht="14">
      <c r="C19" s="28" t="s">
        <v>76</v>
      </c>
      <c r="D19" s="29">
        <v>3500</v>
      </c>
      <c r="E19" s="42">
        <f>D11+(D19-C11)*(D11-D10)/(C11-C10)</f>
        <v>15933</v>
      </c>
    </row>
    <row r="20" spans="3:5" ht="14">
      <c r="C20" s="28" t="s">
        <v>76</v>
      </c>
      <c r="D20" s="29">
        <v>4000</v>
      </c>
      <c r="E20" s="42">
        <f>D11+(D20-C11)*(D11-D10)/(C11-C10)</f>
        <v>19633</v>
      </c>
    </row>
    <row r="21" spans="3:5" ht="14">
      <c r="E21" s="34"/>
    </row>
    <row r="23" spans="3:5">
      <c r="D23" s="45" t="s">
        <v>79</v>
      </c>
    </row>
    <row r="24" spans="3:5" ht="14">
      <c r="C24" s="28" t="s">
        <v>8</v>
      </c>
      <c r="D24" s="47">
        <v>3000</v>
      </c>
    </row>
    <row r="25" spans="3:5">
      <c r="C25" s="28" t="s">
        <v>80</v>
      </c>
      <c r="D25" s="46">
        <f>_xlfn.FORECAST.LINEAR(D24,D10:D11,C10:C11)</f>
        <v>12233</v>
      </c>
    </row>
    <row r="26" spans="3:5">
      <c r="C26" s="28" t="s">
        <v>81</v>
      </c>
      <c r="D26" s="50">
        <v>12000</v>
      </c>
    </row>
    <row r="27" spans="3:5">
      <c r="C27" s="28" t="s">
        <v>82</v>
      </c>
      <c r="D27" s="50">
        <f>9.23*1000</f>
        <v>9230</v>
      </c>
    </row>
    <row r="28" spans="3:5">
      <c r="C28" s="28" t="s">
        <v>83</v>
      </c>
      <c r="D28" s="46">
        <f>+D26-D27</f>
        <v>2770</v>
      </c>
    </row>
    <row r="29" spans="3:5">
      <c r="C29" s="33" t="s">
        <v>84</v>
      </c>
      <c r="D29" s="46">
        <f>+D25-D28</f>
        <v>9463</v>
      </c>
    </row>
    <row r="30" spans="3:5">
      <c r="C30" s="33" t="s">
        <v>85</v>
      </c>
      <c r="D30" s="48">
        <v>0.6</v>
      </c>
    </row>
    <row r="31" spans="3:5">
      <c r="C31" s="28" t="s">
        <v>86</v>
      </c>
      <c r="D31" s="46">
        <f>+D29*D30</f>
        <v>5677.8</v>
      </c>
    </row>
    <row r="32" spans="3:5">
      <c r="C32" s="28" t="s">
        <v>87</v>
      </c>
      <c r="D32" s="48">
        <v>0.5</v>
      </c>
    </row>
    <row r="33" spans="3:4">
      <c r="C33" s="28" t="s">
        <v>88</v>
      </c>
      <c r="D33" s="46">
        <f>+D31*D32</f>
        <v>2838.9</v>
      </c>
    </row>
    <row r="34" spans="3:4">
      <c r="C34" s="28" t="s">
        <v>89</v>
      </c>
      <c r="D34" s="46">
        <f>+Main!K4</f>
        <v>2970.7842793799996</v>
      </c>
    </row>
    <row r="35" spans="3:4">
      <c r="C35" s="28" t="s">
        <v>90</v>
      </c>
      <c r="D35" s="49">
        <f>+D33/D34-1</f>
        <v>-4.4393758340314005E-2</v>
      </c>
    </row>
    <row r="36" spans="3:4">
      <c r="D36" s="45"/>
    </row>
    <row r="37" spans="3:4">
      <c r="D37" s="45">
        <f>+D34/D33</f>
        <v>1.0464561201099016</v>
      </c>
    </row>
    <row r="38" spans="3:4">
      <c r="C38" s="28" t="s">
        <v>91</v>
      </c>
      <c r="D38" s="45">
        <f>+D37*D32</f>
        <v>0.52322806005495082</v>
      </c>
    </row>
  </sheetData>
  <hyperlinks>
    <hyperlink ref="A1" location="Main!A1" display="Main" xr:uid="{6BBD2D1C-A530-8849-9B02-90C5C6C289B4}"/>
  </hyperlinks>
  <pageMargins left="0.7" right="0.7" top="0.75" bottom="0.75" header="0.3" footer="0.3"/>
  <ignoredErrors>
    <ignoredError sqref="D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E0F8-01CF-5A47-B45B-FBFB5A4549DD}">
  <dimension ref="A1:K33"/>
  <sheetViews>
    <sheetView showGridLines="0" zoomScale="180" workbookViewId="0">
      <selection activeCell="B28" sqref="B28"/>
    </sheetView>
  </sheetViews>
  <sheetFormatPr baseColWidth="10" defaultRowHeight="13"/>
  <cols>
    <col min="1" max="1" width="4.1640625" customWidth="1"/>
    <col min="2" max="2" width="13.83203125" customWidth="1"/>
    <col min="10" max="10" width="14.5" bestFit="1" customWidth="1"/>
    <col min="11" max="11" width="6.6640625" bestFit="1" customWidth="1"/>
  </cols>
  <sheetData>
    <row r="1" spans="1:11">
      <c r="B1" s="1" t="s">
        <v>9</v>
      </c>
    </row>
    <row r="2" spans="1:11">
      <c r="B2" t="s">
        <v>0</v>
      </c>
      <c r="J2" t="s">
        <v>8</v>
      </c>
      <c r="K2">
        <v>6.77</v>
      </c>
    </row>
    <row r="3" spans="1:11">
      <c r="B3" t="s">
        <v>1</v>
      </c>
      <c r="J3" t="s">
        <v>3</v>
      </c>
      <c r="K3" s="25">
        <v>438.81599399999999</v>
      </c>
    </row>
    <row r="4" spans="1:11">
      <c r="J4" t="s">
        <v>4</v>
      </c>
      <c r="K4" s="25">
        <f>+K2*K3</f>
        <v>2970.7842793799996</v>
      </c>
    </row>
    <row r="5" spans="1:11">
      <c r="J5" t="s">
        <v>5</v>
      </c>
      <c r="K5" s="25">
        <f>146.386+197</f>
        <v>343.38599999999997</v>
      </c>
    </row>
    <row r="6" spans="1:11">
      <c r="B6" s="3" t="s">
        <v>33</v>
      </c>
      <c r="J6" t="s">
        <v>6</v>
      </c>
      <c r="K6" s="25">
        <v>177.506</v>
      </c>
    </row>
    <row r="7" spans="1:11">
      <c r="B7" s="9" t="s">
        <v>34</v>
      </c>
      <c r="C7" s="2">
        <v>45991</v>
      </c>
      <c r="J7" t="s">
        <v>7</v>
      </c>
      <c r="K7" s="25">
        <f>+K4-K5+K6</f>
        <v>2804.9042793799995</v>
      </c>
    </row>
    <row r="8" spans="1:11">
      <c r="B8" s="9" t="s">
        <v>35</v>
      </c>
      <c r="C8" s="2">
        <v>45991</v>
      </c>
    </row>
    <row r="13" spans="1:11">
      <c r="A13" s="1" t="s">
        <v>11</v>
      </c>
      <c r="B13" s="3" t="s">
        <v>10</v>
      </c>
      <c r="C13" t="s">
        <v>12</v>
      </c>
    </row>
    <row r="14" spans="1:11">
      <c r="B14" s="4">
        <v>41655</v>
      </c>
    </row>
    <row r="15" spans="1:11">
      <c r="B15" s="4">
        <v>41662</v>
      </c>
      <c r="C15" t="s">
        <v>13</v>
      </c>
    </row>
    <row r="16" spans="1:11">
      <c r="B16" s="4">
        <v>41681</v>
      </c>
      <c r="C16" t="s">
        <v>27</v>
      </c>
    </row>
    <row r="17" spans="2:3">
      <c r="B17" s="4">
        <v>42338</v>
      </c>
      <c r="C17" t="s">
        <v>28</v>
      </c>
    </row>
    <row r="18" spans="2:3">
      <c r="B18" s="4">
        <v>43151</v>
      </c>
      <c r="C18" t="s">
        <v>29</v>
      </c>
    </row>
    <row r="19" spans="2:3">
      <c r="B19" s="4">
        <v>43307</v>
      </c>
      <c r="C19" t="s">
        <v>30</v>
      </c>
    </row>
    <row r="20" spans="2:3">
      <c r="B20" s="4">
        <v>43990</v>
      </c>
      <c r="C20" t="s">
        <v>31</v>
      </c>
    </row>
    <row r="21" spans="2:3">
      <c r="B21" s="4">
        <v>44019</v>
      </c>
      <c r="C21" t="s">
        <v>32</v>
      </c>
    </row>
    <row r="22" spans="2:3">
      <c r="B22" s="4">
        <v>46030</v>
      </c>
      <c r="C22" t="s">
        <v>58</v>
      </c>
    </row>
    <row r="23" spans="2:3">
      <c r="B23" s="4">
        <v>46062</v>
      </c>
      <c r="C23" t="s">
        <v>59</v>
      </c>
    </row>
    <row r="24" spans="2:3">
      <c r="B24" s="4">
        <v>46093</v>
      </c>
      <c r="C24" t="s">
        <v>60</v>
      </c>
    </row>
    <row r="25" spans="2:3">
      <c r="B25" s="4">
        <v>46225</v>
      </c>
      <c r="C25" t="s">
        <v>61</v>
      </c>
    </row>
    <row r="26" spans="2:3">
      <c r="B26" s="4">
        <v>46245</v>
      </c>
      <c r="C26" t="s">
        <v>62</v>
      </c>
    </row>
    <row r="27" spans="2:3">
      <c r="B27" s="4">
        <v>46303</v>
      </c>
      <c r="C27" t="s">
        <v>63</v>
      </c>
    </row>
    <row r="28" spans="2:3">
      <c r="B28" s="3"/>
    </row>
    <row r="29" spans="2:3">
      <c r="B29" s="3"/>
    </row>
    <row r="30" spans="2:3">
      <c r="B30" s="3"/>
    </row>
    <row r="31" spans="2:3">
      <c r="B31" s="3"/>
    </row>
    <row r="32" spans="2:3">
      <c r="B32" s="3"/>
    </row>
    <row r="33" spans="2:2">
      <c r="B33" s="3"/>
    </row>
  </sheetData>
  <hyperlinks>
    <hyperlink ref="B1" r:id="rId1" xr:uid="{A24DDC6A-5D7A-9D44-BD28-A1664ABF1DDF}"/>
    <hyperlink ref="B14" r:id="rId2" display="https://novagold.com/save-the-date-novagold-fourth-quarter-2013-results-release-conference-call-and-webcast/" xr:uid="{F4193B24-34DF-4641-B939-77B7352EBA00}"/>
    <hyperlink ref="B15" r:id="rId3" display="https://novagold.com/novagolds-2013-drill-results-at-galore-creek-identify-extensions-to-mineralization-at-legacy-zone/" xr:uid="{78B90C77-41CC-1840-A531-3F35B09B1B14}"/>
    <hyperlink ref="B16" r:id="rId4" display="https://novagold.com/novagold-advances-its-projects-and-strengthens-financial-position/" xr:uid="{A91E4FC2-F1FE-0A4F-87FC-3A8C18355D21}"/>
    <hyperlink ref="A13" r:id="rId5" xr:uid="{28608B21-7518-7C4A-917A-3B086809AE7A}"/>
    <hyperlink ref="B17" r:id="rId6" display="https://novagold.com/barrick-and-novagold-report-filing-of-draft-environmental-impact-statement-advancing-permitting-for-donlin-gold/" xr:uid="{78206E39-151B-C14A-AED1-BE7B31786E9E}"/>
    <hyperlink ref="B18" r:id="rId7" display="https://novagold.com/novagolds-donlin-gold-project-reports-excellent-results-from-2017-drill-program/" xr:uid="{3431E768-7184-5B41-B370-7B2726680BA2}"/>
    <hyperlink ref="B19" r:id="rId8" display="https://novagold.com/novagold-enters-agreement-to-sell-its-50-stake-in-galore-creek-to-newmont-for-up-to-275-million/" xr:uid="{2B3CBB3D-6C07-494F-A88E-1E9DCEDE91D0}"/>
    <hyperlink ref="B20" r:id="rId9" display="https://wp-novagold-2024.s3.ca-central-1.amazonaws.com/media/2024/05/2020-06-08c.pdf" xr:uid="{496AC4F7-9270-ED44-AEC7-8B84480C7667}"/>
    <hyperlink ref="B21" r:id="rId10" display="https://novagold.com/novagold-files-lawsuit-against-j-capital-research-for-damages-sustained-from-manipulative-short-and-distort-report/" xr:uid="{B6ECF3AA-0163-D145-971B-0412177B85CD}"/>
    <hyperlink ref="B7" r:id="rId11" xr:uid="{36F86FB5-2494-CC4C-81D1-6A9F1754F477}"/>
    <hyperlink ref="B8" r:id="rId12" xr:uid="{B857D6D5-5193-9945-A6AC-BCF4060799D6}"/>
    <hyperlink ref="B22" r:id="rId13" display="https://novagold.com/novagold-provides-update-on-donlin-gold-infrastructure-and-energy-supply-with-initial-glenfarne-letter-of-intent/?utm_source=chatgpt.com" xr:uid="{D8A463CB-31C2-2643-A20A-C3EA84FE9975}"/>
    <hyperlink ref="B23" r:id="rId14" display="https://novagold.com/novagold-provides-update-on-donlin-gold-infrastructure-and-energy-supply-with-initial-glenfarne-letter-of-intent/?utm_source=chatgpt.com" xr:uid="{D303D4A8-53B0-5E46-9E8A-2AFC8C5A6A96}"/>
    <hyperlink ref="B24" r:id="rId15" display="https://novagold.com/novagold-paulson-award-engineering-contracts-to-wsp-worley-and-hatch-for-key-infrastructure-and-unit-operations-in-bankable-feasibility-study/?utm_source=chatgpt.com" xr:uid="{0D0F059E-A503-AF43-9F90-6D7864C9EB56}"/>
    <hyperlink ref="B25" r:id="rId16" display="https://novagold.com/novagold-enters-into-definitive-agreements-to-acquire-100-of-donlin-gold/?utm_source=chatgpt.com" xr:uid="{91AC3E53-190E-F543-9F62-7C2467AB8403}"/>
    <hyperlink ref="B26" r:id="rId17" display="https://novagold.com/novagold-paulson-announce-the-appointment-of-endeavour-financial-and-macquarie-capital-as-financial-advisors-to-the-donlin-gold-project/?utm_source=chatgpt.com" xr:uid="{E783C40B-29BF-934F-8688-CA57F062A585}"/>
    <hyperlink ref="B27" r:id="rId18" display="https://novagold.com/novagold-files-third-quarter-2026-report-unlocking-donlin-golds-full-potential-and-advancing-the-path-to-development/?utm_source=chatgpt.com" xr:uid="{BEAC1FB8-BD5C-614C-9121-895127983EB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45B3-3C82-5648-AC6D-ED2E5E4CA637}">
  <dimension ref="A1:O50"/>
  <sheetViews>
    <sheetView showGridLines="0" zoomScale="186" zoomScaleNormal="310" workbookViewId="0">
      <selection activeCell="B2" sqref="B2"/>
    </sheetView>
  </sheetViews>
  <sheetFormatPr baseColWidth="10" defaultRowHeight="13"/>
  <cols>
    <col min="1" max="1" width="4.83203125" bestFit="1" customWidth="1"/>
    <col min="2" max="2" width="17.5" customWidth="1"/>
    <col min="3" max="3" width="10.1640625" customWidth="1"/>
    <col min="4" max="4" width="6.1640625" bestFit="1" customWidth="1"/>
    <col min="5" max="5" width="7.1640625" bestFit="1" customWidth="1"/>
    <col min="6" max="6" width="7.83203125" bestFit="1" customWidth="1"/>
    <col min="8" max="8" width="2" customWidth="1"/>
  </cols>
  <sheetData>
    <row r="1" spans="1:15">
      <c r="A1" s="1" t="s">
        <v>2</v>
      </c>
    </row>
    <row r="2" spans="1:15">
      <c r="B2" s="26" t="s">
        <v>64</v>
      </c>
    </row>
    <row r="3" spans="1:15">
      <c r="B3" s="19" t="s">
        <v>38</v>
      </c>
      <c r="C3" s="13"/>
      <c r="D3" s="13"/>
      <c r="E3" s="13"/>
      <c r="F3" s="13"/>
      <c r="G3" s="13"/>
      <c r="H3" s="13"/>
      <c r="I3" s="14"/>
      <c r="J3" s="13"/>
      <c r="K3" s="14"/>
      <c r="L3" s="13"/>
      <c r="M3" s="13"/>
      <c r="N3" s="13"/>
      <c r="O3" s="13"/>
    </row>
    <row r="4" spans="1:15">
      <c r="B4" s="22" t="s">
        <v>39</v>
      </c>
      <c r="C4" s="13"/>
      <c r="D4" s="13"/>
      <c r="E4" s="13"/>
      <c r="F4" s="13"/>
      <c r="G4" s="13"/>
      <c r="H4" s="13"/>
      <c r="I4" s="14"/>
      <c r="J4" s="14"/>
      <c r="K4" s="14"/>
      <c r="L4" s="13"/>
      <c r="M4" s="13"/>
      <c r="N4" s="13"/>
      <c r="O4" s="13"/>
    </row>
    <row r="5" spans="1:15">
      <c r="B5" s="22" t="s">
        <v>40</v>
      </c>
      <c r="C5" s="13"/>
      <c r="D5" s="13"/>
      <c r="E5" s="13"/>
      <c r="F5" s="13"/>
      <c r="G5" s="13"/>
      <c r="H5" s="13"/>
      <c r="I5" s="14"/>
      <c r="J5" s="14"/>
      <c r="K5" s="14"/>
      <c r="L5" s="13"/>
      <c r="M5" s="13"/>
      <c r="N5" s="13"/>
      <c r="O5" s="13"/>
    </row>
    <row r="6" spans="1:15">
      <c r="B6" s="23" t="s">
        <v>41</v>
      </c>
      <c r="C6" s="13"/>
      <c r="D6" s="13"/>
      <c r="E6" s="13"/>
      <c r="F6" s="13"/>
      <c r="G6" s="13"/>
      <c r="H6" s="13"/>
      <c r="I6" s="14"/>
      <c r="J6" s="14"/>
      <c r="K6" s="14"/>
      <c r="L6" s="13"/>
      <c r="M6" s="13"/>
      <c r="N6" s="13"/>
      <c r="O6" s="13"/>
    </row>
    <row r="7" spans="1:15">
      <c r="B7" s="23" t="s">
        <v>42</v>
      </c>
      <c r="C7" s="13"/>
      <c r="D7" s="13"/>
      <c r="E7" s="13"/>
      <c r="F7" s="13"/>
      <c r="G7" s="13"/>
      <c r="H7" s="13"/>
      <c r="I7" s="14"/>
      <c r="J7" s="14"/>
      <c r="K7" s="14"/>
      <c r="L7" s="13"/>
      <c r="M7" s="13"/>
      <c r="N7" s="13"/>
      <c r="O7" s="13"/>
    </row>
    <row r="8" spans="1:15">
      <c r="B8" s="23" t="s">
        <v>43</v>
      </c>
      <c r="C8" s="13"/>
      <c r="D8" s="13"/>
      <c r="E8" s="13"/>
      <c r="F8" s="13"/>
      <c r="G8" s="13"/>
      <c r="H8" s="13"/>
      <c r="I8" s="14"/>
      <c r="J8" s="14"/>
      <c r="K8" s="14"/>
      <c r="L8" s="13"/>
      <c r="M8" s="13"/>
      <c r="N8" s="13"/>
      <c r="O8" s="13"/>
    </row>
    <row r="9" spans="1:15">
      <c r="B9" s="23" t="s">
        <v>44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>
      <c r="B10" s="23" t="s">
        <v>45</v>
      </c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>
      <c r="B11" s="21" t="s">
        <v>46</v>
      </c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>
      <c r="B12" s="21" t="s">
        <v>47</v>
      </c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>
      <c r="B13" s="20" t="s">
        <v>48</v>
      </c>
      <c r="C13" s="16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>
      <c r="B14" s="20" t="s">
        <v>49</v>
      </c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>
      <c r="B15" s="21" t="s">
        <v>50</v>
      </c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5">
      <c r="B16" s="17" t="s">
        <v>51</v>
      </c>
      <c r="C16" s="18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2:15">
      <c r="B17" s="24" t="s">
        <v>52</v>
      </c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2:15">
      <c r="B18" s="24" t="s">
        <v>53</v>
      </c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2:15">
      <c r="B19" s="24" t="s">
        <v>54</v>
      </c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2:15">
      <c r="B20" s="24" t="s">
        <v>55</v>
      </c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>
      <c r="B21" s="24" t="s">
        <v>56</v>
      </c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2:15">
      <c r="B22" s="24" t="s">
        <v>57</v>
      </c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2:15">
      <c r="B23" s="13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2:15">
      <c r="B24" s="13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2:1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2:1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2:1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2:1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2:15">
      <c r="B29" s="13"/>
      <c r="C29" s="14"/>
      <c r="D29" s="13"/>
      <c r="E29" s="13"/>
      <c r="F29" s="15"/>
      <c r="G29" s="14"/>
      <c r="H29" s="13"/>
      <c r="I29" s="13"/>
      <c r="J29" s="13"/>
      <c r="K29" s="13"/>
      <c r="L29" s="13"/>
      <c r="M29" s="13"/>
      <c r="N29" s="13"/>
      <c r="O29" s="13"/>
    </row>
    <row r="30" spans="2:15">
      <c r="B30" s="13"/>
      <c r="C30" s="14"/>
      <c r="D30" s="13"/>
      <c r="E30" s="13"/>
      <c r="F30" s="14"/>
      <c r="G30" s="14"/>
      <c r="H30" s="13"/>
      <c r="I30" s="13"/>
      <c r="J30" s="13"/>
      <c r="K30" s="13"/>
      <c r="L30" s="13"/>
      <c r="M30" s="13"/>
      <c r="N30" s="13"/>
      <c r="O30" s="13"/>
    </row>
    <row r="31" spans="2:15">
      <c r="C31" s="7"/>
      <c r="F31" s="7"/>
      <c r="G31" s="7"/>
    </row>
    <row r="32" spans="2:15">
      <c r="C32" s="7"/>
      <c r="F32" s="7"/>
      <c r="G32" s="7"/>
    </row>
    <row r="33" spans="3:7">
      <c r="C33" s="7"/>
      <c r="F33" s="7"/>
      <c r="G33" s="7"/>
    </row>
    <row r="34" spans="3:7">
      <c r="F34" s="7"/>
    </row>
    <row r="35" spans="3:7">
      <c r="C35" s="7"/>
    </row>
    <row r="36" spans="3:7">
      <c r="C36" s="7"/>
    </row>
    <row r="37" spans="3:7">
      <c r="C37" s="7"/>
    </row>
    <row r="38" spans="3:7">
      <c r="C38" s="7"/>
    </row>
    <row r="39" spans="3:7">
      <c r="C39" s="7"/>
    </row>
    <row r="40" spans="3:7">
      <c r="C40" s="7"/>
    </row>
    <row r="41" spans="3:7">
      <c r="C41" s="7"/>
    </row>
    <row r="42" spans="3:7">
      <c r="C42" s="7"/>
    </row>
    <row r="43" spans="3:7">
      <c r="C43" s="7"/>
    </row>
    <row r="44" spans="3:7">
      <c r="C44" s="7"/>
    </row>
    <row r="45" spans="3:7">
      <c r="C45" s="7"/>
    </row>
    <row r="46" spans="3:7">
      <c r="C46" s="7"/>
    </row>
    <row r="47" spans="3:7">
      <c r="C47" s="7"/>
    </row>
    <row r="48" spans="3:7">
      <c r="C48" s="7"/>
    </row>
    <row r="49" spans="3:3">
      <c r="C49" s="7"/>
    </row>
    <row r="50" spans="3:3">
      <c r="C50" s="7"/>
    </row>
  </sheetData>
  <hyperlinks>
    <hyperlink ref="A1" location="Main!A1" display="Main" xr:uid="{AD48F39F-B870-1248-ADB6-005AC45B043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8AD6-C186-584D-B52B-BB1CB8AD5A5A}">
  <dimension ref="A1:J10"/>
  <sheetViews>
    <sheetView showGridLines="0" zoomScale="278" workbookViewId="0">
      <selection activeCell="B11" sqref="B11"/>
    </sheetView>
  </sheetViews>
  <sheetFormatPr baseColWidth="10" defaultRowHeight="13"/>
  <cols>
    <col min="1" max="1" width="4.83203125" bestFit="1" customWidth="1"/>
    <col min="2" max="2" width="12.6640625" bestFit="1" customWidth="1"/>
    <col min="3" max="3" width="9" bestFit="1" customWidth="1"/>
    <col min="4" max="4" width="6.83203125" bestFit="1" customWidth="1"/>
    <col min="5" max="5" width="7.33203125" bestFit="1" customWidth="1"/>
    <col min="6" max="6" width="7.83203125" bestFit="1" customWidth="1"/>
  </cols>
  <sheetData>
    <row r="1" spans="1:10">
      <c r="A1" s="1" t="s">
        <v>2</v>
      </c>
      <c r="C1" t="s">
        <v>25</v>
      </c>
      <c r="G1">
        <v>1000</v>
      </c>
      <c r="H1" t="s">
        <v>18</v>
      </c>
    </row>
    <row r="2" spans="1:10">
      <c r="B2" t="s">
        <v>14</v>
      </c>
      <c r="C2" t="s">
        <v>24</v>
      </c>
      <c r="D2" t="s">
        <v>17</v>
      </c>
      <c r="E2" t="s">
        <v>22</v>
      </c>
      <c r="F2" t="s">
        <v>21</v>
      </c>
      <c r="H2" t="s">
        <v>26</v>
      </c>
      <c r="I2" t="s">
        <v>22</v>
      </c>
      <c r="J2" t="s">
        <v>21</v>
      </c>
    </row>
    <row r="3" spans="1:10">
      <c r="B3" t="s">
        <v>15</v>
      </c>
      <c r="C3" s="7">
        <v>129</v>
      </c>
      <c r="D3" s="5">
        <v>7.1999999999999998E-3</v>
      </c>
      <c r="E3" s="8">
        <v>0.17</v>
      </c>
      <c r="F3" s="7">
        <v>7.2</v>
      </c>
      <c r="H3" s="7">
        <f>+$G$1 * D3</f>
        <v>7.2</v>
      </c>
      <c r="I3" s="7">
        <f>+$G$1 * E3</f>
        <v>170</v>
      </c>
      <c r="J3" s="7">
        <f>+$G$1 * F3</f>
        <v>7200</v>
      </c>
    </row>
    <row r="4" spans="1:10">
      <c r="B4" t="s">
        <v>16</v>
      </c>
      <c r="C4" s="7">
        <v>117</v>
      </c>
      <c r="D4" s="5">
        <v>6.3E-3</v>
      </c>
      <c r="E4" s="8">
        <v>0.16</v>
      </c>
      <c r="F4" s="7">
        <v>8.3000000000000007</v>
      </c>
      <c r="H4" s="7">
        <f>+$G$1 * D4</f>
        <v>6.3</v>
      </c>
      <c r="I4" s="7">
        <f>+$G$1 * E4</f>
        <v>160</v>
      </c>
      <c r="J4" s="7">
        <f>+$G$1 * F4</f>
        <v>8300</v>
      </c>
    </row>
    <row r="5" spans="1:10">
      <c r="B5" t="s">
        <v>19</v>
      </c>
      <c r="C5" s="7">
        <v>135</v>
      </c>
      <c r="D5" s="5">
        <v>1.4999999999999999E-2</v>
      </c>
      <c r="E5" s="8">
        <v>0.34</v>
      </c>
      <c r="F5" s="7">
        <v>13.2</v>
      </c>
      <c r="H5" s="7">
        <f>+$G$1 * D5</f>
        <v>15</v>
      </c>
      <c r="I5" s="7">
        <f>+$G$1 * E5</f>
        <v>340</v>
      </c>
      <c r="J5" s="7">
        <f>+$G$1 * F5</f>
        <v>13200</v>
      </c>
    </row>
    <row r="6" spans="1:10">
      <c r="B6" t="s">
        <v>20</v>
      </c>
      <c r="C6" s="7">
        <v>84</v>
      </c>
      <c r="D6" s="5">
        <v>7.7999999999999996E-3</v>
      </c>
      <c r="E6" s="8">
        <v>0.1</v>
      </c>
      <c r="F6" s="7">
        <v>8.8000000000000007</v>
      </c>
      <c r="H6" s="7">
        <f>+$G$1 * D6</f>
        <v>7.8</v>
      </c>
      <c r="I6" s="7">
        <f>+$G$1 * E6</f>
        <v>100</v>
      </c>
      <c r="J6" s="7">
        <f>+$G$1 * F6</f>
        <v>8800</v>
      </c>
    </row>
    <row r="7" spans="1:10">
      <c r="B7" t="s">
        <v>23</v>
      </c>
      <c r="C7" s="7">
        <v>58</v>
      </c>
      <c r="D7" s="5">
        <v>8.6999999999999994E-3</v>
      </c>
      <c r="E7" s="8">
        <v>0.2</v>
      </c>
      <c r="F7" s="7">
        <v>12.6</v>
      </c>
      <c r="H7" s="7">
        <f>+$G$1 * D7</f>
        <v>8.6999999999999993</v>
      </c>
      <c r="I7" s="7">
        <f>+$G$1 * E7</f>
        <v>200</v>
      </c>
      <c r="J7" s="7">
        <f>+$G$1 * F7</f>
        <v>12600</v>
      </c>
    </row>
    <row r="8" spans="1:10">
      <c r="C8" s="7"/>
      <c r="D8" s="6"/>
      <c r="E8" s="7"/>
      <c r="F8" s="7"/>
      <c r="H8" s="7"/>
      <c r="I8" s="7"/>
      <c r="J8" s="7"/>
    </row>
    <row r="9" spans="1:10">
      <c r="D9" s="7"/>
      <c r="E9" s="7"/>
      <c r="F9" s="7"/>
    </row>
    <row r="10" spans="1:10">
      <c r="B10" t="s">
        <v>37</v>
      </c>
      <c r="E10" s="7"/>
      <c r="F10" s="7"/>
    </row>
  </sheetData>
  <hyperlinks>
    <hyperlink ref="A1" location="Main!A1" display="Main" xr:uid="{98C4D7E8-4BC0-A640-AF4B-2BCE1B4E4DC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7E51-A494-174A-97E8-D37EFE081FF7}">
  <dimension ref="A1:G29"/>
  <sheetViews>
    <sheetView zoomScale="229" workbookViewId="0">
      <selection activeCell="B3" sqref="B3"/>
    </sheetView>
  </sheetViews>
  <sheetFormatPr baseColWidth="10" defaultRowHeight="13"/>
  <cols>
    <col min="1" max="1" width="5.33203125" bestFit="1" customWidth="1"/>
  </cols>
  <sheetData>
    <row r="1" spans="1:7">
      <c r="A1" s="1" t="s">
        <v>36</v>
      </c>
    </row>
    <row r="3" spans="1:7">
      <c r="B3" s="10"/>
      <c r="C3" s="10"/>
      <c r="D3" s="10"/>
      <c r="E3" s="10"/>
      <c r="F3" s="10"/>
      <c r="G3" s="10"/>
    </row>
    <row r="4" spans="1:7">
      <c r="B4" s="10"/>
      <c r="C4" s="11"/>
      <c r="D4" s="10"/>
      <c r="E4" s="10"/>
      <c r="F4" s="12"/>
      <c r="G4" s="11"/>
    </row>
    <row r="5" spans="1:7">
      <c r="B5" s="10"/>
      <c r="C5" s="11"/>
      <c r="D5" s="10"/>
      <c r="E5" s="10"/>
      <c r="F5" s="11"/>
      <c r="G5" s="11"/>
    </row>
    <row r="6" spans="1:7">
      <c r="B6" s="10"/>
      <c r="C6" s="11"/>
      <c r="D6" s="10"/>
      <c r="E6" s="10"/>
      <c r="F6" s="11"/>
      <c r="G6" s="11"/>
    </row>
    <row r="7" spans="1:7">
      <c r="B7" s="10"/>
      <c r="C7" s="11"/>
      <c r="D7" s="10"/>
      <c r="E7" s="10"/>
      <c r="F7" s="11"/>
      <c r="G7" s="11"/>
    </row>
    <row r="8" spans="1:7">
      <c r="B8" s="10"/>
      <c r="C8" s="11"/>
      <c r="D8" s="10"/>
      <c r="E8" s="10"/>
      <c r="F8" s="11"/>
      <c r="G8" s="11"/>
    </row>
    <row r="9" spans="1:7">
      <c r="B9" s="10"/>
      <c r="C9" s="10"/>
      <c r="D9" s="10"/>
      <c r="E9" s="10"/>
      <c r="F9" s="11"/>
      <c r="G9" s="10"/>
    </row>
    <row r="10" spans="1:7">
      <c r="B10" s="10"/>
      <c r="C10" s="11"/>
      <c r="D10" s="10"/>
      <c r="E10" s="10"/>
      <c r="F10" s="10"/>
      <c r="G10" s="10"/>
    </row>
    <row r="11" spans="1:7">
      <c r="B11" s="10"/>
      <c r="C11" s="11"/>
      <c r="D11" s="10"/>
      <c r="E11" s="10"/>
      <c r="F11" s="10"/>
      <c r="G11" s="10"/>
    </row>
    <row r="12" spans="1:7">
      <c r="B12" s="10"/>
      <c r="C12" s="11"/>
      <c r="D12" s="10"/>
      <c r="E12" s="10"/>
      <c r="F12" s="10"/>
      <c r="G12" s="10"/>
    </row>
    <row r="13" spans="1:7">
      <c r="B13" s="10"/>
      <c r="C13" s="11"/>
      <c r="D13" s="10"/>
      <c r="E13" s="10"/>
      <c r="F13" s="10"/>
      <c r="G13" s="10"/>
    </row>
    <row r="14" spans="1:7">
      <c r="B14" s="10"/>
      <c r="C14" s="11"/>
      <c r="D14" s="10"/>
      <c r="E14" s="10"/>
      <c r="F14" s="10"/>
      <c r="G14" s="10"/>
    </row>
    <row r="15" spans="1:7">
      <c r="B15" s="10"/>
      <c r="C15" s="11"/>
      <c r="D15" s="10"/>
      <c r="E15" s="10"/>
      <c r="F15" s="10"/>
      <c r="G15" s="10"/>
    </row>
    <row r="16" spans="1:7">
      <c r="B16" s="10"/>
      <c r="C16" s="11"/>
      <c r="D16" s="10"/>
      <c r="E16" s="10"/>
      <c r="F16" s="10"/>
      <c r="G16" s="10"/>
    </row>
    <row r="17" spans="2:7">
      <c r="B17" s="10"/>
      <c r="C17" s="11"/>
      <c r="D17" s="10"/>
      <c r="E17" s="10"/>
      <c r="F17" s="10"/>
      <c r="G17" s="10"/>
    </row>
    <row r="18" spans="2:7">
      <c r="B18" s="10"/>
      <c r="C18" s="11"/>
      <c r="D18" s="10"/>
      <c r="E18" s="10"/>
      <c r="F18" s="10"/>
      <c r="G18" s="10"/>
    </row>
    <row r="19" spans="2:7">
      <c r="B19" s="10"/>
      <c r="C19" s="11"/>
      <c r="D19" s="10"/>
      <c r="E19" s="10"/>
      <c r="F19" s="10"/>
      <c r="G19" s="10"/>
    </row>
    <row r="20" spans="2:7">
      <c r="B20" s="10"/>
      <c r="C20" s="11"/>
      <c r="D20" s="10"/>
      <c r="E20" s="10"/>
      <c r="F20" s="10"/>
      <c r="G20" s="10"/>
    </row>
    <row r="21" spans="2:7">
      <c r="B21" s="10"/>
      <c r="C21" s="11"/>
      <c r="D21" s="10"/>
      <c r="E21" s="10"/>
      <c r="F21" s="10"/>
      <c r="G21" s="10"/>
    </row>
    <row r="22" spans="2:7">
      <c r="B22" s="10"/>
      <c r="C22" s="11"/>
      <c r="D22" s="10"/>
      <c r="E22" s="10"/>
      <c r="F22" s="10"/>
      <c r="G22" s="10"/>
    </row>
    <row r="23" spans="2:7">
      <c r="B23" s="10"/>
      <c r="C23" s="11"/>
      <c r="D23" s="10"/>
      <c r="E23" s="10"/>
      <c r="F23" s="10"/>
      <c r="G23" s="10"/>
    </row>
    <row r="24" spans="2:7">
      <c r="B24" s="10"/>
      <c r="C24" s="11"/>
      <c r="D24" s="10"/>
      <c r="E24" s="10"/>
      <c r="F24" s="10"/>
      <c r="G24" s="10"/>
    </row>
    <row r="25" spans="2:7">
      <c r="B25" s="10"/>
      <c r="C25" s="11"/>
      <c r="D25" s="10"/>
      <c r="E25" s="10"/>
      <c r="F25" s="10"/>
      <c r="G25" s="10"/>
    </row>
    <row r="26" spans="2:7">
      <c r="B26" s="10"/>
      <c r="C26" s="10"/>
      <c r="D26" s="10"/>
      <c r="E26" s="10"/>
      <c r="F26" s="10"/>
      <c r="G26" s="10"/>
    </row>
    <row r="27" spans="2:7">
      <c r="B27" s="10"/>
      <c r="C27" s="10"/>
      <c r="D27" s="10"/>
      <c r="E27" s="10"/>
      <c r="F27" s="10"/>
      <c r="G27" s="10"/>
    </row>
    <row r="28" spans="2:7">
      <c r="B28" s="10"/>
      <c r="C28" s="10"/>
      <c r="D28" s="10"/>
      <c r="E28" s="10"/>
      <c r="F28" s="10"/>
      <c r="G28" s="10"/>
    </row>
    <row r="29" spans="2:7">
      <c r="B29" s="10"/>
      <c r="C29" s="10"/>
      <c r="D29" s="10"/>
      <c r="E29" s="10"/>
      <c r="F29" s="10"/>
      <c r="G29" s="10"/>
    </row>
  </sheetData>
  <hyperlinks>
    <hyperlink ref="A1" location="Main!A1" display="Main " xr:uid="{71051B23-8084-3F4D-B0A8-787B120077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</vt:lpstr>
      <vt:lpstr>Main</vt:lpstr>
      <vt:lpstr>Donlin Gold</vt:lpstr>
      <vt:lpstr>Galore Creek</vt:lpstr>
      <vt:lpstr>Drill Holes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2026-10-08T01:26:47Z</dcterms:created>
  <dcterms:modified xsi:type="dcterms:W3CDTF">2026-10-11T03:45:58Z</dcterms:modified>
</cp:coreProperties>
</file>