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BasicMaterials/"/>
    </mc:Choice>
  </mc:AlternateContent>
  <xr:revisionPtr revIDLastSave="0" documentId="8_{9E947435-D564-9C4A-A6AA-40499742E783}" xr6:coauthVersionLast="47" xr6:coauthVersionMax="47" xr10:uidLastSave="{00000000-0000-0000-0000-000000000000}"/>
  <bookViews>
    <workbookView xWindow="5920" yWindow="820" windowWidth="45280" windowHeight="27600" xr2:uid="{33F8A4EA-476E-4443-96C0-BAD3E283B4F1}"/>
  </bookViews>
  <sheets>
    <sheet name="Model" sheetId="2" r:id="rId1"/>
    <sheet name="Main" sheetId="1" r:id="rId2"/>
    <sheet name="Sheet1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0" i="2" l="1"/>
  <c r="AE38" i="2"/>
  <c r="P38" i="2"/>
  <c r="P37" i="2"/>
  <c r="Q38" i="2"/>
  <c r="Q37" i="2"/>
  <c r="G38" i="2"/>
  <c r="G37" i="2"/>
  <c r="H38" i="2"/>
  <c r="H37" i="2"/>
  <c r="R17" i="2"/>
  <c r="S17" i="2" s="1"/>
  <c r="T17" i="2" s="1"/>
  <c r="U17" i="2" s="1"/>
  <c r="V17" i="2" s="1"/>
  <c r="W17" i="2" s="1"/>
  <c r="X17" i="2" s="1"/>
  <c r="Y17" i="2" s="1"/>
  <c r="Z17" i="2" s="1"/>
  <c r="AA17" i="2" s="1"/>
  <c r="R16" i="2"/>
  <c r="S16" i="2" s="1"/>
  <c r="T16" i="2" s="1"/>
  <c r="U16" i="2" s="1"/>
  <c r="V16" i="2" s="1"/>
  <c r="W16" i="2" s="1"/>
  <c r="X16" i="2" s="1"/>
  <c r="Y16" i="2" s="1"/>
  <c r="Z16" i="2" s="1"/>
  <c r="AA16" i="2" s="1"/>
  <c r="G15" i="2"/>
  <c r="G18" i="2" s="1"/>
  <c r="I31" i="2"/>
  <c r="I30" i="2"/>
  <c r="I29" i="2"/>
  <c r="H15" i="2"/>
  <c r="I5" i="2"/>
  <c r="J5" i="2" s="1"/>
  <c r="I8" i="2"/>
  <c r="J8" i="2" s="1"/>
  <c r="I11" i="2"/>
  <c r="J11" i="2" s="1"/>
  <c r="J10" i="2"/>
  <c r="I10" i="2"/>
  <c r="J7" i="2"/>
  <c r="I7" i="2"/>
  <c r="I9" i="2" s="1"/>
  <c r="J4" i="2"/>
  <c r="I4" i="2"/>
  <c r="R4" i="2" s="1"/>
  <c r="S4" i="2" s="1"/>
  <c r="C12" i="2"/>
  <c r="D12" i="2"/>
  <c r="E12" i="2"/>
  <c r="F12" i="2"/>
  <c r="G12" i="2"/>
  <c r="C9" i="2"/>
  <c r="D9" i="2"/>
  <c r="E9" i="2"/>
  <c r="F9" i="2"/>
  <c r="G9" i="2"/>
  <c r="H7" i="2"/>
  <c r="H12" i="2"/>
  <c r="G6" i="2"/>
  <c r="F6" i="2"/>
  <c r="F13" i="2" s="1"/>
  <c r="E6" i="2"/>
  <c r="E13" i="2" s="1"/>
  <c r="D6" i="2"/>
  <c r="D13" i="2" s="1"/>
  <c r="C6" i="2"/>
  <c r="H6" i="2"/>
  <c r="F30" i="2"/>
  <c r="F29" i="2"/>
  <c r="F33" i="2"/>
  <c r="F31" i="2"/>
  <c r="F27" i="2"/>
  <c r="F26" i="2"/>
  <c r="F25" i="2"/>
  <c r="F23" i="2"/>
  <c r="F22" i="2"/>
  <c r="H24" i="2"/>
  <c r="G24" i="2"/>
  <c r="E24" i="2"/>
  <c r="E28" i="2" s="1"/>
  <c r="E32" i="2" s="1"/>
  <c r="D24" i="2"/>
  <c r="D28" i="2" s="1"/>
  <c r="D32" i="2" s="1"/>
  <c r="C24" i="2"/>
  <c r="C28" i="2" s="1"/>
  <c r="C32" i="2" s="1"/>
  <c r="O24" i="2"/>
  <c r="O28" i="2" s="1"/>
  <c r="O32" i="2" s="1"/>
  <c r="P24" i="2"/>
  <c r="Q24" i="2"/>
  <c r="D115" i="1"/>
  <c r="P3" i="2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AR3" i="2" s="1"/>
  <c r="AS3" i="2" s="1"/>
  <c r="AT3" i="2" s="1"/>
  <c r="AU3" i="2" s="1"/>
  <c r="AV3" i="2" s="1"/>
  <c r="AW3" i="2" s="1"/>
  <c r="AX3" i="2" s="1"/>
  <c r="AY3" i="2" s="1"/>
  <c r="AZ3" i="2" s="1"/>
  <c r="BA3" i="2" s="1"/>
  <c r="BB3" i="2" s="1"/>
  <c r="BC3" i="2" s="1"/>
  <c r="BD3" i="2" s="1"/>
  <c r="BE3" i="2" s="1"/>
  <c r="BF3" i="2" s="1"/>
  <c r="BG3" i="2" s="1"/>
  <c r="BH3" i="2" s="1"/>
  <c r="BI3" i="2" s="1"/>
  <c r="BJ3" i="2" s="1"/>
  <c r="BK3" i="2" s="1"/>
  <c r="BL3" i="2" s="1"/>
  <c r="BM3" i="2" s="1"/>
  <c r="BN3" i="2" s="1"/>
  <c r="BO3" i="2" s="1"/>
  <c r="BP3" i="2" s="1"/>
  <c r="BQ3" i="2" s="1"/>
  <c r="BR3" i="2" s="1"/>
  <c r="BS3" i="2" s="1"/>
  <c r="BT3" i="2" s="1"/>
  <c r="BU3" i="2" s="1"/>
  <c r="BV3" i="2" s="1"/>
  <c r="BW3" i="2" s="1"/>
  <c r="BX3" i="2" s="1"/>
  <c r="BY3" i="2" s="1"/>
  <c r="BZ3" i="2" s="1"/>
  <c r="CA3" i="2" s="1"/>
  <c r="CB3" i="2" s="1"/>
  <c r="CC3" i="2" s="1"/>
  <c r="CD3" i="2" s="1"/>
  <c r="CE3" i="2" s="1"/>
  <c r="CF3" i="2" s="1"/>
  <c r="CG3" i="2" s="1"/>
  <c r="CH3" i="2" s="1"/>
  <c r="CI3" i="2" s="1"/>
  <c r="CJ3" i="2" s="1"/>
  <c r="CK3" i="2" s="1"/>
  <c r="CL3" i="2" s="1"/>
  <c r="CM3" i="2" s="1"/>
  <c r="CN3" i="2" s="1"/>
  <c r="CO3" i="2" s="1"/>
  <c r="CP3" i="2" s="1"/>
  <c r="CQ3" i="2" s="1"/>
  <c r="CR3" i="2" s="1"/>
  <c r="CS3" i="2" s="1"/>
  <c r="CT3" i="2" s="1"/>
  <c r="CU3" i="2" s="1"/>
  <c r="CV3" i="2" s="1"/>
  <c r="CW3" i="2" s="1"/>
  <c r="CX3" i="2" s="1"/>
  <c r="CY3" i="2" s="1"/>
  <c r="CZ3" i="2" s="1"/>
  <c r="DA3" i="2" s="1"/>
  <c r="DB3" i="2" s="1"/>
  <c r="DC3" i="2" s="1"/>
  <c r="DD3" i="2" s="1"/>
  <c r="DE3" i="2" s="1"/>
  <c r="DF3" i="2" s="1"/>
  <c r="DG3" i="2" s="1"/>
  <c r="DH3" i="2" s="1"/>
  <c r="DI3" i="2" s="1"/>
  <c r="DJ3" i="2" s="1"/>
  <c r="DK3" i="2" s="1"/>
  <c r="DL3" i="2" s="1"/>
  <c r="DM3" i="2" s="1"/>
  <c r="DN3" i="2" s="1"/>
  <c r="DO3" i="2" s="1"/>
  <c r="DP3" i="2" s="1"/>
  <c r="DQ3" i="2" s="1"/>
  <c r="DR3" i="2" s="1"/>
  <c r="DS3" i="2" s="1"/>
  <c r="DT3" i="2" s="1"/>
  <c r="DU3" i="2" s="1"/>
  <c r="DV3" i="2" s="1"/>
  <c r="DW3" i="2" s="1"/>
  <c r="DX3" i="2" s="1"/>
  <c r="DY3" i="2" s="1"/>
  <c r="DZ3" i="2" s="1"/>
  <c r="EA3" i="2" s="1"/>
  <c r="EB3" i="2" s="1"/>
  <c r="EC3" i="2" s="1"/>
  <c r="ED3" i="2" s="1"/>
  <c r="EE3" i="2" s="1"/>
  <c r="EF3" i="2" s="1"/>
  <c r="EG3" i="2" s="1"/>
  <c r="EH3" i="2" s="1"/>
  <c r="EI3" i="2" s="1"/>
  <c r="EJ3" i="2" s="1"/>
  <c r="EK3" i="2" s="1"/>
  <c r="EL3" i="2" s="1"/>
  <c r="EM3" i="2" s="1"/>
  <c r="EN3" i="2" s="1"/>
  <c r="EO3" i="2" s="1"/>
  <c r="EP3" i="2" s="1"/>
  <c r="EQ3" i="2" s="1"/>
  <c r="ER3" i="2" s="1"/>
  <c r="ES3" i="2" s="1"/>
  <c r="ET3" i="2" s="1"/>
  <c r="EU3" i="2" s="1"/>
  <c r="EV3" i="2" s="1"/>
  <c r="EW3" i="2" s="1"/>
  <c r="EX3" i="2" s="1"/>
  <c r="EY3" i="2" s="1"/>
  <c r="EZ3" i="2" s="1"/>
  <c r="FA3" i="2" s="1"/>
  <c r="FB3" i="2" s="1"/>
  <c r="FC3" i="2" s="1"/>
  <c r="FD3" i="2" s="1"/>
  <c r="FE3" i="2" s="1"/>
  <c r="FF3" i="2" s="1"/>
  <c r="FG3" i="2" s="1"/>
  <c r="FH3" i="2" s="1"/>
  <c r="FI3" i="2" s="1"/>
  <c r="FJ3" i="2" s="1"/>
  <c r="FK3" i="2" s="1"/>
  <c r="FL3" i="2" s="1"/>
  <c r="FM3" i="2" s="1"/>
  <c r="FN3" i="2" s="1"/>
  <c r="FO3" i="2" s="1"/>
  <c r="FP3" i="2" s="1"/>
  <c r="FQ3" i="2" s="1"/>
  <c r="FR3" i="2" s="1"/>
  <c r="FS3" i="2" s="1"/>
  <c r="FT3" i="2" s="1"/>
  <c r="FU3" i="2" s="1"/>
  <c r="FV3" i="2" s="1"/>
  <c r="FW3" i="2" s="1"/>
  <c r="FX3" i="2" s="1"/>
  <c r="FY3" i="2" s="1"/>
  <c r="FZ3" i="2" s="1"/>
  <c r="GA3" i="2" s="1"/>
  <c r="GB3" i="2" s="1"/>
  <c r="GC3" i="2" s="1"/>
  <c r="GD3" i="2" s="1"/>
  <c r="GE3" i="2" s="1"/>
  <c r="GF3" i="2" s="1"/>
  <c r="GG3" i="2" s="1"/>
  <c r="GH3" i="2" s="1"/>
  <c r="GI3" i="2" s="1"/>
  <c r="GJ3" i="2" s="1"/>
  <c r="GK3" i="2" s="1"/>
  <c r="GL3" i="2" s="1"/>
  <c r="GM3" i="2" s="1"/>
  <c r="GN3" i="2" s="1"/>
  <c r="GO3" i="2" s="1"/>
  <c r="GP3" i="2" s="1"/>
  <c r="GQ3" i="2" s="1"/>
  <c r="GR3" i="2" s="1"/>
  <c r="GS3" i="2" s="1"/>
  <c r="GT3" i="2" s="1"/>
  <c r="GU3" i="2" s="1"/>
  <c r="GV3" i="2" s="1"/>
  <c r="GW3" i="2" s="1"/>
  <c r="GX3" i="2" s="1"/>
  <c r="GY3" i="2" s="1"/>
  <c r="GZ3" i="2" s="1"/>
  <c r="HA3" i="2" s="1"/>
  <c r="HB3" i="2" s="1"/>
  <c r="HC3" i="2" s="1"/>
  <c r="HD3" i="2" s="1"/>
  <c r="HE3" i="2" s="1"/>
  <c r="HF3" i="2" s="1"/>
  <c r="HG3" i="2" s="1"/>
  <c r="HH3" i="2" s="1"/>
  <c r="HI3" i="2" s="1"/>
  <c r="HJ3" i="2" s="1"/>
  <c r="HK3" i="2" s="1"/>
  <c r="HL3" i="2" s="1"/>
  <c r="HM3" i="2" s="1"/>
  <c r="HN3" i="2" s="1"/>
  <c r="HO3" i="2" s="1"/>
  <c r="HP3" i="2" s="1"/>
  <c r="HQ3" i="2" s="1"/>
  <c r="G7" i="1"/>
  <c r="G8" i="1" s="1"/>
  <c r="F6" i="1"/>
  <c r="F9" i="1" s="1"/>
  <c r="R10" i="2" l="1"/>
  <c r="S10" i="2" s="1"/>
  <c r="F24" i="2"/>
  <c r="F28" i="2" s="1"/>
  <c r="F32" i="2" s="1"/>
  <c r="I15" i="2"/>
  <c r="J31" i="2"/>
  <c r="R31" i="2" s="1"/>
  <c r="J30" i="2"/>
  <c r="R30" i="2" s="1"/>
  <c r="J29" i="2"/>
  <c r="R29" i="2" s="1"/>
  <c r="J15" i="2"/>
  <c r="I19" i="2"/>
  <c r="I23" i="2" s="1"/>
  <c r="T10" i="2"/>
  <c r="S12" i="2"/>
  <c r="T4" i="2"/>
  <c r="H9" i="2"/>
  <c r="H13" i="2" s="1"/>
  <c r="R7" i="2"/>
  <c r="S7" i="2" s="1"/>
  <c r="G13" i="2"/>
  <c r="H28" i="2"/>
  <c r="H32" i="2" s="1"/>
  <c r="H39" i="2"/>
  <c r="G28" i="2"/>
  <c r="G32" i="2" s="1"/>
  <c r="G39" i="2"/>
  <c r="P28" i="2"/>
  <c r="P32" i="2" s="1"/>
  <c r="P34" i="2" s="1"/>
  <c r="P39" i="2"/>
  <c r="Q28" i="2"/>
  <c r="Q32" i="2" s="1"/>
  <c r="Q34" i="2" s="1"/>
  <c r="Q39" i="2"/>
  <c r="G19" i="2"/>
  <c r="H18" i="2"/>
  <c r="I12" i="2"/>
  <c r="J6" i="2"/>
  <c r="J9" i="2"/>
  <c r="J12" i="2"/>
  <c r="I6" i="2"/>
  <c r="C13" i="2"/>
  <c r="O34" i="2"/>
  <c r="R12" i="2" l="1"/>
  <c r="R11" i="2" s="1"/>
  <c r="R9" i="2"/>
  <c r="R8" i="2" s="1"/>
  <c r="J19" i="2"/>
  <c r="J23" i="2" s="1"/>
  <c r="R23" i="2" s="1"/>
  <c r="R38" i="2" s="1"/>
  <c r="R15" i="2"/>
  <c r="S15" i="2" s="1"/>
  <c r="T7" i="2"/>
  <c r="S9" i="2"/>
  <c r="T12" i="2"/>
  <c r="U10" i="2"/>
  <c r="U4" i="2"/>
  <c r="V4" i="2" s="1"/>
  <c r="W4" i="2" s="1"/>
  <c r="X4" i="2" s="1"/>
  <c r="Y4" i="2" s="1"/>
  <c r="Z4" i="2" s="1"/>
  <c r="AA4" i="2" s="1"/>
  <c r="H19" i="2"/>
  <c r="R18" i="2"/>
  <c r="I13" i="2"/>
  <c r="I22" i="2" s="1"/>
  <c r="R6" i="2"/>
  <c r="J13" i="2"/>
  <c r="J22" i="2" s="1"/>
  <c r="J24" i="2" l="1"/>
  <c r="V10" i="2"/>
  <c r="U12" i="2"/>
  <c r="T9" i="2"/>
  <c r="U7" i="2"/>
  <c r="T15" i="2"/>
  <c r="R22" i="2"/>
  <c r="I24" i="2"/>
  <c r="R13" i="2"/>
  <c r="R5" i="2"/>
  <c r="S5" i="2" s="1"/>
  <c r="S18" i="2"/>
  <c r="R19" i="2"/>
  <c r="W10" i="2"/>
  <c r="V12" i="2"/>
  <c r="T18" i="2" l="1"/>
  <c r="U18" i="2" s="1"/>
  <c r="V18" i="2" s="1"/>
  <c r="W18" i="2" s="1"/>
  <c r="X18" i="2" s="1"/>
  <c r="Y18" i="2" s="1"/>
  <c r="Z18" i="2" s="1"/>
  <c r="AA18" i="2" s="1"/>
  <c r="S19" i="2"/>
  <c r="S23" i="2" s="1"/>
  <c r="S38" i="2" s="1"/>
  <c r="U9" i="2"/>
  <c r="V7" i="2"/>
  <c r="T19" i="2"/>
  <c r="T23" i="2" s="1"/>
  <c r="U15" i="2"/>
  <c r="R24" i="2"/>
  <c r="R37" i="2"/>
  <c r="I25" i="2"/>
  <c r="I26" i="2"/>
  <c r="I27" i="2"/>
  <c r="S6" i="2"/>
  <c r="S13" i="2" s="1"/>
  <c r="S22" i="2" s="1"/>
  <c r="T5" i="2"/>
  <c r="X10" i="2"/>
  <c r="W12" i="2"/>
  <c r="V9" i="2" l="1"/>
  <c r="W7" i="2"/>
  <c r="T38" i="2"/>
  <c r="U19" i="2"/>
  <c r="U23" i="2" s="1"/>
  <c r="V15" i="2"/>
  <c r="R39" i="2"/>
  <c r="J25" i="2"/>
  <c r="I28" i="2"/>
  <c r="I32" i="2" s="1"/>
  <c r="R25" i="2"/>
  <c r="J26" i="2"/>
  <c r="R26" i="2" s="1"/>
  <c r="J27" i="2"/>
  <c r="R27" i="2" s="1"/>
  <c r="S37" i="2"/>
  <c r="S24" i="2"/>
  <c r="T6" i="2"/>
  <c r="T13" i="2" s="1"/>
  <c r="T22" i="2" s="1"/>
  <c r="U5" i="2"/>
  <c r="Y10" i="2"/>
  <c r="X12" i="2"/>
  <c r="W9" i="2" l="1"/>
  <c r="X7" i="2"/>
  <c r="U38" i="2"/>
  <c r="W15" i="2"/>
  <c r="V19" i="2"/>
  <c r="V23" i="2" s="1"/>
  <c r="S27" i="2"/>
  <c r="S39" i="2"/>
  <c r="S25" i="2"/>
  <c r="S26" i="2"/>
  <c r="U6" i="2"/>
  <c r="U13" i="2" s="1"/>
  <c r="U22" i="2" s="1"/>
  <c r="V5" i="2"/>
  <c r="J28" i="2"/>
  <c r="J32" i="2" s="1"/>
  <c r="T37" i="2"/>
  <c r="T24" i="2"/>
  <c r="R28" i="2"/>
  <c r="R32" i="2" s="1"/>
  <c r="Y12" i="2"/>
  <c r="Z10" i="2"/>
  <c r="S28" i="2" l="1"/>
  <c r="X9" i="2"/>
  <c r="Y7" i="2"/>
  <c r="X15" i="2"/>
  <c r="W19" i="2"/>
  <c r="W23" i="2" s="1"/>
  <c r="V38" i="2"/>
  <c r="S30" i="2"/>
  <c r="V6" i="2"/>
  <c r="V13" i="2" s="1"/>
  <c r="V22" i="2" s="1"/>
  <c r="W5" i="2"/>
  <c r="T27" i="2"/>
  <c r="T25" i="2"/>
  <c r="T39" i="2"/>
  <c r="T26" i="2"/>
  <c r="U37" i="2"/>
  <c r="U24" i="2"/>
  <c r="Z12" i="2"/>
  <c r="AA10" i="2"/>
  <c r="AA12" i="2" s="1"/>
  <c r="T28" i="2" l="1"/>
  <c r="T30" i="2" s="1"/>
  <c r="S31" i="2"/>
  <c r="S29" i="2"/>
  <c r="Y9" i="2"/>
  <c r="Z7" i="2"/>
  <c r="Y15" i="2"/>
  <c r="X19" i="2"/>
  <c r="X23" i="2" s="1"/>
  <c r="W38" i="2"/>
  <c r="W6" i="2"/>
  <c r="W13" i="2" s="1"/>
  <c r="W22" i="2" s="1"/>
  <c r="X5" i="2"/>
  <c r="T31" i="2"/>
  <c r="U39" i="2"/>
  <c r="U25" i="2"/>
  <c r="U27" i="2"/>
  <c r="U26" i="2"/>
  <c r="V37" i="2"/>
  <c r="V24" i="2"/>
  <c r="S32" i="2" l="1"/>
  <c r="T29" i="2"/>
  <c r="T32" i="2" s="1"/>
  <c r="V27" i="2"/>
  <c r="Z9" i="2"/>
  <c r="AA7" i="2"/>
  <c r="AA9" i="2" s="1"/>
  <c r="Y19" i="2"/>
  <c r="Y23" i="2" s="1"/>
  <c r="Z15" i="2"/>
  <c r="X38" i="2"/>
  <c r="X6" i="2"/>
  <c r="X13" i="2" s="1"/>
  <c r="X22" i="2" s="1"/>
  <c r="Y5" i="2"/>
  <c r="V39" i="2"/>
  <c r="V25" i="2"/>
  <c r="W37" i="2"/>
  <c r="W24" i="2"/>
  <c r="V26" i="2"/>
  <c r="U28" i="2"/>
  <c r="V28" i="2" l="1"/>
  <c r="Y38" i="2"/>
  <c r="Z19" i="2"/>
  <c r="Z23" i="2" s="1"/>
  <c r="AA15" i="2"/>
  <c r="AA19" i="2" s="1"/>
  <c r="AA23" i="2" s="1"/>
  <c r="Y6" i="2"/>
  <c r="Y13" i="2" s="1"/>
  <c r="Y22" i="2" s="1"/>
  <c r="Z5" i="2"/>
  <c r="W26" i="2"/>
  <c r="W39" i="2"/>
  <c r="W25" i="2"/>
  <c r="W27" i="2"/>
  <c r="U29" i="2"/>
  <c r="U30" i="2"/>
  <c r="U31" i="2"/>
  <c r="X37" i="2"/>
  <c r="X24" i="2"/>
  <c r="V29" i="2" l="1"/>
  <c r="V30" i="2"/>
  <c r="V31" i="2"/>
  <c r="W28" i="2"/>
  <c r="Z38" i="2"/>
  <c r="AA38" i="2"/>
  <c r="Z6" i="2"/>
  <c r="Z13" i="2" s="1"/>
  <c r="Z22" i="2" s="1"/>
  <c r="AA5" i="2"/>
  <c r="AA6" i="2" s="1"/>
  <c r="AA13" i="2" s="1"/>
  <c r="AA22" i="2" s="1"/>
  <c r="X39" i="2"/>
  <c r="X25" i="2"/>
  <c r="X26" i="2"/>
  <c r="X27" i="2"/>
  <c r="U32" i="2"/>
  <c r="Y37" i="2"/>
  <c r="Y24" i="2"/>
  <c r="V32" i="2" l="1"/>
  <c r="X28" i="2"/>
  <c r="W29" i="2"/>
  <c r="W31" i="2"/>
  <c r="W30" i="2"/>
  <c r="Y39" i="2"/>
  <c r="Y25" i="2"/>
  <c r="Y26" i="2"/>
  <c r="Y27" i="2"/>
  <c r="Z37" i="2"/>
  <c r="Z24" i="2"/>
  <c r="AA37" i="2"/>
  <c r="AA24" i="2"/>
  <c r="W32" i="2" l="1"/>
  <c r="X31" i="2"/>
  <c r="X30" i="2"/>
  <c r="X29" i="2"/>
  <c r="Y28" i="2"/>
  <c r="Z39" i="2"/>
  <c r="Z25" i="2"/>
  <c r="AA39" i="2"/>
  <c r="Z26" i="2"/>
  <c r="AA26" i="2" s="1"/>
  <c r="Z27" i="2"/>
  <c r="AA27" i="2" s="1"/>
  <c r="X32" i="2" l="1"/>
  <c r="AA25" i="2"/>
  <c r="AA28" i="2" s="1"/>
  <c r="Z28" i="2"/>
  <c r="Y30" i="2"/>
  <c r="Y29" i="2"/>
  <c r="Y31" i="2"/>
  <c r="Z30" i="2" l="1"/>
  <c r="AA30" i="2" s="1"/>
  <c r="Z31" i="2"/>
  <c r="AA31" i="2" s="1"/>
  <c r="Z29" i="2"/>
  <c r="Y32" i="2"/>
  <c r="AA29" i="2"/>
  <c r="AA32" i="2" s="1"/>
  <c r="AB32" i="2" s="1"/>
  <c r="Z32" i="2"/>
  <c r="AC32" i="2" l="1"/>
  <c r="AD32" i="2" s="1"/>
  <c r="AE32" i="2" s="1"/>
  <c r="AF32" i="2" s="1"/>
  <c r="AG32" i="2" s="1"/>
  <c r="AH32" i="2" s="1"/>
  <c r="AI32" i="2" s="1"/>
  <c r="AJ32" i="2" s="1"/>
  <c r="AK32" i="2" s="1"/>
  <c r="AL32" i="2" s="1"/>
  <c r="AM32" i="2" s="1"/>
  <c r="AN32" i="2" s="1"/>
  <c r="AO32" i="2" l="1"/>
  <c r="AP32" i="2" l="1"/>
  <c r="AE37" i="2"/>
  <c r="AE39" i="2" s="1"/>
  <c r="AE41" i="2" l="1"/>
  <c r="AE42" i="2"/>
</calcChain>
</file>

<file path=xl/sharedStrings.xml><?xml version="1.0" encoding="utf-8"?>
<sst xmlns="http://schemas.openxmlformats.org/spreadsheetml/2006/main" count="331" uniqueCount="284">
  <si>
    <t>Price</t>
  </si>
  <si>
    <t>Shares</t>
  </si>
  <si>
    <t>Market Cap</t>
  </si>
  <si>
    <t xml:space="preserve">Cash </t>
  </si>
  <si>
    <t>Debt</t>
  </si>
  <si>
    <t xml:space="preserve">Enterprise Value </t>
  </si>
  <si>
    <t>Botswana</t>
  </si>
  <si>
    <t>Canada</t>
  </si>
  <si>
    <t>Chile</t>
  </si>
  <si>
    <t>CEO</t>
  </si>
  <si>
    <t xml:space="preserve">CFO </t>
  </si>
  <si>
    <t>Aspect</t>
  </si>
  <si>
    <t>Metal Stream</t>
  </si>
  <si>
    <t>Royalty</t>
  </si>
  <si>
    <t>Capital</t>
  </si>
  <si>
    <t>Returns</t>
  </si>
  <si>
    <t>Risk/Reward</t>
  </si>
  <si>
    <t>Streaming comp provides upfront capital</t>
  </si>
  <si>
    <t>rights to purchase metals at fixed price</t>
  </si>
  <si>
    <t>profit tied to comm price spreads</t>
  </si>
  <si>
    <t>involves purchasing royalty</t>
  </si>
  <si>
    <t>percentage of rev or production</t>
  </si>
  <si>
    <t>more stable rev, tied to prod/rev</t>
  </si>
  <si>
    <t>Other</t>
  </si>
  <si>
    <t xml:space="preserve">Total Revenue </t>
  </si>
  <si>
    <t>G&amp;A</t>
  </si>
  <si>
    <t>Taxes</t>
  </si>
  <si>
    <t>Gold</t>
  </si>
  <si>
    <t>Discount</t>
  </si>
  <si>
    <t>NPV</t>
  </si>
  <si>
    <t>Estimate</t>
  </si>
  <si>
    <t>Supply/Demand Dynamics</t>
  </si>
  <si>
    <t>Global Production</t>
  </si>
  <si>
    <t>Mining Costs</t>
  </si>
  <si>
    <t>Jewelry and Technology Demand</t>
  </si>
  <si>
    <t>Jewelry Demand</t>
  </si>
  <si>
    <t>Industrial Use</t>
  </si>
  <si>
    <t>Central Bank Reserves</t>
  </si>
  <si>
    <t>Mining Production</t>
  </si>
  <si>
    <t>Macroeconomic Factors</t>
  </si>
  <si>
    <t>Inflation</t>
  </si>
  <si>
    <t>Interest rates</t>
  </si>
  <si>
    <t>Current</t>
  </si>
  <si>
    <t>Upside</t>
  </si>
  <si>
    <t>Property Stages</t>
  </si>
  <si>
    <t xml:space="preserve">no mineral reserves disclosed </t>
  </si>
  <si>
    <t xml:space="preserve">in production and contribute to majority of revenue </t>
  </si>
  <si>
    <t>material extraction and reserves</t>
  </si>
  <si>
    <t>material reserves, no extraction</t>
  </si>
  <si>
    <t xml:space="preserve">contain mineral resources, searching for reserves </t>
  </si>
  <si>
    <t>Principal</t>
  </si>
  <si>
    <t xml:space="preserve">Producing </t>
  </si>
  <si>
    <t xml:space="preserve">Development </t>
  </si>
  <si>
    <t>Evaluation</t>
  </si>
  <si>
    <t>Exploration</t>
  </si>
  <si>
    <t xml:space="preserve">Streaming Agreements Economics </t>
  </si>
  <si>
    <t xml:space="preserve">Mine Site Production </t>
  </si>
  <si>
    <t xml:space="preserve">production ofintermediater metal product is under control of mine operator, production is report to RGLD by the operator </t>
  </si>
  <si>
    <t xml:space="preserve">Metal Delivery </t>
  </si>
  <si>
    <t>production --&gt; smelter/refiner--&gt;quantity of refined metal is used to define the delivery obligation</t>
  </si>
  <si>
    <t>Mount Milligan and Andacollo (5m lag from production)</t>
  </si>
  <si>
    <t xml:space="preserve">Metal Sale </t>
  </si>
  <si>
    <t xml:space="preserve">once refined gold is delivered, RGLD sells the gold over the period when they expect to receive the next delivery, which means they'll realized prices over the same time period </t>
  </si>
  <si>
    <t>Mount Milligan</t>
  </si>
  <si>
    <t xml:space="preserve">Andacollo </t>
  </si>
  <si>
    <t>Pueblo Viejo</t>
  </si>
  <si>
    <t>All Other Streams</t>
  </si>
  <si>
    <t>5m</t>
  </si>
  <si>
    <t>1m</t>
  </si>
  <si>
    <t>Lag</t>
  </si>
  <si>
    <t>Streaming Agreements</t>
  </si>
  <si>
    <t xml:space="preserve">Produced Vs Payable Metal </t>
  </si>
  <si>
    <t>Produced == metal recovered from mine site operations either in concentrate or doré</t>
  </si>
  <si>
    <t xml:space="preserve">Payable == metal recovered from mine les smelter/refiner fee </t>
  </si>
  <si>
    <t>Khjoemacau</t>
  </si>
  <si>
    <t>Rainy river</t>
  </si>
  <si>
    <t>Wassa</t>
  </si>
  <si>
    <t>Xavantina</t>
  </si>
  <si>
    <t>Bogoso and Prestea</t>
  </si>
  <si>
    <t xml:space="preserve">Stream </t>
  </si>
  <si>
    <t>Metal</t>
  </si>
  <si>
    <t>Product</t>
  </si>
  <si>
    <t xml:space="preserve">Payable % </t>
  </si>
  <si>
    <t>Au</t>
  </si>
  <si>
    <t>Ag</t>
  </si>
  <si>
    <t>Au, Cu</t>
  </si>
  <si>
    <t>Au, Ag</t>
  </si>
  <si>
    <t xml:space="preserve">Concentrate </t>
  </si>
  <si>
    <t>Doré</t>
  </si>
  <si>
    <t>99.9/99</t>
  </si>
  <si>
    <t>97/&gt;=95</t>
  </si>
  <si>
    <t>Attributable Gold Equivalent Ounces</t>
  </si>
  <si>
    <t>AGEOs are a measure to describe the portion of an operstors reported reserves or resources that are attrib to stream/royalty</t>
  </si>
  <si>
    <t>calculated by taking contained metal from reserves or resources and oncert it into GEOs based on : contained metal, net metal price, gold price, payable %</t>
  </si>
  <si>
    <t xml:space="preserve">Formula | AGEOs = (Contained Metal * Net Price) / Gold Price * Payable Percentage </t>
  </si>
  <si>
    <t xml:space="preserve">Principal Assets </t>
  </si>
  <si>
    <t>Andacollo</t>
  </si>
  <si>
    <t>Cortez</t>
  </si>
  <si>
    <t>Khoemacau</t>
  </si>
  <si>
    <t>Peńasquito</t>
  </si>
  <si>
    <t xml:space="preserve">Pueblo Viejo </t>
  </si>
  <si>
    <t>Nevada</t>
  </si>
  <si>
    <t xml:space="preserve">Mexico </t>
  </si>
  <si>
    <t>DR</t>
  </si>
  <si>
    <t xml:space="preserve">Open Pit </t>
  </si>
  <si>
    <t>Type</t>
  </si>
  <si>
    <t xml:space="preserve">Ongoing Payment </t>
  </si>
  <si>
    <t>$435/oz. for Au</t>
  </si>
  <si>
    <t xml:space="preserve">2023 asset handbook </t>
  </si>
  <si>
    <t>Press Releases</t>
  </si>
  <si>
    <t>updated proven and probable reserves for Pipeline Mining Complex  | est gold price $325/oz</t>
  </si>
  <si>
    <t>exploration project ($2.5m invested) on island of Milos, Greeze facing delays due to Greek Ministry's rejection of the environmental impact study</t>
  </si>
  <si>
    <t>revenue increased significantly driven by royalties from Piprlinr Mining Complex</t>
  </si>
  <si>
    <t>discovery of additional gold mineralization at the crossroads area near south pipeline pit at the pipeline mining complex</t>
  </si>
  <si>
    <t xml:space="preserve">production increase at Pipeline Mining Project </t>
  </si>
  <si>
    <t>Q101, reveneu down y/y vs q100 due to lower grade/lower prod  st pipeline mining complex</t>
  </si>
  <si>
    <t>line of credit with HSBC bnk ($10m) for purposes of acquiring royalty assets.  Royalty mortgage on GSR3 royalty at Pipeline Mining Complex</t>
  </si>
  <si>
    <t>q201 non cash write down  on Bald Mountain royalty due to  placer dome (operator of the mine) lwoering gold price ass from $325/oz to $300/oz</t>
  </si>
  <si>
    <t>acquired -.37% net value royalty on the GAS claims at the pipeline mining complex for $2.1m.  Adds additional exposure to 5m oz of procen and prob gold reserves and ~49m mineralized material</t>
  </si>
  <si>
    <t xml:space="preserve">q301;still no debt , access to $10m from HSBC, 18:1 working capital ratio </t>
  </si>
  <si>
    <t>fiscal 2001 earnings. Multiple royalties at Pipeline Mining complex (GSR1,GSR2,GSR3 (fixed royalty) ..  Received royalty payments on Martha mine silver shipments in Argentina, EPA settlement</t>
  </si>
  <si>
    <t>Founded</t>
  </si>
  <si>
    <t>Founder</t>
  </si>
  <si>
    <t>Stanley Dempsey</t>
  </si>
  <si>
    <t>new gold mineralization discovered at pipeline mining complex, if extracted ---&gt; increased royalty</t>
  </si>
  <si>
    <t xml:space="preserve">q102 earnings. 84% growth </t>
  </si>
  <si>
    <t>acquiring royalty interest in copperdtone gold project from American Bonanza gold mining corp for $1.7m.  3% NSR &amp; 45%NPR</t>
  </si>
  <si>
    <t>nsr and npr deal with Bonanza Gold Mining expected to close 3/29/02</t>
  </si>
  <si>
    <t>unable to agree on final terms, negotiations terminated</t>
  </si>
  <si>
    <t>private placement 500k shares sold to Acqua Wellington NA Equities Fund</t>
  </si>
  <si>
    <t>agreement to purchase 93% of High Desert Mineral Resources common shares (1.4m) for $24m in combo of cash/stock</t>
  </si>
  <si>
    <t xml:space="preserve">signed binding agreement to purchase 93.3%  of High Desert Mineral Resources common stock </t>
  </si>
  <si>
    <t xml:space="preserve">acquired 49.4m shares of High Desert Mineral Resources from Lee Halavais.  Paid with 1.4m shares of stock and $200k in cash,.. Goal is to turn High Des into subsidiary. </t>
  </si>
  <si>
    <t xml:space="preserve">Acquisitions </t>
  </si>
  <si>
    <t>High Desert</t>
  </si>
  <si>
    <t>field short form merger with Deleware to merge subsidiary of royal gold into high desert mineral resources</t>
  </si>
  <si>
    <t>q203 results</t>
  </si>
  <si>
    <t>reserve increases</t>
  </si>
  <si>
    <t xml:space="preserve">production increases at the Pipeline Mining Complex </t>
  </si>
  <si>
    <t xml:space="preserve">2nd half dividend </t>
  </si>
  <si>
    <t>Tony Jensen appointed to COO</t>
  </si>
  <si>
    <t xml:space="preserve">Skadow as vp and cfo </t>
  </si>
  <si>
    <t>executed royalty financing term sheet with capital gold corporation to provide $13.8m as specified in the feasibility study completed 8/2003 for construction of El Chanate open pit gold mine Sonora, Mex</t>
  </si>
  <si>
    <t>form s-3: allows royald gold ot issue up to $300m woth of securities; s-4 registration for stock issuance: registeres up to 15m shares for the use in acq</t>
  </si>
  <si>
    <t>announced updated ore reserve estimates and production forecasts for its royalty properties</t>
  </si>
  <si>
    <t xml:space="preserve">agreed to terminate negotiations on a royalty financing ability for the construction of Capital Gold's El Chanate open pit gold mine </t>
  </si>
  <si>
    <t>s-4 &amp; s3 declared effective with no immediate plans to offer any securities</t>
  </si>
  <si>
    <t>acquired 31 unpatented mining claims from Quicksilver Phenomenon LLC on alnds located southeast of the Cortez area, Eureka County, Nevada</t>
  </si>
  <si>
    <t>pipeline mining complex remains cornerstone asset, reserve additions at Leeville, SJ Claims, and othe rproperties, Troy Mine and Martha Mine provide diversification through silver and copper production</t>
  </si>
  <si>
    <t xml:space="preserve">offering 2m shares of common </t>
  </si>
  <si>
    <t>term sheet for signing term sheet for financing high river gold's taparko project. Pays $35m over net year to Somita SA (90% own sub of High River gold Mines) for development of  open pit gold proekct in west africa</t>
  </si>
  <si>
    <t xml:space="preserve">strat alliance with Taranis resourcis </t>
  </si>
  <si>
    <t>finalized agreementwith Somita SA ro provide the $35m</t>
  </si>
  <si>
    <t>agreement to acquire 2 royalties from Kennecott Minerals Co $25m</t>
  </si>
  <si>
    <t>closed agreement with Kennecott Minerals to acquire 2 royalties for $25m.  Royalties consist of 3% net smelter return royalty on Robinson mine located in Nevada, and a sliding scale royalty on the Mulatosmine Sonora, Mexico.  Open pit copper mine with gold and molybdenum credits</t>
  </si>
  <si>
    <t xml:space="preserve">production decline at pipeline mining complex </t>
  </si>
  <si>
    <t>increases interest in taranis resources</t>
  </si>
  <si>
    <t>agreement to purchase sliding scale nsr from nevada star resoruce corp on gold hill project for $3.3m</t>
  </si>
  <si>
    <t xml:space="preserve">closed acqusiition with Nevada Star </t>
  </si>
  <si>
    <t xml:space="preserve">agreement with Minera Kennescott to acquire 2% NSR roualty on Pensaquito protect in Zacatecas Mexico </t>
  </si>
  <si>
    <t xml:space="preserve">acquires royalty on barrick gold Pascua Lama gold project </t>
  </si>
  <si>
    <t xml:space="preserve">Bruce Kirchhoff joining company as gen counsel </t>
  </si>
  <si>
    <t>closed transcation with Minera Kennescott to acquire Penasquito project</t>
  </si>
  <si>
    <t>battle mountain gold accepted royal gold's proposal to acquire 100% of the fully diluted shares of Battle Mountain for 1.57m shares</t>
  </si>
  <si>
    <t>closes Pascua Lama royalty transaction</t>
  </si>
  <si>
    <t xml:space="preserve">pricing of share fofering, $29.25 @ 4m shares </t>
  </si>
  <si>
    <t xml:space="preserve">intends to offer 4m shares of common </t>
  </si>
  <si>
    <t>SJ Claims, Goldstrike Mine (Nevada) Royalty Held: 0.9% NSR, operator: Barrick Goldstrike Mine, prod e: 700oz og gold in 2007; Leeville Mining complex (Nevada) Royalty held: 1.8% NSR on most underground ops, operator: Newmont Mining corp, prod e: 337koz in 2007; Pipelne Mining complex (Nevada) Royalty held: sliding scale NSR (1.75%), operator: barrick gold, prod e: 91koz in 2007; Mulatos Mine 9Mexico) royalt held: sliding scale NSR (0.3%-1.5% deoending on gol d prices), operator: alamos gold, prod e: 150koz 2007, robinson mine (nevada); royalty held: 3% NSR, operator: Quadra Mining Ltd, prod e: 68k oz of gold and 136.3m lbs of copper in 2007; troy mine (Montana),, royalty held: 7% GSR on early prod, operator: Revett Minerals, prod e: 2m oz of silver and 16m lbs of copper in 2007; Martha MIne (Argentina), Royalty Held: 2% NSR, operator: Coer d'Alene Mines Corp, prod eL 2.7m oz of silver in 2007, Penasquito project (Mexico) royalty held: 2% NSR, operator: Godlscorp, production start late 2008; Pascua-Lama Project (Argentina/Chile) royalties held: sliding scale NSR (0.16%-1.08% depend on gold price), fixed 0.216% copper royalty starting 2017, operator Bassick Gold Corp, Production start: targeted 2010; Taparko Mine (Burkina Faso) royalties Held: GSR equiv royalties: 15% (TB-GSR1) and 4.3% (TB-GSR2), transitioning to perpetual royalties, operatorL high river gold mines), Gold Hill (Nevada) royalty held: slidng scale NSR 2% above $350/oz),operatorL Kinross Gold Corp and Barrick Gold Corp, Prod start: pending permits and equipment availability</t>
  </si>
  <si>
    <t>Battle Ground corp aghreed to have royal gold to acquire 100% of diluted shares</t>
  </si>
  <si>
    <t>additional drilling at Penasquito revealed reserve increases: provena dn probable reserves increased 31% for gold, 50% for silver, 60% for Lead and Zinc</t>
  </si>
  <si>
    <t xml:space="preserve">begin receiving royalty revenue from high gold's Tarpko mine </t>
  </si>
  <si>
    <t>S-4 registration statement to advance merger with battle mountain</t>
  </si>
  <si>
    <t xml:space="preserve">completed acquisition of battleground </t>
  </si>
  <si>
    <t xml:space="preserve">acquires Benso royalty from fairwest energy corp; 1.5% NSR </t>
  </si>
  <si>
    <t xml:space="preserve">public offering of mandatory convertible preferred stock </t>
  </si>
  <si>
    <t>closed 7.25% mandatory convertible preferred stock , gross proceeds $115m</t>
  </si>
  <si>
    <t xml:space="preserve">operator at Penasquito project has approved plans to expand mil throughput by 30% to 143000 tons of ore to acelerate construction schedule at the project </t>
  </si>
  <si>
    <t>agreeement to acquire 3 royalties from Anglogold Ashanti for 13.75m.  First is 2% NSRm 2-45 sliding scale, 10$ NPI</t>
  </si>
  <si>
    <t xml:space="preserve">converts preferred into common </t>
  </si>
  <si>
    <t xml:space="preserve">completed acquisition of 3 royalties from AngloGold Ashanti </t>
  </si>
  <si>
    <t>entered into agreement to acquire a portfolio of royalties from barrick Gold for $150m.  8 producing roylaties, 20 developed and evaluation stage, 49 exploration projects</t>
  </si>
  <si>
    <t xml:space="preserve">entered into new amended and restated credit facility </t>
  </si>
  <si>
    <t>increased reserve estimate as the Penasquito project</t>
  </si>
  <si>
    <t>William M. Zisch to VP Op</t>
  </si>
  <si>
    <t xml:space="preserve">acquire interest in the Gold Production from teck Cominco;s Andacollo Mine in Chile </t>
  </si>
  <si>
    <t>common stock offering ; will use proceeds to fund  Andacollo Mine in Chile</t>
  </si>
  <si>
    <t>prcied shares at $38/share</t>
  </si>
  <si>
    <t>substantial Reserve increases</t>
  </si>
  <si>
    <t xml:space="preserve">$100m term loan facility agreement </t>
  </si>
  <si>
    <t>completion of Andacollo Gold transaction</t>
  </si>
  <si>
    <t xml:space="preserve">amends term loan </t>
  </si>
  <si>
    <t xml:space="preserve">additional roylaty interest on the Pascua Lama Gold Project </t>
  </si>
  <si>
    <t xml:space="preserve">acquire 25% gold stream on Mt Milliganm Project </t>
  </si>
  <si>
    <t xml:space="preserve">completion of gold stream </t>
  </si>
  <si>
    <t>amend credit facility</t>
  </si>
  <si>
    <t xml:space="preserve">agreement to acquire royalty on the kerr-Sulphurets-Mitchell Project </t>
  </si>
  <si>
    <t>royal gold increases gold stream interest in Mt Milligan</t>
  </si>
  <si>
    <t xml:space="preserve">acquires gold and silver interests in  Tulsequah Chief project </t>
  </si>
  <si>
    <t xml:space="preserve">acquires gold roylaty Ruby Hill Mine </t>
  </si>
  <si>
    <t xml:space="preserve">expands and extended revolving credit facility </t>
  </si>
  <si>
    <t>$325m convertible notes</t>
  </si>
  <si>
    <t xml:space="preserve">royald gold $325m of Sr. Convertible notes </t>
  </si>
  <si>
    <t xml:space="preserve">closed 2.875% convertible senior notes offering </t>
  </si>
  <si>
    <t xml:space="preserve">updated on Pascua Lama construction </t>
  </si>
  <si>
    <t>Increases Gold Stream Interest in the Mt.Milligan project 52.25%</t>
  </si>
  <si>
    <t xml:space="preserve">completion of additional gold stream interest at Mt. Milligan </t>
  </si>
  <si>
    <t>Update on Pascua Lama ; construction work suspended</t>
  </si>
  <si>
    <t xml:space="preserve">update on Pascua - Lama </t>
  </si>
  <si>
    <t xml:space="preserve">suspended construction activities at Pascua Lama </t>
  </si>
  <si>
    <t>acquires gold stream on Rubicon Minerals Phoenix Gold Project</t>
  </si>
  <si>
    <t xml:space="preserve">update Mt. Milligan Stream </t>
  </si>
  <si>
    <t xml:space="preserve">reserve updates </t>
  </si>
  <si>
    <t xml:space="preserve">provided updates on Mt. Milligan streasm deliveries </t>
  </si>
  <si>
    <t xml:space="preserve">update mount milligan stream </t>
  </si>
  <si>
    <t xml:space="preserve">acquires gold stream on Euromax's llovitza project </t>
  </si>
  <si>
    <t xml:space="preserve">Mount Milligan &amp; Penasquito update </t>
  </si>
  <si>
    <t>update on mount milligan stream deliveries</t>
  </si>
  <si>
    <t>announces ore reserves and mineralized material</t>
  </si>
  <si>
    <t>acquires gold streams on Wassa, Bogoso, and Prestea from Golden Star Resources</t>
  </si>
  <si>
    <t xml:space="preserve">acquires gold stream on Teck's Carmen de Andacollo Mine </t>
  </si>
  <si>
    <t xml:space="preserve">sells royalty at Carmen de Andacollo </t>
  </si>
  <si>
    <t>acquires gold and silver stream on New Gold's rainy River project</t>
  </si>
  <si>
    <t xml:space="preserve">agreement to acquire gold and silver stream on barricks gold interest in Pueblo Viejo mine </t>
  </si>
  <si>
    <t xml:space="preserve">closing of pueblo viejo </t>
  </si>
  <si>
    <t xml:space="preserve">pueblo viejo update </t>
  </si>
  <si>
    <t xml:space="preserve">21% increase in reserves </t>
  </si>
  <si>
    <t xml:space="preserve">voluntary de-listing on toronto stock exchnage </t>
  </si>
  <si>
    <t xml:space="preserve">announces peak gold resource estimate </t>
  </si>
  <si>
    <t>expands debt facility</t>
  </si>
  <si>
    <t>operational update from mount milligan; mining operations halted due to lack of sufficient water resources</t>
  </si>
  <si>
    <t xml:space="preserve">neworg structure </t>
  </si>
  <si>
    <t xml:space="preserve">voisey bay royalty dispute </t>
  </si>
  <si>
    <t xml:space="preserve">acquisition of high quality silver stream on Khoemacau copper project </t>
  </si>
  <si>
    <t xml:space="preserve">estimated ore reserve update </t>
  </si>
  <si>
    <t xml:space="preserve">mount milligan update </t>
  </si>
  <si>
    <t>update from tech Resources on the resumption of operations at the Carmen de andacollo Mine</t>
  </si>
  <si>
    <t xml:space="preserve">update on revised life of mineplan for rainy river mine ; remains profitable and valuable asset for RGLD.  </t>
  </si>
  <si>
    <t xml:space="preserve">sold Peak Gold Project and stake in Contango Ore  for $61.3m; considered noncore to biz model.  Divesting and focusing on pasive royalty/streaming </t>
  </si>
  <si>
    <t>original stream agreement:single agreement with Golden Star Resources for Wassa and Orestea/Bogoso mines.  | speration: Golden star sold the Prestea/Bogoso mines to Future Global Resources July 2020.  sale required original stream agreement into two independent agreements to reflect new ownership structure</t>
  </si>
  <si>
    <t xml:space="preserve">acquires gold stream on Ero Copper's highly prospective NX Gold Mine </t>
  </si>
  <si>
    <t xml:space="preserve">acquires royalty on  red chris mine </t>
  </si>
  <si>
    <t xml:space="preserve">agreement to acquire Great Bear Royalties corp </t>
  </si>
  <si>
    <t>acquisition of royalty interest in cortez complex in nevada</t>
  </si>
  <si>
    <t>completes acquisition Great Bear Royalties</t>
  </si>
  <si>
    <t xml:space="preserve">sus[ended operations at the Penasquito mine in Mexico in rresponse to a strike action received from the nationalunion of mine and metal workers of mex republic </t>
  </si>
  <si>
    <t xml:space="preserve">commitment to acquire gold/platinum/palladium and copper/nickel royalties on producing serrote and santa rita mines in Brazil </t>
  </si>
  <si>
    <t>updated on acquisition of royalties on the serrote and santa rita mines</t>
  </si>
  <si>
    <t xml:space="preserve">additional updates on serrote and snata rita mines </t>
  </si>
  <si>
    <t xml:space="preserve">Penasquitio update ; agreement reached to end strike </t>
  </si>
  <si>
    <t xml:space="preserve">mine life extention at mount milligan </t>
  </si>
  <si>
    <t>Q125</t>
  </si>
  <si>
    <t>Q225</t>
  </si>
  <si>
    <t>Q325</t>
  </si>
  <si>
    <t>Q425</t>
  </si>
  <si>
    <t xml:space="preserve">Royalty </t>
  </si>
  <si>
    <t>Stream CoS</t>
  </si>
  <si>
    <t xml:space="preserve">Cash Operating Margin </t>
  </si>
  <si>
    <t>Production  Taxes</t>
  </si>
  <si>
    <t xml:space="preserve">Simplified FCF </t>
  </si>
  <si>
    <t xml:space="preserve">Reported CFO </t>
  </si>
  <si>
    <t xml:space="preserve">Difference </t>
  </si>
  <si>
    <t>Q126</t>
  </si>
  <si>
    <t>Q226</t>
  </si>
  <si>
    <t>Q326</t>
  </si>
  <si>
    <t>Q426</t>
  </si>
  <si>
    <t xml:space="preserve">Interest &amp; Other Income </t>
  </si>
  <si>
    <t xml:space="preserve">Interest &amp; Other Expense </t>
  </si>
  <si>
    <t>Gold Sold (koz)</t>
  </si>
  <si>
    <t>Gold Price ($/oz)</t>
  </si>
  <si>
    <t>Gold Revenue ($m)</t>
  </si>
  <si>
    <t>Silver Sold (Moz)</t>
  </si>
  <si>
    <t>Silver Price ($/oz)</t>
  </si>
  <si>
    <t>Silver Revenue ($m)</t>
  </si>
  <si>
    <t>Copper Sold (M lbs)</t>
  </si>
  <si>
    <t>Copper Price ($/lb)</t>
  </si>
  <si>
    <t>Copper Revenue ($m)</t>
  </si>
  <si>
    <t xml:space="preserve">Stream Model </t>
  </si>
  <si>
    <t>Peñasquito</t>
  </si>
  <si>
    <t>Royalty Modeled</t>
  </si>
  <si>
    <t>Antamina</t>
  </si>
  <si>
    <t xml:space="preserve">Growth YY </t>
  </si>
  <si>
    <t>Terminal (10yrs)</t>
  </si>
  <si>
    <t xml:space="preserve">Actuals </t>
  </si>
  <si>
    <t xml:space="preserve">Forecast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</si>
</sst>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#,##0.0"/>
    <numFmt numFmtId="165" formatCode="0.0"/>
  </numFmts>
  <fonts count="12">
    <font>
      <sz val="10"/>
      <color theme="1"/>
      <name val="ArialMT"/>
      <family val="2"/>
    </font>
    <font>
      <u/>
      <sz val="10"/>
      <color theme="1"/>
      <name val="ArialMT"/>
      <family val="2"/>
    </font>
    <font>
      <b/>
      <sz val="10"/>
      <color theme="1"/>
      <name val="ArialMT"/>
    </font>
    <font>
      <sz val="10"/>
      <color theme="1"/>
      <name val="ArialMT"/>
    </font>
    <font>
      <b/>
      <u/>
      <sz val="10"/>
      <color theme="1"/>
      <name val="ArialMT"/>
    </font>
    <font>
      <i/>
      <sz val="10"/>
      <color theme="1"/>
      <name val="ArialMT"/>
    </font>
    <font>
      <u/>
      <sz val="10"/>
      <color theme="10"/>
      <name val="ArialMT"/>
      <family val="2"/>
    </font>
    <font>
      <sz val="10"/>
      <color theme="0"/>
      <name val="ArialMT"/>
      <family val="2"/>
    </font>
    <font>
      <sz val="10"/>
      <color rgb="FF0000FF"/>
      <name val="ArialMT"/>
      <family val="2"/>
    </font>
    <font>
      <sz val="10"/>
      <name val="ArialMT"/>
    </font>
    <font>
      <sz val="10"/>
      <color rgb="FF0000FF"/>
      <name val="ArialMT"/>
    </font>
    <font>
      <sz val="8"/>
      <color theme="1"/>
      <name val="ArialMT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6">
    <xf numFmtId="0" fontId="0" fillId="0" borderId="0" xfId="0"/>
    <xf numFmtId="3" fontId="0" fillId="0" borderId="0" xfId="0" applyNumberFormat="1"/>
    <xf numFmtId="164" fontId="0" fillId="0" borderId="0" xfId="0" applyNumberFormat="1"/>
    <xf numFmtId="3" fontId="1" fillId="0" borderId="0" xfId="0" applyNumberFormat="1" applyFont="1"/>
    <xf numFmtId="3" fontId="0" fillId="0" borderId="1" xfId="0" applyNumberFormat="1" applyBorder="1"/>
    <xf numFmtId="3" fontId="0" fillId="0" borderId="2" xfId="0" applyNumberFormat="1" applyBorder="1"/>
    <xf numFmtId="3" fontId="0" fillId="0" borderId="3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6" xfId="0" applyNumberFormat="1" applyBorder="1"/>
    <xf numFmtId="3" fontId="0" fillId="0" borderId="7" xfId="0" applyNumberFormat="1" applyBorder="1"/>
    <xf numFmtId="3" fontId="0" fillId="0" borderId="8" xfId="0" applyNumberFormat="1" applyBorder="1"/>
    <xf numFmtId="3" fontId="2" fillId="0" borderId="0" xfId="0" applyNumberFormat="1" applyFont="1"/>
    <xf numFmtId="3" fontId="3" fillId="0" borderId="0" xfId="0" applyNumberFormat="1" applyFont="1"/>
    <xf numFmtId="3" fontId="0" fillId="0" borderId="0" xfId="0" applyNumberFormat="1" applyAlignment="1">
      <alignment horizontal="left" indent="1"/>
    </xf>
    <xf numFmtId="3" fontId="3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" fontId="0" fillId="0" borderId="0" xfId="0" applyNumberFormat="1"/>
    <xf numFmtId="9" fontId="2" fillId="0" borderId="0" xfId="0" applyNumberFormat="1" applyFont="1"/>
    <xf numFmtId="9" fontId="3" fillId="0" borderId="0" xfId="0" applyNumberFormat="1" applyFont="1"/>
    <xf numFmtId="10" fontId="3" fillId="0" borderId="0" xfId="0" applyNumberFormat="1" applyFont="1"/>
    <xf numFmtId="8" fontId="2" fillId="0" borderId="0" xfId="0" applyNumberFormat="1" applyFont="1"/>
    <xf numFmtId="3" fontId="4" fillId="0" borderId="0" xfId="0" applyNumberFormat="1" applyFont="1"/>
    <xf numFmtId="9" fontId="0" fillId="0" borderId="0" xfId="0" applyNumberFormat="1"/>
    <xf numFmtId="9" fontId="0" fillId="0" borderId="0" xfId="0" quotePrefix="1" applyNumberFormat="1"/>
    <xf numFmtId="9" fontId="5" fillId="0" borderId="0" xfId="0" applyNumberFormat="1" applyFont="1"/>
    <xf numFmtId="3" fontId="5" fillId="0" borderId="0" xfId="0" applyNumberFormat="1" applyFont="1"/>
    <xf numFmtId="3" fontId="6" fillId="0" borderId="0" xfId="1" applyNumberFormat="1"/>
    <xf numFmtId="14" fontId="0" fillId="0" borderId="0" xfId="0" applyNumberFormat="1"/>
    <xf numFmtId="14" fontId="1" fillId="0" borderId="0" xfId="0" applyNumberFormat="1" applyFont="1"/>
    <xf numFmtId="14" fontId="6" fillId="0" borderId="0" xfId="1" applyNumberFormat="1"/>
    <xf numFmtId="3" fontId="8" fillId="0" borderId="0" xfId="0" applyNumberFormat="1" applyFont="1"/>
    <xf numFmtId="3" fontId="10" fillId="0" borderId="0" xfId="0" applyNumberFormat="1" applyFont="1"/>
    <xf numFmtId="1" fontId="0" fillId="0" borderId="0" xfId="0" applyNumberFormat="1" applyAlignment="1">
      <alignment horizontal="right"/>
    </xf>
    <xf numFmtId="3" fontId="8" fillId="0" borderId="0" xfId="0" applyNumberFormat="1" applyFont="1" applyAlignment="1">
      <alignment horizontal="right"/>
    </xf>
    <xf numFmtId="3" fontId="9" fillId="0" borderId="0" xfId="0" applyNumberFormat="1" applyFont="1" applyAlignment="1">
      <alignment horizontal="right"/>
    </xf>
    <xf numFmtId="3" fontId="10" fillId="0" borderId="0" xfId="0" applyNumberFormat="1" applyFont="1" applyBorder="1" applyAlignment="1">
      <alignment horizontal="right"/>
    </xf>
    <xf numFmtId="3" fontId="9" fillId="0" borderId="0" xfId="0" applyNumberFormat="1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3" fontId="10" fillId="0" borderId="0" xfId="0" applyNumberFormat="1" applyFont="1" applyAlignment="1">
      <alignment horizontal="right"/>
    </xf>
    <xf numFmtId="3" fontId="9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0" fillId="0" borderId="0" xfId="0" applyNumberFormat="1" applyAlignment="1">
      <alignment horizontal="right"/>
    </xf>
    <xf numFmtId="3" fontId="2" fillId="0" borderId="0" xfId="0" applyNumberFormat="1" applyFont="1" applyAlignment="1">
      <alignment horizontal="right"/>
    </xf>
    <xf numFmtId="9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9" fontId="3" fillId="0" borderId="0" xfId="0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3" fontId="3" fillId="0" borderId="7" xfId="0" applyNumberFormat="1" applyFont="1" applyBorder="1" applyAlignment="1">
      <alignment horizontal="right"/>
    </xf>
    <xf numFmtId="1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2" fontId="8" fillId="0" borderId="0" xfId="0" applyNumberFormat="1" applyFont="1" applyAlignment="1">
      <alignment horizontal="right"/>
    </xf>
    <xf numFmtId="1" fontId="0" fillId="0" borderId="7" xfId="0" applyNumberFormat="1" applyBorder="1" applyAlignment="1">
      <alignment horizontal="right"/>
    </xf>
    <xf numFmtId="1" fontId="8" fillId="0" borderId="0" xfId="0" applyNumberFormat="1" applyFont="1"/>
    <xf numFmtId="4" fontId="0" fillId="0" borderId="0" xfId="0" applyNumberFormat="1"/>
    <xf numFmtId="9" fontId="3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6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4" fontId="3" fillId="0" borderId="0" xfId="0" applyNumberFormat="1" applyFont="1"/>
    <xf numFmtId="1" fontId="7" fillId="2" borderId="0" xfId="0" applyNumberFormat="1" applyFont="1" applyFill="1" applyAlignment="1">
      <alignment horizontal="right"/>
    </xf>
    <xf numFmtId="1" fontId="7" fillId="2" borderId="0" xfId="0" applyNumberFormat="1" applyFont="1" applyFill="1"/>
    <xf numFmtId="3" fontId="11" fillId="0" borderId="0" xfId="0" applyNumberFormat="1" applyFont="1"/>
    <xf numFmtId="3" fontId="1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s28.q4cdn.com/583965976/files/doc_news/2016/04/27/2016-Press-Release-2015-YE-Reserves-FINAL-LH.pdf" TargetMode="External"/><Relationship Id="rId21" Type="http://schemas.openxmlformats.org/officeDocument/2006/relationships/hyperlink" Target="https://s28.q4cdn.com/583965976/files/doc_news/2002/11/11/2002-11-11.pdf" TargetMode="External"/><Relationship Id="rId42" Type="http://schemas.openxmlformats.org/officeDocument/2006/relationships/hyperlink" Target="https://royalgold.com/investors/press-releases/press-release-details/2006/Royal-Gold-Closes-Deal-To-Acquire-Royalties-From-Kennecott-Minerals-01-05-2006/default.aspx" TargetMode="External"/><Relationship Id="rId63" Type="http://schemas.openxmlformats.org/officeDocument/2006/relationships/hyperlink" Target="https://royalgold.com/investors/press-releases/press-release-details/2007/Royal-Gold-Announces-the-Closing-of-its-7.25-Mandatory-Convertible-Preferred-Stock-for-Gross-Proceeds-of-115-Million--11-09-2007/default.aspx" TargetMode="External"/><Relationship Id="rId84" Type="http://schemas.openxmlformats.org/officeDocument/2006/relationships/hyperlink" Target="https://royalgold.com/investors/press-releases/press-release-details/2011/Royal-Gold-Announces-Reserve-Increases-and-Production-Forecasts-Associated-with-its-Royalty-Interests-05-05-2011/default.aspx" TargetMode="External"/><Relationship Id="rId138" Type="http://schemas.openxmlformats.org/officeDocument/2006/relationships/hyperlink" Target="https://s28.q4cdn.com/583965976/files/Serrote-and-Santa-Rita-Royalties-Update-Release-August-10-2023-FINAL-LH.pdf" TargetMode="External"/><Relationship Id="rId107" Type="http://schemas.openxmlformats.org/officeDocument/2006/relationships/hyperlink" Target="https://royalgold.com/investors/press-releases/press-release-details/2015/Royal-Gold-Provides-Update-on-Two-Principal-Properties-01-20-2015/default.aspx" TargetMode="External"/><Relationship Id="rId11" Type="http://schemas.openxmlformats.org/officeDocument/2006/relationships/hyperlink" Target="https://s28.q4cdn.com/583965976/files/doc_news/2001/05/10/2001-05-10.pdf" TargetMode="External"/><Relationship Id="rId32" Type="http://schemas.openxmlformats.org/officeDocument/2006/relationships/hyperlink" Target="https://s28.q4cdn.com/583965976/files/doc_news/2004/03/24/2004-03-24.pdf" TargetMode="External"/><Relationship Id="rId37" Type="http://schemas.openxmlformats.org/officeDocument/2006/relationships/hyperlink" Target="https://royalgold.com/investors/press-releases/press-release-details/2005/Royal-Gold-Announces-Common-Stock-Offering-09-20-2005/default.aspx" TargetMode="External"/><Relationship Id="rId53" Type="http://schemas.openxmlformats.org/officeDocument/2006/relationships/hyperlink" Target="https://royalgold.com/investors/press-releases/press-release-details/2007/Royal-Gold-Announces-Common-Stock-Offering-03-27-2007/default.aspx" TargetMode="External"/><Relationship Id="rId58" Type="http://schemas.openxmlformats.org/officeDocument/2006/relationships/hyperlink" Target="https://royalgold.com/investors/press-releases/press-release-details/2007/Royal-Gold-Announces-Substantial-Increases-in-Reserves-At-Penasquito-Royalty-Property-06-28-2007/default.aspx" TargetMode="External"/><Relationship Id="rId74" Type="http://schemas.openxmlformats.org/officeDocument/2006/relationships/hyperlink" Target="https://royalgold.com/investors/press-releases/press-release-details/2009/Royal-Gold-Announces-Pricing-of-Common-Stock-Offering-04-07-2009/default.aspx" TargetMode="External"/><Relationship Id="rId79" Type="http://schemas.openxmlformats.org/officeDocument/2006/relationships/hyperlink" Target="https://royalgold.com/investors/press-releases/press-release-details/2010/Royal-Gold-Announces-Substantial-Reserve-Increases-and-Production-Forecasts-Associated-with-Its-Royalty-Interests-06-04-2010/default.aspx" TargetMode="External"/><Relationship Id="rId102" Type="http://schemas.openxmlformats.org/officeDocument/2006/relationships/hyperlink" Target="https://royalgold.com/investors/press-releases/press-release-details/2014/Royal-Gold-Provides-Update-on-Mt.-Milligan-Stream-Deliveries-04-10-2014/default.aspx" TargetMode="External"/><Relationship Id="rId123" Type="http://schemas.openxmlformats.org/officeDocument/2006/relationships/hyperlink" Target="https://s28.q4cdn.com/583965976/files/doc_news/2018/09/19/Management-and-Gold-Forum-Press-Release-FINAL-LH-Sept-19-2018.pdf" TargetMode="External"/><Relationship Id="rId128" Type="http://schemas.openxmlformats.org/officeDocument/2006/relationships/hyperlink" Target="https://s28.q4cdn.com/583965976/files/doc_news/2020/02/13/RR-Updated-LOM-Plan-Feb-13-2020-FINAL.pdf" TargetMode="External"/><Relationship Id="rId5" Type="http://schemas.openxmlformats.org/officeDocument/2006/relationships/hyperlink" Target="https://s28.q4cdn.com/583965976/files/doc_news/2000/10/02/2000-10-02.pdf" TargetMode="External"/><Relationship Id="rId90" Type="http://schemas.openxmlformats.org/officeDocument/2006/relationships/hyperlink" Target="https://royalgold.com/investors/press-releases/press-release-details/2012/Royal-Gold-Expands-and-Extends-Revolving-Credit-Facility-05-30-2012/default.aspx" TargetMode="External"/><Relationship Id="rId95" Type="http://schemas.openxmlformats.org/officeDocument/2006/relationships/hyperlink" Target="https://royalgold.com/investors/press-releases/press-release-details/2012/Royal-Gold-Increases-Gold-Stream-Interest-in-the-Mt.-Milligan-Project-to-52.25-08-09-2012/default.aspx" TargetMode="External"/><Relationship Id="rId22" Type="http://schemas.openxmlformats.org/officeDocument/2006/relationships/hyperlink" Target="https://s28.q4cdn.com/583965976/files/doc_news/2002/12/06/2002-12-06.pdf" TargetMode="External"/><Relationship Id="rId27" Type="http://schemas.openxmlformats.org/officeDocument/2006/relationships/hyperlink" Target="https://s28.q4cdn.com/583965976/files/doc_news/2003/06/05/2003-06-05.pdf" TargetMode="External"/><Relationship Id="rId43" Type="http://schemas.openxmlformats.org/officeDocument/2006/relationships/hyperlink" Target="https://royalgold.com/investors/press-releases/press-release-details/2006/Royal-Gold-Announces-Positive-Outlook-Despite-Forecasted-Production-Decline-At-The-Pipeline-Mining-Complex--02-27-2006/default.aspx" TargetMode="External"/><Relationship Id="rId48" Type="http://schemas.openxmlformats.org/officeDocument/2006/relationships/hyperlink" Target="https://royalgold.com/investors/press-releases/press-release-details/2007/Royal-Gold-Acquires-Royalty-on-Barrick-Gold-Corporations-Pascua-Lama-Gold-Project--01-17-2007/default.aspx" TargetMode="External"/><Relationship Id="rId64" Type="http://schemas.openxmlformats.org/officeDocument/2006/relationships/hyperlink" Target="https://royalgold.com/investors/press-releases/press-release-details/2007/Royal-Gold-Announces-Impact-From-Goldcorps-Expansion-Plans-at-the-Penasquito-Project-12-05-2007/default.aspx" TargetMode="External"/><Relationship Id="rId69" Type="http://schemas.openxmlformats.org/officeDocument/2006/relationships/hyperlink" Target="https://royalgold.com/investors/press-releases/press-release-details/2008/Royal-Gold-Enters-Into-a-New-Credit-Facility-With-Increased-Availability-10-31-2008/default.aspx" TargetMode="External"/><Relationship Id="rId113" Type="http://schemas.openxmlformats.org/officeDocument/2006/relationships/hyperlink" Target="https://royalgold.com/investors/press-releases/press-release-details/2015/Royal-Gold-Acquires-Gold-and-Silver-Stream-on-New-Golds-Rainy-River-Project-07-20-2015/default.aspx" TargetMode="External"/><Relationship Id="rId118" Type="http://schemas.openxmlformats.org/officeDocument/2006/relationships/hyperlink" Target="https://s28.q4cdn.com/583965976/files/doc_news/2016/06/21/TSX-Delisting-LH-June-2016-FINAL.pdf" TargetMode="External"/><Relationship Id="rId134" Type="http://schemas.openxmlformats.org/officeDocument/2006/relationships/hyperlink" Target="https://s28.q4cdn.com/583965976/files/Cortez-Royalty-Acquisition-Release-August-2-2022-FINAL.1-LH.pdf" TargetMode="External"/><Relationship Id="rId139" Type="http://schemas.openxmlformats.org/officeDocument/2006/relationships/hyperlink" Target="https://s28.q4cdn.com/583965976/files/Serrote-and-Santa-Rita-Royalties-Update-Release-August-21-2023-FINAL-REVISED-LH.pdf" TargetMode="External"/><Relationship Id="rId80" Type="http://schemas.openxmlformats.org/officeDocument/2006/relationships/hyperlink" Target="https://royalgold.com/investors/press-releases/press-release-details/2010/Royal-Gold-Acquires-Additional-Royalty-Interests-on-the-Pascua-Lama-Gold-Project-07-06-2010/default.aspx" TargetMode="External"/><Relationship Id="rId85" Type="http://schemas.openxmlformats.org/officeDocument/2006/relationships/hyperlink" Target="https://royalgold.com/investors/press-releases/press-release-details/2011/Royal-Gold-Enters-into-an-Option-Agreement-to-Acquire-a-Royalty-on-the-Kerr-Sulphurets-Mitchell-Project-06-17-2011/default.aspx" TargetMode="External"/><Relationship Id="rId12" Type="http://schemas.openxmlformats.org/officeDocument/2006/relationships/hyperlink" Target="https://s28.q4cdn.com/583965976/files/doc_news/2001/08/09/2001-08-09.pdf" TargetMode="External"/><Relationship Id="rId17" Type="http://schemas.openxmlformats.org/officeDocument/2006/relationships/hyperlink" Target="https://s28.q4cdn.com/583965976/files/doc_news/2002/04/02/2002-04-02.pdf" TargetMode="External"/><Relationship Id="rId33" Type="http://schemas.openxmlformats.org/officeDocument/2006/relationships/hyperlink" Target="https://s28.q4cdn.com/583965976/files/doc_news/2004/04/13/2004-04-13.pdf" TargetMode="External"/><Relationship Id="rId38" Type="http://schemas.openxmlformats.org/officeDocument/2006/relationships/hyperlink" Target="https://royalgold.com/investors/press-releases/press-release-details/2005/Royal-Gold-Signs-Term-Sheet-For-Financing-High-River-Golds-Taparko-Project-10-18-2005/default.aspx" TargetMode="External"/><Relationship Id="rId59" Type="http://schemas.openxmlformats.org/officeDocument/2006/relationships/hyperlink" Target="https://royalgold.com/investors/press-releases/press-release-details/2007/Royal-Gold-Files-S-4-Registration-Statement-to-Advance-Merger-With-Battle-Mountain-Gold-Exploration-08-09-2007/default.aspx" TargetMode="External"/><Relationship Id="rId103" Type="http://schemas.openxmlformats.org/officeDocument/2006/relationships/hyperlink" Target="https://royalgold.com/investors/press-releases/press-release-details/2014/Royal-Gold-Announces-Reserve-and-Production-Forecasts-Associated-with-its-Interests-05-01-2014/default.aspx" TargetMode="External"/><Relationship Id="rId108" Type="http://schemas.openxmlformats.org/officeDocument/2006/relationships/hyperlink" Target="https://s28.q4cdn.com/583965976/files/doc_news/2015/04/16/041615-RGLD-Mt-Milligan-Deliveries-FINAL-LH_v001_p231v9.pdf" TargetMode="External"/><Relationship Id="rId124" Type="http://schemas.openxmlformats.org/officeDocument/2006/relationships/hyperlink" Target="https://s28.q4cdn.com/583965976/files/doc_news/2019/02/25/Royal-Gold-Announces-Acquisition-of-Project-Ivory-Silver-Stream-FINAL-v1-(LH)-Feb-25-2019.pdf" TargetMode="External"/><Relationship Id="rId129" Type="http://schemas.openxmlformats.org/officeDocument/2006/relationships/hyperlink" Target="https://s28.q4cdn.com/583965976/files/doc_news/2020/09/30/Peak-Divestment-September-30-2020-(FINAL.2)-LH.pdf" TargetMode="External"/><Relationship Id="rId54" Type="http://schemas.openxmlformats.org/officeDocument/2006/relationships/hyperlink" Target="https://royalgold.com/investors/press-releases/press-release-details/2007/Royal-Gold-Announces-Pricing-of-Public-Offering-of-Common-Stock-04-03-2007/default.aspx" TargetMode="External"/><Relationship Id="rId70" Type="http://schemas.openxmlformats.org/officeDocument/2006/relationships/hyperlink" Target="https://royalgold.com/investors/press-releases/press-release-details/2009/Royal-Gold-Announces-Reserve-Additions-at-Penasquito-and-Cortez-Royalty-Properties-02-23-2009/default.aspx" TargetMode="External"/><Relationship Id="rId75" Type="http://schemas.openxmlformats.org/officeDocument/2006/relationships/hyperlink" Target="https://royalgold.com/investors/press-releases/press-release-details/2009/Royal-Gold-Announces-Substantial-Reserve-Increases-and-Production-Forecasts-Associated-With-Its-Royalty-Interests-05-20-2009/default.aspx" TargetMode="External"/><Relationship Id="rId91" Type="http://schemas.openxmlformats.org/officeDocument/2006/relationships/hyperlink" Target="https://royalgold.com/investors/press-releases/press-release-details/2012/Royal-Gold-Announces-Proposed-325-Million-Convertible-Notes-Offering-06-13-2012/default.aspx" TargetMode="External"/><Relationship Id="rId96" Type="http://schemas.openxmlformats.org/officeDocument/2006/relationships/hyperlink" Target="https://royalgold.com/investors/press-releases/press-release-details/2012/Royal-Gold-Announces-Completion-of-Additional-Gold-Stream-Interest-at-Mt.-Milligan-08-13-2012/default.aspx" TargetMode="External"/><Relationship Id="rId140" Type="http://schemas.openxmlformats.org/officeDocument/2006/relationships/hyperlink" Target="https://s28.q4cdn.com/583965976/files/Mars-Update-Release-September-29-2023-FINAL-LH.pdf" TargetMode="External"/><Relationship Id="rId1" Type="http://schemas.openxmlformats.org/officeDocument/2006/relationships/hyperlink" Target="https://s28.q4cdn.com/583965976/files/doc_downloads/2024/handbook/royal-gold-asset-handbook-2023-final.pdf" TargetMode="External"/><Relationship Id="rId6" Type="http://schemas.openxmlformats.org/officeDocument/2006/relationships/hyperlink" Target="https://s28.q4cdn.com/583965976/files/doc_news/2000/10/10/2000-10-10.pdf" TargetMode="External"/><Relationship Id="rId23" Type="http://schemas.openxmlformats.org/officeDocument/2006/relationships/hyperlink" Target="https://s28.q4cdn.com/583965976/files/doc_news/2002/12/17/2002-12-17.pdf" TargetMode="External"/><Relationship Id="rId28" Type="http://schemas.openxmlformats.org/officeDocument/2006/relationships/hyperlink" Target="https://s28.q4cdn.com/583965976/files/doc_news/2003/06/16/2003-06-16.pdf" TargetMode="External"/><Relationship Id="rId49" Type="http://schemas.openxmlformats.org/officeDocument/2006/relationships/hyperlink" Target="https://royalgold.com/investors/press-releases/press-release-details/2007/Royal-Gold-Appoints-Kirchhoff-as-General-Counsel-01-22-2007/default.aspx" TargetMode="External"/><Relationship Id="rId114" Type="http://schemas.openxmlformats.org/officeDocument/2006/relationships/hyperlink" Target="https://s28.q4cdn.com/583965976/files/doc_news/2015/08/05/Pueblo-Viejo-Stream-FINAL-Aug-5-2015-LH.pdf" TargetMode="External"/><Relationship Id="rId119" Type="http://schemas.openxmlformats.org/officeDocument/2006/relationships/hyperlink" Target="https://s28.q4cdn.com/583965976/files/doc_news/2017/06/02/Peak-Gold-Resource-Estimate-2-(FINAL).pdf" TargetMode="External"/><Relationship Id="rId44" Type="http://schemas.openxmlformats.org/officeDocument/2006/relationships/hyperlink" Target="https://royalgold.com/investors/press-releases/press-release-details/2006/Royal-Gold-Increases-Interest-in-Taranis-Resources-Inc.-08-21-2006/default.aspx" TargetMode="External"/><Relationship Id="rId60" Type="http://schemas.openxmlformats.org/officeDocument/2006/relationships/hyperlink" Target="https://royalgold.com/investors/press-releases/press-release-details/2007/Royal-Gold-Completes-Acquisition-of-Battle-Mountain-10-25-2007/default.aspx" TargetMode="External"/><Relationship Id="rId65" Type="http://schemas.openxmlformats.org/officeDocument/2006/relationships/hyperlink" Target="https://royalgold.com/investors/press-releases/press-release-details/2008/Royal-Gold-Enters-Into-an-Agreement-to-Acquire-Royalty-Interests-on-Marigold-and-El-Chanate-Mines-From-AngloGold-Ashanti-01-24-2008/default.aspx" TargetMode="External"/><Relationship Id="rId81" Type="http://schemas.openxmlformats.org/officeDocument/2006/relationships/hyperlink" Target="https://royalgold.com/investors/press-releases/press-release-details/2010/Royal-Gold-Agrees-to-Acquire-25-Gold-Stream-on-the-Mt.-Milligan-Project-07-15-2010/default.aspx" TargetMode="External"/><Relationship Id="rId86" Type="http://schemas.openxmlformats.org/officeDocument/2006/relationships/hyperlink" Target="https://royalgold.com/investors/press-releases/press-release-details/2011/Royal-Gold-Increases-Gold-Stream-Interest-in-the-Mt.-Milligan-Project-12-15-2011/default.aspx" TargetMode="External"/><Relationship Id="rId130" Type="http://schemas.openxmlformats.org/officeDocument/2006/relationships/hyperlink" Target="https://s28.q4cdn.com/583965976/files/doc_news/2020/10/01/GSR-Restructure-October-1-2020-(FINAL)-LH-(002).pdf" TargetMode="External"/><Relationship Id="rId135" Type="http://schemas.openxmlformats.org/officeDocument/2006/relationships/hyperlink" Target="https://s28.q4cdn.com/583965976/files/GBR-Closing-Release-Sept-9-2022-(FINAL)-LH.pdf" TargetMode="External"/><Relationship Id="rId13" Type="http://schemas.openxmlformats.org/officeDocument/2006/relationships/hyperlink" Target="https://s28.q4cdn.com/583965976/files/doc_news/2001/08/21/2001-08-21.pdf" TargetMode="External"/><Relationship Id="rId18" Type="http://schemas.openxmlformats.org/officeDocument/2006/relationships/hyperlink" Target="https://s28.q4cdn.com/583965976/files/doc_news/2002/09/10/2002-09-10.pdf" TargetMode="External"/><Relationship Id="rId39" Type="http://schemas.openxmlformats.org/officeDocument/2006/relationships/hyperlink" Target="https://royalgold.com/investors/press-releases/press-release-details/2005/Royal-Gold-Completes-Strategic-Alliance-With-Taranis-Resources-11-10-2005/default.aspx" TargetMode="External"/><Relationship Id="rId109" Type="http://schemas.openxmlformats.org/officeDocument/2006/relationships/hyperlink" Target="https://s28.q4cdn.com/583965976/files/doc_news/2015/04/29/2015-Press-Release-2014-YE-Reserves-Apr-30-2015-FINAL-(LH)_v002_c68i9y.pdf" TargetMode="External"/><Relationship Id="rId34" Type="http://schemas.openxmlformats.org/officeDocument/2006/relationships/hyperlink" Target="https://s28.q4cdn.com/583965976/files/doc_news/2004/07/15/2004-07-15.pdf" TargetMode="External"/><Relationship Id="rId50" Type="http://schemas.openxmlformats.org/officeDocument/2006/relationships/hyperlink" Target="https://royalgold.com/investors/press-releases/press-release-details/2007/Royal-Gold-Closes-Penasquito-Royalty-Transaction-01-24-2007/default.aspx" TargetMode="External"/><Relationship Id="rId55" Type="http://schemas.openxmlformats.org/officeDocument/2006/relationships/hyperlink" Target="https://royalgold.com/investors/press-releases/press-release-details/2007/Royal-Gold-Announces-Calendar-2007-Reserve-Increases-and-Production-Forecasts-From-Its-Royalty-Operators-04-10-2007/default.aspx" TargetMode="External"/><Relationship Id="rId76" Type="http://schemas.openxmlformats.org/officeDocument/2006/relationships/hyperlink" Target="https://royalgold.com/investors/press-releases/press-release-details/2010/Royal-Gold-Enters-into-a-New-100-Million-Term-Loan-Facility-Agreement-01-21-2010/default.aspx" TargetMode="External"/><Relationship Id="rId97" Type="http://schemas.openxmlformats.org/officeDocument/2006/relationships/hyperlink" Target="https://royalgold.com/investors/press-releases/press-release-details/2013/Royal-Gold-Provides-Update-on-Pascua-Lama-04-10-2013/default.aspx" TargetMode="External"/><Relationship Id="rId104" Type="http://schemas.openxmlformats.org/officeDocument/2006/relationships/hyperlink" Target="https://s28.q4cdn.com/583965976/files/doc_news/2014/07/10/071014-Mt-Milligan-Guidance-July-10-2014_FINAL-LH_v001_m15bag.pdf" TargetMode="External"/><Relationship Id="rId120" Type="http://schemas.openxmlformats.org/officeDocument/2006/relationships/hyperlink" Target="https://s28.q4cdn.com/583965976/files/doc_news/2017/06/02/Royal-Gold-Expands-Credit-Facility-FINAL-1.pdf" TargetMode="External"/><Relationship Id="rId125" Type="http://schemas.openxmlformats.org/officeDocument/2006/relationships/hyperlink" Target="https://s28.q4cdn.com/583965976/files/doc_news/2019/05/30/Reserves-Press-Release-FINAL-LH-May-30-2019.pdf" TargetMode="External"/><Relationship Id="rId141" Type="http://schemas.openxmlformats.org/officeDocument/2006/relationships/hyperlink" Target="https://s28.q4cdn.com/583965976/files/Penasquito-Preliminary-Agreement-Release-October-9-2023-FINAL-LH.pdf" TargetMode="External"/><Relationship Id="rId7" Type="http://schemas.openxmlformats.org/officeDocument/2006/relationships/hyperlink" Target="https://s28.q4cdn.com/583965976/files/doc_news/2000/11/09/2000-11-09.pdf" TargetMode="External"/><Relationship Id="rId71" Type="http://schemas.openxmlformats.org/officeDocument/2006/relationships/hyperlink" Target="https://royalgold.com/investors/press-releases/default.aspx" TargetMode="External"/><Relationship Id="rId92" Type="http://schemas.openxmlformats.org/officeDocument/2006/relationships/hyperlink" Target="https://royalgold.com/investors/press-releases/press-release-details/2012/Royal-Gold-Prices-325-Million-of-Senior-Convertible-Notes-06-14-2012/default.aspx" TargetMode="External"/><Relationship Id="rId2" Type="http://schemas.openxmlformats.org/officeDocument/2006/relationships/hyperlink" Target="https://s28.q4cdn.com/583965976/files/doc_news/2000/03/14/2000-03-14.pdf" TargetMode="External"/><Relationship Id="rId29" Type="http://schemas.openxmlformats.org/officeDocument/2006/relationships/hyperlink" Target="https://s28.q4cdn.com/583965976/files/doc_news/2003/06/24/2003-06-24b.pdf" TargetMode="External"/><Relationship Id="rId24" Type="http://schemas.openxmlformats.org/officeDocument/2006/relationships/hyperlink" Target="https://s28.q4cdn.com/583965976/files/doc_news/2003/03/04/2003-03-04.pdf" TargetMode="External"/><Relationship Id="rId40" Type="http://schemas.openxmlformats.org/officeDocument/2006/relationships/hyperlink" Target="https://royalgold.com/investors/press-releases/press-release-details/2005/Royal-Gold-Completes-Transaction-With-High-River-Gold-For-Its-Taparko-Project-12-05-2005/default.aspx" TargetMode="External"/><Relationship Id="rId45" Type="http://schemas.openxmlformats.org/officeDocument/2006/relationships/hyperlink" Target="https://royalgold.com/investors/press-releases/press-release-details/2006/Royal-Gold-Acquires-the-Gold-Hill-Royalty-From-Nevada-Star-Resource-Corp.--10-26-2006/default.aspx" TargetMode="External"/><Relationship Id="rId66" Type="http://schemas.openxmlformats.org/officeDocument/2006/relationships/hyperlink" Target="https://royalgold.com/investors/press-releases/press-release-details/2008/Royal-Gold-Exercises-Conversion-Right-for-Its-Mandatory-Preferred-Stock-Approves-a-Stock-Repurchase-Program-Amends-Its-Credit-Facility-01-25-2008/default.aspx" TargetMode="External"/><Relationship Id="rId87" Type="http://schemas.openxmlformats.org/officeDocument/2006/relationships/hyperlink" Target="https://royalgold.com/investors/press-releases/press-release-details/2011/Royal-Gold-Acquires-Gold-and-Silver-Interests-on-the-Tulsequah-Chief-Project-12-22-2011/default.aspx" TargetMode="External"/><Relationship Id="rId110" Type="http://schemas.openxmlformats.org/officeDocument/2006/relationships/hyperlink" Target="https://royalgold.com/investors/press-releases/press-release-details/2015/Royal-Gold-Acquires-Gold-Streams-on-Wassa-Bogoso-and-Prestea-from-Golden-Star-Resources-05-07-2015/default.aspx" TargetMode="External"/><Relationship Id="rId115" Type="http://schemas.openxmlformats.org/officeDocument/2006/relationships/hyperlink" Target="https://s28.q4cdn.com/583965976/files/doc_news/2015/09/29/Pueblo-Viejo-Stream-Closing-FINAL-Sept-29-2015-LH.pdf" TargetMode="External"/><Relationship Id="rId131" Type="http://schemas.openxmlformats.org/officeDocument/2006/relationships/hyperlink" Target="https://s28.q4cdn.com/583965976/files/doc_news/2021/06/30/NX-Gold-Acquisition-Release-June-30-2021-FINAL-(LH).pdf" TargetMode="External"/><Relationship Id="rId136" Type="http://schemas.openxmlformats.org/officeDocument/2006/relationships/hyperlink" Target="https://s28.q4cdn.com/583965976/files/Penasquito-Suspension-June-8-2023-FINAL-LH.pdf" TargetMode="External"/><Relationship Id="rId61" Type="http://schemas.openxmlformats.org/officeDocument/2006/relationships/hyperlink" Target="https://royalgold.com/investors/press-releases/press-release-details/2007/Royal-Gold-Acquires-Benso-Royalty-From-FairWest-Energy-Corporation-10-31-2007/default.aspx" TargetMode="External"/><Relationship Id="rId82" Type="http://schemas.openxmlformats.org/officeDocument/2006/relationships/hyperlink" Target="https://royalgold.com/investors/press-releases/press-release-details/2010/Royal-Gold-Announces-Completion-of-the-Mt.-Milligan-Gold-Stream-Acquisition-10-20-2010/default.aspx" TargetMode="External"/><Relationship Id="rId19" Type="http://schemas.openxmlformats.org/officeDocument/2006/relationships/hyperlink" Target="https://s28.q4cdn.com/583965976/files/doc_news/2002/09/27/2002-09-27.pdf" TargetMode="External"/><Relationship Id="rId14" Type="http://schemas.openxmlformats.org/officeDocument/2006/relationships/hyperlink" Target="https://s28.q4cdn.com/583965976/files/doc_news/2001/11/08/2001-11-08.pdf" TargetMode="External"/><Relationship Id="rId30" Type="http://schemas.openxmlformats.org/officeDocument/2006/relationships/hyperlink" Target="https://s28.q4cdn.com/583965976/files/doc_news/2003/12/01/2003-12-01.pdf" TargetMode="External"/><Relationship Id="rId35" Type="http://schemas.openxmlformats.org/officeDocument/2006/relationships/hyperlink" Target="https://s28.q4cdn.com/583965976/files/doc_news/2004/07/27/2004-07-27.pdf" TargetMode="External"/><Relationship Id="rId56" Type="http://schemas.openxmlformats.org/officeDocument/2006/relationships/hyperlink" Target="https://royalgold.com/investors/press-releases/press-release-details/2007/Royal-Gold-and-Battle-Mountain-Gold-Exploration-Sign-Definitive-Merger-Agreement--04-18-2007/default.aspx" TargetMode="External"/><Relationship Id="rId77" Type="http://schemas.openxmlformats.org/officeDocument/2006/relationships/hyperlink" Target="https://royalgold.com/investors/press-releases/press-release-details/2010/Royal-Gold-Announces-the-Completion-of-the-Andacollo-Gold-Transaction-01-25-2010/default.aspx" TargetMode="External"/><Relationship Id="rId100" Type="http://schemas.openxmlformats.org/officeDocument/2006/relationships/hyperlink" Target="https://royalgold.com/investors/press-releases/press-release-details/2013/Royal-Gold-Provides-Update-on-Pascua-Lama-10-31-2013/default.aspx" TargetMode="External"/><Relationship Id="rId105" Type="http://schemas.openxmlformats.org/officeDocument/2006/relationships/hyperlink" Target="https://s28.q4cdn.com/583965976/files/doc_news/2014/10/14/101414-RGLD-Mt-Milligan-Deliveries-FINAL-Oct-14-2014_v001_c0c5zu.pdf" TargetMode="External"/><Relationship Id="rId126" Type="http://schemas.openxmlformats.org/officeDocument/2006/relationships/hyperlink" Target="https://s28.q4cdn.com/583965976/files/doc_news/2019/10/30/Update-on-Mt-Milligan-FINAL-Oct-30-2019.pdf" TargetMode="External"/><Relationship Id="rId8" Type="http://schemas.openxmlformats.org/officeDocument/2006/relationships/hyperlink" Target="https://s28.q4cdn.com/583965976/files/doc_news/2000/12/19/2000-12-19.pdf" TargetMode="External"/><Relationship Id="rId51" Type="http://schemas.openxmlformats.org/officeDocument/2006/relationships/hyperlink" Target="https://royalgold.com/investors/press-releases/press-release-details/2007/Royal-Gold-to-Acquire-Battle-Mountain-Gold-Exploration-03-05-2007/default.aspx" TargetMode="External"/><Relationship Id="rId72" Type="http://schemas.openxmlformats.org/officeDocument/2006/relationships/hyperlink" Target="https://royalgold.com/investors/press-releases/press-release-details/2009/Royal-Gold-to-Acquire-Interest-in-the-Gold-Production-from-Teck-Comincos-Andacollo-Mine-in-Chile-04-06-2009/default.aspx" TargetMode="External"/><Relationship Id="rId93" Type="http://schemas.openxmlformats.org/officeDocument/2006/relationships/hyperlink" Target="https://royalgold.com/investors/press-releases/press-release-details/2012/Royal-Gold-Announces-Closing-of-2.875-Convertible-Senior-Notes-Offering-06-20-2012/default.aspx" TargetMode="External"/><Relationship Id="rId98" Type="http://schemas.openxmlformats.org/officeDocument/2006/relationships/hyperlink" Target="https://royalgold.com/investors/press-releases/press-release-details/2013/Royal-Gold-Announces-Reserve-and-Production-Forecasts-Associated-with-its-Interests-05-02-2013/default.aspx" TargetMode="External"/><Relationship Id="rId121" Type="http://schemas.openxmlformats.org/officeDocument/2006/relationships/hyperlink" Target="https://s28.q4cdn.com/583965976/files/doc_news/2017/12/27/Royal-Gold-Receives-Update-from-Mount-Milligan-FINAL-v2-LH.pdf" TargetMode="External"/><Relationship Id="rId142" Type="http://schemas.openxmlformats.org/officeDocument/2006/relationships/hyperlink" Target="https://s28.q4cdn.com/583965976/files/Additional-Agreement-with-Centerra-February-14-2024-FINAL-1-LH.pdf" TargetMode="External"/><Relationship Id="rId3" Type="http://schemas.openxmlformats.org/officeDocument/2006/relationships/hyperlink" Target="https://s28.q4cdn.com/583965976/files/doc_news/2000/08/03/2000-08-03.pdf" TargetMode="External"/><Relationship Id="rId25" Type="http://schemas.openxmlformats.org/officeDocument/2006/relationships/hyperlink" Target="https://s28.q4cdn.com/583965976/files/doc_news/2003/02/13/2003-02-13.pdf" TargetMode="External"/><Relationship Id="rId46" Type="http://schemas.openxmlformats.org/officeDocument/2006/relationships/hyperlink" Target="https://royalgold.com/investors/press-releases/press-release-details/2006/Royal-Gold-Closes-Gold-Hill-Royalty-Transaction--12-13-2006/default.aspx" TargetMode="External"/><Relationship Id="rId67" Type="http://schemas.openxmlformats.org/officeDocument/2006/relationships/hyperlink" Target="https://royalgold.com/investors/press-releases/press-release-details/2008/Royal-Gold-Announces-the-Closing-of-the-Marigold-and-El-Chanate-Mines-Royalty-Acquisition-02-22-2008/default.aspx" TargetMode="External"/><Relationship Id="rId116" Type="http://schemas.openxmlformats.org/officeDocument/2006/relationships/hyperlink" Target="https://royalgold.com/investors/press-releases/press-release-details/2015/Royal-Gold-Provides-Update-on-Pueblo-Viejo-11-23-2015/default.aspx" TargetMode="External"/><Relationship Id="rId137" Type="http://schemas.openxmlformats.org/officeDocument/2006/relationships/hyperlink" Target="https://s28.q4cdn.com/583965976/files/doc_news/2023/06/Serrote-and-Santa-Rita-Acquisition-Release-June-12-2023-FINAL-LH.pdf" TargetMode="External"/><Relationship Id="rId20" Type="http://schemas.openxmlformats.org/officeDocument/2006/relationships/hyperlink" Target="https://s28.q4cdn.com/583965976/files/doc_news/2002/08/15/2002-08-15.pdf" TargetMode="External"/><Relationship Id="rId41" Type="http://schemas.openxmlformats.org/officeDocument/2006/relationships/hyperlink" Target="https://royalgold.com/investors/press-releases/press-release-details/2005/Royal-Gold-Agrees-To-Acquire-Royalties-From-Kennecott-Minerals-For-25.0-Million-12-23-2005/default.aspx" TargetMode="External"/><Relationship Id="rId62" Type="http://schemas.openxmlformats.org/officeDocument/2006/relationships/hyperlink" Target="https://royalgold.com/investors/press-releases/press-release-details/2007/Royal-Gold-Announces-Commencement-of-Public-Offering-of-Mandatory-Convertible-Preferred-Stock-11-05-2007/default.aspx" TargetMode="External"/><Relationship Id="rId83" Type="http://schemas.openxmlformats.org/officeDocument/2006/relationships/hyperlink" Target="https://royalgold.com/investors/press-releases/press-release-details/2011/Royal-Gold-Amends-its-Revolving-Credit-Facility-and-Term-Loan-02-02-2011/default.aspx" TargetMode="External"/><Relationship Id="rId88" Type="http://schemas.openxmlformats.org/officeDocument/2006/relationships/hyperlink" Target="https://royalgold.com/investors/press-releases/press-release-details/2012/Royal-Gold-Announces-Reserve-and-Production-Forecasts-Associated-with-its-Interests-05-02-2012/default.aspx" TargetMode="External"/><Relationship Id="rId111" Type="http://schemas.openxmlformats.org/officeDocument/2006/relationships/hyperlink" Target="https://s28.q4cdn.com/583965976/files/doc_news/2015/07/09/Royal-Gold-Acquires-Gold-Stream-on-Tecks-Carmen-de-Andacollo-Mine-FINAL-July-9-2015-LH.pdf" TargetMode="External"/><Relationship Id="rId132" Type="http://schemas.openxmlformats.org/officeDocument/2006/relationships/hyperlink" Target="https://s28.q4cdn.com/583965976/files/doc_news/2021/08/11/Red-Chris-NSR-Acquisition-Release-August-11-2021-FINAL-LH.pdf" TargetMode="External"/><Relationship Id="rId15" Type="http://schemas.openxmlformats.org/officeDocument/2006/relationships/hyperlink" Target="https://s28.q4cdn.com/583965976/files/doc_news/2002/02/15/2002-03-08.pdf" TargetMode="External"/><Relationship Id="rId36" Type="http://schemas.openxmlformats.org/officeDocument/2006/relationships/hyperlink" Target="https://royalgold.com/investors/press-releases/press-release-details/2005/Royal-Gold-Announces-Reserve-Additions-and-Production-Estimates-from-its-Royalty-Operators-04-04-2005/default.aspx" TargetMode="External"/><Relationship Id="rId57" Type="http://schemas.openxmlformats.org/officeDocument/2006/relationships/hyperlink" Target="https://royalgold.com/investors/press-releases/press-release-details/2007/Royal-Gold-to-Begin-Receiving-Royalty-Revenue-From-High-River-Golds-Taparko-Mine-07-19-2007/default.aspx" TargetMode="External"/><Relationship Id="rId106" Type="http://schemas.openxmlformats.org/officeDocument/2006/relationships/hyperlink" Target="https://s28.q4cdn.com/583965976/files/doc_news/2014/10/21/102114-Royal-Gold-Acquires-Stream-on-Ilovitza-FINAL-(2)_v001_m41vlj.pdf" TargetMode="External"/><Relationship Id="rId127" Type="http://schemas.openxmlformats.org/officeDocument/2006/relationships/hyperlink" Target="https://s28.q4cdn.com/583965976/files/doc_news/2019/12/05/Andacollo-Strike-Update-Dec-5-2019-FINAL-LH.pdf" TargetMode="External"/><Relationship Id="rId10" Type="http://schemas.openxmlformats.org/officeDocument/2006/relationships/hyperlink" Target="https://s28.q4cdn.com/583965976/files/doc_news/2001/04/09/2001-04-09.pdf" TargetMode="External"/><Relationship Id="rId31" Type="http://schemas.openxmlformats.org/officeDocument/2006/relationships/hyperlink" Target="https://s28.q4cdn.com/583965976/files/doc_news/2003/12/29/2003-12-29.pdf" TargetMode="External"/><Relationship Id="rId52" Type="http://schemas.openxmlformats.org/officeDocument/2006/relationships/hyperlink" Target="https://royalgold.com/investors/press-releases/press-release-details/2007/Royal-Gold-Closes-Pascua-Lama-Royalty-Transaction-03-12-2007/default.aspx" TargetMode="External"/><Relationship Id="rId73" Type="http://schemas.openxmlformats.org/officeDocument/2006/relationships/hyperlink" Target="https://royalgold.com/investors/press-releases/press-release-details/2009/Royal-Gold-Announces-Common-Stock-Offering-04-06-2009/default.aspx" TargetMode="External"/><Relationship Id="rId78" Type="http://schemas.openxmlformats.org/officeDocument/2006/relationships/hyperlink" Target="https://royalgold.com/investors/press-releases/press-release-details/2010/Royal-Gold-Amends-Its-Term-Loan-and-Retires-Debentures-03-29-2010/default.aspx" TargetMode="External"/><Relationship Id="rId94" Type="http://schemas.openxmlformats.org/officeDocument/2006/relationships/hyperlink" Target="https://royalgold.com/investors/press-releases/press-release-details/2012/Royal-Gold-Provides-Update-on-Pascua-Lama-Construction-07-26-2012/default.aspx" TargetMode="External"/><Relationship Id="rId99" Type="http://schemas.openxmlformats.org/officeDocument/2006/relationships/hyperlink" Target="https://royalgold.com/investors/press-releases/press-release-details/2013/Royal-Gold-Provides-Update-on-Pascua-Lama-07-01-2013/default.aspx" TargetMode="External"/><Relationship Id="rId101" Type="http://schemas.openxmlformats.org/officeDocument/2006/relationships/hyperlink" Target="https://royalgold.com/investors/press-releases/press-release-details/2014/Royal-Gold-Acquires-Gold-Stream-on-Rubicon-Minerals-Phoenix-Gold-Project-02-11-2014/default.aspx" TargetMode="External"/><Relationship Id="rId122" Type="http://schemas.openxmlformats.org/officeDocument/2006/relationships/hyperlink" Target="https://s28.q4cdn.com/583965976/files/doc_news/2018/06/01/New-Org-structure-WEBSITE-June-1-2018.pdf" TargetMode="External"/><Relationship Id="rId4" Type="http://schemas.openxmlformats.org/officeDocument/2006/relationships/hyperlink" Target="https://s28.q4cdn.com/583965976/files/doc_news/2000/08/10/2000-08-10.pdf" TargetMode="External"/><Relationship Id="rId9" Type="http://schemas.openxmlformats.org/officeDocument/2006/relationships/hyperlink" Target="https://royalgold.com/investors/press-releases/press-release-details/2001/Royal-Gold-Reports-Second-Quarter-Profit-02-08-2001/default.aspx" TargetMode="External"/><Relationship Id="rId26" Type="http://schemas.openxmlformats.org/officeDocument/2006/relationships/hyperlink" Target="https://s28.q4cdn.com/583965976/files/doc_news/2003/05/08/2003-05-08.pdf" TargetMode="External"/><Relationship Id="rId47" Type="http://schemas.openxmlformats.org/officeDocument/2006/relationships/hyperlink" Target="https://royalgold.com/investors/press-releases/press-release-details/2006/Royal-Gold-Acquires-Penasquito-Royalty-and-Rights-to-Additional-Royalties-From-Minera-Kennecott-12-29-2006/default.aspx" TargetMode="External"/><Relationship Id="rId68" Type="http://schemas.openxmlformats.org/officeDocument/2006/relationships/hyperlink" Target="https://s28.q4cdn.com/583965976/files/doc_news/2008/07/31/856rl25511.PDF" TargetMode="External"/><Relationship Id="rId89" Type="http://schemas.openxmlformats.org/officeDocument/2006/relationships/hyperlink" Target="https://royalgold.com/investors/press-releases/press-release-details/2012/Royal-Gold-Acquires-Gold-Royalty-on-Ruby-Hill-Mine-in-Nevada-05-23-2012/default.aspx" TargetMode="External"/><Relationship Id="rId112" Type="http://schemas.openxmlformats.org/officeDocument/2006/relationships/hyperlink" Target="https://s28.q4cdn.com/583965976/files/doc_news/2015/07/09/Royal-Gold-Sells-Royalty-at-Carmen-de-Andacollo-FINAL-July-9-2015-LH.pdf" TargetMode="External"/><Relationship Id="rId133" Type="http://schemas.openxmlformats.org/officeDocument/2006/relationships/hyperlink" Target="https://s28.q4cdn.com/583965976/files/GBR-NSR-Acquisition-Release-July-11-2022-FINAL.1.pdf" TargetMode="External"/><Relationship Id="rId16" Type="http://schemas.openxmlformats.org/officeDocument/2006/relationships/hyperlink" Target="https://s28.q4cdn.com/583965976/files/doc_news/2002/03/08/2002-03-08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6138E-AC5F-9C40-BD44-E7C1C036F97A}">
  <dimension ref="B2:HQ119"/>
  <sheetViews>
    <sheetView showGridLines="0" tabSelected="1" zoomScale="150" zoomScaleNormal="180"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AD43" sqref="AD43"/>
    </sheetView>
  </sheetViews>
  <sheetFormatPr baseColWidth="10" defaultRowHeight="13"/>
  <cols>
    <col min="1" max="1" width="1.6640625" style="1" customWidth="1"/>
    <col min="2" max="2" width="21" style="1" bestFit="1" customWidth="1"/>
    <col min="3" max="6" width="5.6640625" style="42" bestFit="1" customWidth="1"/>
    <col min="7" max="8" width="6" style="42" bestFit="1" customWidth="1"/>
    <col min="9" max="10" width="6.33203125" style="42" bestFit="1" customWidth="1"/>
    <col min="11" max="13" width="2.33203125" style="1" customWidth="1"/>
    <col min="14" max="14" width="5.1640625" style="1" bestFit="1" customWidth="1"/>
    <col min="15" max="17" width="5.6640625" style="42" bestFit="1" customWidth="1"/>
    <col min="18" max="27" width="6.33203125" style="1" bestFit="1" customWidth="1"/>
    <col min="28" max="28" width="5.6640625" style="1" bestFit="1" customWidth="1"/>
    <col min="29" max="29" width="5.1640625" style="1" bestFit="1" customWidth="1"/>
    <col min="30" max="30" width="14.5" style="1" bestFit="1" customWidth="1"/>
    <col min="31" max="31" width="11" style="1" bestFit="1" customWidth="1"/>
    <col min="32" max="225" width="5.1640625" style="1" bestFit="1" customWidth="1"/>
    <col min="226" max="16384" width="10.83203125" style="1"/>
  </cols>
  <sheetData>
    <row r="2" spans="2:225" s="64" customFormat="1" ht="11">
      <c r="C2" s="65" t="s">
        <v>282</v>
      </c>
      <c r="D2" s="65" t="s">
        <v>282</v>
      </c>
      <c r="E2" s="65" t="s">
        <v>282</v>
      </c>
      <c r="F2" s="65" t="s">
        <v>282</v>
      </c>
      <c r="G2" s="65" t="s">
        <v>282</v>
      </c>
      <c r="H2" s="65" t="s">
        <v>282</v>
      </c>
      <c r="I2" s="65" t="s">
        <v>283</v>
      </c>
      <c r="J2" s="65" t="s">
        <v>283</v>
      </c>
      <c r="O2" s="65" t="s">
        <v>282</v>
      </c>
      <c r="P2" s="65" t="s">
        <v>282</v>
      </c>
      <c r="Q2" s="65" t="s">
        <v>282</v>
      </c>
      <c r="R2" s="65" t="s">
        <v>283</v>
      </c>
      <c r="S2" s="65" t="s">
        <v>283</v>
      </c>
      <c r="T2" s="65" t="s">
        <v>283</v>
      </c>
      <c r="U2" s="65" t="s">
        <v>283</v>
      </c>
      <c r="V2" s="65" t="s">
        <v>283</v>
      </c>
      <c r="W2" s="65" t="s">
        <v>283</v>
      </c>
      <c r="X2" s="65" t="s">
        <v>283</v>
      </c>
      <c r="Y2" s="65" t="s">
        <v>283</v>
      </c>
      <c r="Z2" s="65" t="s">
        <v>283</v>
      </c>
      <c r="AA2" s="65" t="s">
        <v>283</v>
      </c>
    </row>
    <row r="3" spans="2:225" s="17" customFormat="1">
      <c r="C3" s="62" t="s">
        <v>250</v>
      </c>
      <c r="D3" s="62" t="s">
        <v>251</v>
      </c>
      <c r="E3" s="62" t="s">
        <v>252</v>
      </c>
      <c r="F3" s="62" t="s">
        <v>253</v>
      </c>
      <c r="G3" s="62" t="s">
        <v>261</v>
      </c>
      <c r="H3" s="62" t="s">
        <v>262</v>
      </c>
      <c r="I3" s="62" t="s">
        <v>263</v>
      </c>
      <c r="J3" s="62" t="s">
        <v>264</v>
      </c>
      <c r="O3" s="62">
        <v>2023</v>
      </c>
      <c r="P3" s="62">
        <f t="shared" ref="P3:Y3" si="0">+O3+1</f>
        <v>2024</v>
      </c>
      <c r="Q3" s="62">
        <f t="shared" si="0"/>
        <v>2025</v>
      </c>
      <c r="R3" s="63">
        <f t="shared" si="0"/>
        <v>2026</v>
      </c>
      <c r="S3" s="63">
        <f t="shared" si="0"/>
        <v>2027</v>
      </c>
      <c r="T3" s="63">
        <f t="shared" si="0"/>
        <v>2028</v>
      </c>
      <c r="U3" s="63">
        <f t="shared" si="0"/>
        <v>2029</v>
      </c>
      <c r="V3" s="63">
        <f t="shared" si="0"/>
        <v>2030</v>
      </c>
      <c r="W3" s="63">
        <f t="shared" si="0"/>
        <v>2031</v>
      </c>
      <c r="X3" s="63">
        <f t="shared" si="0"/>
        <v>2032</v>
      </c>
      <c r="Y3" s="63">
        <f t="shared" si="0"/>
        <v>2033</v>
      </c>
      <c r="Z3" s="63">
        <f>+Y3+1</f>
        <v>2034</v>
      </c>
      <c r="AA3" s="63">
        <f>+Z3+1</f>
        <v>2035</v>
      </c>
      <c r="AB3" s="17">
        <f>+AA3+1</f>
        <v>2036</v>
      </c>
      <c r="AC3" s="17">
        <f t="shared" ref="AC3:AG3" si="1">+AB3+1</f>
        <v>2037</v>
      </c>
      <c r="AD3" s="17">
        <f t="shared" si="1"/>
        <v>2038</v>
      </c>
      <c r="AE3" s="17">
        <f t="shared" si="1"/>
        <v>2039</v>
      </c>
      <c r="AF3" s="17">
        <f t="shared" si="1"/>
        <v>2040</v>
      </c>
      <c r="AG3" s="17">
        <f t="shared" si="1"/>
        <v>2041</v>
      </c>
      <c r="AH3" s="17">
        <f t="shared" ref="AH3:CS3" si="2">+AG3+1</f>
        <v>2042</v>
      </c>
      <c r="AI3" s="17">
        <f t="shared" si="2"/>
        <v>2043</v>
      </c>
      <c r="AJ3" s="17">
        <f t="shared" si="2"/>
        <v>2044</v>
      </c>
      <c r="AK3" s="17">
        <f t="shared" si="2"/>
        <v>2045</v>
      </c>
      <c r="AL3" s="17">
        <f t="shared" si="2"/>
        <v>2046</v>
      </c>
      <c r="AM3" s="17">
        <f t="shared" si="2"/>
        <v>2047</v>
      </c>
      <c r="AN3" s="17">
        <f t="shared" si="2"/>
        <v>2048</v>
      </c>
      <c r="AO3" s="17">
        <f t="shared" si="2"/>
        <v>2049</v>
      </c>
      <c r="AP3" s="17">
        <f t="shared" si="2"/>
        <v>2050</v>
      </c>
      <c r="AQ3" s="17">
        <f t="shared" si="2"/>
        <v>2051</v>
      </c>
      <c r="AR3" s="17">
        <f t="shared" si="2"/>
        <v>2052</v>
      </c>
      <c r="AS3" s="17">
        <f t="shared" si="2"/>
        <v>2053</v>
      </c>
      <c r="AT3" s="17">
        <f t="shared" si="2"/>
        <v>2054</v>
      </c>
      <c r="AU3" s="17">
        <f t="shared" si="2"/>
        <v>2055</v>
      </c>
      <c r="AV3" s="17">
        <f t="shared" si="2"/>
        <v>2056</v>
      </c>
      <c r="AW3" s="17">
        <f t="shared" si="2"/>
        <v>2057</v>
      </c>
      <c r="AX3" s="17">
        <f t="shared" si="2"/>
        <v>2058</v>
      </c>
      <c r="AY3" s="17">
        <f t="shared" si="2"/>
        <v>2059</v>
      </c>
      <c r="AZ3" s="17">
        <f t="shared" si="2"/>
        <v>2060</v>
      </c>
      <c r="BA3" s="17">
        <f t="shared" si="2"/>
        <v>2061</v>
      </c>
      <c r="BB3" s="17">
        <f t="shared" si="2"/>
        <v>2062</v>
      </c>
      <c r="BC3" s="17">
        <f t="shared" si="2"/>
        <v>2063</v>
      </c>
      <c r="BD3" s="17">
        <f t="shared" si="2"/>
        <v>2064</v>
      </c>
      <c r="BE3" s="17">
        <f t="shared" si="2"/>
        <v>2065</v>
      </c>
      <c r="BF3" s="17">
        <f t="shared" si="2"/>
        <v>2066</v>
      </c>
      <c r="BG3" s="17">
        <f t="shared" si="2"/>
        <v>2067</v>
      </c>
      <c r="BH3" s="17">
        <f t="shared" si="2"/>
        <v>2068</v>
      </c>
      <c r="BI3" s="17">
        <f t="shared" si="2"/>
        <v>2069</v>
      </c>
      <c r="BJ3" s="17">
        <f t="shared" si="2"/>
        <v>2070</v>
      </c>
      <c r="BK3" s="17">
        <f t="shared" si="2"/>
        <v>2071</v>
      </c>
      <c r="BL3" s="17">
        <f t="shared" si="2"/>
        <v>2072</v>
      </c>
      <c r="BM3" s="17">
        <f t="shared" si="2"/>
        <v>2073</v>
      </c>
      <c r="BN3" s="17">
        <f t="shared" si="2"/>
        <v>2074</v>
      </c>
      <c r="BO3" s="17">
        <f t="shared" si="2"/>
        <v>2075</v>
      </c>
      <c r="BP3" s="17">
        <f t="shared" si="2"/>
        <v>2076</v>
      </c>
      <c r="BQ3" s="17">
        <f t="shared" si="2"/>
        <v>2077</v>
      </c>
      <c r="BR3" s="17">
        <f t="shared" si="2"/>
        <v>2078</v>
      </c>
      <c r="BS3" s="17">
        <f t="shared" si="2"/>
        <v>2079</v>
      </c>
      <c r="BT3" s="17">
        <f t="shared" si="2"/>
        <v>2080</v>
      </c>
      <c r="BU3" s="17">
        <f t="shared" si="2"/>
        <v>2081</v>
      </c>
      <c r="BV3" s="17">
        <f t="shared" si="2"/>
        <v>2082</v>
      </c>
      <c r="BW3" s="17">
        <f t="shared" si="2"/>
        <v>2083</v>
      </c>
      <c r="BX3" s="17">
        <f t="shared" si="2"/>
        <v>2084</v>
      </c>
      <c r="BY3" s="17">
        <f t="shared" si="2"/>
        <v>2085</v>
      </c>
      <c r="BZ3" s="17">
        <f t="shared" si="2"/>
        <v>2086</v>
      </c>
      <c r="CA3" s="17">
        <f t="shared" si="2"/>
        <v>2087</v>
      </c>
      <c r="CB3" s="17">
        <f t="shared" si="2"/>
        <v>2088</v>
      </c>
      <c r="CC3" s="17">
        <f t="shared" si="2"/>
        <v>2089</v>
      </c>
      <c r="CD3" s="17">
        <f t="shared" si="2"/>
        <v>2090</v>
      </c>
      <c r="CE3" s="17">
        <f t="shared" si="2"/>
        <v>2091</v>
      </c>
      <c r="CF3" s="17">
        <f t="shared" si="2"/>
        <v>2092</v>
      </c>
      <c r="CG3" s="17">
        <f t="shared" si="2"/>
        <v>2093</v>
      </c>
      <c r="CH3" s="17">
        <f t="shared" si="2"/>
        <v>2094</v>
      </c>
      <c r="CI3" s="17">
        <f t="shared" si="2"/>
        <v>2095</v>
      </c>
      <c r="CJ3" s="17">
        <f t="shared" si="2"/>
        <v>2096</v>
      </c>
      <c r="CK3" s="17">
        <f t="shared" si="2"/>
        <v>2097</v>
      </c>
      <c r="CL3" s="17">
        <f t="shared" si="2"/>
        <v>2098</v>
      </c>
      <c r="CM3" s="17">
        <f t="shared" si="2"/>
        <v>2099</v>
      </c>
      <c r="CN3" s="17">
        <f t="shared" si="2"/>
        <v>2100</v>
      </c>
      <c r="CO3" s="17">
        <f t="shared" si="2"/>
        <v>2101</v>
      </c>
      <c r="CP3" s="17">
        <f t="shared" si="2"/>
        <v>2102</v>
      </c>
      <c r="CQ3" s="17">
        <f t="shared" si="2"/>
        <v>2103</v>
      </c>
      <c r="CR3" s="17">
        <f t="shared" si="2"/>
        <v>2104</v>
      </c>
      <c r="CS3" s="17">
        <f t="shared" si="2"/>
        <v>2105</v>
      </c>
      <c r="CT3" s="17">
        <f t="shared" ref="CT3:FE3" si="3">+CS3+1</f>
        <v>2106</v>
      </c>
      <c r="CU3" s="17">
        <f t="shared" si="3"/>
        <v>2107</v>
      </c>
      <c r="CV3" s="17">
        <f t="shared" si="3"/>
        <v>2108</v>
      </c>
      <c r="CW3" s="17">
        <f t="shared" si="3"/>
        <v>2109</v>
      </c>
      <c r="CX3" s="17">
        <f t="shared" si="3"/>
        <v>2110</v>
      </c>
      <c r="CY3" s="17">
        <f t="shared" si="3"/>
        <v>2111</v>
      </c>
      <c r="CZ3" s="17">
        <f t="shared" si="3"/>
        <v>2112</v>
      </c>
      <c r="DA3" s="17">
        <f t="shared" si="3"/>
        <v>2113</v>
      </c>
      <c r="DB3" s="17">
        <f t="shared" si="3"/>
        <v>2114</v>
      </c>
      <c r="DC3" s="17">
        <f t="shared" si="3"/>
        <v>2115</v>
      </c>
      <c r="DD3" s="17">
        <f t="shared" si="3"/>
        <v>2116</v>
      </c>
      <c r="DE3" s="17">
        <f t="shared" si="3"/>
        <v>2117</v>
      </c>
      <c r="DF3" s="17">
        <f t="shared" si="3"/>
        <v>2118</v>
      </c>
      <c r="DG3" s="17">
        <f t="shared" si="3"/>
        <v>2119</v>
      </c>
      <c r="DH3" s="17">
        <f t="shared" si="3"/>
        <v>2120</v>
      </c>
      <c r="DI3" s="17">
        <f t="shared" si="3"/>
        <v>2121</v>
      </c>
      <c r="DJ3" s="17">
        <f t="shared" si="3"/>
        <v>2122</v>
      </c>
      <c r="DK3" s="17">
        <f t="shared" si="3"/>
        <v>2123</v>
      </c>
      <c r="DL3" s="17">
        <f t="shared" si="3"/>
        <v>2124</v>
      </c>
      <c r="DM3" s="17">
        <f t="shared" si="3"/>
        <v>2125</v>
      </c>
      <c r="DN3" s="17">
        <f t="shared" si="3"/>
        <v>2126</v>
      </c>
      <c r="DO3" s="17">
        <f t="shared" si="3"/>
        <v>2127</v>
      </c>
      <c r="DP3" s="17">
        <f t="shared" si="3"/>
        <v>2128</v>
      </c>
      <c r="DQ3" s="17">
        <f t="shared" si="3"/>
        <v>2129</v>
      </c>
      <c r="DR3" s="17">
        <f t="shared" si="3"/>
        <v>2130</v>
      </c>
      <c r="DS3" s="17">
        <f t="shared" si="3"/>
        <v>2131</v>
      </c>
      <c r="DT3" s="17">
        <f t="shared" si="3"/>
        <v>2132</v>
      </c>
      <c r="DU3" s="17">
        <f t="shared" si="3"/>
        <v>2133</v>
      </c>
      <c r="DV3" s="17">
        <f t="shared" si="3"/>
        <v>2134</v>
      </c>
      <c r="DW3" s="17">
        <f t="shared" si="3"/>
        <v>2135</v>
      </c>
      <c r="DX3" s="17">
        <f t="shared" si="3"/>
        <v>2136</v>
      </c>
      <c r="DY3" s="17">
        <f t="shared" si="3"/>
        <v>2137</v>
      </c>
      <c r="DZ3" s="17">
        <f t="shared" si="3"/>
        <v>2138</v>
      </c>
      <c r="EA3" s="17">
        <f t="shared" si="3"/>
        <v>2139</v>
      </c>
      <c r="EB3" s="17">
        <f t="shared" si="3"/>
        <v>2140</v>
      </c>
      <c r="EC3" s="17">
        <f t="shared" si="3"/>
        <v>2141</v>
      </c>
      <c r="ED3" s="17">
        <f t="shared" si="3"/>
        <v>2142</v>
      </c>
      <c r="EE3" s="17">
        <f t="shared" si="3"/>
        <v>2143</v>
      </c>
      <c r="EF3" s="17">
        <f t="shared" si="3"/>
        <v>2144</v>
      </c>
      <c r="EG3" s="17">
        <f t="shared" si="3"/>
        <v>2145</v>
      </c>
      <c r="EH3" s="17">
        <f t="shared" si="3"/>
        <v>2146</v>
      </c>
      <c r="EI3" s="17">
        <f t="shared" si="3"/>
        <v>2147</v>
      </c>
      <c r="EJ3" s="17">
        <f t="shared" si="3"/>
        <v>2148</v>
      </c>
      <c r="EK3" s="17">
        <f t="shared" si="3"/>
        <v>2149</v>
      </c>
      <c r="EL3" s="17">
        <f t="shared" si="3"/>
        <v>2150</v>
      </c>
      <c r="EM3" s="17">
        <f t="shared" si="3"/>
        <v>2151</v>
      </c>
      <c r="EN3" s="17">
        <f t="shared" si="3"/>
        <v>2152</v>
      </c>
      <c r="EO3" s="17">
        <f t="shared" si="3"/>
        <v>2153</v>
      </c>
      <c r="EP3" s="17">
        <f t="shared" si="3"/>
        <v>2154</v>
      </c>
      <c r="EQ3" s="17">
        <f t="shared" si="3"/>
        <v>2155</v>
      </c>
      <c r="ER3" s="17">
        <f t="shared" si="3"/>
        <v>2156</v>
      </c>
      <c r="ES3" s="17">
        <f t="shared" si="3"/>
        <v>2157</v>
      </c>
      <c r="ET3" s="17">
        <f t="shared" si="3"/>
        <v>2158</v>
      </c>
      <c r="EU3" s="17">
        <f t="shared" si="3"/>
        <v>2159</v>
      </c>
      <c r="EV3" s="17">
        <f t="shared" si="3"/>
        <v>2160</v>
      </c>
      <c r="EW3" s="17">
        <f t="shared" si="3"/>
        <v>2161</v>
      </c>
      <c r="EX3" s="17">
        <f t="shared" si="3"/>
        <v>2162</v>
      </c>
      <c r="EY3" s="17">
        <f t="shared" si="3"/>
        <v>2163</v>
      </c>
      <c r="EZ3" s="17">
        <f t="shared" si="3"/>
        <v>2164</v>
      </c>
      <c r="FA3" s="17">
        <f t="shared" si="3"/>
        <v>2165</v>
      </c>
      <c r="FB3" s="17">
        <f t="shared" si="3"/>
        <v>2166</v>
      </c>
      <c r="FC3" s="17">
        <f t="shared" si="3"/>
        <v>2167</v>
      </c>
      <c r="FD3" s="17">
        <f t="shared" si="3"/>
        <v>2168</v>
      </c>
      <c r="FE3" s="17">
        <f t="shared" si="3"/>
        <v>2169</v>
      </c>
      <c r="FF3" s="17">
        <f t="shared" ref="FF3:FO3" si="4">+FE3+1</f>
        <v>2170</v>
      </c>
      <c r="FG3" s="17">
        <f t="shared" si="4"/>
        <v>2171</v>
      </c>
      <c r="FH3" s="17">
        <f t="shared" si="4"/>
        <v>2172</v>
      </c>
      <c r="FI3" s="17">
        <f t="shared" si="4"/>
        <v>2173</v>
      </c>
      <c r="FJ3" s="17">
        <f t="shared" si="4"/>
        <v>2174</v>
      </c>
      <c r="FK3" s="17">
        <f t="shared" si="4"/>
        <v>2175</v>
      </c>
      <c r="FL3" s="17">
        <f t="shared" si="4"/>
        <v>2176</v>
      </c>
      <c r="FM3" s="17">
        <f t="shared" si="4"/>
        <v>2177</v>
      </c>
      <c r="FN3" s="17">
        <f t="shared" si="4"/>
        <v>2178</v>
      </c>
      <c r="FO3" s="17">
        <f t="shared" si="4"/>
        <v>2179</v>
      </c>
      <c r="FP3" s="17">
        <f t="shared" ref="FP3:HQ3" si="5">+FO3+1</f>
        <v>2180</v>
      </c>
      <c r="FQ3" s="17">
        <f t="shared" si="5"/>
        <v>2181</v>
      </c>
      <c r="FR3" s="17">
        <f t="shared" si="5"/>
        <v>2182</v>
      </c>
      <c r="FS3" s="17">
        <f t="shared" si="5"/>
        <v>2183</v>
      </c>
      <c r="FT3" s="17">
        <f t="shared" si="5"/>
        <v>2184</v>
      </c>
      <c r="FU3" s="17">
        <f t="shared" si="5"/>
        <v>2185</v>
      </c>
      <c r="FV3" s="17">
        <f t="shared" si="5"/>
        <v>2186</v>
      </c>
      <c r="FW3" s="17">
        <f t="shared" si="5"/>
        <v>2187</v>
      </c>
      <c r="FX3" s="17">
        <f t="shared" si="5"/>
        <v>2188</v>
      </c>
      <c r="FY3" s="17">
        <f t="shared" si="5"/>
        <v>2189</v>
      </c>
      <c r="FZ3" s="17">
        <f t="shared" si="5"/>
        <v>2190</v>
      </c>
      <c r="GA3" s="17">
        <f t="shared" si="5"/>
        <v>2191</v>
      </c>
      <c r="GB3" s="17">
        <f t="shared" si="5"/>
        <v>2192</v>
      </c>
      <c r="GC3" s="17">
        <f t="shared" si="5"/>
        <v>2193</v>
      </c>
      <c r="GD3" s="17">
        <f t="shared" si="5"/>
        <v>2194</v>
      </c>
      <c r="GE3" s="17">
        <f t="shared" si="5"/>
        <v>2195</v>
      </c>
      <c r="GF3" s="17">
        <f t="shared" si="5"/>
        <v>2196</v>
      </c>
      <c r="GG3" s="17">
        <f t="shared" si="5"/>
        <v>2197</v>
      </c>
      <c r="GH3" s="17">
        <f t="shared" si="5"/>
        <v>2198</v>
      </c>
      <c r="GI3" s="17">
        <f t="shared" si="5"/>
        <v>2199</v>
      </c>
      <c r="GJ3" s="17">
        <f t="shared" si="5"/>
        <v>2200</v>
      </c>
      <c r="GK3" s="17">
        <f t="shared" si="5"/>
        <v>2201</v>
      </c>
      <c r="GL3" s="17">
        <f t="shared" si="5"/>
        <v>2202</v>
      </c>
      <c r="GM3" s="17">
        <f t="shared" si="5"/>
        <v>2203</v>
      </c>
      <c r="GN3" s="17">
        <f t="shared" si="5"/>
        <v>2204</v>
      </c>
      <c r="GO3" s="17">
        <f t="shared" si="5"/>
        <v>2205</v>
      </c>
      <c r="GP3" s="17">
        <f t="shared" si="5"/>
        <v>2206</v>
      </c>
      <c r="GQ3" s="17">
        <f t="shared" si="5"/>
        <v>2207</v>
      </c>
      <c r="GR3" s="17">
        <f t="shared" si="5"/>
        <v>2208</v>
      </c>
      <c r="GS3" s="17">
        <f t="shared" si="5"/>
        <v>2209</v>
      </c>
      <c r="GT3" s="17">
        <f t="shared" si="5"/>
        <v>2210</v>
      </c>
      <c r="GU3" s="17">
        <f t="shared" si="5"/>
        <v>2211</v>
      </c>
      <c r="GV3" s="17">
        <f t="shared" si="5"/>
        <v>2212</v>
      </c>
      <c r="GW3" s="17">
        <f t="shared" si="5"/>
        <v>2213</v>
      </c>
      <c r="GX3" s="17">
        <f t="shared" si="5"/>
        <v>2214</v>
      </c>
      <c r="GY3" s="17">
        <f t="shared" si="5"/>
        <v>2215</v>
      </c>
      <c r="GZ3" s="17">
        <f t="shared" si="5"/>
        <v>2216</v>
      </c>
      <c r="HA3" s="17">
        <f t="shared" si="5"/>
        <v>2217</v>
      </c>
      <c r="HB3" s="17">
        <f t="shared" si="5"/>
        <v>2218</v>
      </c>
      <c r="HC3" s="17">
        <f t="shared" si="5"/>
        <v>2219</v>
      </c>
      <c r="HD3" s="17">
        <f t="shared" si="5"/>
        <v>2220</v>
      </c>
      <c r="HE3" s="17">
        <f t="shared" si="5"/>
        <v>2221</v>
      </c>
      <c r="HF3" s="17">
        <f t="shared" si="5"/>
        <v>2222</v>
      </c>
      <c r="HG3" s="17">
        <f t="shared" si="5"/>
        <v>2223</v>
      </c>
      <c r="HH3" s="17">
        <f t="shared" si="5"/>
        <v>2224</v>
      </c>
      <c r="HI3" s="17">
        <f t="shared" si="5"/>
        <v>2225</v>
      </c>
      <c r="HJ3" s="17">
        <f t="shared" si="5"/>
        <v>2226</v>
      </c>
      <c r="HK3" s="17">
        <f t="shared" si="5"/>
        <v>2227</v>
      </c>
      <c r="HL3" s="17">
        <f t="shared" si="5"/>
        <v>2228</v>
      </c>
      <c r="HM3" s="17">
        <f t="shared" si="5"/>
        <v>2229</v>
      </c>
      <c r="HN3" s="17">
        <f t="shared" si="5"/>
        <v>2230</v>
      </c>
      <c r="HO3" s="17">
        <f t="shared" si="5"/>
        <v>2231</v>
      </c>
      <c r="HP3" s="17">
        <f t="shared" si="5"/>
        <v>2232</v>
      </c>
      <c r="HQ3" s="17">
        <f t="shared" si="5"/>
        <v>2233</v>
      </c>
    </row>
    <row r="4" spans="2:225">
      <c r="B4" s="1" t="s">
        <v>267</v>
      </c>
      <c r="C4" s="34"/>
      <c r="D4" s="34"/>
      <c r="E4" s="34"/>
      <c r="F4" s="34">
        <v>53.1</v>
      </c>
      <c r="G4" s="34">
        <v>48.4</v>
      </c>
      <c r="H4" s="34">
        <v>54.5</v>
      </c>
      <c r="I4" s="34">
        <f>AVERAGE(55,60)</f>
        <v>57.5</v>
      </c>
      <c r="J4" s="34">
        <f>AVERAGE(55,60)</f>
        <v>57.5</v>
      </c>
      <c r="R4" s="1">
        <f>+SUM(G4:J4)</f>
        <v>217.9</v>
      </c>
      <c r="S4" s="34">
        <f>+R4*1.01</f>
        <v>220.07900000000001</v>
      </c>
      <c r="T4" s="34">
        <f t="shared" ref="T4:AA4" si="6">+S4*1.01</f>
        <v>222.27979000000002</v>
      </c>
      <c r="U4" s="34">
        <f t="shared" si="6"/>
        <v>224.50258790000001</v>
      </c>
      <c r="V4" s="34">
        <f t="shared" si="6"/>
        <v>226.74761377900001</v>
      </c>
      <c r="W4" s="34">
        <f t="shared" si="6"/>
        <v>229.01508991679</v>
      </c>
      <c r="X4" s="34">
        <f t="shared" si="6"/>
        <v>231.30524081595792</v>
      </c>
      <c r="Y4" s="34">
        <f t="shared" si="6"/>
        <v>233.61829322411751</v>
      </c>
      <c r="Z4" s="34">
        <f t="shared" si="6"/>
        <v>235.95447615635868</v>
      </c>
      <c r="AA4" s="34">
        <f t="shared" si="6"/>
        <v>238.31402091792228</v>
      </c>
    </row>
    <row r="5" spans="2:225">
      <c r="B5" s="1" t="s">
        <v>268</v>
      </c>
      <c r="C5" s="34"/>
      <c r="D5" s="34"/>
      <c r="E5" s="34"/>
      <c r="F5" s="34">
        <v>4135</v>
      </c>
      <c r="G5" s="34">
        <v>4873</v>
      </c>
      <c r="H5" s="34">
        <v>4506</v>
      </c>
      <c r="I5" s="50">
        <f>AVERAGE(G5:H5)</f>
        <v>4689.5</v>
      </c>
      <c r="J5" s="50">
        <f>AVERAGE(H5:I5)</f>
        <v>4597.75</v>
      </c>
      <c r="R5" s="1">
        <f>+R6/R4*1000</f>
        <v>4660.1517898118409</v>
      </c>
      <c r="S5" s="50">
        <f>+R5*1.001</f>
        <v>4664.8119416016525</v>
      </c>
      <c r="T5" s="50">
        <f>+S5*1.001</f>
        <v>4669.4767535432538</v>
      </c>
      <c r="U5" s="50">
        <f>+T5*1.001</f>
        <v>4674.1462302967966</v>
      </c>
      <c r="V5" s="50">
        <f>+U5*1.001</f>
        <v>4678.8203765270928</v>
      </c>
      <c r="W5" s="50">
        <f>+V5*1.001</f>
        <v>4683.4991969036191</v>
      </c>
      <c r="X5" s="50">
        <f>+W5*1.001</f>
        <v>4688.1826961005227</v>
      </c>
      <c r="Y5" s="50">
        <f>+X5*1.001</f>
        <v>4692.8708787966225</v>
      </c>
      <c r="Z5" s="50">
        <f>+Y5*1.001</f>
        <v>4697.5637496754189</v>
      </c>
      <c r="AA5" s="50">
        <f>+Z5*1.001</f>
        <v>4702.2613134250942</v>
      </c>
    </row>
    <row r="6" spans="2:225" s="13" customFormat="1">
      <c r="B6" s="13" t="s">
        <v>269</v>
      </c>
      <c r="C6" s="49">
        <f t="shared" ref="C6:G6" si="7">+C4*C5/10^3</f>
        <v>0</v>
      </c>
      <c r="D6" s="49">
        <f t="shared" si="7"/>
        <v>0</v>
      </c>
      <c r="E6" s="49">
        <f t="shared" si="7"/>
        <v>0</v>
      </c>
      <c r="F6" s="49">
        <f t="shared" si="7"/>
        <v>219.5685</v>
      </c>
      <c r="G6" s="49">
        <f t="shared" si="7"/>
        <v>235.85319999999999</v>
      </c>
      <c r="H6" s="49">
        <f>+H4*H5/10^3</f>
        <v>245.577</v>
      </c>
      <c r="I6" s="49">
        <f>+I4*I5/10^3</f>
        <v>269.64625000000001</v>
      </c>
      <c r="J6" s="49">
        <f>+J4*J5/10^3</f>
        <v>264.37062500000002</v>
      </c>
      <c r="O6" s="49"/>
      <c r="P6" s="49"/>
      <c r="Q6" s="49"/>
      <c r="R6" s="49">
        <f>SUM(G6:J6)</f>
        <v>1015.447075</v>
      </c>
      <c r="S6" s="49">
        <f>+S4*S5/1000</f>
        <v>1026.6271472957501</v>
      </c>
      <c r="T6" s="49">
        <f>+T4*T5/1000</f>
        <v>1037.9303121874764</v>
      </c>
      <c r="U6" s="49">
        <f>+U4*U5/1000</f>
        <v>1049.3579249246602</v>
      </c>
      <c r="V6" s="49">
        <f>+V4*V5/1000</f>
        <v>1060.9113556780806</v>
      </c>
      <c r="W6" s="49">
        <f>+W4*W5/1000</f>
        <v>1072.591989704096</v>
      </c>
      <c r="X6" s="49">
        <f>+X4*X5/1000</f>
        <v>1084.4012275107382</v>
      </c>
      <c r="Y6" s="49">
        <f>+Y4*Y5/1000</f>
        <v>1096.3404850256313</v>
      </c>
      <c r="Z6" s="49">
        <f>+Z4*Z5/1000</f>
        <v>1108.4111937657635</v>
      </c>
      <c r="AA6" s="49">
        <f>+AA4*AA5/1000</f>
        <v>1120.6148010091247</v>
      </c>
    </row>
    <row r="7" spans="2:225" s="17" customFormat="1">
      <c r="B7" s="17" t="s">
        <v>270</v>
      </c>
      <c r="C7" s="50"/>
      <c r="D7" s="50"/>
      <c r="E7" s="52"/>
      <c r="F7" s="50">
        <v>0.626</v>
      </c>
      <c r="G7" s="52">
        <v>0.61060000000000003</v>
      </c>
      <c r="H7" s="52">
        <f>595500/10^6</f>
        <v>0.59550000000000003</v>
      </c>
      <c r="I7" s="52">
        <f>AVERAGE(0.65,0.75)</f>
        <v>0.7</v>
      </c>
      <c r="J7" s="52">
        <f>AVERAGE(0.65,0.75)</f>
        <v>0.7</v>
      </c>
      <c r="O7" s="33"/>
      <c r="P7" s="33"/>
      <c r="Q7" s="33"/>
      <c r="R7" s="1">
        <f>+SUM(G7:J7)</f>
        <v>2.6061000000000001</v>
      </c>
      <c r="S7" s="54">
        <f>+R7*1.01</f>
        <v>2.632161</v>
      </c>
      <c r="T7" s="54">
        <f t="shared" ref="T7:AA7" si="8">+S7*1.01</f>
        <v>2.6584826100000001</v>
      </c>
      <c r="U7" s="54">
        <f t="shared" si="8"/>
        <v>2.6850674361000002</v>
      </c>
      <c r="V7" s="54">
        <f t="shared" si="8"/>
        <v>2.7119181104610002</v>
      </c>
      <c r="W7" s="54">
        <f t="shared" si="8"/>
        <v>2.73903729156561</v>
      </c>
      <c r="X7" s="54">
        <f t="shared" si="8"/>
        <v>2.7664276644812662</v>
      </c>
      <c r="Y7" s="54">
        <f t="shared" si="8"/>
        <v>2.7940919411260787</v>
      </c>
      <c r="Z7" s="54">
        <f t="shared" si="8"/>
        <v>2.8220328605373397</v>
      </c>
      <c r="AA7" s="54">
        <f t="shared" si="8"/>
        <v>2.850253189142713</v>
      </c>
    </row>
    <row r="8" spans="2:225" s="17" customFormat="1">
      <c r="B8" s="17" t="s">
        <v>271</v>
      </c>
      <c r="C8" s="50"/>
      <c r="D8" s="50"/>
      <c r="E8" s="50"/>
      <c r="F8" s="50">
        <v>54.73</v>
      </c>
      <c r="G8" s="50">
        <v>84.33</v>
      </c>
      <c r="H8" s="50">
        <v>73.150000000000006</v>
      </c>
      <c r="I8" s="50">
        <f>AVERAGE(G8:H8)</f>
        <v>78.740000000000009</v>
      </c>
      <c r="J8" s="50">
        <f>AVERAGE(H8:I8)</f>
        <v>75.945000000000007</v>
      </c>
      <c r="O8" s="33"/>
      <c r="P8" s="33"/>
      <c r="Q8" s="33"/>
      <c r="R8" s="17">
        <f>+R9/R7</f>
        <v>78.021650358773641</v>
      </c>
      <c r="S8" s="54">
        <v>77</v>
      </c>
      <c r="T8" s="54">
        <v>77</v>
      </c>
      <c r="U8" s="54">
        <v>77</v>
      </c>
      <c r="V8" s="54">
        <v>77</v>
      </c>
      <c r="W8" s="54">
        <v>77</v>
      </c>
      <c r="X8" s="54">
        <v>77</v>
      </c>
      <c r="Y8" s="54">
        <v>77</v>
      </c>
      <c r="Z8" s="54">
        <v>77</v>
      </c>
      <c r="AA8" s="54">
        <v>77</v>
      </c>
    </row>
    <row r="9" spans="2:225" s="13" customFormat="1">
      <c r="B9" s="13" t="s">
        <v>272</v>
      </c>
      <c r="C9" s="49">
        <f>+C7*C8</f>
        <v>0</v>
      </c>
      <c r="D9" s="49">
        <f>+D7*D8</f>
        <v>0</v>
      </c>
      <c r="E9" s="49">
        <f>+E7*E8</f>
        <v>0</v>
      </c>
      <c r="F9" s="49">
        <f>+F7*F8</f>
        <v>34.260979999999996</v>
      </c>
      <c r="G9" s="49">
        <f>+G7*G8</f>
        <v>51.491897999999999</v>
      </c>
      <c r="H9" s="49">
        <f>+H7*H8</f>
        <v>43.560825000000008</v>
      </c>
      <c r="I9" s="49">
        <f>+I7*I8</f>
        <v>55.118000000000002</v>
      </c>
      <c r="J9" s="49">
        <f>+J7*J8</f>
        <v>53.161500000000004</v>
      </c>
      <c r="O9" s="49"/>
      <c r="P9" s="49"/>
      <c r="Q9" s="49"/>
      <c r="R9" s="49">
        <f>SUM(G9:J9)</f>
        <v>203.332223</v>
      </c>
      <c r="S9" s="49">
        <f>+S7*S8</f>
        <v>202.67639700000001</v>
      </c>
      <c r="T9" s="49">
        <f t="shared" ref="T9:AA9" si="9">+T7*T8</f>
        <v>204.70316097</v>
      </c>
      <c r="U9" s="49">
        <f t="shared" si="9"/>
        <v>206.75019257970001</v>
      </c>
      <c r="V9" s="49">
        <f t="shared" si="9"/>
        <v>208.817694505497</v>
      </c>
      <c r="W9" s="49">
        <f t="shared" si="9"/>
        <v>210.90587145055198</v>
      </c>
      <c r="X9" s="49">
        <f t="shared" si="9"/>
        <v>213.01493016505751</v>
      </c>
      <c r="Y9" s="49">
        <f t="shared" si="9"/>
        <v>215.14507946670807</v>
      </c>
      <c r="Z9" s="49">
        <f t="shared" si="9"/>
        <v>217.29653026137515</v>
      </c>
      <c r="AA9" s="49">
        <f t="shared" si="9"/>
        <v>219.46949556398889</v>
      </c>
    </row>
    <row r="10" spans="2:225" s="17" customFormat="1">
      <c r="B10" s="17" t="s">
        <v>273</v>
      </c>
      <c r="C10" s="50"/>
      <c r="D10" s="50"/>
      <c r="E10" s="50"/>
      <c r="F10" s="50">
        <v>2.7</v>
      </c>
      <c r="G10" s="50">
        <v>3.7</v>
      </c>
      <c r="H10" s="51">
        <v>2.5</v>
      </c>
      <c r="I10" s="50">
        <f>AVERAGE(2.5,3)</f>
        <v>2.75</v>
      </c>
      <c r="J10" s="50">
        <f>AVERAGE(2.5,3)</f>
        <v>2.75</v>
      </c>
      <c r="O10" s="33"/>
      <c r="P10" s="33"/>
      <c r="Q10" s="33"/>
      <c r="R10" s="1">
        <f>+SUM(G10:J10)</f>
        <v>11.7</v>
      </c>
      <c r="S10" s="54">
        <f>+R10*1.01</f>
        <v>11.817</v>
      </c>
      <c r="T10" s="54">
        <f t="shared" ref="T10:AA10" si="10">+S10*1.01</f>
        <v>11.935169999999999</v>
      </c>
      <c r="U10" s="54">
        <f t="shared" si="10"/>
        <v>12.054521699999999</v>
      </c>
      <c r="V10" s="54">
        <f t="shared" si="10"/>
        <v>12.175066916999999</v>
      </c>
      <c r="W10" s="54">
        <f t="shared" si="10"/>
        <v>12.296817586169999</v>
      </c>
      <c r="X10" s="54">
        <f t="shared" si="10"/>
        <v>12.419785762031699</v>
      </c>
      <c r="Y10" s="54">
        <f t="shared" si="10"/>
        <v>12.543983619652016</v>
      </c>
      <c r="Z10" s="54">
        <f t="shared" si="10"/>
        <v>12.669423455848536</v>
      </c>
      <c r="AA10" s="54">
        <f t="shared" si="10"/>
        <v>12.796117690407021</v>
      </c>
    </row>
    <row r="11" spans="2:225" s="17" customFormat="1">
      <c r="B11" s="17" t="s">
        <v>274</v>
      </c>
      <c r="C11" s="50"/>
      <c r="D11" s="50"/>
      <c r="E11" s="50"/>
      <c r="F11" s="50">
        <v>5.03</v>
      </c>
      <c r="G11" s="50">
        <v>5.83</v>
      </c>
      <c r="H11" s="51">
        <v>6.05</v>
      </c>
      <c r="I11" s="50">
        <f>AVERAGE(G11:H11)</f>
        <v>5.9399999999999995</v>
      </c>
      <c r="J11" s="50">
        <f>AVERAGE(H11:I11)</f>
        <v>5.9949999999999992</v>
      </c>
      <c r="O11" s="33"/>
      <c r="P11" s="33"/>
      <c r="Q11" s="33"/>
      <c r="R11" s="17">
        <f>+R12/R10</f>
        <v>5.941645299145299</v>
      </c>
      <c r="S11" s="54">
        <v>6</v>
      </c>
      <c r="T11" s="54">
        <v>6</v>
      </c>
      <c r="U11" s="54">
        <v>6</v>
      </c>
      <c r="V11" s="54">
        <v>6</v>
      </c>
      <c r="W11" s="54">
        <v>6</v>
      </c>
      <c r="X11" s="54">
        <v>6</v>
      </c>
      <c r="Y11" s="54">
        <v>6</v>
      </c>
      <c r="Z11" s="54">
        <v>6</v>
      </c>
      <c r="AA11" s="54">
        <v>6</v>
      </c>
    </row>
    <row r="12" spans="2:225" s="13" customFormat="1">
      <c r="B12" s="13" t="s">
        <v>275</v>
      </c>
      <c r="C12" s="49">
        <f>+C10*C11</f>
        <v>0</v>
      </c>
      <c r="D12" s="49">
        <f>+D10*D11</f>
        <v>0</v>
      </c>
      <c r="E12" s="49">
        <f>+E10*E11</f>
        <v>0</v>
      </c>
      <c r="F12" s="49">
        <f>+F10*F11</f>
        <v>13.581000000000001</v>
      </c>
      <c r="G12" s="49">
        <f>+G10*G11</f>
        <v>21.571000000000002</v>
      </c>
      <c r="H12" s="49">
        <f>+H10*H11</f>
        <v>15.125</v>
      </c>
      <c r="I12" s="49">
        <f>+I10*I11</f>
        <v>16.334999999999997</v>
      </c>
      <c r="J12" s="49">
        <f>+J10*J11</f>
        <v>16.486249999999998</v>
      </c>
      <c r="O12" s="49"/>
      <c r="P12" s="49"/>
      <c r="Q12" s="49"/>
      <c r="R12" s="49">
        <f>SUM(G12:J12)</f>
        <v>69.51724999999999</v>
      </c>
      <c r="S12" s="49">
        <f>+S10*S11</f>
        <v>70.902000000000001</v>
      </c>
      <c r="T12" s="49">
        <f t="shared" ref="T12:AA12" si="11">+T10*T11</f>
        <v>71.611019999999996</v>
      </c>
      <c r="U12" s="49">
        <f t="shared" si="11"/>
        <v>72.327130199999999</v>
      </c>
      <c r="V12" s="49">
        <f t="shared" si="11"/>
        <v>73.050401502</v>
      </c>
      <c r="W12" s="49">
        <f t="shared" si="11"/>
        <v>73.780905517019988</v>
      </c>
      <c r="X12" s="49">
        <f t="shared" si="11"/>
        <v>74.518714572190191</v>
      </c>
      <c r="Y12" s="49">
        <f t="shared" si="11"/>
        <v>75.263901717912091</v>
      </c>
      <c r="Z12" s="49">
        <f t="shared" si="11"/>
        <v>76.016540735091212</v>
      </c>
      <c r="AA12" s="49">
        <f t="shared" si="11"/>
        <v>76.776706142442123</v>
      </c>
    </row>
    <row r="13" spans="2:225" s="17" customFormat="1">
      <c r="B13" s="17" t="s">
        <v>276</v>
      </c>
      <c r="C13" s="33">
        <f t="shared" ref="C13:G13" si="12">+SUM(C6,C9,C12)</f>
        <v>0</v>
      </c>
      <c r="D13" s="33">
        <f t="shared" si="12"/>
        <v>0</v>
      </c>
      <c r="E13" s="33">
        <f t="shared" si="12"/>
        <v>0</v>
      </c>
      <c r="F13" s="33">
        <f t="shared" si="12"/>
        <v>267.41048000000001</v>
      </c>
      <c r="G13" s="33">
        <f t="shared" si="12"/>
        <v>308.91609800000003</v>
      </c>
      <c r="H13" s="33">
        <f>+SUM(H6,H9,H12)</f>
        <v>304.26282500000002</v>
      </c>
      <c r="I13" s="33">
        <f>+SUM(I6,I9,I12)</f>
        <v>341.09924999999998</v>
      </c>
      <c r="J13" s="33">
        <f>+SUM(J6,J9,J12)</f>
        <v>334.01837499999999</v>
      </c>
      <c r="O13" s="33"/>
      <c r="P13" s="33"/>
      <c r="Q13" s="33"/>
      <c r="R13" s="33">
        <f>+SUM(R6,R9,R12)</f>
        <v>1288.2965479999998</v>
      </c>
      <c r="S13" s="33">
        <f>+SUM(S6,S9,S12)</f>
        <v>1300.2055442957501</v>
      </c>
      <c r="T13" s="33">
        <f>+SUM(T6,T9,T12)</f>
        <v>1314.2444931574764</v>
      </c>
      <c r="U13" s="33">
        <f>+SUM(U6,U9,U12)</f>
        <v>1328.4352477043603</v>
      </c>
      <c r="V13" s="33">
        <f>+SUM(V6,V9,V12)</f>
        <v>1342.7794516855774</v>
      </c>
      <c r="W13" s="33">
        <f>+SUM(W6,W9,W12)</f>
        <v>1357.2787666716681</v>
      </c>
      <c r="X13" s="33">
        <f>+SUM(X6,X9,X12)</f>
        <v>1371.9348722479858</v>
      </c>
      <c r="Y13" s="33">
        <f>+SUM(Y6,Y9,Y12)</f>
        <v>1386.7494662102515</v>
      </c>
      <c r="Z13" s="33">
        <f>+SUM(Z6,Z9,Z12)</f>
        <v>1401.72426476223</v>
      </c>
      <c r="AA13" s="33">
        <f>+SUM(AA6,AA9,AA12)</f>
        <v>1416.8610027155557</v>
      </c>
    </row>
    <row r="14" spans="2:225" s="17" customFormat="1">
      <c r="C14" s="33"/>
      <c r="D14" s="33"/>
      <c r="E14" s="33"/>
      <c r="F14" s="33"/>
      <c r="G14" s="33"/>
      <c r="H14" s="33"/>
      <c r="I14" s="33"/>
      <c r="J14" s="33"/>
      <c r="O14" s="33"/>
      <c r="P14" s="33"/>
      <c r="Q14" s="33"/>
    </row>
    <row r="15" spans="2:225" s="17" customFormat="1">
      <c r="B15" s="17" t="s">
        <v>97</v>
      </c>
      <c r="C15" s="50"/>
      <c r="D15" s="50"/>
      <c r="E15" s="50"/>
      <c r="F15" s="50"/>
      <c r="G15" s="50">
        <f>16.426+8.793</f>
        <v>25.218999999999998</v>
      </c>
      <c r="H15" s="50">
        <f>16.312+9.651</f>
        <v>25.963000000000001</v>
      </c>
      <c r="I15" s="33">
        <f>+(H15*I5)/H5</f>
        <v>27.020303706169553</v>
      </c>
      <c r="J15" s="33">
        <f>+(I15*J5)/I5</f>
        <v>26.491651853084775</v>
      </c>
      <c r="O15" s="33"/>
      <c r="P15" s="33"/>
      <c r="Q15" s="33"/>
      <c r="R15" s="17">
        <f>SUM(G15:J15)</f>
        <v>104.69395555925433</v>
      </c>
      <c r="S15" s="17">
        <f>+R15*1.01</f>
        <v>105.74089511484688</v>
      </c>
      <c r="T15" s="17">
        <f t="shared" ref="T15:AA15" si="13">+S15*1.01</f>
        <v>106.79830406599535</v>
      </c>
      <c r="U15" s="17">
        <f t="shared" si="13"/>
        <v>107.86628710665531</v>
      </c>
      <c r="V15" s="17">
        <f t="shared" si="13"/>
        <v>108.94494997772186</v>
      </c>
      <c r="W15" s="17">
        <f t="shared" si="13"/>
        <v>110.03439947749908</v>
      </c>
      <c r="X15" s="17">
        <f t="shared" si="13"/>
        <v>111.13474347227407</v>
      </c>
      <c r="Y15" s="17">
        <f t="shared" si="13"/>
        <v>112.24609090699681</v>
      </c>
      <c r="Z15" s="17">
        <f t="shared" si="13"/>
        <v>113.36855181606678</v>
      </c>
      <c r="AA15" s="17">
        <f t="shared" si="13"/>
        <v>114.50223733422746</v>
      </c>
    </row>
    <row r="16" spans="2:225" s="17" customFormat="1">
      <c r="B16" s="17" t="s">
        <v>277</v>
      </c>
      <c r="C16" s="50"/>
      <c r="D16" s="50"/>
      <c r="E16" s="50"/>
      <c r="F16" s="50"/>
      <c r="G16" s="50">
        <v>26.402999999999999</v>
      </c>
      <c r="H16" s="50">
        <v>14.372999999999999</v>
      </c>
      <c r="I16" s="33">
        <v>21</v>
      </c>
      <c r="J16" s="33">
        <v>21</v>
      </c>
      <c r="O16" s="33"/>
      <c r="P16" s="33"/>
      <c r="Q16" s="33"/>
      <c r="R16" s="17">
        <f>SUM(G16:J16)</f>
        <v>82.775999999999996</v>
      </c>
      <c r="S16" s="17">
        <f>+R16*1.01</f>
        <v>83.603759999999994</v>
      </c>
      <c r="T16" s="17">
        <f t="shared" ref="T16:AA16" si="14">+S16*1.01</f>
        <v>84.439797599999991</v>
      </c>
      <c r="U16" s="17">
        <f t="shared" si="14"/>
        <v>85.284195575999988</v>
      </c>
      <c r="V16" s="17">
        <f t="shared" si="14"/>
        <v>86.137037531759987</v>
      </c>
      <c r="W16" s="17">
        <f t="shared" si="14"/>
        <v>86.998407907077592</v>
      </c>
      <c r="X16" s="17">
        <f t="shared" si="14"/>
        <v>87.868391986148367</v>
      </c>
      <c r="Y16" s="17">
        <f t="shared" si="14"/>
        <v>88.747075906009854</v>
      </c>
      <c r="Z16" s="17">
        <f t="shared" si="14"/>
        <v>89.634546665069948</v>
      </c>
      <c r="AA16" s="17">
        <f t="shared" si="14"/>
        <v>90.530892131720648</v>
      </c>
    </row>
    <row r="17" spans="2:42" s="17" customFormat="1">
      <c r="B17" s="17" t="s">
        <v>279</v>
      </c>
      <c r="C17" s="50"/>
      <c r="D17" s="50"/>
      <c r="E17" s="50"/>
      <c r="F17" s="50"/>
      <c r="G17" s="50">
        <v>13.010999999999999</v>
      </c>
      <c r="H17" s="50">
        <v>13.664999999999999</v>
      </c>
      <c r="I17" s="33">
        <v>14</v>
      </c>
      <c r="J17" s="33">
        <v>14</v>
      </c>
      <c r="O17" s="33"/>
      <c r="P17" s="33"/>
      <c r="Q17" s="33"/>
      <c r="R17" s="17">
        <f>SUM(G17:J17)</f>
        <v>54.676000000000002</v>
      </c>
      <c r="S17" s="17">
        <f>+R17*1.01</f>
        <v>55.222760000000001</v>
      </c>
      <c r="T17" s="17">
        <f t="shared" ref="T17:AA17" si="15">+S17*1.01</f>
        <v>55.774987600000003</v>
      </c>
      <c r="U17" s="17">
        <f t="shared" si="15"/>
        <v>56.332737476000005</v>
      </c>
      <c r="V17" s="17">
        <f t="shared" si="15"/>
        <v>56.896064850760006</v>
      </c>
      <c r="W17" s="17">
        <f t="shared" si="15"/>
        <v>57.465025499267604</v>
      </c>
      <c r="X17" s="17">
        <f t="shared" si="15"/>
        <v>58.03967575426028</v>
      </c>
      <c r="Y17" s="17">
        <f t="shared" si="15"/>
        <v>58.620072511802881</v>
      </c>
      <c r="Z17" s="17">
        <f t="shared" si="15"/>
        <v>59.206273236920907</v>
      </c>
      <c r="AA17" s="17">
        <f t="shared" si="15"/>
        <v>59.798335969290115</v>
      </c>
    </row>
    <row r="18" spans="2:42" s="17" customFormat="1">
      <c r="B18" s="17" t="s">
        <v>23</v>
      </c>
      <c r="C18" s="33"/>
      <c r="D18" s="33"/>
      <c r="E18" s="33"/>
      <c r="F18" s="33"/>
      <c r="G18" s="33">
        <f>156.3-SUM(G15:G17)</f>
        <v>91.667000000000016</v>
      </c>
      <c r="H18" s="33">
        <f>139.6-SUM(H15:H17)</f>
        <v>85.59899999999999</v>
      </c>
      <c r="I18" s="33">
        <v>88</v>
      </c>
      <c r="J18" s="33">
        <v>88</v>
      </c>
      <c r="O18" s="33"/>
      <c r="P18" s="33"/>
      <c r="Q18" s="33"/>
      <c r="R18" s="17">
        <f>SUM(G18:J18)</f>
        <v>353.26600000000002</v>
      </c>
      <c r="S18" s="17">
        <f>+R18*1.01</f>
        <v>356.79866000000004</v>
      </c>
      <c r="T18" s="17">
        <f t="shared" ref="T18:AA18" si="16">+S18*1.01</f>
        <v>360.36664660000002</v>
      </c>
      <c r="U18" s="17">
        <f t="shared" si="16"/>
        <v>363.97031306600002</v>
      </c>
      <c r="V18" s="17">
        <f t="shared" si="16"/>
        <v>367.61001619666001</v>
      </c>
      <c r="W18" s="17">
        <f t="shared" si="16"/>
        <v>371.2861163586266</v>
      </c>
      <c r="X18" s="17">
        <f t="shared" si="16"/>
        <v>374.9989775222129</v>
      </c>
      <c r="Y18" s="17">
        <f t="shared" si="16"/>
        <v>378.748967297435</v>
      </c>
      <c r="Z18" s="17">
        <f t="shared" si="16"/>
        <v>382.53645697040935</v>
      </c>
      <c r="AA18" s="17">
        <f t="shared" si="16"/>
        <v>386.36182154011345</v>
      </c>
    </row>
    <row r="19" spans="2:42" s="17" customFormat="1">
      <c r="B19" s="17" t="s">
        <v>278</v>
      </c>
      <c r="C19" s="53"/>
      <c r="D19" s="53"/>
      <c r="E19" s="53"/>
      <c r="F19" s="53"/>
      <c r="G19" s="53">
        <f>SUM(G15:G18)</f>
        <v>156.30000000000001</v>
      </c>
      <c r="H19" s="53">
        <f>SUM(H15:H18)</f>
        <v>139.6</v>
      </c>
      <c r="I19" s="53">
        <f>SUM(I15:I18)</f>
        <v>150.02030370616956</v>
      </c>
      <c r="J19" s="53">
        <f>SUM(J15:J18)</f>
        <v>149.49165185308476</v>
      </c>
      <c r="O19" s="53"/>
      <c r="P19" s="53"/>
      <c r="Q19" s="53"/>
      <c r="R19" s="53">
        <f>SUM(R15:R18)</f>
        <v>595.41195555925435</v>
      </c>
      <c r="S19" s="53">
        <f t="shared" ref="S19:AA19" si="17">SUM(S15:S18)</f>
        <v>601.36607511484692</v>
      </c>
      <c r="T19" s="53">
        <f t="shared" si="17"/>
        <v>607.37973586599537</v>
      </c>
      <c r="U19" s="53">
        <f t="shared" si="17"/>
        <v>613.4535332246553</v>
      </c>
      <c r="V19" s="53">
        <f t="shared" si="17"/>
        <v>619.58806855690182</v>
      </c>
      <c r="W19" s="53">
        <f t="shared" si="17"/>
        <v>625.78394924247084</v>
      </c>
      <c r="X19" s="53">
        <f t="shared" si="17"/>
        <v>632.04178873489559</v>
      </c>
      <c r="Y19" s="53">
        <f t="shared" si="17"/>
        <v>638.36220662224457</v>
      </c>
      <c r="Z19" s="53">
        <f t="shared" si="17"/>
        <v>644.74582868846699</v>
      </c>
      <c r="AA19" s="53">
        <f t="shared" si="17"/>
        <v>651.19328697535161</v>
      </c>
    </row>
    <row r="20" spans="2:42" s="17" customFormat="1">
      <c r="C20" s="33"/>
      <c r="D20" s="33"/>
      <c r="E20" s="33"/>
      <c r="F20" s="33"/>
      <c r="G20" s="33"/>
      <c r="H20" s="33"/>
      <c r="I20" s="33"/>
      <c r="J20" s="33"/>
      <c r="O20" s="33"/>
      <c r="P20" s="33"/>
      <c r="Q20" s="33"/>
    </row>
    <row r="21" spans="2:42" s="17" customFormat="1">
      <c r="C21" s="33"/>
      <c r="D21" s="33"/>
      <c r="E21" s="33"/>
      <c r="F21" s="33"/>
      <c r="G21" s="33"/>
      <c r="H21" s="33"/>
      <c r="I21" s="33"/>
      <c r="J21" s="33"/>
      <c r="O21" s="33"/>
      <c r="P21" s="33"/>
      <c r="Q21" s="33"/>
    </row>
    <row r="22" spans="2:42">
      <c r="B22" s="1" t="s">
        <v>79</v>
      </c>
      <c r="C22" s="34">
        <v>122.482</v>
      </c>
      <c r="D22" s="34">
        <v>133.191</v>
      </c>
      <c r="E22" s="34">
        <v>166.08099999999999</v>
      </c>
      <c r="F22" s="35">
        <f>+Q22-SUM(C22:E22)</f>
        <v>264.71799999999996</v>
      </c>
      <c r="G22" s="34">
        <v>312.77699999999999</v>
      </c>
      <c r="H22" s="34">
        <v>310.964</v>
      </c>
      <c r="I22" s="34">
        <f>+I13</f>
        <v>341.09924999999998</v>
      </c>
      <c r="J22" s="34">
        <f>+J13</f>
        <v>334.01837499999999</v>
      </c>
      <c r="K22" s="31"/>
      <c r="L22" s="31"/>
      <c r="M22" s="31"/>
      <c r="N22" s="31"/>
      <c r="O22" s="34">
        <v>418.28</v>
      </c>
      <c r="P22" s="34">
        <v>483.29399999999998</v>
      </c>
      <c r="Q22" s="34">
        <v>686.47199999999998</v>
      </c>
      <c r="R22" s="1">
        <f>SUM(G22:J22)</f>
        <v>1298.8586249999998</v>
      </c>
      <c r="S22" s="1">
        <f>+S13</f>
        <v>1300.2055442957501</v>
      </c>
      <c r="T22" s="1">
        <f t="shared" ref="T22:AA22" si="18">+T13</f>
        <v>1314.2444931574764</v>
      </c>
      <c r="U22" s="1">
        <f t="shared" si="18"/>
        <v>1328.4352477043603</v>
      </c>
      <c r="V22" s="1">
        <f t="shared" si="18"/>
        <v>1342.7794516855774</v>
      </c>
      <c r="W22" s="1">
        <f t="shared" si="18"/>
        <v>1357.2787666716681</v>
      </c>
      <c r="X22" s="1">
        <f t="shared" si="18"/>
        <v>1371.9348722479858</v>
      </c>
      <c r="Y22" s="1">
        <f t="shared" si="18"/>
        <v>1386.7494662102515</v>
      </c>
      <c r="Z22" s="1">
        <f t="shared" si="18"/>
        <v>1401.72426476223</v>
      </c>
      <c r="AA22" s="1">
        <f t="shared" si="18"/>
        <v>1416.8610027155557</v>
      </c>
    </row>
    <row r="23" spans="2:42">
      <c r="B23" s="1" t="s">
        <v>254</v>
      </c>
      <c r="C23" s="34">
        <v>70.953999999999994</v>
      </c>
      <c r="D23" s="34">
        <v>76.451999999999998</v>
      </c>
      <c r="E23" s="34">
        <v>85.986999999999995</v>
      </c>
      <c r="F23" s="35">
        <f>+Q23-SUM(C23:E23)</f>
        <v>110.59700000000001</v>
      </c>
      <c r="G23" s="34">
        <v>156.34800000000001</v>
      </c>
      <c r="H23" s="34">
        <v>139.57499999999999</v>
      </c>
      <c r="I23" s="34">
        <f>+I19</f>
        <v>150.02030370616956</v>
      </c>
      <c r="J23" s="34">
        <f>+J19</f>
        <v>149.49165185308476</v>
      </c>
      <c r="K23" s="31"/>
      <c r="L23" s="31"/>
      <c r="M23" s="31"/>
      <c r="N23" s="31"/>
      <c r="O23" s="34">
        <v>187.43700000000001</v>
      </c>
      <c r="P23" s="34">
        <v>236.101</v>
      </c>
      <c r="Q23" s="34">
        <v>343.99</v>
      </c>
      <c r="R23" s="1">
        <f>SUM(G23:J23)</f>
        <v>595.43495555925438</v>
      </c>
      <c r="S23" s="1">
        <f>+S19</f>
        <v>601.36607511484692</v>
      </c>
      <c r="T23" s="1">
        <f t="shared" ref="T23:AA23" si="19">+T19</f>
        <v>607.37973586599537</v>
      </c>
      <c r="U23" s="1">
        <f t="shared" si="19"/>
        <v>613.4535332246553</v>
      </c>
      <c r="V23" s="1">
        <f t="shared" si="19"/>
        <v>619.58806855690182</v>
      </c>
      <c r="W23" s="1">
        <f t="shared" si="19"/>
        <v>625.78394924247084</v>
      </c>
      <c r="X23" s="1">
        <f t="shared" si="19"/>
        <v>632.04178873489559</v>
      </c>
      <c r="Y23" s="1">
        <f t="shared" si="19"/>
        <v>638.36220662224457</v>
      </c>
      <c r="Z23" s="1">
        <f t="shared" si="19"/>
        <v>644.74582868846699</v>
      </c>
      <c r="AA23" s="1">
        <f t="shared" si="19"/>
        <v>651.19328697535161</v>
      </c>
    </row>
    <row r="24" spans="2:42" s="13" customFormat="1">
      <c r="B24" s="13" t="s">
        <v>24</v>
      </c>
      <c r="C24" s="49">
        <f>+SUM(C22:C23)</f>
        <v>193.43599999999998</v>
      </c>
      <c r="D24" s="49">
        <f>+SUM(D22:D23)</f>
        <v>209.643</v>
      </c>
      <c r="E24" s="49">
        <f>+SUM(E22:E23)</f>
        <v>252.06799999999998</v>
      </c>
      <c r="F24" s="40">
        <f>+SUM(F22:F23)</f>
        <v>375.31499999999994</v>
      </c>
      <c r="G24" s="49">
        <f>+SUM(G22:G23)</f>
        <v>469.125</v>
      </c>
      <c r="H24" s="49">
        <f>+SUM(H22:H23)</f>
        <v>450.53899999999999</v>
      </c>
      <c r="I24" s="49">
        <f>+SUM(I22:I23)</f>
        <v>491.11955370616954</v>
      </c>
      <c r="J24" s="49">
        <f>+SUM(J22:J23)</f>
        <v>483.51002685308475</v>
      </c>
      <c r="O24" s="49">
        <f>+SUM(O22:O23)</f>
        <v>605.71699999999998</v>
      </c>
      <c r="P24" s="49">
        <f>+SUM(P22:P23)</f>
        <v>719.39499999999998</v>
      </c>
      <c r="Q24" s="49">
        <f>+SUM(Q22:Q23)</f>
        <v>1030.462</v>
      </c>
      <c r="R24" s="49">
        <f>+SUM(R22:R23)</f>
        <v>1894.2935805592542</v>
      </c>
      <c r="S24" s="49">
        <f>+SUM(S22:S23)</f>
        <v>1901.5716194105971</v>
      </c>
      <c r="T24" s="49">
        <f t="shared" ref="T24:AA24" si="20">+SUM(T22:T23)</f>
        <v>1921.6242290234718</v>
      </c>
      <c r="U24" s="49">
        <f t="shared" si="20"/>
        <v>1941.8887809290156</v>
      </c>
      <c r="V24" s="49">
        <f t="shared" si="20"/>
        <v>1962.3675202424793</v>
      </c>
      <c r="W24" s="49">
        <f t="shared" si="20"/>
        <v>1983.0627159141391</v>
      </c>
      <c r="X24" s="49">
        <f t="shared" si="20"/>
        <v>2003.9766609828814</v>
      </c>
      <c r="Y24" s="49">
        <f t="shared" si="20"/>
        <v>2025.111672832496</v>
      </c>
      <c r="Z24" s="49">
        <f t="shared" si="20"/>
        <v>2046.4700934506968</v>
      </c>
      <c r="AA24" s="49">
        <f t="shared" si="20"/>
        <v>2068.0542896909074</v>
      </c>
    </row>
    <row r="25" spans="2:42" s="13" customFormat="1">
      <c r="B25" s="13" t="s">
        <v>255</v>
      </c>
      <c r="C25" s="39">
        <v>24.506</v>
      </c>
      <c r="D25" s="39">
        <v>24.18</v>
      </c>
      <c r="E25" s="39">
        <v>31.391999999999999</v>
      </c>
      <c r="F25" s="35">
        <f>+Q25-SUM(C25:E25)</f>
        <v>50.847999999999985</v>
      </c>
      <c r="G25" s="39">
        <v>60.337000000000003</v>
      </c>
      <c r="H25" s="39">
        <v>60.094000000000001</v>
      </c>
      <c r="I25" s="39">
        <f>+I$24*(H25/H$24)</f>
        <v>65.506734068346034</v>
      </c>
      <c r="J25" s="39">
        <f>+J$24*(I25/I$24)</f>
        <v>64.491756659710433</v>
      </c>
      <c r="K25" s="32"/>
      <c r="L25" s="32"/>
      <c r="M25" s="32"/>
      <c r="N25" s="32"/>
      <c r="O25" s="39">
        <v>90.522999999999996</v>
      </c>
      <c r="P25" s="39">
        <v>97.513999999999996</v>
      </c>
      <c r="Q25" s="39">
        <v>130.92599999999999</v>
      </c>
      <c r="R25" s="1">
        <f>SUM(G25:J25)</f>
        <v>250.42949072805649</v>
      </c>
      <c r="S25" s="13">
        <f>+S$24*(R25/R$24)</f>
        <v>251.39166236910839</v>
      </c>
      <c r="T25" s="13">
        <f t="shared" ref="T25:AA25" si="21">+T$24*(S25/S$24)</f>
        <v>254.04265842624446</v>
      </c>
      <c r="U25" s="13">
        <f t="shared" si="21"/>
        <v>256.7216736885141</v>
      </c>
      <c r="V25" s="13">
        <f t="shared" si="21"/>
        <v>259.42900496475124</v>
      </c>
      <c r="W25" s="13">
        <f t="shared" si="21"/>
        <v>262.1649522148291</v>
      </c>
      <c r="X25" s="13">
        <f t="shared" si="21"/>
        <v>264.92981858318444</v>
      </c>
      <c r="Y25" s="13">
        <f t="shared" si="21"/>
        <v>267.72391043270005</v>
      </c>
      <c r="Z25" s="13">
        <f t="shared" si="21"/>
        <v>270.54753737894805</v>
      </c>
      <c r="AA25" s="13">
        <f t="shared" si="21"/>
        <v>273.40101232479805</v>
      </c>
    </row>
    <row r="26" spans="2:42" s="13" customFormat="1">
      <c r="B26" s="13" t="s">
        <v>257</v>
      </c>
      <c r="C26" s="39">
        <v>1.7609999999999999</v>
      </c>
      <c r="D26" s="39">
        <v>2.2010000000000001</v>
      </c>
      <c r="E26" s="39">
        <v>2.4180000000000001</v>
      </c>
      <c r="F26" s="35">
        <f>+Q26-SUM(C26:E26)</f>
        <v>2.2250000000000005</v>
      </c>
      <c r="G26" s="39">
        <v>3.2909999999999999</v>
      </c>
      <c r="H26" s="39">
        <v>3.4369999999999998</v>
      </c>
      <c r="I26" s="39">
        <f>+I$24*(H26/H$24)</f>
        <v>3.7465744499102294</v>
      </c>
      <c r="J26" s="39">
        <f>+J$24*(I26/I$24)</f>
        <v>3.6885241062239946</v>
      </c>
      <c r="K26" s="32"/>
      <c r="L26" s="32"/>
      <c r="M26" s="32"/>
      <c r="N26" s="32"/>
      <c r="O26" s="39">
        <v>7.2939999999999996</v>
      </c>
      <c r="P26" s="39">
        <v>6.6219999999999999</v>
      </c>
      <c r="Q26" s="39">
        <v>8.6050000000000004</v>
      </c>
      <c r="R26" s="1">
        <f>SUM(G26:J26)</f>
        <v>14.163098556134223</v>
      </c>
      <c r="S26" s="13">
        <f>+S$24*(R26/R$24)</f>
        <v>14.217514398855133</v>
      </c>
      <c r="T26" s="13">
        <f t="shared" ref="T26:AA26" si="22">+T$24*(S26/S$24)</f>
        <v>14.3674421023376</v>
      </c>
      <c r="U26" s="13">
        <f t="shared" si="22"/>
        <v>14.518954438534919</v>
      </c>
      <c r="V26" s="13">
        <f t="shared" si="22"/>
        <v>14.672068193540273</v>
      </c>
      <c r="W26" s="13">
        <f t="shared" si="22"/>
        <v>14.826800331654612</v>
      </c>
      <c r="X26" s="13">
        <f t="shared" si="22"/>
        <v>14.983167997282623</v>
      </c>
      <c r="Y26" s="13">
        <f t="shared" si="22"/>
        <v>15.141188516848961</v>
      </c>
      <c r="Z26" s="13">
        <f t="shared" si="22"/>
        <v>15.300879400734891</v>
      </c>
      <c r="AA26" s="13">
        <f t="shared" si="22"/>
        <v>15.46225834523556</v>
      </c>
    </row>
    <row r="27" spans="2:42" s="13" customFormat="1">
      <c r="B27" s="13" t="s">
        <v>25</v>
      </c>
      <c r="C27" s="39">
        <v>11.063000000000001</v>
      </c>
      <c r="D27" s="39">
        <v>10.269</v>
      </c>
      <c r="E27" s="39">
        <v>10.212999999999999</v>
      </c>
      <c r="F27" s="35">
        <f>+Q27-SUM(C27:E27)</f>
        <v>17.637999999999998</v>
      </c>
      <c r="G27" s="39">
        <v>17.530999999999999</v>
      </c>
      <c r="H27" s="39">
        <v>13.445</v>
      </c>
      <c r="I27" s="39">
        <f>+I$24*(H27/H$24)</f>
        <v>14.65600624935788</v>
      </c>
      <c r="J27" s="39">
        <f>+J$24*(I27/I$24)</f>
        <v>14.42892249292453</v>
      </c>
      <c r="K27" s="32"/>
      <c r="L27" s="32"/>
      <c r="M27" s="32"/>
      <c r="N27" s="32"/>
      <c r="O27" s="39">
        <v>39.761000000000003</v>
      </c>
      <c r="P27" s="39">
        <v>40.933999999999997</v>
      </c>
      <c r="Q27" s="39">
        <v>49.183</v>
      </c>
      <c r="R27" s="1">
        <f>SUM(G27:J27)</f>
        <v>60.060928742282407</v>
      </c>
      <c r="S27" s="13">
        <f>+S$24*(R27/R$24)</f>
        <v>60.291687995927248</v>
      </c>
      <c r="T27" s="13">
        <f t="shared" ref="T27:AA27" si="23">+T$24*(S27/S$24)</f>
        <v>60.927480868487216</v>
      </c>
      <c r="U27" s="13">
        <f t="shared" si="23"/>
        <v>61.569993634451308</v>
      </c>
      <c r="V27" s="13">
        <f t="shared" si="23"/>
        <v>62.219297477984675</v>
      </c>
      <c r="W27" s="13">
        <f t="shared" si="23"/>
        <v>62.875464338971547</v>
      </c>
      <c r="X27" s="13">
        <f t="shared" si="23"/>
        <v>63.53856692105542</v>
      </c>
      <c r="Y27" s="13">
        <f t="shared" si="23"/>
        <v>64.208678699765159</v>
      </c>
      <c r="Z27" s="13">
        <f t="shared" si="23"/>
        <v>64.885873930727584</v>
      </c>
      <c r="AA27" s="13">
        <f t="shared" si="23"/>
        <v>65.570227657967678</v>
      </c>
    </row>
    <row r="28" spans="2:42" s="13" customFormat="1">
      <c r="B28" s="13" t="s">
        <v>256</v>
      </c>
      <c r="C28" s="49">
        <f>+C24-SUM(C25:C27)</f>
        <v>156.10599999999999</v>
      </c>
      <c r="D28" s="49">
        <f>+D24-SUM(D25:D27)</f>
        <v>172.99299999999999</v>
      </c>
      <c r="E28" s="49">
        <f>+E24-SUM(E25:E27)</f>
        <v>208.04499999999999</v>
      </c>
      <c r="F28" s="40">
        <f>+F24-SUM(F25:F27)</f>
        <v>304.60399999999993</v>
      </c>
      <c r="G28" s="49">
        <f>+G24-SUM(G25:G27)</f>
        <v>387.96600000000001</v>
      </c>
      <c r="H28" s="49">
        <f>+H24-SUM(H25:H27)</f>
        <v>373.56299999999999</v>
      </c>
      <c r="I28" s="49">
        <f>+I24-SUM(I25:I27)</f>
        <v>407.21023893855539</v>
      </c>
      <c r="J28" s="49">
        <f>+J24-SUM(J25:J27)</f>
        <v>400.90082359422581</v>
      </c>
      <c r="O28" s="49">
        <f>+O24-SUM(O25:O27)</f>
        <v>468.13900000000001</v>
      </c>
      <c r="P28" s="49">
        <f>+P24-SUM(P25:P27)</f>
        <v>574.32500000000005</v>
      </c>
      <c r="Q28" s="49">
        <f>+Q24-SUM(Q25:Q27)</f>
        <v>841.74800000000005</v>
      </c>
      <c r="R28" s="49">
        <f>+R24-SUM(R25:R27)</f>
        <v>1569.640062532781</v>
      </c>
      <c r="S28" s="49">
        <f>+S24-SUM(S25:S27)</f>
        <v>1575.6707546467064</v>
      </c>
      <c r="T28" s="49">
        <f t="shared" ref="T28:AA28" si="24">+T24-SUM(T25:T27)</f>
        <v>1592.2866476264026</v>
      </c>
      <c r="U28" s="49">
        <f t="shared" si="24"/>
        <v>1609.0781591675154</v>
      </c>
      <c r="V28" s="49">
        <f t="shared" si="24"/>
        <v>1626.047149606203</v>
      </c>
      <c r="W28" s="49">
        <f t="shared" si="24"/>
        <v>1643.1954990286838</v>
      </c>
      <c r="X28" s="49">
        <f t="shared" si="24"/>
        <v>1660.5251074813589</v>
      </c>
      <c r="Y28" s="49">
        <f t="shared" si="24"/>
        <v>1678.0378951831817</v>
      </c>
      <c r="Z28" s="49">
        <f t="shared" si="24"/>
        <v>1695.7358027402863</v>
      </c>
      <c r="AA28" s="49">
        <f t="shared" si="24"/>
        <v>1713.6207913629059</v>
      </c>
    </row>
    <row r="29" spans="2:42" s="13" customFormat="1">
      <c r="B29" s="13" t="s">
        <v>265</v>
      </c>
      <c r="C29" s="36">
        <v>2.0489999999999999</v>
      </c>
      <c r="D29" s="36">
        <v>2.7130000000000001</v>
      </c>
      <c r="E29" s="36">
        <v>6.7809999999999997</v>
      </c>
      <c r="F29" s="37">
        <f>+Q29-SUM(C29:E29)</f>
        <v>2.8680000000000003</v>
      </c>
      <c r="G29" s="36">
        <v>3.1920000000000002</v>
      </c>
      <c r="H29" s="36">
        <v>3.5510000000000002</v>
      </c>
      <c r="I29" s="38">
        <f>AVERAGE(G29:H29)</f>
        <v>3.3715000000000002</v>
      </c>
      <c r="J29" s="38">
        <f>AVERAGE(H29:I29)</f>
        <v>3.4612500000000002</v>
      </c>
      <c r="O29" s="36">
        <v>9.952</v>
      </c>
      <c r="P29" s="36">
        <v>6.008</v>
      </c>
      <c r="Q29" s="36">
        <v>14.411</v>
      </c>
      <c r="R29" s="1">
        <f>SUM(G29:J29)</f>
        <v>13.575749999999999</v>
      </c>
      <c r="S29" s="13">
        <f>+S$28*(R29/R$28)</f>
        <v>13.627909199054535</v>
      </c>
      <c r="T29" s="13">
        <f t="shared" ref="T29:AA29" si="25">+T$28*(S29/S$28)</f>
        <v>13.771619349237071</v>
      </c>
      <c r="U29" s="13">
        <f t="shared" si="25"/>
        <v>13.916848416872124</v>
      </c>
      <c r="V29" s="13">
        <f t="shared" si="25"/>
        <v>14.063612491927834</v>
      </c>
      <c r="W29" s="13">
        <f t="shared" si="25"/>
        <v>14.211927835189776</v>
      </c>
      <c r="X29" s="13">
        <f t="shared" si="25"/>
        <v>14.361810880078286</v>
      </c>
      <c r="Y29" s="13">
        <f t="shared" si="25"/>
        <v>14.513278234485249</v>
      </c>
      <c r="Z29" s="13">
        <f t="shared" si="25"/>
        <v>14.666346682630408</v>
      </c>
      <c r="AA29" s="13">
        <f t="shared" si="25"/>
        <v>14.821033186937479</v>
      </c>
    </row>
    <row r="30" spans="2:42" s="13" customFormat="1">
      <c r="B30" s="13" t="s">
        <v>266</v>
      </c>
      <c r="C30" s="39">
        <v>1.1559999999999999</v>
      </c>
      <c r="D30" s="39">
        <v>1.544</v>
      </c>
      <c r="E30" s="39">
        <v>8.6159999999999997</v>
      </c>
      <c r="F30" s="37">
        <f>+Q30-SUM(C30:E30)</f>
        <v>17.706</v>
      </c>
      <c r="G30" s="39">
        <v>13.242000000000001</v>
      </c>
      <c r="H30" s="39">
        <v>10.01</v>
      </c>
      <c r="I30" s="38">
        <f>AVERAGE(G30:H30)</f>
        <v>11.626000000000001</v>
      </c>
      <c r="J30" s="38">
        <f>AVERAGE(H30:I30)</f>
        <v>10.818000000000001</v>
      </c>
      <c r="K30" s="32"/>
      <c r="L30" s="32"/>
      <c r="M30" s="32"/>
      <c r="N30" s="32"/>
      <c r="O30" s="39">
        <v>30.867000000000001</v>
      </c>
      <c r="P30" s="39">
        <v>9.7490000000000006</v>
      </c>
      <c r="Q30" s="39">
        <v>29.021999999999998</v>
      </c>
      <c r="R30" s="1">
        <f>SUM(G30:J30)</f>
        <v>45.695999999999998</v>
      </c>
      <c r="S30" s="13">
        <f>+S$28*(R30/R$28)</f>
        <v>45.871567961990763</v>
      </c>
      <c r="T30" s="13">
        <f t="shared" ref="T30:AA30" si="26">+T$28*(S30/S$28)</f>
        <v>46.355296597443029</v>
      </c>
      <c r="U30" s="13">
        <f t="shared" si="26"/>
        <v>46.844137911893533</v>
      </c>
      <c r="V30" s="13">
        <f t="shared" si="26"/>
        <v>47.338146064205247</v>
      </c>
      <c r="W30" s="13">
        <f t="shared" si="26"/>
        <v>47.837375788212952</v>
      </c>
      <c r="X30" s="13">
        <f t="shared" si="26"/>
        <v>48.341882398840383</v>
      </c>
      <c r="Y30" s="13">
        <f t="shared" si="26"/>
        <v>48.851721798282817</v>
      </c>
      <c r="Z30" s="13">
        <f t="shared" si="26"/>
        <v>49.366950482255426</v>
      </c>
      <c r="AA30" s="13">
        <f t="shared" si="26"/>
        <v>49.887625546308307</v>
      </c>
    </row>
    <row r="31" spans="2:42" s="13" customFormat="1">
      <c r="B31" s="13" t="s">
        <v>26</v>
      </c>
      <c r="C31" s="39">
        <v>10.388999999999999</v>
      </c>
      <c r="D31" s="39">
        <v>10.538</v>
      </c>
      <c r="E31" s="39">
        <v>28.704000000000001</v>
      </c>
      <c r="F31" s="35">
        <f>+Q31-SUM(C31:E31)</f>
        <v>52.659000000000006</v>
      </c>
      <c r="G31" s="39">
        <v>25.398</v>
      </c>
      <c r="H31" s="39">
        <v>58.241</v>
      </c>
      <c r="I31" s="38">
        <f>AVERAGE(G31:H31)</f>
        <v>41.819499999999998</v>
      </c>
      <c r="J31" s="38">
        <f>AVERAGE(H31:I31)</f>
        <v>50.030249999999995</v>
      </c>
      <c r="K31" s="32"/>
      <c r="L31" s="32"/>
      <c r="M31" s="32"/>
      <c r="N31" s="32"/>
      <c r="O31" s="39">
        <v>42.008000000000003</v>
      </c>
      <c r="P31" s="39">
        <v>93.613</v>
      </c>
      <c r="Q31" s="39">
        <v>102.29</v>
      </c>
      <c r="R31" s="1">
        <f>SUM(G31:J31)</f>
        <v>175.48874999999998</v>
      </c>
      <c r="S31" s="13">
        <f>+S$28*(R31/R$28)</f>
        <v>176.16299287005</v>
      </c>
      <c r="T31" s="13">
        <f t="shared" ref="T31:AA31" si="27">+T$28*(S31/S$28)</f>
        <v>178.02068136739604</v>
      </c>
      <c r="U31" s="13">
        <f t="shared" si="27"/>
        <v>179.89800435455632</v>
      </c>
      <c r="V31" s="13">
        <f t="shared" si="27"/>
        <v>181.79516982065823</v>
      </c>
      <c r="W31" s="13">
        <f t="shared" si="27"/>
        <v>183.7123879629236</v>
      </c>
      <c r="X31" s="13">
        <f t="shared" si="27"/>
        <v>185.64987121016065</v>
      </c>
      <c r="Y31" s="13">
        <f t="shared" si="27"/>
        <v>187.60783424650745</v>
      </c>
      <c r="Z31" s="13">
        <f t="shared" si="27"/>
        <v>189.58649403542768</v>
      </c>
      <c r="AA31" s="13">
        <f t="shared" si="27"/>
        <v>191.58606984396258</v>
      </c>
    </row>
    <row r="32" spans="2:42" s="13" customFormat="1">
      <c r="B32" s="13" t="s">
        <v>258</v>
      </c>
      <c r="C32" s="49">
        <f>+C28+C29-SUM(C30:C31)</f>
        <v>146.61000000000001</v>
      </c>
      <c r="D32" s="49">
        <f>+D28+D29-SUM(D30:D31)</f>
        <v>163.624</v>
      </c>
      <c r="E32" s="49">
        <f>+E28+E29-SUM(E30:E31)</f>
        <v>177.506</v>
      </c>
      <c r="F32" s="49">
        <f>+F28+F29-SUM(F30:F31)</f>
        <v>237.10699999999991</v>
      </c>
      <c r="G32" s="49">
        <f>+G28+G29-SUM(G30:G31)</f>
        <v>352.51800000000003</v>
      </c>
      <c r="H32" s="49">
        <f>+H28+H29-SUM(H30:H31)</f>
        <v>308.86299999999994</v>
      </c>
      <c r="I32" s="49">
        <f>+I28+I29-SUM(I30:I31)</f>
        <v>357.13623893855544</v>
      </c>
      <c r="J32" s="49">
        <f>+J28+J29-SUM(J30:J31)</f>
        <v>343.51382359422581</v>
      </c>
      <c r="O32" s="49">
        <f>+O28+O29-SUM(O30:O31)</f>
        <v>405.21600000000001</v>
      </c>
      <c r="P32" s="49">
        <f>+P28+P29-SUM(P30:P31)</f>
        <v>476.97100000000012</v>
      </c>
      <c r="Q32" s="49">
        <f>+Q28+Q29-SUM(Q30:Q31)</f>
        <v>724.84699999999998</v>
      </c>
      <c r="R32" s="49">
        <f>+R28+R29-SUM(R30:R31)</f>
        <v>1362.0310625327811</v>
      </c>
      <c r="S32" s="49">
        <f>+S28+S29-SUM(S30:S31)</f>
        <v>1367.2641030137202</v>
      </c>
      <c r="T32" s="49">
        <f t="shared" ref="T32:AA32" si="28">+T28+T29-SUM(T30:T31)</f>
        <v>1381.6822890108006</v>
      </c>
      <c r="U32" s="49">
        <f t="shared" si="28"/>
        <v>1396.2528653179377</v>
      </c>
      <c r="V32" s="49">
        <f t="shared" si="28"/>
        <v>1410.9774462132673</v>
      </c>
      <c r="W32" s="49">
        <f t="shared" si="28"/>
        <v>1425.8576631127371</v>
      </c>
      <c r="X32" s="49">
        <f t="shared" si="28"/>
        <v>1440.8951647524361</v>
      </c>
      <c r="Y32" s="49">
        <f t="shared" si="28"/>
        <v>1456.0916173728765</v>
      </c>
      <c r="Z32" s="49">
        <f t="shared" si="28"/>
        <v>1471.4487049052336</v>
      </c>
      <c r="AA32" s="49">
        <f t="shared" si="28"/>
        <v>1486.9681291595725</v>
      </c>
      <c r="AB32" s="13">
        <f>+AA32*(1+$AE$35)</f>
        <v>1457.2287665763811</v>
      </c>
      <c r="AC32" s="13">
        <f t="shared" ref="AC32:AP32" si="29">+AB32*(1+$AE$35)</f>
        <v>1428.0841912448534</v>
      </c>
      <c r="AD32" s="13">
        <f t="shared" si="29"/>
        <v>1399.5225074199564</v>
      </c>
      <c r="AE32" s="13">
        <f t="shared" si="29"/>
        <v>1371.5320572715573</v>
      </c>
      <c r="AF32" s="13">
        <f t="shared" si="29"/>
        <v>1344.1014161261262</v>
      </c>
      <c r="AG32" s="13">
        <f t="shared" si="29"/>
        <v>1317.2193878036037</v>
      </c>
      <c r="AH32" s="13">
        <f t="shared" si="29"/>
        <v>1290.8750000475316</v>
      </c>
      <c r="AI32" s="13">
        <f t="shared" si="29"/>
        <v>1265.0575000465808</v>
      </c>
      <c r="AJ32" s="13">
        <f t="shared" si="29"/>
        <v>1239.7563500456492</v>
      </c>
      <c r="AK32" s="13">
        <f t="shared" si="29"/>
        <v>1214.9612230447362</v>
      </c>
      <c r="AL32" s="13">
        <f t="shared" si="29"/>
        <v>1190.6619985838415</v>
      </c>
      <c r="AM32" s="13">
        <f t="shared" si="29"/>
        <v>1166.8487586121646</v>
      </c>
      <c r="AN32" s="13">
        <f t="shared" si="29"/>
        <v>1143.5117834399214</v>
      </c>
      <c r="AO32" s="13">
        <f t="shared" si="29"/>
        <v>1120.641547771123</v>
      </c>
      <c r="AP32" s="13">
        <f t="shared" si="29"/>
        <v>1098.2287168157004</v>
      </c>
    </row>
    <row r="33" spans="2:31" s="13" customFormat="1">
      <c r="B33" s="13" t="s">
        <v>259</v>
      </c>
      <c r="C33" s="39">
        <v>136.369</v>
      </c>
      <c r="D33" s="39">
        <v>152.80199999999999</v>
      </c>
      <c r="E33" s="39">
        <v>173.97</v>
      </c>
      <c r="F33" s="35">
        <f>+Q33-SUM(C33:E33)</f>
        <v>241.70500000000004</v>
      </c>
      <c r="G33" s="39">
        <v>293.56200000000001</v>
      </c>
      <c r="H33" s="39">
        <v>335.15300000000002</v>
      </c>
      <c r="I33" s="41"/>
      <c r="J33" s="41"/>
      <c r="O33" s="41">
        <v>415.79199999999997</v>
      </c>
      <c r="P33" s="41">
        <v>529.50300000000004</v>
      </c>
      <c r="Q33" s="41">
        <v>704.846</v>
      </c>
      <c r="R33" s="1"/>
    </row>
    <row r="34" spans="2:31" s="13" customFormat="1">
      <c r="B34" s="13" t="s">
        <v>260</v>
      </c>
      <c r="C34" s="41"/>
      <c r="D34" s="41"/>
      <c r="E34" s="41"/>
      <c r="F34" s="41"/>
      <c r="G34" s="41"/>
      <c r="H34" s="41"/>
      <c r="I34" s="41"/>
      <c r="J34" s="41"/>
      <c r="O34" s="41">
        <f>+O32-O33</f>
        <v>-10.575999999999965</v>
      </c>
      <c r="P34" s="41">
        <f>+P32-P33</f>
        <v>-52.531999999999925</v>
      </c>
      <c r="Q34" s="41">
        <f>+Q32-Q33</f>
        <v>20.000999999999976</v>
      </c>
    </row>
    <row r="35" spans="2:31" s="12" customFormat="1">
      <c r="C35" s="43"/>
      <c r="D35" s="43"/>
      <c r="E35" s="43"/>
      <c r="F35" s="43"/>
      <c r="G35" s="43"/>
      <c r="H35" s="43"/>
      <c r="I35" s="43"/>
      <c r="J35" s="43"/>
      <c r="O35" s="43"/>
      <c r="P35" s="43"/>
      <c r="Q35" s="43"/>
      <c r="AD35" s="13" t="s">
        <v>281</v>
      </c>
      <c r="AE35" s="56">
        <v>-0.02</v>
      </c>
    </row>
    <row r="36" spans="2:31" s="25" customFormat="1">
      <c r="B36" s="25" t="s">
        <v>280</v>
      </c>
      <c r="C36" s="44"/>
      <c r="D36" s="44"/>
      <c r="E36" s="44"/>
      <c r="F36" s="44"/>
      <c r="G36" s="44"/>
      <c r="H36" s="44"/>
      <c r="I36" s="44"/>
      <c r="J36" s="44"/>
      <c r="O36" s="44"/>
      <c r="P36" s="44"/>
      <c r="Q36" s="44"/>
      <c r="AD36" s="25" t="s">
        <v>28</v>
      </c>
      <c r="AE36" s="57">
        <v>0.08</v>
      </c>
    </row>
    <row r="37" spans="2:31" s="25" customFormat="1">
      <c r="B37" s="25" t="s">
        <v>79</v>
      </c>
      <c r="C37" s="44"/>
      <c r="D37" s="44"/>
      <c r="E37" s="44"/>
      <c r="F37" s="44"/>
      <c r="G37" s="44">
        <f>+G22/C22-1</f>
        <v>1.5536568638657107</v>
      </c>
      <c r="H37" s="44">
        <f>+H22/D22-1</f>
        <v>1.3347223160724071</v>
      </c>
      <c r="I37" s="44"/>
      <c r="J37" s="44"/>
      <c r="O37" s="44"/>
      <c r="P37" s="25">
        <f>+P22/O22-1</f>
        <v>0.15543176819355464</v>
      </c>
      <c r="Q37" s="25">
        <f>+Q22/P22-1</f>
        <v>0.42040248792660373</v>
      </c>
      <c r="R37" s="25">
        <f>+R22/Q22-1</f>
        <v>0.8920780818445615</v>
      </c>
      <c r="S37" s="25">
        <f t="shared" ref="S37:AA37" si="30">+S22/R22-1</f>
        <v>1.0370022339807328E-3</v>
      </c>
      <c r="T37" s="25">
        <f t="shared" si="30"/>
        <v>1.079748423110316E-2</v>
      </c>
      <c r="U37" s="25">
        <f t="shared" si="30"/>
        <v>1.079765189868942E-2</v>
      </c>
      <c r="V37" s="25">
        <f t="shared" si="30"/>
        <v>1.0797819469187564E-2</v>
      </c>
      <c r="W37" s="25">
        <f t="shared" si="30"/>
        <v>1.0797986942598703E-2</v>
      </c>
      <c r="X37" s="25">
        <f t="shared" si="30"/>
        <v>1.0798154318922615E-2</v>
      </c>
      <c r="Y37" s="25">
        <f t="shared" si="30"/>
        <v>1.0798321598161076E-2</v>
      </c>
      <c r="Z37" s="25">
        <f t="shared" si="30"/>
        <v>1.079848878031453E-2</v>
      </c>
      <c r="AA37" s="25">
        <f t="shared" si="30"/>
        <v>1.0798655865384088E-2</v>
      </c>
      <c r="AD37" s="25" t="s">
        <v>29</v>
      </c>
      <c r="AE37" s="58">
        <f>NPV(AE36,R32:AQ32)</f>
        <v>14645.804217993989</v>
      </c>
    </row>
    <row r="38" spans="2:31" s="25" customFormat="1">
      <c r="B38" s="25" t="s">
        <v>254</v>
      </c>
      <c r="C38" s="44"/>
      <c r="D38" s="44"/>
      <c r="E38" s="44"/>
      <c r="F38" s="44"/>
      <c r="G38" s="44">
        <f>+G23/C23-1</f>
        <v>1.2035121346224318</v>
      </c>
      <c r="H38" s="44">
        <f>+H23/D23-1</f>
        <v>0.82565531313765494</v>
      </c>
      <c r="I38" s="44"/>
      <c r="J38" s="44"/>
      <c r="O38" s="44"/>
      <c r="P38" s="25">
        <f>+P23/O23-1</f>
        <v>0.25962856853236005</v>
      </c>
      <c r="Q38" s="25">
        <f>+Q23/P23-1</f>
        <v>0.45696121575088622</v>
      </c>
      <c r="R38" s="25">
        <f>+R23/Q23-1</f>
        <v>0.73096588726199707</v>
      </c>
      <c r="S38" s="25">
        <f t="shared" ref="S38:AA38" si="31">+S23/R23-1</f>
        <v>9.9609865027521227E-3</v>
      </c>
      <c r="T38" s="25">
        <f t="shared" si="31"/>
        <v>1.0000000000000009E-2</v>
      </c>
      <c r="U38" s="25">
        <f t="shared" si="31"/>
        <v>1.0000000000000009E-2</v>
      </c>
      <c r="V38" s="25">
        <f t="shared" si="31"/>
        <v>1.0000000000000009E-2</v>
      </c>
      <c r="W38" s="25">
        <f t="shared" si="31"/>
        <v>1.0000000000000009E-2</v>
      </c>
      <c r="X38" s="25">
        <f t="shared" si="31"/>
        <v>1.0000000000000009E-2</v>
      </c>
      <c r="Y38" s="25">
        <f t="shared" si="31"/>
        <v>1.0000000000000009E-2</v>
      </c>
      <c r="Z38" s="25">
        <f t="shared" si="31"/>
        <v>1.0000000000000009E-2</v>
      </c>
      <c r="AA38" s="25">
        <f t="shared" si="31"/>
        <v>1.0000000000000009E-2</v>
      </c>
      <c r="AD38" s="25" t="s">
        <v>1</v>
      </c>
      <c r="AE38" s="59">
        <f>+Main!F5</f>
        <v>84.727857</v>
      </c>
    </row>
    <row r="39" spans="2:31" s="25" customFormat="1">
      <c r="B39" s="25" t="s">
        <v>24</v>
      </c>
      <c r="C39" s="44"/>
      <c r="D39" s="44"/>
      <c r="E39" s="44"/>
      <c r="F39" s="44"/>
      <c r="G39" s="44">
        <f>+G24/C24-1</f>
        <v>1.4252207448458409</v>
      </c>
      <c r="H39" s="44">
        <f>+H24/D24-1</f>
        <v>1.1490772408332259</v>
      </c>
      <c r="I39" s="44"/>
      <c r="J39" s="44"/>
      <c r="O39" s="44"/>
      <c r="P39" s="25">
        <f>+P24/O24-1</f>
        <v>0.18767510239930529</v>
      </c>
      <c r="Q39" s="25">
        <f>+Q24/P24-1</f>
        <v>0.43240083681426755</v>
      </c>
      <c r="R39" s="25">
        <f>+R24/Q24-1</f>
        <v>0.83829542531335877</v>
      </c>
      <c r="S39" s="25">
        <f t="shared" ref="S39:AA39" si="32">+S24/R24-1</f>
        <v>3.8420860029491077E-3</v>
      </c>
      <c r="T39" s="25">
        <f t="shared" si="32"/>
        <v>1.0545282338137785E-2</v>
      </c>
      <c r="U39" s="25">
        <f t="shared" si="32"/>
        <v>1.0545533096156801E-2</v>
      </c>
      <c r="V39" s="25">
        <f t="shared" si="32"/>
        <v>1.0545783834059907E-2</v>
      </c>
      <c r="W39" s="25">
        <f t="shared" si="32"/>
        <v>1.0546034551724759E-2</v>
      </c>
      <c r="X39" s="25">
        <f t="shared" si="32"/>
        <v>1.0546285249027898E-2</v>
      </c>
      <c r="Y39" s="25">
        <f t="shared" si="32"/>
        <v>1.0546535925846756E-2</v>
      </c>
      <c r="Z39" s="25">
        <f t="shared" si="32"/>
        <v>1.0546786582058987E-2</v>
      </c>
      <c r="AA39" s="25">
        <f t="shared" si="32"/>
        <v>1.0547037217541799E-2</v>
      </c>
      <c r="AD39" s="25" t="s">
        <v>30</v>
      </c>
      <c r="AE39" s="59">
        <f>+AE37/AE38</f>
        <v>172.8570122810257</v>
      </c>
    </row>
    <row r="40" spans="2:31" s="13" customFormat="1">
      <c r="C40" s="41"/>
      <c r="D40" s="41"/>
      <c r="E40" s="41"/>
      <c r="F40" s="41"/>
      <c r="G40" s="41"/>
      <c r="H40" s="41"/>
      <c r="I40" s="41"/>
      <c r="J40" s="41"/>
      <c r="O40" s="41"/>
      <c r="P40" s="41"/>
      <c r="Q40" s="41"/>
      <c r="AD40" s="13" t="s">
        <v>42</v>
      </c>
      <c r="AE40" s="60">
        <f>+Main!F4</f>
        <v>207</v>
      </c>
    </row>
    <row r="41" spans="2:31" s="13" customFormat="1">
      <c r="C41" s="41"/>
      <c r="D41" s="41"/>
      <c r="E41" s="41"/>
      <c r="F41" s="41"/>
      <c r="G41" s="41"/>
      <c r="H41" s="41"/>
      <c r="I41" s="41"/>
      <c r="J41" s="41"/>
      <c r="O41" s="41"/>
      <c r="P41" s="41"/>
      <c r="Q41" s="41"/>
      <c r="AD41" s="13" t="s">
        <v>43</v>
      </c>
      <c r="AE41" s="56">
        <f>+AE39/AE40-1</f>
        <v>-0.16494196965688068</v>
      </c>
    </row>
    <row r="42" spans="2:31" s="13" customFormat="1">
      <c r="C42" s="41"/>
      <c r="D42" s="41"/>
      <c r="E42" s="41"/>
      <c r="F42" s="41"/>
      <c r="G42" s="41"/>
      <c r="H42" s="41"/>
      <c r="I42" s="41"/>
      <c r="J42" s="41"/>
      <c r="O42" s="41"/>
      <c r="P42" s="41"/>
      <c r="Q42" s="41"/>
      <c r="AE42" s="61">
        <f>+AE40/AE39</f>
        <v>1.1975215657636478</v>
      </c>
    </row>
    <row r="43" spans="2:31" s="12" customFormat="1">
      <c r="C43" s="43"/>
      <c r="D43" s="43"/>
      <c r="E43" s="43"/>
      <c r="F43" s="43"/>
      <c r="G43" s="43"/>
      <c r="H43" s="43"/>
      <c r="I43" s="43"/>
      <c r="J43" s="43"/>
      <c r="O43" s="43"/>
      <c r="P43" s="43"/>
      <c r="Q43" s="43"/>
    </row>
    <row r="44" spans="2:31" s="26" customFormat="1">
      <c r="C44" s="45"/>
      <c r="D44" s="45"/>
      <c r="E44" s="45"/>
      <c r="F44" s="45"/>
      <c r="G44" s="45"/>
      <c r="H44" s="45"/>
      <c r="I44" s="45"/>
      <c r="J44" s="45"/>
      <c r="O44" s="45"/>
      <c r="P44" s="45"/>
      <c r="Q44" s="45"/>
    </row>
    <row r="45" spans="2:31" s="13" customFormat="1">
      <c r="C45" s="41"/>
      <c r="D45" s="41"/>
      <c r="E45" s="41"/>
      <c r="F45" s="41"/>
      <c r="G45" s="41"/>
      <c r="H45" s="41"/>
      <c r="I45" s="41"/>
      <c r="J45" s="41"/>
      <c r="O45" s="41"/>
      <c r="P45" s="41"/>
      <c r="Q45" s="41"/>
    </row>
    <row r="46" spans="2:31" s="26" customFormat="1">
      <c r="C46" s="45"/>
      <c r="D46" s="45"/>
      <c r="E46" s="45"/>
      <c r="F46" s="45"/>
      <c r="G46" s="45"/>
      <c r="H46" s="45"/>
      <c r="I46" s="45"/>
      <c r="J46" s="45"/>
      <c r="O46" s="45"/>
      <c r="P46" s="45"/>
      <c r="Q46" s="45"/>
    </row>
    <row r="53" spans="2:25" s="12" customFormat="1">
      <c r="C53" s="43"/>
      <c r="D53" s="43"/>
      <c r="E53" s="43"/>
      <c r="F53" s="43"/>
      <c r="G53" s="43"/>
      <c r="H53" s="43"/>
      <c r="I53" s="43"/>
      <c r="J53" s="43"/>
      <c r="O53" s="43"/>
      <c r="P53" s="43"/>
      <c r="Q53" s="43"/>
    </row>
    <row r="54" spans="2:25" s="17" customFormat="1">
      <c r="C54" s="33"/>
      <c r="D54" s="33"/>
      <c r="E54" s="33"/>
      <c r="F54" s="33"/>
      <c r="G54" s="33"/>
      <c r="H54" s="33"/>
      <c r="I54" s="33"/>
      <c r="J54" s="33"/>
      <c r="O54" s="33"/>
      <c r="P54" s="33"/>
      <c r="Q54" s="33"/>
    </row>
    <row r="55" spans="2:25" s="12" customFormat="1">
      <c r="C55" s="43"/>
      <c r="D55" s="43"/>
      <c r="E55" s="43"/>
      <c r="F55" s="43"/>
      <c r="G55" s="43"/>
      <c r="H55" s="43"/>
      <c r="I55" s="43"/>
      <c r="J55" s="43"/>
      <c r="O55" s="43"/>
      <c r="P55" s="43"/>
      <c r="Q55" s="43"/>
    </row>
    <row r="56" spans="2:25" s="12" customFormat="1">
      <c r="C56" s="43"/>
      <c r="D56" s="43"/>
      <c r="E56" s="43"/>
      <c r="F56" s="43"/>
      <c r="G56" s="43"/>
      <c r="H56" s="43"/>
      <c r="I56" s="43"/>
      <c r="J56" s="43"/>
      <c r="O56" s="43"/>
      <c r="P56" s="43"/>
      <c r="Q56" s="43"/>
    </row>
    <row r="57" spans="2:25" s="17" customFormat="1">
      <c r="C57" s="33"/>
      <c r="D57" s="33"/>
      <c r="E57" s="33"/>
      <c r="F57" s="33"/>
      <c r="G57" s="33"/>
      <c r="H57" s="33"/>
      <c r="I57" s="33"/>
      <c r="J57" s="33"/>
      <c r="O57" s="33"/>
      <c r="P57" s="33"/>
      <c r="Q57" s="33"/>
    </row>
    <row r="58" spans="2:25" s="13" customFormat="1">
      <c r="B58" s="15"/>
      <c r="C58" s="41"/>
      <c r="D58" s="41"/>
      <c r="E58" s="41"/>
      <c r="F58" s="41"/>
      <c r="G58" s="41"/>
      <c r="H58" s="41"/>
      <c r="I58" s="41"/>
      <c r="J58" s="41"/>
      <c r="O58" s="41"/>
      <c r="P58" s="41"/>
      <c r="Q58" s="41"/>
    </row>
    <row r="59" spans="2:25" s="2" customFormat="1">
      <c r="B59" s="16"/>
      <c r="C59" s="46"/>
      <c r="D59" s="46"/>
      <c r="E59" s="46"/>
      <c r="F59" s="41"/>
      <c r="G59" s="46"/>
      <c r="H59" s="46"/>
      <c r="I59" s="46"/>
      <c r="J59" s="46"/>
      <c r="O59" s="46"/>
      <c r="P59" s="41"/>
      <c r="Q59" s="41"/>
      <c r="R59" s="13"/>
      <c r="S59" s="13"/>
      <c r="T59" s="13"/>
      <c r="U59" s="13"/>
      <c r="V59" s="13"/>
      <c r="W59" s="13"/>
      <c r="X59" s="13"/>
      <c r="Y59" s="13"/>
    </row>
    <row r="60" spans="2:25" s="2" customFormat="1">
      <c r="B60" s="16"/>
      <c r="C60" s="46"/>
      <c r="D60" s="46"/>
      <c r="E60" s="46"/>
      <c r="F60" s="41"/>
      <c r="G60" s="46"/>
      <c r="H60" s="46"/>
      <c r="I60" s="46"/>
      <c r="J60" s="46"/>
      <c r="O60" s="46"/>
      <c r="P60" s="41"/>
      <c r="Q60" s="41"/>
      <c r="R60" s="13"/>
      <c r="S60" s="13"/>
      <c r="T60" s="13"/>
      <c r="U60" s="13"/>
      <c r="V60" s="13"/>
      <c r="W60" s="13"/>
      <c r="X60" s="13"/>
      <c r="Y60" s="13"/>
    </row>
    <row r="70" spans="3:17" s="12" customFormat="1">
      <c r="C70" s="43"/>
      <c r="D70" s="43"/>
      <c r="E70" s="43"/>
      <c r="F70" s="43"/>
      <c r="G70" s="43"/>
      <c r="H70" s="43"/>
      <c r="I70" s="43"/>
      <c r="J70" s="43"/>
      <c r="O70" s="43"/>
      <c r="P70" s="43"/>
      <c r="Q70" s="43"/>
    </row>
    <row r="71" spans="3:17" s="13" customFormat="1">
      <c r="C71" s="41"/>
      <c r="D71" s="41"/>
      <c r="E71" s="41"/>
      <c r="F71" s="41"/>
      <c r="G71" s="41"/>
      <c r="H71" s="41"/>
      <c r="I71" s="41"/>
      <c r="J71" s="41"/>
      <c r="O71" s="41"/>
      <c r="P71" s="41"/>
      <c r="Q71" s="41"/>
    </row>
    <row r="72" spans="3:17" s="13" customFormat="1">
      <c r="C72" s="41"/>
      <c r="D72" s="41"/>
      <c r="E72" s="41"/>
      <c r="F72" s="41"/>
      <c r="G72" s="41"/>
      <c r="H72" s="41"/>
      <c r="I72" s="41"/>
      <c r="J72" s="41"/>
      <c r="O72" s="41"/>
      <c r="P72" s="41"/>
      <c r="Q72" s="41"/>
    </row>
    <row r="73" spans="3:17" s="13" customFormat="1">
      <c r="C73" s="41"/>
      <c r="D73" s="41"/>
      <c r="E73" s="41"/>
      <c r="F73" s="41"/>
      <c r="G73" s="41"/>
      <c r="H73" s="41"/>
      <c r="I73" s="41"/>
      <c r="J73" s="41"/>
      <c r="O73" s="41"/>
      <c r="P73" s="41"/>
      <c r="Q73" s="41"/>
    </row>
    <row r="74" spans="3:17" s="13" customFormat="1">
      <c r="C74" s="41"/>
      <c r="D74" s="41"/>
      <c r="E74" s="41"/>
      <c r="F74" s="41"/>
      <c r="G74" s="41"/>
      <c r="H74" s="41"/>
      <c r="I74" s="41"/>
      <c r="J74" s="41"/>
      <c r="O74" s="41"/>
      <c r="P74" s="41"/>
      <c r="Q74" s="41"/>
    </row>
    <row r="75" spans="3:17" s="13" customFormat="1">
      <c r="C75" s="41"/>
      <c r="D75" s="41"/>
      <c r="E75" s="41"/>
      <c r="F75" s="41"/>
      <c r="G75" s="41"/>
      <c r="H75" s="41"/>
      <c r="I75" s="41"/>
      <c r="J75" s="41"/>
      <c r="O75" s="41"/>
      <c r="P75" s="41"/>
      <c r="Q75" s="41"/>
    </row>
    <row r="76" spans="3:17" s="13" customFormat="1">
      <c r="C76" s="41"/>
      <c r="D76" s="41"/>
      <c r="E76" s="41"/>
      <c r="F76" s="41"/>
      <c r="G76" s="41"/>
      <c r="H76" s="41"/>
      <c r="I76" s="41"/>
      <c r="J76" s="41"/>
      <c r="O76" s="41"/>
      <c r="P76" s="41"/>
      <c r="Q76" s="41"/>
    </row>
    <row r="77" spans="3:17" s="13" customFormat="1">
      <c r="C77" s="41"/>
      <c r="D77" s="41"/>
      <c r="E77" s="41"/>
      <c r="F77" s="41"/>
      <c r="G77" s="41"/>
      <c r="H77" s="41"/>
      <c r="I77" s="41"/>
      <c r="J77" s="41"/>
      <c r="O77" s="41"/>
      <c r="P77" s="41"/>
      <c r="Q77" s="41"/>
    </row>
    <row r="78" spans="3:17" s="13" customFormat="1">
      <c r="C78" s="41"/>
      <c r="D78" s="41"/>
      <c r="E78" s="41"/>
      <c r="F78" s="41"/>
      <c r="G78" s="41"/>
      <c r="H78" s="41"/>
      <c r="I78" s="41"/>
      <c r="J78" s="41"/>
      <c r="O78" s="41"/>
      <c r="P78" s="41"/>
      <c r="Q78" s="41"/>
    </row>
    <row r="79" spans="3:17" s="12" customFormat="1">
      <c r="C79" s="43"/>
      <c r="D79" s="43"/>
      <c r="E79" s="43"/>
      <c r="F79" s="43"/>
      <c r="G79" s="43"/>
      <c r="H79" s="43"/>
      <c r="I79" s="43"/>
      <c r="J79" s="43"/>
      <c r="O79" s="43"/>
      <c r="P79" s="43"/>
      <c r="Q79" s="43"/>
    </row>
    <row r="80" spans="3:17" s="13" customFormat="1">
      <c r="C80" s="41"/>
      <c r="D80" s="41"/>
      <c r="E80" s="41"/>
      <c r="F80" s="41"/>
      <c r="G80" s="41"/>
      <c r="H80" s="41"/>
      <c r="I80" s="41"/>
      <c r="J80" s="41"/>
      <c r="O80" s="41"/>
      <c r="P80" s="41"/>
      <c r="Q80" s="41"/>
    </row>
    <row r="81" spans="3:30" s="13" customFormat="1">
      <c r="C81" s="41"/>
      <c r="D81" s="41"/>
      <c r="E81" s="41"/>
      <c r="F81" s="41"/>
      <c r="G81" s="41"/>
      <c r="H81" s="41"/>
      <c r="I81" s="41"/>
      <c r="J81" s="41"/>
      <c r="O81" s="41"/>
      <c r="P81" s="41"/>
      <c r="Q81" s="41"/>
    </row>
    <row r="83" spans="3:30" s="19" customFormat="1">
      <c r="C83" s="47"/>
      <c r="D83" s="47"/>
      <c r="E83" s="47"/>
      <c r="F83" s="47"/>
      <c r="G83" s="47"/>
      <c r="H83" s="47"/>
      <c r="I83" s="47"/>
      <c r="J83" s="47"/>
      <c r="O83" s="47"/>
      <c r="P83" s="47"/>
      <c r="Q83" s="47"/>
    </row>
    <row r="84" spans="3:30" s="19" customFormat="1">
      <c r="C84" s="47"/>
      <c r="D84" s="47"/>
      <c r="E84" s="47"/>
      <c r="F84" s="47"/>
      <c r="G84" s="47"/>
      <c r="H84" s="47"/>
      <c r="I84" s="47"/>
      <c r="J84" s="47"/>
      <c r="O84" s="47"/>
      <c r="P84" s="47"/>
      <c r="Q84" s="47"/>
    </row>
    <row r="85" spans="3:30" s="19" customFormat="1">
      <c r="C85" s="47"/>
      <c r="D85" s="47"/>
      <c r="E85" s="47"/>
      <c r="F85" s="47"/>
      <c r="G85" s="47"/>
      <c r="H85" s="47"/>
      <c r="I85" s="47"/>
      <c r="J85" s="47"/>
      <c r="O85" s="47"/>
      <c r="P85" s="47"/>
      <c r="Q85" s="47"/>
      <c r="AD85" s="20"/>
    </row>
    <row r="86" spans="3:30" s="19" customFormat="1">
      <c r="C86" s="47"/>
      <c r="D86" s="47"/>
      <c r="E86" s="47"/>
      <c r="F86" s="47"/>
      <c r="G86" s="47"/>
      <c r="H86" s="47"/>
      <c r="I86" s="47"/>
      <c r="J86" s="47"/>
      <c r="O86" s="47"/>
      <c r="P86" s="47"/>
      <c r="Q86" s="47"/>
      <c r="AD86" s="20"/>
    </row>
    <row r="87" spans="3:30" s="18" customFormat="1">
      <c r="C87" s="48"/>
      <c r="D87" s="48"/>
      <c r="E87" s="48"/>
      <c r="F87" s="48"/>
      <c r="G87" s="48"/>
      <c r="H87" s="48"/>
      <c r="I87" s="48"/>
      <c r="J87" s="48"/>
      <c r="O87" s="47"/>
      <c r="P87" s="47"/>
      <c r="Q87" s="47"/>
      <c r="R87" s="19"/>
      <c r="S87" s="19"/>
      <c r="T87" s="19"/>
      <c r="U87" s="19"/>
      <c r="V87" s="19"/>
      <c r="W87" s="19"/>
      <c r="X87" s="19"/>
      <c r="Y87" s="19"/>
      <c r="Z87" s="19"/>
      <c r="AD87" s="21"/>
    </row>
    <row r="93" spans="3:30">
      <c r="AC93" s="12"/>
      <c r="AD93" s="18"/>
    </row>
    <row r="109" spans="3:17" s="12" customFormat="1">
      <c r="C109" s="43"/>
      <c r="D109" s="43"/>
      <c r="E109" s="43"/>
      <c r="F109" s="43"/>
      <c r="G109" s="43"/>
      <c r="H109" s="43"/>
      <c r="I109" s="43"/>
      <c r="J109" s="43"/>
      <c r="O109" s="43"/>
      <c r="P109" s="43"/>
      <c r="Q109" s="43"/>
    </row>
    <row r="111" spans="3:17" s="12" customFormat="1">
      <c r="C111" s="43"/>
      <c r="D111" s="43"/>
      <c r="E111" s="43"/>
      <c r="F111" s="43"/>
      <c r="G111" s="43"/>
      <c r="H111" s="43"/>
      <c r="I111" s="43"/>
      <c r="J111" s="43"/>
      <c r="O111" s="43"/>
      <c r="P111" s="43"/>
      <c r="Q111" s="43"/>
    </row>
    <row r="119" spans="3:17" s="12" customFormat="1">
      <c r="C119" s="43"/>
      <c r="D119" s="43"/>
      <c r="E119" s="43"/>
      <c r="F119" s="43"/>
      <c r="G119" s="43"/>
      <c r="H119" s="43"/>
      <c r="I119" s="43"/>
      <c r="J119" s="43"/>
      <c r="O119" s="43"/>
      <c r="P119" s="43"/>
      <c r="Q119" s="43"/>
    </row>
  </sheetData>
  <pageMargins left="0.7" right="0.7" top="0.75" bottom="0.75" header="0.3" footer="0.3"/>
  <ignoredErrors>
    <ignoredError sqref="F31 F24:F28 F32:F35 R24:R30 O6:AA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EEC7-F208-284C-830A-AF756081B9B9}">
  <dimension ref="B2:J145"/>
  <sheetViews>
    <sheetView topLeftCell="B1" zoomScale="156" workbookViewId="0">
      <selection activeCell="D29" sqref="D29"/>
    </sheetView>
  </sheetViews>
  <sheetFormatPr baseColWidth="10" defaultRowHeight="13"/>
  <cols>
    <col min="1" max="1" width="2" style="1" customWidth="1"/>
    <col min="2" max="2" width="27" style="1" customWidth="1"/>
    <col min="3" max="3" width="32.83203125" style="1" bestFit="1" customWidth="1"/>
    <col min="4" max="4" width="26" style="1" bestFit="1" customWidth="1"/>
    <col min="5" max="5" width="14.5" style="1" bestFit="1" customWidth="1"/>
    <col min="6" max="6" width="7.6640625" style="1" bestFit="1" customWidth="1"/>
    <col min="7" max="7" width="5.5" style="1" bestFit="1" customWidth="1"/>
    <col min="8" max="8" width="10.83203125" style="1"/>
    <col min="9" max="9" width="13.1640625" style="28" bestFit="1" customWidth="1"/>
    <col min="10" max="16384" width="10.83203125" style="1"/>
  </cols>
  <sheetData>
    <row r="2" spans="2:10">
      <c r="B2" s="1" t="s">
        <v>121</v>
      </c>
      <c r="C2" s="1">
        <v>1981</v>
      </c>
      <c r="D2" s="27" t="s">
        <v>108</v>
      </c>
    </row>
    <row r="3" spans="2:10">
      <c r="B3" s="1" t="s">
        <v>122</v>
      </c>
      <c r="C3" s="1" t="s">
        <v>123</v>
      </c>
    </row>
    <row r="4" spans="2:10">
      <c r="B4" s="1" t="s">
        <v>9</v>
      </c>
      <c r="E4" s="1" t="s">
        <v>0</v>
      </c>
      <c r="F4" s="2">
        <v>207</v>
      </c>
      <c r="I4" s="29" t="s">
        <v>109</v>
      </c>
    </row>
    <row r="5" spans="2:10">
      <c r="B5" s="1" t="s">
        <v>10</v>
      </c>
      <c r="E5" s="1" t="s">
        <v>1</v>
      </c>
      <c r="F5" s="1">
        <v>84.727857</v>
      </c>
      <c r="G5" s="1" t="s">
        <v>262</v>
      </c>
      <c r="I5" s="30">
        <v>36599</v>
      </c>
      <c r="J5" s="1" t="s">
        <v>110</v>
      </c>
    </row>
    <row r="6" spans="2:10">
      <c r="B6" s="3" t="s">
        <v>27</v>
      </c>
      <c r="E6" s="1" t="s">
        <v>2</v>
      </c>
      <c r="F6" s="1">
        <f>+F4*F5</f>
        <v>17538.666399000002</v>
      </c>
      <c r="I6" s="30">
        <v>36741</v>
      </c>
      <c r="J6" s="1" t="s">
        <v>111</v>
      </c>
    </row>
    <row r="7" spans="2:10">
      <c r="B7" s="12" t="s">
        <v>31</v>
      </c>
      <c r="E7" s="1" t="s">
        <v>3</v>
      </c>
      <c r="F7" s="55">
        <v>182.46799999999999</v>
      </c>
      <c r="G7" s="1" t="str">
        <f>+G5</f>
        <v>Q226</v>
      </c>
      <c r="I7" s="30">
        <v>36748</v>
      </c>
      <c r="J7" s="1" t="s">
        <v>112</v>
      </c>
    </row>
    <row r="8" spans="2:10">
      <c r="B8" s="1" t="s">
        <v>38</v>
      </c>
      <c r="E8" s="1" t="s">
        <v>4</v>
      </c>
      <c r="F8" s="1">
        <v>395.892</v>
      </c>
      <c r="G8" s="1" t="str">
        <f>+G7</f>
        <v>Q226</v>
      </c>
      <c r="I8" s="30">
        <v>36801</v>
      </c>
      <c r="J8" s="1" t="s">
        <v>113</v>
      </c>
    </row>
    <row r="9" spans="2:10">
      <c r="B9" s="14" t="s">
        <v>32</v>
      </c>
      <c r="E9" s="1" t="s">
        <v>5</v>
      </c>
      <c r="F9" s="1">
        <f>+F6-F7+F8</f>
        <v>17752.090399000001</v>
      </c>
      <c r="I9" s="30">
        <v>36809</v>
      </c>
      <c r="J9" s="1" t="s">
        <v>114</v>
      </c>
    </row>
    <row r="10" spans="2:10">
      <c r="B10" s="14" t="s">
        <v>33</v>
      </c>
      <c r="I10" s="30">
        <v>36839</v>
      </c>
      <c r="J10" s="1" t="s">
        <v>115</v>
      </c>
    </row>
    <row r="11" spans="2:10">
      <c r="B11" s="1" t="s">
        <v>34</v>
      </c>
      <c r="I11" s="30">
        <v>36879</v>
      </c>
      <c r="J11" s="1" t="s">
        <v>116</v>
      </c>
    </row>
    <row r="12" spans="2:10">
      <c r="B12" s="14" t="s">
        <v>35</v>
      </c>
      <c r="I12" s="30">
        <v>36930</v>
      </c>
      <c r="J12" s="1" t="s">
        <v>117</v>
      </c>
    </row>
    <row r="13" spans="2:10">
      <c r="B13" s="14" t="s">
        <v>36</v>
      </c>
      <c r="I13" s="30">
        <v>44295</v>
      </c>
      <c r="J13" s="1" t="s">
        <v>118</v>
      </c>
    </row>
    <row r="14" spans="2:10">
      <c r="B14" s="14" t="s">
        <v>37</v>
      </c>
      <c r="I14" s="30">
        <v>37021</v>
      </c>
      <c r="J14" s="1" t="s">
        <v>119</v>
      </c>
    </row>
    <row r="15" spans="2:10">
      <c r="B15" s="12" t="s">
        <v>39</v>
      </c>
      <c r="I15" s="30">
        <v>37112</v>
      </c>
      <c r="J15" s="1" t="s">
        <v>120</v>
      </c>
    </row>
    <row r="16" spans="2:10">
      <c r="B16" s="1" t="s">
        <v>40</v>
      </c>
      <c r="I16" s="30">
        <v>37124</v>
      </c>
      <c r="J16" s="1" t="s">
        <v>124</v>
      </c>
    </row>
    <row r="17" spans="2:10">
      <c r="B17" s="1" t="s">
        <v>41</v>
      </c>
      <c r="E17" s="3" t="s">
        <v>133</v>
      </c>
      <c r="I17" s="30">
        <v>37203</v>
      </c>
      <c r="J17" s="1" t="s">
        <v>125</v>
      </c>
    </row>
    <row r="18" spans="2:10">
      <c r="E18" s="1" t="s">
        <v>134</v>
      </c>
      <c r="F18" s="23">
        <v>0.93300000000000005</v>
      </c>
      <c r="I18" s="30">
        <v>37302</v>
      </c>
      <c r="J18" s="1" t="s">
        <v>126</v>
      </c>
    </row>
    <row r="19" spans="2:10">
      <c r="I19" s="30">
        <v>37323</v>
      </c>
      <c r="J19" s="1" t="s">
        <v>127</v>
      </c>
    </row>
    <row r="20" spans="2:10">
      <c r="B20" s="9" t="s">
        <v>11</v>
      </c>
      <c r="C20" s="10" t="s">
        <v>12</v>
      </c>
      <c r="D20" s="11" t="s">
        <v>13</v>
      </c>
      <c r="I20" s="30">
        <v>37348</v>
      </c>
      <c r="J20" s="1" t="s">
        <v>128</v>
      </c>
    </row>
    <row r="21" spans="2:10">
      <c r="B21" s="4" t="s">
        <v>14</v>
      </c>
      <c r="C21" s="1" t="s">
        <v>17</v>
      </c>
      <c r="D21" s="5" t="s">
        <v>20</v>
      </c>
      <c r="I21" s="30">
        <v>37483</v>
      </c>
    </row>
    <row r="22" spans="2:10">
      <c r="B22" s="4" t="s">
        <v>15</v>
      </c>
      <c r="C22" s="1" t="s">
        <v>18</v>
      </c>
      <c r="D22" s="5" t="s">
        <v>21</v>
      </c>
      <c r="I22" s="30">
        <v>37509</v>
      </c>
      <c r="J22" s="1" t="s">
        <v>129</v>
      </c>
    </row>
    <row r="23" spans="2:10">
      <c r="B23" s="6" t="s">
        <v>16</v>
      </c>
      <c r="C23" s="7" t="s">
        <v>19</v>
      </c>
      <c r="D23" s="8" t="s">
        <v>22</v>
      </c>
      <c r="I23" s="30">
        <v>37526</v>
      </c>
      <c r="J23" s="1" t="s">
        <v>130</v>
      </c>
    </row>
    <row r="24" spans="2:10">
      <c r="I24" s="30">
        <v>37571</v>
      </c>
      <c r="J24" s="1" t="s">
        <v>131</v>
      </c>
    </row>
    <row r="25" spans="2:10">
      <c r="B25" s="3" t="s">
        <v>44</v>
      </c>
      <c r="I25" s="30">
        <v>37596</v>
      </c>
      <c r="J25" s="1" t="s">
        <v>132</v>
      </c>
    </row>
    <row r="26" spans="2:10">
      <c r="B26" s="1" t="s">
        <v>50</v>
      </c>
      <c r="C26" s="1" t="s">
        <v>46</v>
      </c>
      <c r="I26" s="30">
        <v>37607</v>
      </c>
      <c r="J26" s="1" t="s">
        <v>135</v>
      </c>
    </row>
    <row r="27" spans="2:10">
      <c r="B27" s="1" t="s">
        <v>51</v>
      </c>
      <c r="C27" s="1" t="s">
        <v>47</v>
      </c>
      <c r="I27" s="30">
        <v>37665</v>
      </c>
      <c r="J27" s="1" t="s">
        <v>136</v>
      </c>
    </row>
    <row r="28" spans="2:10">
      <c r="B28" s="1" t="s">
        <v>52</v>
      </c>
      <c r="C28" s="1" t="s">
        <v>48</v>
      </c>
      <c r="I28" s="30">
        <v>37684</v>
      </c>
      <c r="J28" s="1" t="s">
        <v>137</v>
      </c>
    </row>
    <row r="29" spans="2:10">
      <c r="B29" s="1" t="s">
        <v>53</v>
      </c>
      <c r="C29" s="1" t="s">
        <v>49</v>
      </c>
      <c r="I29" s="30">
        <v>37749</v>
      </c>
      <c r="J29" s="1" t="s">
        <v>138</v>
      </c>
    </row>
    <row r="30" spans="2:10">
      <c r="B30" s="1" t="s">
        <v>54</v>
      </c>
      <c r="C30" s="1" t="s">
        <v>45</v>
      </c>
      <c r="I30" s="30">
        <v>37777</v>
      </c>
      <c r="J30" s="1" t="s">
        <v>139</v>
      </c>
    </row>
    <row r="31" spans="2:10">
      <c r="I31" s="30">
        <v>37788</v>
      </c>
      <c r="J31" s="1" t="s">
        <v>140</v>
      </c>
    </row>
    <row r="32" spans="2:10">
      <c r="I32" s="30">
        <v>37796</v>
      </c>
      <c r="J32" s="1" t="s">
        <v>141</v>
      </c>
    </row>
    <row r="33" spans="2:10">
      <c r="I33" s="30">
        <v>37956</v>
      </c>
      <c r="J33" s="1" t="s">
        <v>142</v>
      </c>
    </row>
    <row r="34" spans="2:10">
      <c r="B34" s="22" t="s">
        <v>55</v>
      </c>
      <c r="I34" s="30">
        <v>37984</v>
      </c>
      <c r="J34" s="1" t="s">
        <v>143</v>
      </c>
    </row>
    <row r="35" spans="2:10">
      <c r="B35" s="1" t="s">
        <v>56</v>
      </c>
      <c r="C35" s="1" t="s">
        <v>57</v>
      </c>
      <c r="I35" s="30">
        <v>38070</v>
      </c>
      <c r="J35" s="1" t="s">
        <v>144</v>
      </c>
    </row>
    <row r="36" spans="2:10">
      <c r="B36" s="1" t="s">
        <v>58</v>
      </c>
      <c r="C36" s="1" t="s">
        <v>59</v>
      </c>
      <c r="I36" s="30">
        <v>38090</v>
      </c>
      <c r="J36" s="1" t="s">
        <v>145</v>
      </c>
    </row>
    <row r="37" spans="2:10">
      <c r="C37" s="1" t="s">
        <v>60</v>
      </c>
      <c r="I37" s="30">
        <v>38183</v>
      </c>
      <c r="J37" s="1" t="s">
        <v>146</v>
      </c>
    </row>
    <row r="38" spans="2:10">
      <c r="B38" s="1" t="s">
        <v>61</v>
      </c>
      <c r="C38" s="1" t="s">
        <v>62</v>
      </c>
      <c r="I38" s="30">
        <v>38195</v>
      </c>
      <c r="J38" s="1" t="s">
        <v>147</v>
      </c>
    </row>
    <row r="39" spans="2:10">
      <c r="I39" s="30">
        <v>38446</v>
      </c>
      <c r="J39" s="1" t="s">
        <v>148</v>
      </c>
    </row>
    <row r="40" spans="2:10">
      <c r="B40" s="12" t="s">
        <v>70</v>
      </c>
      <c r="C40" s="12" t="s">
        <v>69</v>
      </c>
      <c r="I40" s="30">
        <v>38615</v>
      </c>
      <c r="J40" s="1" t="s">
        <v>149</v>
      </c>
    </row>
    <row r="41" spans="2:10">
      <c r="B41" s="1" t="s">
        <v>63</v>
      </c>
      <c r="C41" s="1" t="s">
        <v>67</v>
      </c>
      <c r="I41" s="30">
        <v>38643</v>
      </c>
      <c r="J41" s="1" t="s">
        <v>150</v>
      </c>
    </row>
    <row r="42" spans="2:10">
      <c r="B42" s="1" t="s">
        <v>64</v>
      </c>
      <c r="C42" s="1" t="s">
        <v>67</v>
      </c>
      <c r="I42" s="30">
        <v>38666</v>
      </c>
      <c r="J42" s="1" t="s">
        <v>151</v>
      </c>
    </row>
    <row r="43" spans="2:10">
      <c r="B43" s="1" t="s">
        <v>65</v>
      </c>
      <c r="C43" s="1" t="s">
        <v>68</v>
      </c>
      <c r="I43" s="30">
        <v>38691</v>
      </c>
      <c r="J43" s="1" t="s">
        <v>152</v>
      </c>
    </row>
    <row r="44" spans="2:10">
      <c r="B44" s="1" t="s">
        <v>66</v>
      </c>
      <c r="C44" s="1" t="s">
        <v>68</v>
      </c>
      <c r="I44" s="30">
        <v>38709</v>
      </c>
      <c r="J44" s="1" t="s">
        <v>153</v>
      </c>
    </row>
    <row r="45" spans="2:10">
      <c r="I45" s="30">
        <v>38722</v>
      </c>
      <c r="J45" s="1" t="s">
        <v>154</v>
      </c>
    </row>
    <row r="46" spans="2:10">
      <c r="B46" s="22" t="s">
        <v>71</v>
      </c>
      <c r="I46" s="30">
        <v>38775</v>
      </c>
      <c r="J46" s="1" t="s">
        <v>155</v>
      </c>
    </row>
    <row r="47" spans="2:10">
      <c r="B47" s="1" t="s">
        <v>72</v>
      </c>
      <c r="I47" s="30">
        <v>38950</v>
      </c>
      <c r="J47" s="1" t="s">
        <v>156</v>
      </c>
    </row>
    <row r="48" spans="2:10">
      <c r="B48" s="1" t="s">
        <v>73</v>
      </c>
      <c r="I48" s="30">
        <v>39016</v>
      </c>
      <c r="J48" s="1" t="s">
        <v>157</v>
      </c>
    </row>
    <row r="49" spans="2:10">
      <c r="I49" s="30">
        <v>39064</v>
      </c>
      <c r="J49" s="1" t="s">
        <v>158</v>
      </c>
    </row>
    <row r="50" spans="2:10">
      <c r="B50" s="1" t="s">
        <v>79</v>
      </c>
      <c r="C50" s="1" t="s">
        <v>80</v>
      </c>
      <c r="D50" s="1" t="s">
        <v>81</v>
      </c>
      <c r="E50" s="1" t="s">
        <v>82</v>
      </c>
      <c r="I50" s="30">
        <v>39080</v>
      </c>
      <c r="J50" s="1" t="s">
        <v>159</v>
      </c>
    </row>
    <row r="51" spans="2:10">
      <c r="B51" s="1" t="s">
        <v>64</v>
      </c>
      <c r="C51" s="1" t="s">
        <v>83</v>
      </c>
      <c r="D51" s="1" t="s">
        <v>87</v>
      </c>
      <c r="E51" s="23">
        <v>0.89</v>
      </c>
      <c r="I51" s="30">
        <v>39099</v>
      </c>
      <c r="J51" s="1" t="s">
        <v>160</v>
      </c>
    </row>
    <row r="52" spans="2:10">
      <c r="B52" s="1" t="s">
        <v>74</v>
      </c>
      <c r="C52" s="1" t="s">
        <v>84</v>
      </c>
      <c r="D52" s="1" t="s">
        <v>87</v>
      </c>
      <c r="E52" s="23">
        <v>0.9</v>
      </c>
      <c r="I52" s="30">
        <v>39104</v>
      </c>
      <c r="J52" s="1" t="s">
        <v>161</v>
      </c>
    </row>
    <row r="53" spans="2:10">
      <c r="B53" s="1" t="s">
        <v>63</v>
      </c>
      <c r="C53" s="1" t="s">
        <v>85</v>
      </c>
      <c r="D53" s="1" t="s">
        <v>87</v>
      </c>
      <c r="E53" s="24" t="s">
        <v>90</v>
      </c>
      <c r="I53" s="30">
        <v>39106</v>
      </c>
      <c r="J53" s="1" t="s">
        <v>162</v>
      </c>
    </row>
    <row r="54" spans="2:10">
      <c r="B54" s="1" t="s">
        <v>65</v>
      </c>
      <c r="C54" s="1" t="s">
        <v>86</v>
      </c>
      <c r="D54" s="1" t="s">
        <v>88</v>
      </c>
      <c r="E54" s="24" t="s">
        <v>89</v>
      </c>
      <c r="I54" s="30">
        <v>39146</v>
      </c>
      <c r="J54" s="1" t="s">
        <v>163</v>
      </c>
    </row>
    <row r="55" spans="2:10">
      <c r="B55" s="1" t="s">
        <v>75</v>
      </c>
      <c r="C55" s="1" t="s">
        <v>86</v>
      </c>
      <c r="D55" s="1" t="s">
        <v>88</v>
      </c>
      <c r="E55" s="23">
        <v>1</v>
      </c>
      <c r="I55" s="30">
        <v>39153</v>
      </c>
      <c r="J55" s="1" t="s">
        <v>164</v>
      </c>
    </row>
    <row r="56" spans="2:10">
      <c r="B56" s="1" t="s">
        <v>76</v>
      </c>
      <c r="C56" s="1" t="s">
        <v>83</v>
      </c>
      <c r="D56" s="1" t="s">
        <v>88</v>
      </c>
      <c r="E56" s="23">
        <v>0.995</v>
      </c>
      <c r="I56" s="30">
        <v>39168</v>
      </c>
      <c r="J56" s="1" t="s">
        <v>166</v>
      </c>
    </row>
    <row r="57" spans="2:10">
      <c r="B57" s="1" t="s">
        <v>77</v>
      </c>
      <c r="C57" s="1" t="s">
        <v>83</v>
      </c>
      <c r="D57" s="1" t="s">
        <v>88</v>
      </c>
      <c r="E57" s="23">
        <v>0.99</v>
      </c>
      <c r="I57" s="30">
        <v>39175</v>
      </c>
      <c r="J57" s="1" t="s">
        <v>165</v>
      </c>
    </row>
    <row r="58" spans="2:10">
      <c r="B58" s="1" t="s">
        <v>78</v>
      </c>
      <c r="C58" s="1" t="s">
        <v>83</v>
      </c>
      <c r="D58" s="1" t="s">
        <v>88</v>
      </c>
      <c r="E58" s="23">
        <v>0.995</v>
      </c>
      <c r="I58" s="30">
        <v>39182</v>
      </c>
      <c r="J58" s="1" t="s">
        <v>167</v>
      </c>
    </row>
    <row r="59" spans="2:10">
      <c r="I59" s="30">
        <v>39190</v>
      </c>
      <c r="J59" s="1" t="s">
        <v>168</v>
      </c>
    </row>
    <row r="60" spans="2:10">
      <c r="I60" s="30">
        <v>39261</v>
      </c>
      <c r="J60" s="1" t="s">
        <v>169</v>
      </c>
    </row>
    <row r="61" spans="2:10">
      <c r="B61" s="22" t="s">
        <v>91</v>
      </c>
      <c r="I61" s="30">
        <v>39282</v>
      </c>
      <c r="J61" s="1" t="s">
        <v>170</v>
      </c>
    </row>
    <row r="62" spans="2:10">
      <c r="B62" s="1" t="s">
        <v>92</v>
      </c>
      <c r="I62" s="30">
        <v>39303</v>
      </c>
      <c r="J62" s="1" t="s">
        <v>171</v>
      </c>
    </row>
    <row r="63" spans="2:10">
      <c r="B63" s="1" t="s">
        <v>93</v>
      </c>
      <c r="I63" s="30">
        <v>39380</v>
      </c>
      <c r="J63" s="1" t="s">
        <v>172</v>
      </c>
    </row>
    <row r="64" spans="2:10">
      <c r="I64" s="30">
        <v>39386</v>
      </c>
      <c r="J64" s="1" t="s">
        <v>173</v>
      </c>
    </row>
    <row r="65" spans="2:10">
      <c r="B65" s="1" t="s">
        <v>94</v>
      </c>
      <c r="I65" s="30">
        <v>39391</v>
      </c>
      <c r="J65" s="1" t="s">
        <v>174</v>
      </c>
    </row>
    <row r="66" spans="2:10">
      <c r="I66" s="30">
        <v>39395</v>
      </c>
      <c r="J66" s="1" t="s">
        <v>175</v>
      </c>
    </row>
    <row r="67" spans="2:10">
      <c r="B67" s="12" t="s">
        <v>95</v>
      </c>
      <c r="D67" s="1" t="s">
        <v>105</v>
      </c>
      <c r="E67" s="1" t="s">
        <v>106</v>
      </c>
      <c r="I67" s="30">
        <v>39421</v>
      </c>
      <c r="J67" s="1" t="s">
        <v>176</v>
      </c>
    </row>
    <row r="68" spans="2:10">
      <c r="B68" s="1" t="s">
        <v>96</v>
      </c>
      <c r="C68" s="1" t="s">
        <v>8</v>
      </c>
      <c r="I68" s="30">
        <v>39471</v>
      </c>
      <c r="J68" s="1" t="s">
        <v>177</v>
      </c>
    </row>
    <row r="69" spans="2:10">
      <c r="B69" s="1" t="s">
        <v>97</v>
      </c>
      <c r="C69" s="1" t="s">
        <v>101</v>
      </c>
      <c r="I69" s="30">
        <v>39472</v>
      </c>
      <c r="J69" s="1" t="s">
        <v>178</v>
      </c>
    </row>
    <row r="70" spans="2:10">
      <c r="B70" s="1" t="s">
        <v>98</v>
      </c>
      <c r="C70" s="1" t="s">
        <v>6</v>
      </c>
      <c r="I70" s="30">
        <v>39500</v>
      </c>
      <c r="J70" s="1" t="s">
        <v>179</v>
      </c>
    </row>
    <row r="71" spans="2:10">
      <c r="B71" s="1" t="s">
        <v>63</v>
      </c>
      <c r="C71" s="1" t="s">
        <v>7</v>
      </c>
      <c r="D71" s="1" t="s">
        <v>104</v>
      </c>
      <c r="E71" s="1" t="s">
        <v>107</v>
      </c>
      <c r="I71" s="30">
        <v>39660</v>
      </c>
      <c r="J71" s="1" t="s">
        <v>180</v>
      </c>
    </row>
    <row r="72" spans="2:10">
      <c r="B72" s="1" t="s">
        <v>99</v>
      </c>
      <c r="C72" s="1" t="s">
        <v>102</v>
      </c>
      <c r="I72" s="30">
        <v>39752</v>
      </c>
      <c r="J72" s="1" t="s">
        <v>181</v>
      </c>
    </row>
    <row r="73" spans="2:10">
      <c r="B73" s="1" t="s">
        <v>100</v>
      </c>
      <c r="C73" s="1" t="s">
        <v>103</v>
      </c>
      <c r="I73" s="30">
        <v>39867</v>
      </c>
      <c r="J73" s="1" t="s">
        <v>182</v>
      </c>
    </row>
    <row r="74" spans="2:10">
      <c r="I74" s="30">
        <v>39898</v>
      </c>
      <c r="J74" s="1" t="s">
        <v>183</v>
      </c>
    </row>
    <row r="75" spans="2:10">
      <c r="I75" s="30">
        <v>39909</v>
      </c>
      <c r="J75" s="1" t="s">
        <v>184</v>
      </c>
    </row>
    <row r="76" spans="2:10">
      <c r="I76" s="30">
        <v>39909</v>
      </c>
      <c r="J76" s="1" t="s">
        <v>185</v>
      </c>
    </row>
    <row r="77" spans="2:10">
      <c r="I77" s="30">
        <v>39910</v>
      </c>
      <c r="J77" s="1" t="s">
        <v>186</v>
      </c>
    </row>
    <row r="78" spans="2:10">
      <c r="I78" s="30">
        <v>39953</v>
      </c>
      <c r="J78" s="1" t="s">
        <v>187</v>
      </c>
    </row>
    <row r="79" spans="2:10">
      <c r="I79" s="30">
        <v>40199</v>
      </c>
      <c r="J79" s="1" t="s">
        <v>188</v>
      </c>
    </row>
    <row r="80" spans="2:10">
      <c r="I80" s="30">
        <v>40203</v>
      </c>
      <c r="J80" s="1" t="s">
        <v>189</v>
      </c>
    </row>
    <row r="81" spans="9:10">
      <c r="I81" s="30">
        <v>40266</v>
      </c>
      <c r="J81" s="1" t="s">
        <v>190</v>
      </c>
    </row>
    <row r="82" spans="9:10">
      <c r="I82" s="30">
        <v>40333</v>
      </c>
      <c r="J82" s="1" t="s">
        <v>137</v>
      </c>
    </row>
    <row r="83" spans="9:10">
      <c r="I83" s="30">
        <v>40365</v>
      </c>
      <c r="J83" s="1" t="s">
        <v>191</v>
      </c>
    </row>
    <row r="84" spans="9:10">
      <c r="I84" s="30">
        <v>40374</v>
      </c>
      <c r="J84" s="1" t="s">
        <v>192</v>
      </c>
    </row>
    <row r="85" spans="9:10">
      <c r="I85" s="30">
        <v>40471</v>
      </c>
      <c r="J85" s="1" t="s">
        <v>193</v>
      </c>
    </row>
    <row r="86" spans="9:10">
      <c r="I86" s="30">
        <v>40576</v>
      </c>
      <c r="J86" s="1" t="s">
        <v>194</v>
      </c>
    </row>
    <row r="87" spans="9:10">
      <c r="I87" s="30">
        <v>40668</v>
      </c>
      <c r="J87" s="1" t="s">
        <v>137</v>
      </c>
    </row>
    <row r="88" spans="9:10">
      <c r="I88" s="30">
        <v>40711</v>
      </c>
      <c r="J88" s="1" t="s">
        <v>195</v>
      </c>
    </row>
    <row r="89" spans="9:10">
      <c r="I89" s="30">
        <v>40892</v>
      </c>
      <c r="J89" s="1" t="s">
        <v>196</v>
      </c>
    </row>
    <row r="90" spans="9:10">
      <c r="I90" s="30">
        <v>40899</v>
      </c>
      <c r="J90" s="1" t="s">
        <v>197</v>
      </c>
    </row>
    <row r="91" spans="9:10">
      <c r="I91" s="30">
        <v>41031</v>
      </c>
      <c r="J91" s="1" t="s">
        <v>137</v>
      </c>
    </row>
    <row r="92" spans="9:10">
      <c r="I92" s="30">
        <v>41052</v>
      </c>
      <c r="J92" s="1" t="s">
        <v>198</v>
      </c>
    </row>
    <row r="93" spans="9:10">
      <c r="I93" s="30">
        <v>41059</v>
      </c>
      <c r="J93" s="1" t="s">
        <v>199</v>
      </c>
    </row>
    <row r="94" spans="9:10">
      <c r="I94" s="30">
        <v>41073</v>
      </c>
      <c r="J94" s="1" t="s">
        <v>200</v>
      </c>
    </row>
    <row r="95" spans="9:10">
      <c r="I95" s="30">
        <v>41074</v>
      </c>
      <c r="J95" s="1" t="s">
        <v>201</v>
      </c>
    </row>
    <row r="96" spans="9:10">
      <c r="I96" s="30">
        <v>41080</v>
      </c>
      <c r="J96" s="1" t="s">
        <v>202</v>
      </c>
    </row>
    <row r="97" spans="9:10">
      <c r="I97" s="30">
        <v>41116</v>
      </c>
      <c r="J97" s="1" t="s">
        <v>203</v>
      </c>
    </row>
    <row r="98" spans="9:10">
      <c r="I98" s="30">
        <v>41130</v>
      </c>
      <c r="J98" s="1" t="s">
        <v>204</v>
      </c>
    </row>
    <row r="99" spans="9:10">
      <c r="I99" s="30">
        <v>41134</v>
      </c>
      <c r="J99" s="1" t="s">
        <v>205</v>
      </c>
    </row>
    <row r="100" spans="9:10">
      <c r="I100" s="30">
        <v>41374</v>
      </c>
      <c r="J100" s="1" t="s">
        <v>206</v>
      </c>
    </row>
    <row r="101" spans="9:10">
      <c r="I101" s="30">
        <v>41396</v>
      </c>
      <c r="J101" s="1" t="s">
        <v>137</v>
      </c>
    </row>
    <row r="102" spans="9:10">
      <c r="I102" s="30">
        <v>41456</v>
      </c>
      <c r="J102" s="1" t="s">
        <v>207</v>
      </c>
    </row>
    <row r="103" spans="9:10">
      <c r="I103" s="30">
        <v>41578</v>
      </c>
      <c r="J103" s="1" t="s">
        <v>208</v>
      </c>
    </row>
    <row r="104" spans="9:10">
      <c r="I104" s="30">
        <v>41681</v>
      </c>
      <c r="J104" s="1" t="s">
        <v>209</v>
      </c>
    </row>
    <row r="105" spans="9:10">
      <c r="I105" s="30">
        <v>41739</v>
      </c>
      <c r="J105" s="1" t="s">
        <v>210</v>
      </c>
    </row>
    <row r="106" spans="9:10">
      <c r="I106" s="30">
        <v>41760</v>
      </c>
      <c r="J106" s="1" t="s">
        <v>211</v>
      </c>
    </row>
    <row r="107" spans="9:10">
      <c r="I107" s="30">
        <v>41830</v>
      </c>
      <c r="J107" s="1" t="s">
        <v>212</v>
      </c>
    </row>
    <row r="108" spans="9:10">
      <c r="I108" s="30">
        <v>41926</v>
      </c>
      <c r="J108" s="1" t="s">
        <v>213</v>
      </c>
    </row>
    <row r="109" spans="9:10">
      <c r="I109" s="30">
        <v>41933</v>
      </c>
      <c r="J109" s="1" t="s">
        <v>214</v>
      </c>
    </row>
    <row r="110" spans="9:10">
      <c r="I110" s="30">
        <v>42024</v>
      </c>
      <c r="J110" s="1" t="s">
        <v>215</v>
      </c>
    </row>
    <row r="111" spans="9:10">
      <c r="I111" s="30">
        <v>42110</v>
      </c>
      <c r="J111" s="1" t="s">
        <v>216</v>
      </c>
    </row>
    <row r="112" spans="9:10">
      <c r="I112" s="30">
        <v>42123</v>
      </c>
      <c r="J112" s="1" t="s">
        <v>217</v>
      </c>
    </row>
    <row r="113" spans="4:10">
      <c r="I113" s="30">
        <v>42131</v>
      </c>
      <c r="J113" s="1" t="s">
        <v>218</v>
      </c>
    </row>
    <row r="114" spans="4:10">
      <c r="D114" s="1">
        <v>2454</v>
      </c>
      <c r="I114" s="30">
        <v>42194</v>
      </c>
      <c r="J114" s="1" t="s">
        <v>219</v>
      </c>
    </row>
    <row r="115" spans="4:10">
      <c r="D115" s="1">
        <f>+D114+655+55</f>
        <v>3164</v>
      </c>
      <c r="I115" s="30">
        <v>42194</v>
      </c>
      <c r="J115" s="1" t="s">
        <v>220</v>
      </c>
    </row>
    <row r="116" spans="4:10">
      <c r="I116" s="30">
        <v>42205</v>
      </c>
      <c r="J116" s="1" t="s">
        <v>221</v>
      </c>
    </row>
    <row r="117" spans="4:10">
      <c r="I117" s="30">
        <v>42221</v>
      </c>
      <c r="J117" s="1" t="s">
        <v>222</v>
      </c>
    </row>
    <row r="118" spans="4:10">
      <c r="I118" s="30">
        <v>42276</v>
      </c>
      <c r="J118" s="1" t="s">
        <v>223</v>
      </c>
    </row>
    <row r="119" spans="4:10">
      <c r="I119" s="30">
        <v>42331</v>
      </c>
      <c r="J119" s="1" t="s">
        <v>224</v>
      </c>
    </row>
    <row r="120" spans="4:10">
      <c r="I120" s="30">
        <v>42487</v>
      </c>
      <c r="J120" s="1" t="s">
        <v>225</v>
      </c>
    </row>
    <row r="121" spans="4:10">
      <c r="I121" s="30">
        <v>42542</v>
      </c>
      <c r="J121" s="1" t="s">
        <v>226</v>
      </c>
    </row>
    <row r="122" spans="4:10">
      <c r="I122" s="30">
        <v>42888</v>
      </c>
      <c r="J122" s="1" t="s">
        <v>227</v>
      </c>
    </row>
    <row r="123" spans="4:10">
      <c r="I123" s="30">
        <v>42888</v>
      </c>
      <c r="J123" s="1" t="s">
        <v>228</v>
      </c>
    </row>
    <row r="124" spans="4:10">
      <c r="I124" s="30">
        <v>43096</v>
      </c>
      <c r="J124" s="1" t="s">
        <v>229</v>
      </c>
    </row>
    <row r="125" spans="4:10">
      <c r="I125" s="30">
        <v>43252</v>
      </c>
      <c r="J125" s="1" t="s">
        <v>230</v>
      </c>
    </row>
    <row r="126" spans="4:10">
      <c r="I126" s="30">
        <v>43357</v>
      </c>
      <c r="J126" s="1" t="s">
        <v>231</v>
      </c>
    </row>
    <row r="127" spans="4:10">
      <c r="I127" s="30">
        <v>43521</v>
      </c>
      <c r="J127" s="1" t="s">
        <v>232</v>
      </c>
    </row>
    <row r="128" spans="4:10">
      <c r="I128" s="30">
        <v>43615</v>
      </c>
      <c r="J128" s="1" t="s">
        <v>233</v>
      </c>
    </row>
    <row r="129" spans="9:10">
      <c r="I129" s="30">
        <v>43768</v>
      </c>
      <c r="J129" s="1" t="s">
        <v>234</v>
      </c>
    </row>
    <row r="130" spans="9:10">
      <c r="I130" s="30">
        <v>43804</v>
      </c>
      <c r="J130" s="1" t="s">
        <v>235</v>
      </c>
    </row>
    <row r="131" spans="9:10">
      <c r="I131" s="30">
        <v>43874</v>
      </c>
      <c r="J131" s="1" t="s">
        <v>236</v>
      </c>
    </row>
    <row r="132" spans="9:10">
      <c r="I132" s="30">
        <v>44104</v>
      </c>
      <c r="J132" s="1" t="s">
        <v>237</v>
      </c>
    </row>
    <row r="133" spans="9:10">
      <c r="I133" s="30">
        <v>44105</v>
      </c>
      <c r="J133" s="1" t="s">
        <v>238</v>
      </c>
    </row>
    <row r="134" spans="9:10">
      <c r="I134" s="30">
        <v>44377</v>
      </c>
      <c r="J134" s="1" t="s">
        <v>239</v>
      </c>
    </row>
    <row r="135" spans="9:10">
      <c r="I135" s="30">
        <v>44419</v>
      </c>
      <c r="J135" s="1" t="s">
        <v>240</v>
      </c>
    </row>
    <row r="136" spans="9:10">
      <c r="I136" s="30">
        <v>44753</v>
      </c>
      <c r="J136" s="1" t="s">
        <v>241</v>
      </c>
    </row>
    <row r="137" spans="9:10">
      <c r="I137" s="30">
        <v>44775</v>
      </c>
      <c r="J137" s="1" t="s">
        <v>242</v>
      </c>
    </row>
    <row r="138" spans="9:10">
      <c r="I138" s="30">
        <v>44813</v>
      </c>
      <c r="J138" s="1" t="s">
        <v>243</v>
      </c>
    </row>
    <row r="139" spans="9:10">
      <c r="I139" s="30">
        <v>45085</v>
      </c>
      <c r="J139" s="1" t="s">
        <v>244</v>
      </c>
    </row>
    <row r="140" spans="9:10">
      <c r="I140" s="30">
        <v>45089</v>
      </c>
      <c r="J140" s="1" t="s">
        <v>245</v>
      </c>
    </row>
    <row r="141" spans="9:10">
      <c r="I141" s="30">
        <v>45148</v>
      </c>
      <c r="J141" s="1" t="s">
        <v>246</v>
      </c>
    </row>
    <row r="142" spans="9:10">
      <c r="I142" s="30">
        <v>45159</v>
      </c>
      <c r="J142" s="1" t="s">
        <v>247</v>
      </c>
    </row>
    <row r="143" spans="9:10">
      <c r="I143" s="30">
        <v>45198</v>
      </c>
      <c r="J143" s="1" t="s">
        <v>247</v>
      </c>
    </row>
    <row r="144" spans="9:10">
      <c r="I144" s="30">
        <v>45208</v>
      </c>
      <c r="J144" s="1" t="s">
        <v>248</v>
      </c>
    </row>
    <row r="145" spans="9:10">
      <c r="I145" s="30">
        <v>45336</v>
      </c>
      <c r="J145" s="1" t="s">
        <v>249</v>
      </c>
    </row>
  </sheetData>
  <hyperlinks>
    <hyperlink ref="D2" r:id="rId1" xr:uid="{FAE5506F-048E-D945-B8C2-53E00560374E}"/>
    <hyperlink ref="I5" r:id="rId2" display="https://s28.q4cdn.com/583965976/files/doc_news/2000/03/14/2000-03-14.pdf" xr:uid="{6E6CC0A7-49E2-8441-8E9A-9DEE6C4CA9F1}"/>
    <hyperlink ref="I6" r:id="rId3" display="https://s28.q4cdn.com/583965976/files/doc_news/2000/08/03/2000-08-03.pdf" xr:uid="{3B12C65A-D37C-B046-A43E-E688BCB3ED1D}"/>
    <hyperlink ref="I7" r:id="rId4" display="https://s28.q4cdn.com/583965976/files/doc_news/2000/08/10/2000-08-10.pdf" xr:uid="{845F2415-5EF5-624E-893E-14933522617C}"/>
    <hyperlink ref="I8" r:id="rId5" display="https://s28.q4cdn.com/583965976/files/doc_news/2000/10/02/2000-10-02.pdf" xr:uid="{F6AABB56-EE59-F44C-B4BC-2B3657F80047}"/>
    <hyperlink ref="I9" r:id="rId6" display="https://s28.q4cdn.com/583965976/files/doc_news/2000/10/10/2000-10-10.pdf" xr:uid="{483F89B2-FB80-3247-A3A7-8B2EFF69D5BE}"/>
    <hyperlink ref="I10" r:id="rId7" display="https://s28.q4cdn.com/583965976/files/doc_news/2000/11/09/2000-11-09.pdf" xr:uid="{91055302-49FB-3F4C-A2A4-8BF61856E617}"/>
    <hyperlink ref="I11" r:id="rId8" display="https://s28.q4cdn.com/583965976/files/doc_news/2000/12/19/2000-12-19.pdf" xr:uid="{E04E9C00-C78F-8046-A4F0-61E07FE4FFA4}"/>
    <hyperlink ref="I12" r:id="rId9" display="https://royalgold.com/investors/press-releases/press-release-details/2001/Royal-Gold-Reports-Second-Quarter-Profit-02-08-2001/default.aspx" xr:uid="{27AF9E3B-8E82-124C-B014-41D03F4A26A6}"/>
    <hyperlink ref="I13" r:id="rId10" display="https://s28.q4cdn.com/583965976/files/doc_news/2001/04/09/2001-04-09.pdf" xr:uid="{01EE99A8-EDED-4949-AC3C-5A9228A3D97F}"/>
    <hyperlink ref="I14" r:id="rId11" display="https://s28.q4cdn.com/583965976/files/doc_news/2001/05/10/2001-05-10.pdf" xr:uid="{D34A2E48-3065-F742-A471-A95912AD6419}"/>
    <hyperlink ref="I15" r:id="rId12" display="https://s28.q4cdn.com/583965976/files/doc_news/2001/08/09/2001-08-09.pdf" xr:uid="{1CB4309C-E9DC-F34B-A97F-E3E250A96F2F}"/>
    <hyperlink ref="I16" r:id="rId13" display="https://s28.q4cdn.com/583965976/files/doc_news/2001/08/21/2001-08-21.pdf" xr:uid="{570377F1-A0F6-764D-8A1A-D034B324330C}"/>
    <hyperlink ref="I17" r:id="rId14" display="https://s28.q4cdn.com/583965976/files/doc_news/2001/11/08/2001-11-08.pdf" xr:uid="{7F24131E-42F3-E948-B744-45683CD3EA9F}"/>
    <hyperlink ref="I18" r:id="rId15" display="https://s28.q4cdn.com/583965976/files/doc_news/2002/02/15/2002-03-08.pdf" xr:uid="{6638BCE0-B3DA-284C-A330-AAEA946B8064}"/>
    <hyperlink ref="I19" r:id="rId16" display="https://s28.q4cdn.com/583965976/files/doc_news/2002/03/08/2002-03-08.pdf" xr:uid="{C16B1C33-8BCC-8B47-8E9C-22069AA7284E}"/>
    <hyperlink ref="I20" r:id="rId17" display="https://s28.q4cdn.com/583965976/files/doc_news/2002/04/02/2002-04-02.pdf" xr:uid="{7A62E09C-37F4-F84A-9D72-5DDE3A6694A3}"/>
    <hyperlink ref="I22" r:id="rId18" display="https://s28.q4cdn.com/583965976/files/doc_news/2002/09/10/2002-09-10.pdf" xr:uid="{102E480B-E316-B049-9E4E-F62247B262A7}"/>
    <hyperlink ref="I23" r:id="rId19" display="https://s28.q4cdn.com/583965976/files/doc_news/2002/09/27/2002-09-27.pdf" xr:uid="{7C9EB467-AD1D-D149-98D4-3457FD7C60F3}"/>
    <hyperlink ref="I21" r:id="rId20" display="https://s28.q4cdn.com/583965976/files/doc_news/2002/08/15/2002-08-15.pdf" xr:uid="{541A3AA7-A79E-3F4E-A2E6-CB3EA4D9CDC7}"/>
    <hyperlink ref="I24" r:id="rId21" display="https://s28.q4cdn.com/583965976/files/doc_news/2002/11/11/2002-11-11.pdf" xr:uid="{74600B22-FD1A-7D44-A2F6-309B3A55EA3E}"/>
    <hyperlink ref="I25" r:id="rId22" display="https://s28.q4cdn.com/583965976/files/doc_news/2002/12/06/2002-12-06.pdf" xr:uid="{775C6E48-BA21-4641-A52A-8291D457C11B}"/>
    <hyperlink ref="I26" r:id="rId23" display="https://s28.q4cdn.com/583965976/files/doc_news/2002/12/17/2002-12-17.pdf" xr:uid="{D543DC2C-D56D-4B4C-9FD7-BDC3D26B1EA8}"/>
    <hyperlink ref="I28" r:id="rId24" display="https://s28.q4cdn.com/583965976/files/doc_news/2003/03/04/2003-03-04.pdf" xr:uid="{CC8B7499-D092-3642-8D3D-48BEA234128B}"/>
    <hyperlink ref="I27" r:id="rId25" display="https://s28.q4cdn.com/583965976/files/doc_news/2003/02/13/2003-02-13.pdf" xr:uid="{4DCCAFAE-8CDC-C240-95DA-7459CB3D712D}"/>
    <hyperlink ref="I29" r:id="rId26" display="https://s28.q4cdn.com/583965976/files/doc_news/2003/05/08/2003-05-08.pdf" xr:uid="{159D3394-7235-964A-8953-7693BBA609B4}"/>
    <hyperlink ref="I30" r:id="rId27" display="https://s28.q4cdn.com/583965976/files/doc_news/2003/06/05/2003-06-05.pdf" xr:uid="{79528A7B-3E9A-A24D-9381-C1D4AB3A5BFB}"/>
    <hyperlink ref="I31" r:id="rId28" display="https://s28.q4cdn.com/583965976/files/doc_news/2003/06/16/2003-06-16.pdf" xr:uid="{0E72514F-05A6-B34F-84EE-7277F302028F}"/>
    <hyperlink ref="I32" r:id="rId29" display="https://s28.q4cdn.com/583965976/files/doc_news/2003/06/24/2003-06-24b.pdf" xr:uid="{E412FC01-E7CB-D242-B59E-65CE8B558E0C}"/>
    <hyperlink ref="I33" r:id="rId30" display="https://s28.q4cdn.com/583965976/files/doc_news/2003/12/01/2003-12-01.pdf" xr:uid="{2A19DA55-0FF3-D04A-A718-247AA40BB914}"/>
    <hyperlink ref="I34" r:id="rId31" display="https://s28.q4cdn.com/583965976/files/doc_news/2003/12/29/2003-12-29.pdf" xr:uid="{37908841-53A7-F946-9E45-0B8776CBBDF5}"/>
    <hyperlink ref="I35" r:id="rId32" display="https://s28.q4cdn.com/583965976/files/doc_news/2004/03/24/2004-03-24.pdf" xr:uid="{47913171-BC5A-3E4A-A491-5D342A1D5668}"/>
    <hyperlink ref="I36" r:id="rId33" display="https://s28.q4cdn.com/583965976/files/doc_news/2004/04/13/2004-04-13.pdf" xr:uid="{CCF02FE0-48CC-5141-AA81-909B5FF314F9}"/>
    <hyperlink ref="I37" r:id="rId34" display="https://s28.q4cdn.com/583965976/files/doc_news/2004/07/15/2004-07-15.pdf" xr:uid="{27673DA0-0596-3540-9BE6-D29F48B2606A}"/>
    <hyperlink ref="I38" r:id="rId35" display="https://s28.q4cdn.com/583965976/files/doc_news/2004/07/27/2004-07-27.pdf" xr:uid="{75B8A824-9C27-A049-A47E-0947AF90175F}"/>
    <hyperlink ref="I39" r:id="rId36" display="https://royalgold.com/investors/press-releases/press-release-details/2005/Royal-Gold-Announces-Reserve-Additions-and-Production-Estimates-from-its-Royalty-Operators-04-04-2005/default.aspx" xr:uid="{16C6B12A-9246-DD4B-BFF7-C4686D8C8701}"/>
    <hyperlink ref="I40" r:id="rId37" display="https://royalgold.com/investors/press-releases/press-release-details/2005/Royal-Gold-Announces-Common-Stock-Offering-09-20-2005/default.aspx" xr:uid="{A6E34D28-9C3A-864C-A2EF-84B4EB8C17AC}"/>
    <hyperlink ref="I41" r:id="rId38" display="https://royalgold.com/investors/press-releases/press-release-details/2005/Royal-Gold-Signs-Term-Sheet-For-Financing-High-River-Golds-Taparko-Project-10-18-2005/default.aspx" xr:uid="{233FD1D2-57EF-A344-B462-527A25E67044}"/>
    <hyperlink ref="I42" r:id="rId39" display="https://royalgold.com/investors/press-releases/press-release-details/2005/Royal-Gold-Completes-Strategic-Alliance-With-Taranis-Resources-11-10-2005/default.aspx" xr:uid="{C38480CC-F994-F148-8D26-B9859EA5858F}"/>
    <hyperlink ref="I43" r:id="rId40" display="https://royalgold.com/investors/press-releases/press-release-details/2005/Royal-Gold-Completes-Transaction-With-High-River-Gold-For-Its-Taparko-Project-12-05-2005/default.aspx" xr:uid="{A21EDDF6-4916-6E40-B3AC-6FDF45913FDE}"/>
    <hyperlink ref="I44" r:id="rId41" display="https://royalgold.com/investors/press-releases/press-release-details/2005/Royal-Gold-Agrees-To-Acquire-Royalties-From-Kennecott-Minerals-For-25.0-Million-12-23-2005/default.aspx" xr:uid="{440B4789-0755-214E-ACB2-E4A14BE06111}"/>
    <hyperlink ref="I45" r:id="rId42" display="https://royalgold.com/investors/press-releases/press-release-details/2006/Royal-Gold-Closes-Deal-To-Acquire-Royalties-From-Kennecott-Minerals-01-05-2006/default.aspx" xr:uid="{ED5C69A3-3DFD-F141-BBAF-1EDBB1D5D287}"/>
    <hyperlink ref="I46" r:id="rId43" display="https://royalgold.com/investors/press-releases/press-release-details/2006/Royal-Gold-Announces-Positive-Outlook-Despite-Forecasted-Production-Decline-At-The-Pipeline-Mining-Complex--02-27-2006/default.aspx" xr:uid="{2A5C72EB-E1B4-3942-A2C0-2C73CDD665E7}"/>
    <hyperlink ref="I47" r:id="rId44" display="https://royalgold.com/investors/press-releases/press-release-details/2006/Royal-Gold-Increases-Interest-in-Taranis-Resources-Inc.-08-21-2006/default.aspx" xr:uid="{903EBDE0-18A3-6E4A-823F-C47E5FB28E02}"/>
    <hyperlink ref="I48" r:id="rId45" display="https://royalgold.com/investors/press-releases/press-release-details/2006/Royal-Gold-Acquires-the-Gold-Hill-Royalty-From-Nevada-Star-Resource-Corp.--10-26-2006/default.aspx" xr:uid="{EB9C2D23-8F83-5140-8741-9E7C8A5B7B4F}"/>
    <hyperlink ref="I49" r:id="rId46" display="https://royalgold.com/investors/press-releases/press-release-details/2006/Royal-Gold-Closes-Gold-Hill-Royalty-Transaction--12-13-2006/default.aspx" xr:uid="{7921C735-C2C3-A349-9460-63AFA5A68450}"/>
    <hyperlink ref="I50" r:id="rId47" display="https://royalgold.com/investors/press-releases/press-release-details/2006/Royal-Gold-Acquires-Penasquito-Royalty-and-Rights-to-Additional-Royalties-From-Minera-Kennecott-12-29-2006/default.aspx" xr:uid="{215BBA4B-6A4A-8B4D-820E-8B9F6C1D3636}"/>
    <hyperlink ref="I51" r:id="rId48" display="https://royalgold.com/investors/press-releases/press-release-details/2007/Royal-Gold-Acquires-Royalty-on-Barrick-Gold-Corporations-Pascua-Lama-Gold-Project--01-17-2007/default.aspx" xr:uid="{AE6C76ED-AEFA-CE49-92B9-160BE6F90D21}"/>
    <hyperlink ref="I52" r:id="rId49" display="https://royalgold.com/investors/press-releases/press-release-details/2007/Royal-Gold-Appoints-Kirchhoff-as-General-Counsel-01-22-2007/default.aspx" xr:uid="{3790B3F9-AA65-CF46-A1E6-B942A2962272}"/>
    <hyperlink ref="I53" r:id="rId50" display="https://royalgold.com/investors/press-releases/press-release-details/2007/Royal-Gold-Closes-Penasquito-Royalty-Transaction-01-24-2007/default.aspx" xr:uid="{10416F4B-45FB-1C4E-9467-6C4CB9A8A3AE}"/>
    <hyperlink ref="I54" r:id="rId51" display="https://royalgold.com/investors/press-releases/press-release-details/2007/Royal-Gold-to-Acquire-Battle-Mountain-Gold-Exploration-03-05-2007/default.aspx" xr:uid="{5C18C4D5-071D-4343-AC35-D4A67671CAB7}"/>
    <hyperlink ref="I55" r:id="rId52" display="https://royalgold.com/investors/press-releases/press-release-details/2007/Royal-Gold-Closes-Pascua-Lama-Royalty-Transaction-03-12-2007/default.aspx" xr:uid="{DC7BE76A-315A-9242-839F-71062D1D86AE}"/>
    <hyperlink ref="I56" r:id="rId53" display="https://royalgold.com/investors/press-releases/press-release-details/2007/Royal-Gold-Announces-Common-Stock-Offering-03-27-2007/default.aspx" xr:uid="{3B14F2C5-4641-D148-92BB-04DD9DE8AA0D}"/>
    <hyperlink ref="I57" r:id="rId54" display="https://royalgold.com/investors/press-releases/press-release-details/2007/Royal-Gold-Announces-Pricing-of-Public-Offering-of-Common-Stock-04-03-2007/default.aspx" xr:uid="{CEDD8C24-2E5C-D24D-B19E-C255C2C25EA8}"/>
    <hyperlink ref="I58" r:id="rId55" display="https://royalgold.com/investors/press-releases/press-release-details/2007/Royal-Gold-Announces-Calendar-2007-Reserve-Increases-and-Production-Forecasts-From-Its-Royalty-Operators-04-10-2007/default.aspx" xr:uid="{E28840C5-02C4-1141-B2F3-D3D0D9DD0552}"/>
    <hyperlink ref="I59" r:id="rId56" display="https://royalgold.com/investors/press-releases/press-release-details/2007/Royal-Gold-and-Battle-Mountain-Gold-Exploration-Sign-Definitive-Merger-Agreement--04-18-2007/default.aspx" xr:uid="{E3A56F8B-730F-1E4E-9FB9-C559C6413476}"/>
    <hyperlink ref="I61" r:id="rId57" display="https://royalgold.com/investors/press-releases/press-release-details/2007/Royal-Gold-to-Begin-Receiving-Royalty-Revenue-From-High-River-Golds-Taparko-Mine-07-19-2007/default.aspx" xr:uid="{F542A8D2-F1B4-3F49-880C-07E97C03131A}"/>
    <hyperlink ref="I60" r:id="rId58" display="https://royalgold.com/investors/press-releases/press-release-details/2007/Royal-Gold-Announces-Substantial-Increases-in-Reserves-At-Penasquito-Royalty-Property-06-28-2007/default.aspx" xr:uid="{1C4436F6-81DC-C64B-9050-BA36E8FC5E25}"/>
    <hyperlink ref="I62" r:id="rId59" display="https://royalgold.com/investors/press-releases/press-release-details/2007/Royal-Gold-Files-S-4-Registration-Statement-to-Advance-Merger-With-Battle-Mountain-Gold-Exploration-08-09-2007/default.aspx" xr:uid="{8DE2C28F-E61C-224D-A417-18F3982BD8A0}"/>
    <hyperlink ref="I63" r:id="rId60" display="https://royalgold.com/investors/press-releases/press-release-details/2007/Royal-Gold-Completes-Acquisition-of-Battle-Mountain-10-25-2007/default.aspx" xr:uid="{B20E4AC3-F974-974B-86A5-FA041E6629EE}"/>
    <hyperlink ref="I64" r:id="rId61" display="https://royalgold.com/investors/press-releases/press-release-details/2007/Royal-Gold-Acquires-Benso-Royalty-From-FairWest-Energy-Corporation-10-31-2007/default.aspx" xr:uid="{C5D6D94A-D875-A940-AECA-634B3E505885}"/>
    <hyperlink ref="I65" r:id="rId62" display="https://royalgold.com/investors/press-releases/press-release-details/2007/Royal-Gold-Announces-Commencement-of-Public-Offering-of-Mandatory-Convertible-Preferred-Stock-11-05-2007/default.aspx" xr:uid="{60AF01C8-B2E7-5B45-B99A-CA3B926D7F0A}"/>
    <hyperlink ref="I66" r:id="rId63" display="https://royalgold.com/investors/press-releases/press-release-details/2007/Royal-Gold-Announces-the-Closing-of-its-7.25-Mandatory-Convertible-Preferred-Stock-for-Gross-Proceeds-of-115-Million--11-09-2007/default.aspx" xr:uid="{74F1756A-6FEB-B442-BA50-46352370D463}"/>
    <hyperlink ref="I67" r:id="rId64" display="https://royalgold.com/investors/press-releases/press-release-details/2007/Royal-Gold-Announces-Impact-From-Goldcorps-Expansion-Plans-at-the-Penasquito-Project-12-05-2007/default.aspx" xr:uid="{17CCA8B8-7095-E645-A812-8A12243907EC}"/>
    <hyperlink ref="I68" r:id="rId65" display="https://royalgold.com/investors/press-releases/press-release-details/2008/Royal-Gold-Enters-Into-an-Agreement-to-Acquire-Royalty-Interests-on-Marigold-and-El-Chanate-Mines-From-AngloGold-Ashanti-01-24-2008/default.aspx" xr:uid="{B0B160A5-56F7-FD4F-88D2-C6EC395645F9}"/>
    <hyperlink ref="I69" r:id="rId66" display="https://royalgold.com/investors/press-releases/press-release-details/2008/Royal-Gold-Exercises-Conversion-Right-for-Its-Mandatory-Preferred-Stock-Approves-a-Stock-Repurchase-Program-Amends-Its-Credit-Facility-01-25-2008/default.aspx" xr:uid="{B4BFE92C-E419-7048-9E6D-D949209EC402}"/>
    <hyperlink ref="I70" r:id="rId67" display="https://royalgold.com/investors/press-releases/press-release-details/2008/Royal-Gold-Announces-the-Closing-of-the-Marigold-and-El-Chanate-Mines-Royalty-Acquisition-02-22-2008/default.aspx" xr:uid="{D8C71149-BCBF-E14C-A5AB-BF9707B80284}"/>
    <hyperlink ref="I71" r:id="rId68" display="https://s28.q4cdn.com/583965976/files/doc_news/2008/07/31/856rl25511.PDF" xr:uid="{6902EF1C-1B07-1E4F-9B38-AECC65F81E21}"/>
    <hyperlink ref="I72" r:id="rId69" display="https://royalgold.com/investors/press-releases/press-release-details/2008/Royal-Gold-Enters-Into-a-New-Credit-Facility-With-Increased-Availability-10-31-2008/default.aspx" xr:uid="{C5F54B91-2F49-EB4D-96B6-3EA313B8A5FB}"/>
    <hyperlink ref="I73" r:id="rId70" display="https://royalgold.com/investors/press-releases/press-release-details/2009/Royal-Gold-Announces-Reserve-Additions-at-Penasquito-and-Cortez-Royalty-Properties-02-23-2009/default.aspx" xr:uid="{83261061-2EBE-E14D-A196-D42B3FF34AFF}"/>
    <hyperlink ref="I74" r:id="rId71" display="https://royalgold.com/investors/press-releases/default.aspx" xr:uid="{AA815004-5D66-6A4F-85D0-13363B0732AF}"/>
    <hyperlink ref="I75" r:id="rId72" display="https://royalgold.com/investors/press-releases/press-release-details/2009/Royal-Gold-to-Acquire-Interest-in-the-Gold-Production-from-Teck-Comincos-Andacollo-Mine-in-Chile-04-06-2009/default.aspx" xr:uid="{1AB43CBD-2E2E-F24A-B65F-D52EE4872E4F}"/>
    <hyperlink ref="I76" r:id="rId73" display="https://royalgold.com/investors/press-releases/press-release-details/2009/Royal-Gold-Announces-Common-Stock-Offering-04-06-2009/default.aspx" xr:uid="{C10EEFEA-EF07-164A-A8DA-077272E8E12B}"/>
    <hyperlink ref="I77" r:id="rId74" display="https://royalgold.com/investors/press-releases/press-release-details/2009/Royal-Gold-Announces-Pricing-of-Common-Stock-Offering-04-07-2009/default.aspx" xr:uid="{81DAD004-77C0-6647-84D0-CA91B9BA6BC6}"/>
    <hyperlink ref="I78" r:id="rId75" display="https://royalgold.com/investors/press-releases/press-release-details/2009/Royal-Gold-Announces-Substantial-Reserve-Increases-and-Production-Forecasts-Associated-With-Its-Royalty-Interests-05-20-2009/default.aspx" xr:uid="{F53DF762-BD6E-8944-8FAE-693ED217C33D}"/>
    <hyperlink ref="I79" r:id="rId76" display="https://royalgold.com/investors/press-releases/press-release-details/2010/Royal-Gold-Enters-into-a-New-100-Million-Term-Loan-Facility-Agreement-01-21-2010/default.aspx" xr:uid="{0F865312-2C58-FC49-A1F5-B7A313CF0275}"/>
    <hyperlink ref="I80" r:id="rId77" display="https://royalgold.com/investors/press-releases/press-release-details/2010/Royal-Gold-Announces-the-Completion-of-the-Andacollo-Gold-Transaction-01-25-2010/default.aspx" xr:uid="{B23EE525-C178-9D44-A2A4-804D262FB793}"/>
    <hyperlink ref="I81" r:id="rId78" display="https://royalgold.com/investors/press-releases/press-release-details/2010/Royal-Gold-Amends-Its-Term-Loan-and-Retires-Debentures-03-29-2010/default.aspx" xr:uid="{AD7B621B-DA4E-6D4E-964B-08E47B13D935}"/>
    <hyperlink ref="I82" r:id="rId79" display="https://royalgold.com/investors/press-releases/press-release-details/2010/Royal-Gold-Announces-Substantial-Reserve-Increases-and-Production-Forecasts-Associated-with-Its-Royalty-Interests-06-04-2010/default.aspx" xr:uid="{0CB75B5F-0BA5-E74D-9283-6226DD65F761}"/>
    <hyperlink ref="I83" r:id="rId80" display="https://royalgold.com/investors/press-releases/press-release-details/2010/Royal-Gold-Acquires-Additional-Royalty-Interests-on-the-Pascua-Lama-Gold-Project-07-06-2010/default.aspx" xr:uid="{93ECB32B-6375-584F-89D8-ECFF5DB19F26}"/>
    <hyperlink ref="I84" r:id="rId81" display="https://royalgold.com/investors/press-releases/press-release-details/2010/Royal-Gold-Agrees-to-Acquire-25-Gold-Stream-on-the-Mt.-Milligan-Project-07-15-2010/default.aspx" xr:uid="{AB92C050-76FB-644E-B02E-9FA2B640EB1B}"/>
    <hyperlink ref="I85" r:id="rId82" display="https://royalgold.com/investors/press-releases/press-release-details/2010/Royal-Gold-Announces-Completion-of-the-Mt.-Milligan-Gold-Stream-Acquisition-10-20-2010/default.aspx" xr:uid="{035732F3-C17D-9947-A48D-38F20CD89518}"/>
    <hyperlink ref="I86" r:id="rId83" display="https://royalgold.com/investors/press-releases/press-release-details/2011/Royal-Gold-Amends-its-Revolving-Credit-Facility-and-Term-Loan-02-02-2011/default.aspx" xr:uid="{7E1622A8-4780-E345-8B8D-75086F986C5A}"/>
    <hyperlink ref="I87" r:id="rId84" display="https://royalgold.com/investors/press-releases/press-release-details/2011/Royal-Gold-Announces-Reserve-Increases-and-Production-Forecasts-Associated-with-its-Royalty-Interests-05-05-2011/default.aspx" xr:uid="{80BD7EA5-C9C6-6C4A-969C-03DD4D64C423}"/>
    <hyperlink ref="I88" r:id="rId85" display="https://royalgold.com/investors/press-releases/press-release-details/2011/Royal-Gold-Enters-into-an-Option-Agreement-to-Acquire-a-Royalty-on-the-Kerr-Sulphurets-Mitchell-Project-06-17-2011/default.aspx" xr:uid="{9FC1A216-E3A1-BE49-98A4-DFA8DDD3906B}"/>
    <hyperlink ref="I89" r:id="rId86" display="https://royalgold.com/investors/press-releases/press-release-details/2011/Royal-Gold-Increases-Gold-Stream-Interest-in-the-Mt.-Milligan-Project-12-15-2011/default.aspx" xr:uid="{A0F771E9-0F9C-1E4E-87DE-B86ABA970914}"/>
    <hyperlink ref="I90" r:id="rId87" display="https://royalgold.com/investors/press-releases/press-release-details/2011/Royal-Gold-Acquires-Gold-and-Silver-Interests-on-the-Tulsequah-Chief-Project-12-22-2011/default.aspx" xr:uid="{55D9722C-8B5C-E24A-AC93-145498AF34F1}"/>
    <hyperlink ref="I91" r:id="rId88" display="https://royalgold.com/investors/press-releases/press-release-details/2012/Royal-Gold-Announces-Reserve-and-Production-Forecasts-Associated-with-its-Interests-05-02-2012/default.aspx" xr:uid="{57097250-B24A-9D44-9EA7-7B7DC6C4E90F}"/>
    <hyperlink ref="I92" r:id="rId89" display="https://royalgold.com/investors/press-releases/press-release-details/2012/Royal-Gold-Acquires-Gold-Royalty-on-Ruby-Hill-Mine-in-Nevada-05-23-2012/default.aspx" xr:uid="{E56A325D-3A7B-DE49-A76E-81363BFBD53D}"/>
    <hyperlink ref="I93" r:id="rId90" display="https://royalgold.com/investors/press-releases/press-release-details/2012/Royal-Gold-Expands-and-Extends-Revolving-Credit-Facility-05-30-2012/default.aspx" xr:uid="{A2B0CE43-D95C-D548-8279-188CB146E550}"/>
    <hyperlink ref="I94" r:id="rId91" display="https://royalgold.com/investors/press-releases/press-release-details/2012/Royal-Gold-Announces-Proposed-325-Million-Convertible-Notes-Offering-06-13-2012/default.aspx" xr:uid="{D1C245CE-14CE-154E-9FFC-467BF1397D3C}"/>
    <hyperlink ref="I95" r:id="rId92" display="https://royalgold.com/investors/press-releases/press-release-details/2012/Royal-Gold-Prices-325-Million-of-Senior-Convertible-Notes-06-14-2012/default.aspx" xr:uid="{A468568A-4003-FF4B-B1CB-6077FB1A5B78}"/>
    <hyperlink ref="I96" r:id="rId93" display="https://royalgold.com/investors/press-releases/press-release-details/2012/Royal-Gold-Announces-Closing-of-2.875-Convertible-Senior-Notes-Offering-06-20-2012/default.aspx" xr:uid="{51D83CA3-BD3B-384A-B1FA-1E30EF2721C5}"/>
    <hyperlink ref="I97" r:id="rId94" display="https://royalgold.com/investors/press-releases/press-release-details/2012/Royal-Gold-Provides-Update-on-Pascua-Lama-Construction-07-26-2012/default.aspx" xr:uid="{C83EF857-62BF-8244-8B61-373940685667}"/>
    <hyperlink ref="I98" r:id="rId95" display="https://royalgold.com/investors/press-releases/press-release-details/2012/Royal-Gold-Increases-Gold-Stream-Interest-in-the-Mt.-Milligan-Project-to-52.25-08-09-2012/default.aspx" xr:uid="{247E341A-9F1E-EC4F-BA40-B45870D0227A}"/>
    <hyperlink ref="I99" r:id="rId96" display="https://royalgold.com/investors/press-releases/press-release-details/2012/Royal-Gold-Announces-Completion-of-Additional-Gold-Stream-Interest-at-Mt.-Milligan-08-13-2012/default.aspx" xr:uid="{2288A4B3-8A16-374F-84EE-AC9001DF2C6B}"/>
    <hyperlink ref="I100" r:id="rId97" display="https://royalgold.com/investors/press-releases/press-release-details/2013/Royal-Gold-Provides-Update-on-Pascua-Lama-04-10-2013/default.aspx" xr:uid="{212E466C-68AA-D244-9AE9-30CF0B72B7B9}"/>
    <hyperlink ref="I101" r:id="rId98" display="https://royalgold.com/investors/press-releases/press-release-details/2013/Royal-Gold-Announces-Reserve-and-Production-Forecasts-Associated-with-its-Interests-05-02-2013/default.aspx" xr:uid="{42D90782-67DE-EB44-AD21-4FD8951EA9CF}"/>
    <hyperlink ref="I102" r:id="rId99" display="https://royalgold.com/investors/press-releases/press-release-details/2013/Royal-Gold-Provides-Update-on-Pascua-Lama-07-01-2013/default.aspx" xr:uid="{734A391B-53E8-5949-9AD2-C38AF80B79D6}"/>
    <hyperlink ref="I103" r:id="rId100" display="https://royalgold.com/investors/press-releases/press-release-details/2013/Royal-Gold-Provides-Update-on-Pascua-Lama-10-31-2013/default.aspx" xr:uid="{EA7156CC-C5C6-D544-964E-94549745DBEB}"/>
    <hyperlink ref="I104" r:id="rId101" display="https://royalgold.com/investors/press-releases/press-release-details/2014/Royal-Gold-Acquires-Gold-Stream-on-Rubicon-Minerals-Phoenix-Gold-Project-02-11-2014/default.aspx" xr:uid="{D2580599-F99D-F540-AE14-7E86D91DE8C7}"/>
    <hyperlink ref="I105" r:id="rId102" display="https://royalgold.com/investors/press-releases/press-release-details/2014/Royal-Gold-Provides-Update-on-Mt.-Milligan-Stream-Deliveries-04-10-2014/default.aspx" xr:uid="{44506342-43C6-F04C-BD8D-5E3233AF8E09}"/>
    <hyperlink ref="I106" r:id="rId103" display="https://royalgold.com/investors/press-releases/press-release-details/2014/Royal-Gold-Announces-Reserve-and-Production-Forecasts-Associated-with-its-Interests-05-01-2014/default.aspx" xr:uid="{2DC9E216-DC69-DD4B-9266-CF4DB4A835E9}"/>
    <hyperlink ref="I107" r:id="rId104" display="https://s28.q4cdn.com/583965976/files/doc_news/2014/07/10/071014-Mt-Milligan-Guidance-July-10-2014_FINAL-LH_v001_m15bag.pdf" xr:uid="{FEC93F96-F218-D647-9D18-7B7DAFD3FF5D}"/>
    <hyperlink ref="I108" r:id="rId105" display="https://s28.q4cdn.com/583965976/files/doc_news/2014/10/14/101414-RGLD-Mt-Milligan-Deliveries-FINAL-Oct-14-2014_v001_c0c5zu.pdf" xr:uid="{C1E34025-EF14-C647-A3ED-973BE3278AF4}"/>
    <hyperlink ref="I109" r:id="rId106" display="https://s28.q4cdn.com/583965976/files/doc_news/2014/10/21/102114-Royal-Gold-Acquires-Stream-on-Ilovitza-FINAL-(2)_v001_m41vlj.pdf" xr:uid="{83B5A67F-B695-2D44-9E1C-6E69D6E6ED52}"/>
    <hyperlink ref="I110" r:id="rId107" display="https://royalgold.com/investors/press-releases/press-release-details/2015/Royal-Gold-Provides-Update-on-Two-Principal-Properties-01-20-2015/default.aspx" xr:uid="{BBFA9676-2803-3A47-A523-318F764D7863}"/>
    <hyperlink ref="I111" r:id="rId108" display="https://s28.q4cdn.com/583965976/files/doc_news/2015/04/16/041615-RGLD-Mt-Milligan-Deliveries-FINAL-LH_v001_p231v9.pdf" xr:uid="{90EC6EAF-09BB-B146-B96A-F8056B4AF98A}"/>
    <hyperlink ref="I112" r:id="rId109" display="https://s28.q4cdn.com/583965976/files/doc_news/2015/04/29/2015-Press-Release-2014-YE-Reserves-Apr-30-2015-FINAL-(LH)_v002_c68i9y.pdf" xr:uid="{A8737F44-D1BF-F04F-8EFE-3A380B649E4B}"/>
    <hyperlink ref="I113" r:id="rId110" display="https://royalgold.com/investors/press-releases/press-release-details/2015/Royal-Gold-Acquires-Gold-Streams-on-Wassa-Bogoso-and-Prestea-from-Golden-Star-Resources-05-07-2015/default.aspx" xr:uid="{5067EAA1-AD46-CA47-BA67-759646D15E17}"/>
    <hyperlink ref="I114" r:id="rId111" display="https://s28.q4cdn.com/583965976/files/doc_news/2015/07/09/Royal-Gold-Acquires-Gold-Stream-on-Tecks-Carmen-de-Andacollo-Mine-FINAL-July-9-2015-LH.pdf" xr:uid="{31816FAE-4B1F-9549-82AF-6E087C07FE30}"/>
    <hyperlink ref="I115" r:id="rId112" display="https://s28.q4cdn.com/583965976/files/doc_news/2015/07/09/Royal-Gold-Sells-Royalty-at-Carmen-de-Andacollo-FINAL-July-9-2015-LH.pdf" xr:uid="{1BF40952-ACE5-E34E-B366-86CE2AB8585A}"/>
    <hyperlink ref="I116" r:id="rId113" display="https://royalgold.com/investors/press-releases/press-release-details/2015/Royal-Gold-Acquires-Gold-and-Silver-Stream-on-New-Golds-Rainy-River-Project-07-20-2015/default.aspx" xr:uid="{832D062D-572C-AA43-8870-9763D6A72D93}"/>
    <hyperlink ref="I117" r:id="rId114" display="https://s28.q4cdn.com/583965976/files/doc_news/2015/08/05/Pueblo-Viejo-Stream-FINAL-Aug-5-2015-LH.pdf" xr:uid="{9864E024-E6D9-1D4C-A0AF-01D42DD21E79}"/>
    <hyperlink ref="I118" r:id="rId115" display="https://s28.q4cdn.com/583965976/files/doc_news/2015/09/29/Pueblo-Viejo-Stream-Closing-FINAL-Sept-29-2015-LH.pdf" xr:uid="{527E8A5C-0E6F-2142-A75F-DCF3AA2C3D8F}"/>
    <hyperlink ref="I119" r:id="rId116" display="https://royalgold.com/investors/press-releases/press-release-details/2015/Royal-Gold-Provides-Update-on-Pueblo-Viejo-11-23-2015/default.aspx" xr:uid="{36ED63DA-F08E-D747-A75B-3A3869FC4A51}"/>
    <hyperlink ref="I120" r:id="rId117" display="https://s28.q4cdn.com/583965976/files/doc_news/2016/04/27/2016-Press-Release-2015-YE-Reserves-FINAL-LH.pdf" xr:uid="{AD7F8D83-9277-3346-853B-7CC5E52ED2F5}"/>
    <hyperlink ref="I121" r:id="rId118" display="https://s28.q4cdn.com/583965976/files/doc_news/2016/06/21/TSX-Delisting-LH-June-2016-FINAL.pdf" xr:uid="{2E461FD0-B6B3-7B4C-897D-44E32E87FBC8}"/>
    <hyperlink ref="I122" r:id="rId119" display="https://s28.q4cdn.com/583965976/files/doc_news/2017/06/02/Peak-Gold-Resource-Estimate-2-(FINAL).pdf" xr:uid="{993CF414-1B4A-C04A-9EB2-6E672B83D048}"/>
    <hyperlink ref="I123" r:id="rId120" display="https://s28.q4cdn.com/583965976/files/doc_news/2017/06/02/Royal-Gold-Expands-Credit-Facility-FINAL-1.pdf" xr:uid="{C8964111-7DC5-854A-854E-38A24DA28125}"/>
    <hyperlink ref="I124" r:id="rId121" display="https://s28.q4cdn.com/583965976/files/doc_news/2017/12/27/Royal-Gold-Receives-Update-from-Mount-Milligan-FINAL-v2-LH.pdf" xr:uid="{4B9674E4-17A0-DE43-9206-10323360390B}"/>
    <hyperlink ref="I125" r:id="rId122" display="https://s28.q4cdn.com/583965976/files/doc_news/2018/06/01/New-Org-structure-WEBSITE-June-1-2018.pdf" xr:uid="{D7AE0239-9A64-254A-B511-9A2AD8C38019}"/>
    <hyperlink ref="I126" r:id="rId123" display="https://s28.q4cdn.com/583965976/files/doc_news/2018/09/19/Management-and-Gold-Forum-Press-Release-FINAL-LH-Sept-19-2018.pdf" xr:uid="{1E4DC7B9-39EF-714D-AEB8-C9A88C69890D}"/>
    <hyperlink ref="I127" r:id="rId124" display="https://s28.q4cdn.com/583965976/files/doc_news/2019/02/25/Royal-Gold-Announces-Acquisition-of-Project-Ivory-Silver-Stream-FINAL-v1-(LH)-Feb-25-2019.pdf" xr:uid="{6207F65E-4843-9444-8A6E-F459B98C5C55}"/>
    <hyperlink ref="I128" r:id="rId125" display="https://s28.q4cdn.com/583965976/files/doc_news/2019/05/30/Reserves-Press-Release-FINAL-LH-May-30-2019.pdf" xr:uid="{124A9B5E-B12B-1242-A91A-018F0D745706}"/>
    <hyperlink ref="I129" r:id="rId126" display="https://s28.q4cdn.com/583965976/files/doc_news/2019/10/30/Update-on-Mt-Milligan-FINAL-Oct-30-2019.pdf" xr:uid="{7A40F329-8EE9-7F4C-B1AA-C11F70355AD9}"/>
    <hyperlink ref="I130" r:id="rId127" display="https://s28.q4cdn.com/583965976/files/doc_news/2019/12/05/Andacollo-Strike-Update-Dec-5-2019-FINAL-LH.pdf" xr:uid="{EC4D4236-4060-5444-B22F-1C76BB1DE144}"/>
    <hyperlink ref="I131" r:id="rId128" display="https://s28.q4cdn.com/583965976/files/doc_news/2020/02/13/RR-Updated-LOM-Plan-Feb-13-2020-FINAL.pdf" xr:uid="{7087EEB4-22CA-3948-BB5F-EC4ED5E540F1}"/>
    <hyperlink ref="I132" r:id="rId129" display="https://s28.q4cdn.com/583965976/files/doc_news/2020/09/30/Peak-Divestment-September-30-2020-(FINAL.2)-LH.pdf" xr:uid="{E14C2372-389D-F74D-9FAC-38B6F6E91BE6}"/>
    <hyperlink ref="I133" r:id="rId130" display="https://s28.q4cdn.com/583965976/files/doc_news/2020/10/01/GSR-Restructure-October-1-2020-(FINAL)-LH-(002).pdf" xr:uid="{5155A533-ED99-F24E-9C67-9E8C5F0A618A}"/>
    <hyperlink ref="I134" r:id="rId131" display="https://s28.q4cdn.com/583965976/files/doc_news/2021/06/30/NX-Gold-Acquisition-Release-June-30-2021-FINAL-(LH).pdf" xr:uid="{09FF1C1B-95D8-C64C-BD64-F229DFFEE551}"/>
    <hyperlink ref="I135" r:id="rId132" display="https://s28.q4cdn.com/583965976/files/doc_news/2021/08/11/Red-Chris-NSR-Acquisition-Release-August-11-2021-FINAL-LH.pdf" xr:uid="{7AB14BD8-050B-6840-9AD2-9068E6C8BE42}"/>
    <hyperlink ref="I136" r:id="rId133" display="https://s28.q4cdn.com/583965976/files/GBR-NSR-Acquisition-Release-July-11-2022-FINAL.1.pdf" xr:uid="{F0B879E1-07AE-774F-A254-0EFB6455A12F}"/>
    <hyperlink ref="I137" r:id="rId134" display="https://s28.q4cdn.com/583965976/files/Cortez-Royalty-Acquisition-Release-August-2-2022-FINAL.1-LH.pdf" xr:uid="{12909FA9-C8B8-214D-96E2-6BC38009DB80}"/>
    <hyperlink ref="I138" r:id="rId135" display="https://s28.q4cdn.com/583965976/files/GBR-Closing-Release-Sept-9-2022-(FINAL)-LH.pdf" xr:uid="{45ACCD34-3E22-D74B-822E-304945585C38}"/>
    <hyperlink ref="I139" r:id="rId136" display="https://s28.q4cdn.com/583965976/files/Penasquito-Suspension-June-8-2023-FINAL-LH.pdf" xr:uid="{7A95D8B7-9D71-494E-9422-95A2CC08F6CE}"/>
    <hyperlink ref="I140" r:id="rId137" display="https://s28.q4cdn.com/583965976/files/doc_news/2023/06/Serrote-and-Santa-Rita-Acquisition-Release-June-12-2023-FINAL-LH.pdf" xr:uid="{560A5599-2020-3949-8940-5FC76FD67190}"/>
    <hyperlink ref="I141" r:id="rId138" display="https://s28.q4cdn.com/583965976/files/Serrote-and-Santa-Rita-Royalties-Update-Release-August-10-2023-FINAL-LH.pdf" xr:uid="{B6A56437-48C2-2E48-A4E9-33CF6F101FF1}"/>
    <hyperlink ref="I142" r:id="rId139" display="https://s28.q4cdn.com/583965976/files/Serrote-and-Santa-Rita-Royalties-Update-Release-August-21-2023-FINAL-REVISED-LH.pdf" xr:uid="{AAF95673-CC6C-8C49-9187-34597A4B45B3}"/>
    <hyperlink ref="I143" r:id="rId140" display="https://s28.q4cdn.com/583965976/files/Mars-Update-Release-September-29-2023-FINAL-LH.pdf" xr:uid="{71CD778D-0CF1-C441-BA7B-78AEAFD3E684}"/>
    <hyperlink ref="I144" r:id="rId141" display="https://s28.q4cdn.com/583965976/files/Penasquito-Preliminary-Agreement-Release-October-9-2023-FINAL-LH.pdf" xr:uid="{B42927A4-A040-9644-9A0C-249B1BF6E187}"/>
    <hyperlink ref="I145" r:id="rId142" display="https://s28.q4cdn.com/583965976/files/Additional-Agreement-with-Centerra-February-14-2024-FINAL-1-LH.pdf" xr:uid="{045E5FF4-4143-FE47-B248-8D5D66EAAEA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BE943-427C-674F-96A1-131A71553C49}">
  <dimension ref="A1"/>
  <sheetViews>
    <sheetView workbookViewId="0"/>
  </sheetViews>
  <sheetFormatPr baseColWidth="10" defaultRowHeight="1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</vt:lpstr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</dc:creator>
  <cp:lastModifiedBy>Jameel Brannon</cp:lastModifiedBy>
  <dcterms:created xsi:type="dcterms:W3CDTF">2024-12-21T23:16:15Z</dcterms:created>
  <dcterms:modified xsi:type="dcterms:W3CDTF">2026-10-07T04:39:52Z</dcterms:modified>
</cp:coreProperties>
</file>