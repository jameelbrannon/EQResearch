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5949EC74-C8E4-834C-92A6-0B596113BEDB}" xr6:coauthVersionLast="47" xr6:coauthVersionMax="47" xr10:uidLastSave="{00000000-0000-0000-0000-000000000000}"/>
  <bookViews>
    <workbookView xWindow="7040" yWindow="600" windowWidth="37520" windowHeight="24540" activeTab="1" xr2:uid="{DBC56FF1-43CB-714F-B0D6-C228F2F5AFE4}"/>
  </bookViews>
  <sheets>
    <sheet name="Mi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1" l="1"/>
  <c r="R32" i="1"/>
  <c r="R31" i="1"/>
  <c r="R30" i="1"/>
  <c r="R29" i="1"/>
  <c r="R28" i="1"/>
  <c r="R27" i="1"/>
  <c r="R26" i="1"/>
  <c r="Q33" i="1"/>
  <c r="Q32" i="1"/>
  <c r="Q31" i="1"/>
  <c r="Q30" i="1"/>
  <c r="Q29" i="1"/>
  <c r="Q28" i="1"/>
  <c r="Q27" i="1"/>
  <c r="Q26" i="1"/>
  <c r="P33" i="1"/>
  <c r="P32" i="1"/>
  <c r="P31" i="1"/>
  <c r="P30" i="1"/>
  <c r="P29" i="1"/>
  <c r="P28" i="1"/>
  <c r="P27" i="1"/>
  <c r="P26" i="1"/>
  <c r="P5" i="1"/>
  <c r="O6" i="1"/>
  <c r="O27" i="1" s="1"/>
  <c r="O5" i="1"/>
  <c r="O33" i="1"/>
  <c r="O31" i="1"/>
  <c r="O30" i="1"/>
  <c r="O28" i="1"/>
  <c r="O26" i="1"/>
  <c r="N33" i="1"/>
  <c r="N32" i="1"/>
  <c r="N31" i="1"/>
  <c r="N30" i="1"/>
  <c r="N29" i="1"/>
  <c r="N28" i="1"/>
  <c r="N27" i="1"/>
  <c r="N26" i="1"/>
  <c r="O12" i="1"/>
  <c r="O11" i="1"/>
  <c r="O8" i="1"/>
  <c r="O1" i="1"/>
  <c r="M2" i="1"/>
  <c r="L2" i="1"/>
  <c r="K2" i="1"/>
  <c r="J2" i="1"/>
  <c r="I2" i="1"/>
  <c r="H2" i="1"/>
  <c r="G2" i="1"/>
  <c r="M1" i="1"/>
  <c r="L1" i="1"/>
  <c r="K1" i="1"/>
  <c r="J1" i="1"/>
  <c r="I1" i="1"/>
  <c r="H1" i="1"/>
  <c r="G1" i="1"/>
  <c r="N2" i="1"/>
  <c r="AY28" i="1"/>
  <c r="AX28" i="1"/>
  <c r="AW28" i="1"/>
  <c r="AV28" i="1"/>
  <c r="AU28" i="1"/>
  <c r="AT28" i="1"/>
  <c r="AS28" i="1"/>
  <c r="AR28" i="1"/>
  <c r="AQ28" i="1"/>
  <c r="AP28" i="1"/>
  <c r="AO13" i="1"/>
  <c r="AP13" i="1" s="1"/>
  <c r="AO12" i="1"/>
  <c r="AP12" i="1" s="1"/>
  <c r="AO11" i="1"/>
  <c r="AP11" i="1" s="1"/>
  <c r="AO7" i="1"/>
  <c r="AO6" i="1"/>
  <c r="AP6" i="1" s="1"/>
  <c r="AO5" i="1"/>
  <c r="AP5" i="1" s="1"/>
  <c r="N8" i="1"/>
  <c r="N14" i="1" s="1"/>
  <c r="O50" i="1"/>
  <c r="N72" i="1"/>
  <c r="N73" i="1" s="1"/>
  <c r="L57" i="1"/>
  <c r="K57" i="1"/>
  <c r="J57" i="1"/>
  <c r="I57" i="1"/>
  <c r="H57" i="1"/>
  <c r="G57" i="1"/>
  <c r="F57" i="1"/>
  <c r="E57" i="1"/>
  <c r="D57" i="1"/>
  <c r="C57" i="1"/>
  <c r="M57" i="1"/>
  <c r="N57" i="1"/>
  <c r="C65" i="1"/>
  <c r="C66" i="1"/>
  <c r="C68" i="1" s="1"/>
  <c r="D66" i="1"/>
  <c r="D68" i="1" s="1"/>
  <c r="E66" i="1"/>
  <c r="E68" i="1" s="1"/>
  <c r="G66" i="1"/>
  <c r="G68" i="1" s="1"/>
  <c r="H66" i="1"/>
  <c r="H68" i="1" s="1"/>
  <c r="I66" i="1"/>
  <c r="I68" i="1" s="1"/>
  <c r="F66" i="1"/>
  <c r="F68" i="1" s="1"/>
  <c r="K66" i="1"/>
  <c r="K68" i="1" s="1"/>
  <c r="L66" i="1"/>
  <c r="L68" i="1" s="1"/>
  <c r="M66" i="1"/>
  <c r="M68" i="1" s="1"/>
  <c r="J66" i="1"/>
  <c r="J68" i="1" s="1"/>
  <c r="N66" i="1"/>
  <c r="N68" i="1" s="1"/>
  <c r="H80" i="1"/>
  <c r="I80" i="1" s="1"/>
  <c r="H79" i="1"/>
  <c r="I79" i="1" s="1"/>
  <c r="L80" i="1"/>
  <c r="M80" i="1" s="1"/>
  <c r="N80" i="1" s="1"/>
  <c r="L79" i="1"/>
  <c r="M79" i="1" s="1"/>
  <c r="N79" i="1" s="1"/>
  <c r="K81" i="1"/>
  <c r="G81" i="1"/>
  <c r="F81" i="1"/>
  <c r="E81" i="1"/>
  <c r="D81" i="1"/>
  <c r="AO81" i="1"/>
  <c r="AN81" i="1"/>
  <c r="AM81" i="1"/>
  <c r="AC35" i="1"/>
  <c r="AB35" i="1"/>
  <c r="AA35" i="1"/>
  <c r="Z35" i="1"/>
  <c r="Y35" i="1"/>
  <c r="X35" i="1"/>
  <c r="BB30" i="1"/>
  <c r="BB28" i="1"/>
  <c r="BA3" i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AJ39" i="1"/>
  <c r="AI39" i="1"/>
  <c r="AH39" i="1"/>
  <c r="AG39" i="1"/>
  <c r="AF39" i="1"/>
  <c r="AE39" i="1"/>
  <c r="AD39" i="1"/>
  <c r="AJ41" i="1"/>
  <c r="AI41" i="1"/>
  <c r="AH41" i="1"/>
  <c r="AG41" i="1"/>
  <c r="AF41" i="1"/>
  <c r="AE41" i="1"/>
  <c r="AD41" i="1"/>
  <c r="AJ40" i="1"/>
  <c r="AI40" i="1"/>
  <c r="AH40" i="1"/>
  <c r="AG40" i="1"/>
  <c r="AF40" i="1"/>
  <c r="AE40" i="1"/>
  <c r="AD40" i="1"/>
  <c r="O14" i="1"/>
  <c r="N22" i="1"/>
  <c r="N20" i="1"/>
  <c r="N19" i="1"/>
  <c r="N17" i="1"/>
  <c r="N16" i="1"/>
  <c r="N15" i="1"/>
  <c r="M32" i="1"/>
  <c r="M31" i="1"/>
  <c r="M30" i="1"/>
  <c r="M28" i="1"/>
  <c r="M27" i="1"/>
  <c r="M26" i="1"/>
  <c r="M8" i="1"/>
  <c r="M14" i="1" s="1"/>
  <c r="L8" i="2"/>
  <c r="BA80" i="1" s="1"/>
  <c r="BC80" i="1" s="1"/>
  <c r="L7" i="2"/>
  <c r="BA82" i="1"/>
  <c r="BC82" i="1" s="1"/>
  <c r="BA79" i="1"/>
  <c r="BC79" i="1" s="1"/>
  <c r="AJ33" i="1"/>
  <c r="AI33" i="1"/>
  <c r="AH33" i="1"/>
  <c r="AG33" i="1"/>
  <c r="AF33" i="1"/>
  <c r="AE33" i="1"/>
  <c r="AD33" i="1"/>
  <c r="AC33" i="1"/>
  <c r="AB33" i="1"/>
  <c r="AA33" i="1"/>
  <c r="AH18" i="1"/>
  <c r="AH36" i="1" s="1"/>
  <c r="AG18" i="1"/>
  <c r="AG36" i="1" s="1"/>
  <c r="AF18" i="1"/>
  <c r="AE18" i="1"/>
  <c r="AE21" i="1" s="1"/>
  <c r="AE23" i="1" s="1"/>
  <c r="AD18" i="1"/>
  <c r="AD36" i="1" s="1"/>
  <c r="AH35" i="1"/>
  <c r="AG35" i="1"/>
  <c r="AF35" i="1"/>
  <c r="AE35" i="1"/>
  <c r="AD35" i="1"/>
  <c r="AI35" i="1"/>
  <c r="AI18" i="1"/>
  <c r="AL8" i="1"/>
  <c r="AL14" i="1" s="1"/>
  <c r="AL39" i="1" s="1"/>
  <c r="AK8" i="1"/>
  <c r="AL32" i="1"/>
  <c r="AK32" i="1"/>
  <c r="AL31" i="1"/>
  <c r="AK31" i="1"/>
  <c r="AL30" i="1"/>
  <c r="AK30" i="1"/>
  <c r="AL28" i="1"/>
  <c r="AK28" i="1"/>
  <c r="AL27" i="1"/>
  <c r="AK27" i="1"/>
  <c r="AL26" i="1"/>
  <c r="AK26" i="1"/>
  <c r="AN22" i="1"/>
  <c r="AM22" i="1"/>
  <c r="AN20" i="1"/>
  <c r="AP20" i="1" s="1"/>
  <c r="AQ20" i="1" s="1"/>
  <c r="AR20" i="1" s="1"/>
  <c r="AS20" i="1" s="1"/>
  <c r="AM20" i="1"/>
  <c r="AN19" i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M19" i="1"/>
  <c r="AN17" i="1"/>
  <c r="AM17" i="1"/>
  <c r="AN16" i="1"/>
  <c r="AM16" i="1"/>
  <c r="AN15" i="1"/>
  <c r="AM15" i="1"/>
  <c r="AN13" i="1"/>
  <c r="AO32" i="1" s="1"/>
  <c r="AN12" i="1"/>
  <c r="AO31" i="1" s="1"/>
  <c r="AN11" i="1"/>
  <c r="AO30" i="1" s="1"/>
  <c r="AN7" i="1"/>
  <c r="AO28" i="1" s="1"/>
  <c r="AN6" i="1"/>
  <c r="AO27" i="1" s="1"/>
  <c r="AN5" i="1"/>
  <c r="AO26" i="1" s="1"/>
  <c r="AM13" i="1"/>
  <c r="AM32" i="1" s="1"/>
  <c r="AM12" i="1"/>
  <c r="AM31" i="1" s="1"/>
  <c r="AM11" i="1"/>
  <c r="AM30" i="1" s="1"/>
  <c r="AM7" i="1"/>
  <c r="AM28" i="1" s="1"/>
  <c r="AM6" i="1"/>
  <c r="AM27" i="1" s="1"/>
  <c r="AM5" i="1"/>
  <c r="AM26" i="1" s="1"/>
  <c r="C8" i="1"/>
  <c r="D8" i="1"/>
  <c r="D14" i="1" s="1"/>
  <c r="G32" i="1"/>
  <c r="G31" i="1"/>
  <c r="G30" i="1"/>
  <c r="G28" i="1"/>
  <c r="G27" i="1"/>
  <c r="G26" i="1"/>
  <c r="H32" i="1"/>
  <c r="H31" i="1"/>
  <c r="H30" i="1"/>
  <c r="H28" i="1"/>
  <c r="H27" i="1"/>
  <c r="H26" i="1"/>
  <c r="E8" i="1"/>
  <c r="E14" i="1" s="1"/>
  <c r="K32" i="1"/>
  <c r="J32" i="1"/>
  <c r="I32" i="1"/>
  <c r="K31" i="1"/>
  <c r="J31" i="1"/>
  <c r="I31" i="1"/>
  <c r="K30" i="1"/>
  <c r="J30" i="1"/>
  <c r="I30" i="1"/>
  <c r="K28" i="1"/>
  <c r="J28" i="1"/>
  <c r="I28" i="1"/>
  <c r="K27" i="1"/>
  <c r="J27" i="1"/>
  <c r="I27" i="1"/>
  <c r="K26" i="1"/>
  <c r="J26" i="1"/>
  <c r="I26" i="1"/>
  <c r="L32" i="1"/>
  <c r="L31" i="1"/>
  <c r="L30" i="1"/>
  <c r="L28" i="1"/>
  <c r="L27" i="1"/>
  <c r="L26" i="1"/>
  <c r="F8" i="1"/>
  <c r="F14" i="1" s="1"/>
  <c r="G8" i="1"/>
  <c r="H8" i="1"/>
  <c r="H14" i="1" s="1"/>
  <c r="I8" i="1"/>
  <c r="M29" i="1" s="1"/>
  <c r="L8" i="1"/>
  <c r="K8" i="1"/>
  <c r="J8" i="1"/>
  <c r="J14" i="1" s="1"/>
  <c r="X4" i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GO4" i="1" s="1"/>
  <c r="GP4" i="1" s="1"/>
  <c r="GQ4" i="1" s="1"/>
  <c r="GR4" i="1" s="1"/>
  <c r="GS4" i="1" s="1"/>
  <c r="GT4" i="1" s="1"/>
  <c r="GU4" i="1" s="1"/>
  <c r="GV4" i="1" s="1"/>
  <c r="GW4" i="1" s="1"/>
  <c r="GX4" i="1" s="1"/>
  <c r="GY4" i="1" s="1"/>
  <c r="GZ4" i="1" s="1"/>
  <c r="HA4" i="1" s="1"/>
  <c r="HB4" i="1" s="1"/>
  <c r="HC4" i="1" s="1"/>
  <c r="HD4" i="1" s="1"/>
  <c r="HE4" i="1" s="1"/>
  <c r="HF4" i="1" s="1"/>
  <c r="HG4" i="1" s="1"/>
  <c r="HH4" i="1" s="1"/>
  <c r="HI4" i="1" s="1"/>
  <c r="HJ4" i="1" s="1"/>
  <c r="HK4" i="1" s="1"/>
  <c r="HL4" i="1" s="1"/>
  <c r="HM4" i="1" s="1"/>
  <c r="HN4" i="1" s="1"/>
  <c r="HO4" i="1" s="1"/>
  <c r="HP4" i="1" s="1"/>
  <c r="HQ4" i="1" s="1"/>
  <c r="HR4" i="1" s="1"/>
  <c r="HS4" i="1" s="1"/>
  <c r="HT4" i="1" s="1"/>
  <c r="HU4" i="1" s="1"/>
  <c r="HV4" i="1" s="1"/>
  <c r="HW4" i="1" s="1"/>
  <c r="HX4" i="1" s="1"/>
  <c r="HY4" i="1" s="1"/>
  <c r="HZ4" i="1" s="1"/>
  <c r="IA4" i="1" s="1"/>
  <c r="IB4" i="1" s="1"/>
  <c r="IC4" i="1" s="1"/>
  <c r="ID4" i="1" s="1"/>
  <c r="IE4" i="1" s="1"/>
  <c r="IF4" i="1" s="1"/>
  <c r="IG4" i="1" s="1"/>
  <c r="IH4" i="1" s="1"/>
  <c r="II4" i="1" s="1"/>
  <c r="IJ4" i="1" s="1"/>
  <c r="IK4" i="1" s="1"/>
  <c r="IL4" i="1" s="1"/>
  <c r="IM4" i="1" s="1"/>
  <c r="IN4" i="1" s="1"/>
  <c r="IO4" i="1" s="1"/>
  <c r="IP4" i="1" s="1"/>
  <c r="IQ4" i="1" s="1"/>
  <c r="M7" i="2"/>
  <c r="M8" i="2" s="1"/>
  <c r="L6" i="2"/>
  <c r="O29" i="1" l="1"/>
  <c r="O13" i="1"/>
  <c r="O32" i="1" s="1"/>
  <c r="AQ13" i="1"/>
  <c r="AP32" i="1"/>
  <c r="AQ12" i="1"/>
  <c r="AP31" i="1"/>
  <c r="AQ11" i="1"/>
  <c r="AP30" i="1"/>
  <c r="AP27" i="1"/>
  <c r="AQ6" i="1"/>
  <c r="AP8" i="1"/>
  <c r="AP26" i="1"/>
  <c r="AQ5" i="1"/>
  <c r="N1" i="1"/>
  <c r="N35" i="1"/>
  <c r="K14" i="1"/>
  <c r="AO14" i="1" s="1"/>
  <c r="AO8" i="1"/>
  <c r="AO29" i="1" s="1"/>
  <c r="AQ8" i="1"/>
  <c r="AO18" i="1"/>
  <c r="AO21" i="1" s="1"/>
  <c r="AO39" i="1"/>
  <c r="AO40" i="1"/>
  <c r="AO41" i="1"/>
  <c r="AF21" i="1"/>
  <c r="AF23" i="1" s="1"/>
  <c r="AF36" i="1"/>
  <c r="J80" i="1"/>
  <c r="J79" i="1"/>
  <c r="L81" i="1"/>
  <c r="H81" i="1"/>
  <c r="M81" i="1"/>
  <c r="I81" i="1"/>
  <c r="N81" i="1"/>
  <c r="AL41" i="1"/>
  <c r="AL40" i="1"/>
  <c r="AN28" i="1"/>
  <c r="AN30" i="1"/>
  <c r="M18" i="1"/>
  <c r="M35" i="1"/>
  <c r="M40" i="1"/>
  <c r="M41" i="1"/>
  <c r="AI36" i="1"/>
  <c r="AI21" i="1"/>
  <c r="AI23" i="1" s="1"/>
  <c r="AL18" i="1"/>
  <c r="AL35" i="1"/>
  <c r="D41" i="1"/>
  <c r="D40" i="1"/>
  <c r="E18" i="1"/>
  <c r="E40" i="1"/>
  <c r="E41" i="1"/>
  <c r="F35" i="1"/>
  <c r="F41" i="1"/>
  <c r="F40" i="1"/>
  <c r="H18" i="1"/>
  <c r="H41" i="1"/>
  <c r="H40" i="1"/>
  <c r="K18" i="1"/>
  <c r="K41" i="1"/>
  <c r="K40" i="1"/>
  <c r="J18" i="1"/>
  <c r="J41" i="1"/>
  <c r="J40" i="1"/>
  <c r="AG21" i="1"/>
  <c r="AG23" i="1" s="1"/>
  <c r="I29" i="1"/>
  <c r="AL29" i="1"/>
  <c r="AH21" i="1"/>
  <c r="AH23" i="1" s="1"/>
  <c r="AN31" i="1"/>
  <c r="L29" i="1"/>
  <c r="AN32" i="1"/>
  <c r="AE36" i="1"/>
  <c r="AD21" i="1"/>
  <c r="AD23" i="1" s="1"/>
  <c r="AJ35" i="1"/>
  <c r="AJ18" i="1"/>
  <c r="AJ21" i="1" s="1"/>
  <c r="AJ23" i="1" s="1"/>
  <c r="AK29" i="1"/>
  <c r="AK14" i="1"/>
  <c r="AK39" i="1" s="1"/>
  <c r="D18" i="1"/>
  <c r="D36" i="1" s="1"/>
  <c r="D35" i="1"/>
  <c r="AN26" i="1"/>
  <c r="AN27" i="1"/>
  <c r="AN8" i="1"/>
  <c r="E35" i="1"/>
  <c r="J33" i="1"/>
  <c r="H33" i="1"/>
  <c r="J29" i="1"/>
  <c r="F18" i="1"/>
  <c r="F21" i="1" s="1"/>
  <c r="F23" i="1" s="1"/>
  <c r="G14" i="1"/>
  <c r="K29" i="1"/>
  <c r="I14" i="1"/>
  <c r="M33" i="1" s="1"/>
  <c r="H29" i="1"/>
  <c r="G29" i="1"/>
  <c r="AM8" i="1"/>
  <c r="AM29" i="1" s="1"/>
  <c r="C14" i="1"/>
  <c r="J35" i="1"/>
  <c r="L14" i="1"/>
  <c r="H35" i="1"/>
  <c r="K35" i="1"/>
  <c r="L9" i="2"/>
  <c r="BA53" i="1" s="1"/>
  <c r="AR13" i="1" l="1"/>
  <c r="AQ32" i="1"/>
  <c r="AQ31" i="1"/>
  <c r="AR12" i="1"/>
  <c r="AR11" i="1"/>
  <c r="AQ30" i="1"/>
  <c r="AR6" i="1"/>
  <c r="AQ27" i="1"/>
  <c r="AP29" i="1"/>
  <c r="AP14" i="1"/>
  <c r="AR5" i="1"/>
  <c r="AR8" i="1" s="1"/>
  <c r="AQ26" i="1"/>
  <c r="J81" i="1"/>
  <c r="G18" i="1"/>
  <c r="AN14" i="1"/>
  <c r="AO33" i="1" s="1"/>
  <c r="AQ14" i="1"/>
  <c r="AQ29" i="1"/>
  <c r="E21" i="1"/>
  <c r="E23" i="1" s="1"/>
  <c r="E36" i="1"/>
  <c r="AQ17" i="1"/>
  <c r="AK41" i="1"/>
  <c r="AK40" i="1"/>
  <c r="AL21" i="1"/>
  <c r="AL23" i="1" s="1"/>
  <c r="AL36" i="1"/>
  <c r="H21" i="1"/>
  <c r="H23" i="1" s="1"/>
  <c r="H82" i="1" s="1"/>
  <c r="H36" i="1"/>
  <c r="K21" i="1"/>
  <c r="K23" i="1" s="1"/>
  <c r="K82" i="1" s="1"/>
  <c r="K36" i="1"/>
  <c r="J21" i="1"/>
  <c r="J23" i="1" s="1"/>
  <c r="J82" i="1" s="1"/>
  <c r="J36" i="1"/>
  <c r="M36" i="1"/>
  <c r="M21" i="1"/>
  <c r="M23" i="1" s="1"/>
  <c r="M82" i="1" s="1"/>
  <c r="AO23" i="1"/>
  <c r="K33" i="1"/>
  <c r="G41" i="1"/>
  <c r="G40" i="1"/>
  <c r="I41" i="1"/>
  <c r="I40" i="1"/>
  <c r="C41" i="1"/>
  <c r="C40" i="1"/>
  <c r="L18" i="1"/>
  <c r="L41" i="1"/>
  <c r="L40" i="1"/>
  <c r="BC53" i="1"/>
  <c r="D21" i="1"/>
  <c r="D23" i="1" s="1"/>
  <c r="AJ36" i="1"/>
  <c r="AK35" i="1"/>
  <c r="AK33" i="1"/>
  <c r="AK18" i="1"/>
  <c r="AL33" i="1"/>
  <c r="F36" i="1"/>
  <c r="C35" i="1"/>
  <c r="AM14" i="1"/>
  <c r="AM39" i="1" s="1"/>
  <c r="C18" i="1"/>
  <c r="I18" i="1"/>
  <c r="I33" i="1"/>
  <c r="L35" i="1"/>
  <c r="L33" i="1"/>
  <c r="I35" i="1"/>
  <c r="AN39" i="1"/>
  <c r="G33" i="1"/>
  <c r="G35" i="1"/>
  <c r="AN29" i="1"/>
  <c r="G21" i="1"/>
  <c r="G36" i="1"/>
  <c r="AR32" i="1" l="1"/>
  <c r="AS13" i="1"/>
  <c r="AR31" i="1"/>
  <c r="AS12" i="1"/>
  <c r="AR30" i="1"/>
  <c r="AS11" i="1"/>
  <c r="AR27" i="1"/>
  <c r="AS6" i="1"/>
  <c r="AP17" i="1"/>
  <c r="AP41" i="1" s="1"/>
  <c r="AP15" i="1"/>
  <c r="AP16" i="1"/>
  <c r="AP40" i="1" s="1"/>
  <c r="BA54" i="1"/>
  <c r="AP33" i="1"/>
  <c r="AR26" i="1"/>
  <c r="AS5" i="1"/>
  <c r="AQ33" i="1"/>
  <c r="AQ15" i="1"/>
  <c r="AQ16" i="1"/>
  <c r="AQ40" i="1" s="1"/>
  <c r="AR14" i="1"/>
  <c r="AR29" i="1"/>
  <c r="AS8" i="1"/>
  <c r="AR15" i="1"/>
  <c r="I21" i="1"/>
  <c r="AN18" i="1"/>
  <c r="AN36" i="1" s="1"/>
  <c r="AM41" i="1"/>
  <c r="AM40" i="1"/>
  <c r="AN41" i="1"/>
  <c r="AN40" i="1"/>
  <c r="AT20" i="1"/>
  <c r="L36" i="1"/>
  <c r="L21" i="1"/>
  <c r="N18" i="1"/>
  <c r="N36" i="1" s="1"/>
  <c r="N41" i="1"/>
  <c r="N40" i="1"/>
  <c r="AO36" i="1"/>
  <c r="AO35" i="1"/>
  <c r="AK21" i="1"/>
  <c r="AK23" i="1" s="1"/>
  <c r="AK36" i="1"/>
  <c r="I36" i="1"/>
  <c r="AN35" i="1"/>
  <c r="AN33" i="1"/>
  <c r="AM18" i="1"/>
  <c r="AM36" i="1" s="1"/>
  <c r="C36" i="1"/>
  <c r="C21" i="1"/>
  <c r="AM35" i="1"/>
  <c r="AM33" i="1"/>
  <c r="G23" i="1"/>
  <c r="AS32" i="1" l="1"/>
  <c r="AT13" i="1"/>
  <c r="AS31" i="1"/>
  <c r="AT12" i="1"/>
  <c r="AT11" i="1"/>
  <c r="AS30" i="1"/>
  <c r="AS27" i="1"/>
  <c r="AT6" i="1"/>
  <c r="AP18" i="1"/>
  <c r="AP21" i="1" s="1"/>
  <c r="AP39" i="1"/>
  <c r="BA55" i="1"/>
  <c r="BA67" i="1" s="1"/>
  <c r="BA81" i="1" s="1"/>
  <c r="BA83" i="1" s="1"/>
  <c r="BC54" i="1"/>
  <c r="BC67" i="1" s="1"/>
  <c r="BC81" i="1" s="1"/>
  <c r="BC83" i="1" s="1"/>
  <c r="AS26" i="1"/>
  <c r="AT5" i="1"/>
  <c r="AT8" i="1" s="1"/>
  <c r="AQ18" i="1"/>
  <c r="AQ21" i="1" s="1"/>
  <c r="AQ22" i="1" s="1"/>
  <c r="AQ23" i="1" s="1"/>
  <c r="AQ39" i="1"/>
  <c r="AR33" i="1"/>
  <c r="AR16" i="1"/>
  <c r="AR17" i="1"/>
  <c r="AS14" i="1"/>
  <c r="AS29" i="1"/>
  <c r="I23" i="1"/>
  <c r="AN21" i="1"/>
  <c r="G82" i="1"/>
  <c r="AR39" i="1"/>
  <c r="AU20" i="1"/>
  <c r="N21" i="1"/>
  <c r="L23" i="1"/>
  <c r="C23" i="1"/>
  <c r="AM23" i="1" s="1"/>
  <c r="AM21" i="1"/>
  <c r="BC85" i="1" l="1"/>
  <c r="AT32" i="1"/>
  <c r="AU13" i="1"/>
  <c r="AT31" i="1"/>
  <c r="AU12" i="1"/>
  <c r="AU11" i="1"/>
  <c r="AT30" i="1"/>
  <c r="AT27" i="1"/>
  <c r="AU6" i="1"/>
  <c r="AT26" i="1"/>
  <c r="AU5" i="1"/>
  <c r="AU8" i="1" s="1"/>
  <c r="AR18" i="1"/>
  <c r="AR21" i="1" s="1"/>
  <c r="AR22" i="1" s="1"/>
  <c r="AR23" i="1" s="1"/>
  <c r="AS33" i="1"/>
  <c r="AS15" i="1"/>
  <c r="AS17" i="1"/>
  <c r="AS16" i="1"/>
  <c r="AT14" i="1"/>
  <c r="AT29" i="1"/>
  <c r="I82" i="1"/>
  <c r="AN23" i="1"/>
  <c r="N23" i="1"/>
  <c r="N82" i="1" s="1"/>
  <c r="L82" i="1"/>
  <c r="AV20" i="1"/>
  <c r="AP35" i="1"/>
  <c r="AU32" i="1" l="1"/>
  <c r="AV13" i="1"/>
  <c r="AU31" i="1"/>
  <c r="AV12" i="1"/>
  <c r="AU30" i="1"/>
  <c r="AV11" i="1"/>
  <c r="AU27" i="1"/>
  <c r="AV6" i="1"/>
  <c r="AU26" i="1"/>
  <c r="AV5" i="1"/>
  <c r="AS39" i="1"/>
  <c r="AS18" i="1"/>
  <c r="AS21" i="1" s="1"/>
  <c r="AS22" i="1" s="1"/>
  <c r="AS23" i="1" s="1"/>
  <c r="AT33" i="1"/>
  <c r="AT15" i="1"/>
  <c r="AT16" i="1"/>
  <c r="AT40" i="1" s="1"/>
  <c r="AT17" i="1"/>
  <c r="AT41" i="1" s="1"/>
  <c r="AU14" i="1"/>
  <c r="AU29" i="1"/>
  <c r="AV8" i="1"/>
  <c r="AW20" i="1"/>
  <c r="AQ41" i="1"/>
  <c r="AR40" i="1"/>
  <c r="AP36" i="1"/>
  <c r="AP22" i="1"/>
  <c r="AP23" i="1" s="1"/>
  <c r="AS41" i="1"/>
  <c r="AQ35" i="1"/>
  <c r="AV32" i="1" l="1"/>
  <c r="AW13" i="1"/>
  <c r="AV31" i="1"/>
  <c r="AW12" i="1"/>
  <c r="AV30" i="1"/>
  <c r="AW11" i="1"/>
  <c r="AV27" i="1"/>
  <c r="AW6" i="1"/>
  <c r="AV26" i="1"/>
  <c r="AW5" i="1"/>
  <c r="AT35" i="1"/>
  <c r="AT18" i="1"/>
  <c r="AT39" i="1"/>
  <c r="AU33" i="1"/>
  <c r="AU15" i="1"/>
  <c r="AU16" i="1"/>
  <c r="AU40" i="1" s="1"/>
  <c r="AU17" i="1"/>
  <c r="AU41" i="1" s="1"/>
  <c r="AV14" i="1"/>
  <c r="AV29" i="1"/>
  <c r="AW8" i="1"/>
  <c r="AX20" i="1"/>
  <c r="AR41" i="1"/>
  <c r="AQ36" i="1"/>
  <c r="AR35" i="1"/>
  <c r="AW32" i="1" l="1"/>
  <c r="AX13" i="1"/>
  <c r="AW31" i="1"/>
  <c r="AX12" i="1"/>
  <c r="AW30" i="1"/>
  <c r="AX11" i="1"/>
  <c r="AW27" i="1"/>
  <c r="AX6" i="1"/>
  <c r="AW26" i="1"/>
  <c r="AX5" i="1"/>
  <c r="AV33" i="1"/>
  <c r="AV15" i="1"/>
  <c r="AV17" i="1"/>
  <c r="AV41" i="1" s="1"/>
  <c r="AV16" i="1"/>
  <c r="AV40" i="1" s="1"/>
  <c r="AT36" i="1"/>
  <c r="AT21" i="1"/>
  <c r="AT22" i="1" s="1"/>
  <c r="AT23" i="1" s="1"/>
  <c r="AU35" i="1"/>
  <c r="AU18" i="1"/>
  <c r="AU39" i="1"/>
  <c r="AW14" i="1"/>
  <c r="AW29" i="1"/>
  <c r="AX8" i="1"/>
  <c r="AY20" i="1"/>
  <c r="AS40" i="1"/>
  <c r="AR36" i="1"/>
  <c r="AS35" i="1"/>
  <c r="AX32" i="1" l="1"/>
  <c r="AY13" i="1"/>
  <c r="AY32" i="1" s="1"/>
  <c r="AX31" i="1"/>
  <c r="AY12" i="1"/>
  <c r="AY31" i="1" s="1"/>
  <c r="AX30" i="1"/>
  <c r="AY11" i="1"/>
  <c r="AY30" i="1" s="1"/>
  <c r="AX27" i="1"/>
  <c r="AY6" i="1"/>
  <c r="AY27" i="1" s="1"/>
  <c r="AX26" i="1"/>
  <c r="AY5" i="1"/>
  <c r="AV18" i="1"/>
  <c r="AV39" i="1"/>
  <c r="AV35" i="1"/>
  <c r="AU21" i="1"/>
  <c r="AU22" i="1" s="1"/>
  <c r="AU23" i="1" s="1"/>
  <c r="AU36" i="1"/>
  <c r="AW33" i="1"/>
  <c r="AW15" i="1"/>
  <c r="AW17" i="1"/>
  <c r="AW41" i="1" s="1"/>
  <c r="AW16" i="1"/>
  <c r="AX14" i="1"/>
  <c r="AX29" i="1"/>
  <c r="AS36" i="1"/>
  <c r="AY8" i="1" l="1"/>
  <c r="AY26" i="1"/>
  <c r="AV36" i="1"/>
  <c r="AV21" i="1"/>
  <c r="AV22" i="1" s="1"/>
  <c r="AV23" i="1" s="1"/>
  <c r="AW35" i="1"/>
  <c r="AW39" i="1"/>
  <c r="AW40" i="1"/>
  <c r="AW18" i="1"/>
  <c r="AX33" i="1"/>
  <c r="AX15" i="1"/>
  <c r="AX17" i="1"/>
  <c r="AX41" i="1" s="1"/>
  <c r="AX16" i="1"/>
  <c r="AX40" i="1" s="1"/>
  <c r="AY29" i="1" l="1"/>
  <c r="AY14" i="1"/>
  <c r="AW21" i="1"/>
  <c r="AW22" i="1" s="1"/>
  <c r="AW23" i="1" s="1"/>
  <c r="AW36" i="1"/>
  <c r="AX35" i="1"/>
  <c r="AX18" i="1"/>
  <c r="AX39" i="1"/>
  <c r="AY16" i="1" l="1"/>
  <c r="AY33" i="1"/>
  <c r="AY15" i="1"/>
  <c r="AY39" i="1" s="1"/>
  <c r="AY17" i="1"/>
  <c r="AY41" i="1" s="1"/>
  <c r="AX36" i="1"/>
  <c r="AX21" i="1"/>
  <c r="AX22" i="1" s="1"/>
  <c r="AX23" i="1" s="1"/>
  <c r="AY35" i="1"/>
  <c r="AY40" i="1" l="1"/>
  <c r="AY18" i="1"/>
  <c r="AY36" i="1" s="1"/>
  <c r="AY21" i="1"/>
  <c r="AY22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CY23" i="1" s="1"/>
  <c r="CZ23" i="1" s="1"/>
  <c r="DA23" i="1" s="1"/>
  <c r="DB23" i="1" s="1"/>
  <c r="DC23" i="1" s="1"/>
  <c r="DD23" i="1" s="1"/>
  <c r="DE23" i="1" s="1"/>
  <c r="DF23" i="1" s="1"/>
  <c r="DG23" i="1" s="1"/>
  <c r="DH23" i="1" s="1"/>
  <c r="DI23" i="1" s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G23" i="1" s="1"/>
  <c r="EH23" i="1" s="1"/>
  <c r="EI23" i="1" s="1"/>
  <c r="EJ23" i="1" s="1"/>
  <c r="EK23" i="1" s="1"/>
  <c r="EL23" i="1" s="1"/>
  <c r="EM23" i="1" s="1"/>
  <c r="EN23" i="1" s="1"/>
  <c r="EO23" i="1" s="1"/>
  <c r="EP23" i="1" s="1"/>
  <c r="EQ23" i="1" s="1"/>
  <c r="ER23" i="1" s="1"/>
  <c r="ES23" i="1" s="1"/>
  <c r="ET23" i="1" s="1"/>
  <c r="EU23" i="1" s="1"/>
  <c r="EV23" i="1" s="1"/>
  <c r="EW23" i="1" s="1"/>
  <c r="EX23" i="1" s="1"/>
  <c r="EY23" i="1" s="1"/>
  <c r="EZ23" i="1" s="1"/>
  <c r="FA23" i="1" s="1"/>
  <c r="FB23" i="1" s="1"/>
  <c r="FC23" i="1" s="1"/>
  <c r="FD23" i="1" s="1"/>
  <c r="FE23" i="1" s="1"/>
  <c r="FF23" i="1" s="1"/>
  <c r="FG23" i="1" s="1"/>
  <c r="FH23" i="1" s="1"/>
  <c r="FI23" i="1" s="1"/>
  <c r="FJ23" i="1" s="1"/>
  <c r="FK23" i="1" s="1"/>
  <c r="FL23" i="1" s="1"/>
  <c r="FM23" i="1" s="1"/>
  <c r="FN23" i="1" s="1"/>
  <c r="FO23" i="1" s="1"/>
  <c r="FP23" i="1" s="1"/>
  <c r="FQ23" i="1" s="1"/>
  <c r="FR23" i="1" s="1"/>
  <c r="FS23" i="1" s="1"/>
  <c r="FT23" i="1" s="1"/>
  <c r="FU23" i="1" s="1"/>
  <c r="FV23" i="1" s="1"/>
  <c r="FW23" i="1" s="1"/>
  <c r="FX23" i="1" s="1"/>
  <c r="FY23" i="1" s="1"/>
  <c r="FZ23" i="1" s="1"/>
  <c r="GA23" i="1" s="1"/>
  <c r="GB23" i="1" s="1"/>
  <c r="GC23" i="1" s="1"/>
  <c r="GD23" i="1" s="1"/>
  <c r="GE23" i="1" s="1"/>
  <c r="GF23" i="1" s="1"/>
  <c r="GG23" i="1" s="1"/>
  <c r="GH23" i="1" s="1"/>
  <c r="GI23" i="1" s="1"/>
  <c r="GJ23" i="1" s="1"/>
  <c r="GK23" i="1" s="1"/>
  <c r="GL23" i="1" s="1"/>
  <c r="GM23" i="1" s="1"/>
  <c r="GN23" i="1" s="1"/>
  <c r="GO23" i="1" s="1"/>
  <c r="GP23" i="1" s="1"/>
  <c r="GQ23" i="1" s="1"/>
  <c r="GR23" i="1" s="1"/>
  <c r="GS23" i="1" s="1"/>
  <c r="GT23" i="1" s="1"/>
  <c r="GU23" i="1" s="1"/>
  <c r="GV23" i="1" s="1"/>
  <c r="GW23" i="1" s="1"/>
  <c r="GX23" i="1" s="1"/>
  <c r="GY23" i="1" s="1"/>
  <c r="GZ23" i="1" s="1"/>
  <c r="HA23" i="1" s="1"/>
  <c r="HB23" i="1" s="1"/>
  <c r="HC23" i="1" s="1"/>
  <c r="HD23" i="1" s="1"/>
  <c r="HE23" i="1" s="1"/>
  <c r="HF23" i="1" s="1"/>
  <c r="HG23" i="1" s="1"/>
  <c r="HH23" i="1" s="1"/>
  <c r="HI23" i="1" s="1"/>
  <c r="HJ23" i="1" s="1"/>
  <c r="HK23" i="1" s="1"/>
  <c r="HL23" i="1" s="1"/>
  <c r="HM23" i="1" s="1"/>
  <c r="HN23" i="1" s="1"/>
  <c r="HO23" i="1" s="1"/>
  <c r="HP23" i="1" s="1"/>
  <c r="HQ23" i="1" s="1"/>
  <c r="HR23" i="1" s="1"/>
  <c r="HS23" i="1" s="1"/>
  <c r="HT23" i="1" s="1"/>
  <c r="HU23" i="1" s="1"/>
  <c r="HV23" i="1" s="1"/>
  <c r="HW23" i="1" s="1"/>
  <c r="HX23" i="1" s="1"/>
  <c r="HY23" i="1" s="1"/>
  <c r="HZ23" i="1" s="1"/>
  <c r="IA23" i="1" s="1"/>
  <c r="IB23" i="1" s="1"/>
  <c r="IC23" i="1" s="1"/>
  <c r="ID23" i="1" s="1"/>
  <c r="IE23" i="1" s="1"/>
  <c r="IF23" i="1" s="1"/>
  <c r="IG23" i="1" s="1"/>
  <c r="IH23" i="1" s="1"/>
  <c r="II23" i="1" s="1"/>
  <c r="IJ23" i="1" s="1"/>
  <c r="IK23" i="1" s="1"/>
  <c r="IL23" i="1" s="1"/>
  <c r="IM23" i="1" s="1"/>
  <c r="IN23" i="1" s="1"/>
  <c r="IO23" i="1" s="1"/>
  <c r="IP23" i="1" s="1"/>
  <c r="IQ23" i="1" s="1"/>
  <c r="BB27" i="1" s="1"/>
  <c r="BB29" i="1" s="1"/>
  <c r="BB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AS11" authorId="0" shapeId="0" xr:uid="{BE505BFD-E622-FF43-BD45-7B181BB8931E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small foundry growth, producing for other customers (nvda/apple)
</t>
        </r>
      </text>
    </comment>
    <comment ref="C65" authorId="0" shapeId="0" xr:uid="{E8DB61C3-4DC5-4644-9F8F-B76938CDF933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includes 3,831 of LT i/t payable</t>
        </r>
      </text>
    </comment>
  </commentList>
</comments>
</file>

<file path=xl/sharedStrings.xml><?xml version="1.0" encoding="utf-8"?>
<sst xmlns="http://schemas.openxmlformats.org/spreadsheetml/2006/main" count="175" uniqueCount="151">
  <si>
    <t>Q123</t>
  </si>
  <si>
    <t>Q223</t>
  </si>
  <si>
    <t>Q323</t>
  </si>
  <si>
    <t>Q423</t>
  </si>
  <si>
    <t>Q124</t>
  </si>
  <si>
    <t>Q224</t>
  </si>
  <si>
    <t>Q324</t>
  </si>
  <si>
    <t>Q424</t>
  </si>
  <si>
    <t>P</t>
  </si>
  <si>
    <t>S</t>
  </si>
  <si>
    <t>MC</t>
  </si>
  <si>
    <t>C</t>
  </si>
  <si>
    <t>D</t>
  </si>
  <si>
    <t>EV</t>
  </si>
  <si>
    <t>R&amp;D</t>
  </si>
  <si>
    <t>Interest and other</t>
  </si>
  <si>
    <t xml:space="preserve">EBT </t>
  </si>
  <si>
    <t>Taxes</t>
  </si>
  <si>
    <t>CCG</t>
  </si>
  <si>
    <t xml:space="preserve">Total Intel Products </t>
  </si>
  <si>
    <t>Mobileye</t>
  </si>
  <si>
    <t xml:space="preserve">CEO </t>
  </si>
  <si>
    <t xml:space="preserve">CFO </t>
  </si>
  <si>
    <t>Press</t>
  </si>
  <si>
    <t xml:space="preserve">icap to become stand alone investment fund </t>
  </si>
  <si>
    <t>appoints Eric Meurice and Steve Sanghi to BoD</t>
  </si>
  <si>
    <t>ceo Pat Gelsinger fired..basically</t>
  </si>
  <si>
    <t>$7.86B funding award under CHIPS Act</t>
  </si>
  <si>
    <t xml:space="preserve">foundry oeprating as separate entity </t>
  </si>
  <si>
    <t xml:space="preserve">products </t>
  </si>
  <si>
    <t>intel 4</t>
  </si>
  <si>
    <t>intel 3</t>
  </si>
  <si>
    <t>intel 18A</t>
  </si>
  <si>
    <t>"Some of our most advanced current and future products are or will be either exclusively manufactured by TSMC or reliant upon critical components, including various compute die, manufactured by TSMC."</t>
  </si>
  <si>
    <t>intel 7</t>
  </si>
  <si>
    <t>manufactured</t>
  </si>
  <si>
    <t xml:space="preserve">about </t>
  </si>
  <si>
    <t>AZ &amp; Israel</t>
  </si>
  <si>
    <t xml:space="preserve">13th and 14th gen intel core </t>
  </si>
  <si>
    <t>1st ever EUV Lithography, 20% performance over intel 7</t>
  </si>
  <si>
    <t xml:space="preserve">Ireland </t>
  </si>
  <si>
    <t>18% performance over intel 4</t>
  </si>
  <si>
    <t xml:space="preserve">Oregon/Ireland </t>
  </si>
  <si>
    <t xml:space="preserve">Pantehr Lake, starting 2025 </t>
  </si>
  <si>
    <t>intel 14A</t>
  </si>
  <si>
    <t xml:space="preserve">in development </t>
  </si>
  <si>
    <t>intl 20A</t>
  </si>
  <si>
    <t>2021-2023</t>
  </si>
  <si>
    <t>2023-2024</t>
  </si>
  <si>
    <t>already in high volproduction</t>
  </si>
  <si>
    <t>ramp up in 2024</t>
  </si>
  <si>
    <t>canceled, replace with intel 18A</t>
  </si>
  <si>
    <t xml:space="preserve">most important node, make or break </t>
  </si>
  <si>
    <t>2014-2019</t>
  </si>
  <si>
    <t xml:space="preserve">10nm issues </t>
  </si>
  <si>
    <t>planned for 2016, delayed until 2019 due to yield issues</t>
  </si>
  <si>
    <t xml:space="preserve">tsmc took over, amd caught up </t>
  </si>
  <si>
    <t>2020</t>
  </si>
  <si>
    <t xml:space="preserve">intel admits 7nm (intel 4) is delayed </t>
  </si>
  <si>
    <t>originally meant for 2021, but pushed to 2023</t>
  </si>
  <si>
    <t>ceo Bob Swan fired in 2021, Pat brought in to fix the problem</t>
  </si>
  <si>
    <t>2022</t>
  </si>
  <si>
    <t xml:space="preserve">intel's "five nodes in Four Years"plan announced </t>
  </si>
  <si>
    <t>promised</t>
  </si>
  <si>
    <t>intel 7 2022 (delivered but late)</t>
  </si>
  <si>
    <t xml:space="preserve">intel 4 (2023-2025) in high volume now </t>
  </si>
  <si>
    <t xml:space="preserve">intel 3 (2024) in progress </t>
  </si>
  <si>
    <t xml:space="preserve">intel 20A (2024) cancelled --&gt; intel 18A now the focus </t>
  </si>
  <si>
    <t xml:space="preserve">intel 18A (2025) no high vol proof yet </t>
  </si>
  <si>
    <t>Q125</t>
  </si>
  <si>
    <t>Q225</t>
  </si>
  <si>
    <t>Q325</t>
  </si>
  <si>
    <t>Q425</t>
  </si>
  <si>
    <t>$m</t>
  </si>
  <si>
    <t>DCAI</t>
  </si>
  <si>
    <t xml:space="preserve">Revenue </t>
  </si>
  <si>
    <t>CoS</t>
  </si>
  <si>
    <t>M,G&amp;A</t>
  </si>
  <si>
    <t>Op Income</t>
  </si>
  <si>
    <t>Equity Investments</t>
  </si>
  <si>
    <t>Net Income</t>
  </si>
  <si>
    <t xml:space="preserve">Intel Foundry </t>
  </si>
  <si>
    <t>All Other</t>
  </si>
  <si>
    <t>Interseg Elim</t>
  </si>
  <si>
    <t>Growth Analysis Y/Y</t>
  </si>
  <si>
    <t>GM%</t>
  </si>
  <si>
    <t>OM%</t>
  </si>
  <si>
    <t>Network/Edge</t>
  </si>
  <si>
    <t>Accelerated compsys</t>
  </si>
  <si>
    <t xml:space="preserve">% Of Revenue </t>
  </si>
  <si>
    <t>25R</t>
  </si>
  <si>
    <t>EV/25R Multiple</t>
  </si>
  <si>
    <t>Cash</t>
  </si>
  <si>
    <t>Debt</t>
  </si>
  <si>
    <t>Market Cap</t>
  </si>
  <si>
    <t>Shares</t>
  </si>
  <si>
    <t xml:space="preserve">Estimate </t>
  </si>
  <si>
    <t>Base</t>
  </si>
  <si>
    <t>Estimate</t>
  </si>
  <si>
    <t>Upside</t>
  </si>
  <si>
    <t>strong volume production now</t>
  </si>
  <si>
    <t>2028-2029</t>
  </si>
  <si>
    <t>Q126</t>
  </si>
  <si>
    <t>Q226</t>
  </si>
  <si>
    <t>Q326</t>
  </si>
  <si>
    <t>Q426</t>
  </si>
  <si>
    <t xml:space="preserve">Terminal </t>
  </si>
  <si>
    <t xml:space="preserve">Discount </t>
  </si>
  <si>
    <t>NPV</t>
  </si>
  <si>
    <t>Current</t>
  </si>
  <si>
    <t>CFFO</t>
  </si>
  <si>
    <t>Capex</t>
  </si>
  <si>
    <t xml:space="preserve">FCF </t>
  </si>
  <si>
    <t xml:space="preserve">NI </t>
  </si>
  <si>
    <t>Panther Lake Architecture built on 18A</t>
  </si>
  <si>
    <t>Lip-BU Tan</t>
  </si>
  <si>
    <t xml:space="preserve">Cash </t>
  </si>
  <si>
    <t>Investments</t>
  </si>
  <si>
    <t>A/R</t>
  </si>
  <si>
    <t xml:space="preserve">Inventories </t>
  </si>
  <si>
    <t>OCA</t>
  </si>
  <si>
    <t>PPE</t>
  </si>
  <si>
    <t>Goodwill</t>
  </si>
  <si>
    <t>Intangibles</t>
  </si>
  <si>
    <t>OLTA</t>
  </si>
  <si>
    <t xml:space="preserve">Total Assets </t>
  </si>
  <si>
    <t xml:space="preserve">Equity </t>
  </si>
  <si>
    <t>TL + Equity</t>
  </si>
  <si>
    <t>A/P</t>
  </si>
  <si>
    <t>Accrued comp</t>
  </si>
  <si>
    <t>Short term debt</t>
  </si>
  <si>
    <t xml:space="preserve">Income Tx Payable </t>
  </si>
  <si>
    <t xml:space="preserve">Other accrued liabilities </t>
  </si>
  <si>
    <t xml:space="preserve">Debt </t>
  </si>
  <si>
    <t>OLTL</t>
  </si>
  <si>
    <t xml:space="preserve">Total Liabilities </t>
  </si>
  <si>
    <t>Retained Earnings</t>
  </si>
  <si>
    <t>Earnings Calls</t>
  </si>
  <si>
    <t xml:space="preserve">Contains </t>
  </si>
  <si>
    <t>Raw materials</t>
  </si>
  <si>
    <t>WIP</t>
  </si>
  <si>
    <t xml:space="preserve">Finished Goods </t>
  </si>
  <si>
    <t xml:space="preserve">AI slowdown </t>
  </si>
  <si>
    <t>David Zinsner</t>
  </si>
  <si>
    <t>Founded</t>
  </si>
  <si>
    <t>1968; Mountain View, CA</t>
  </si>
  <si>
    <t>2.17.26 Notes</t>
  </si>
  <si>
    <t>current plan is feeding cpu to keep OEM customers happy then allocating incremental capacity to DCAI</t>
  </si>
  <si>
    <t xml:space="preserve">focus is to improve yields </t>
  </si>
  <si>
    <t xml:space="preserve">company is supply constrained. 6m ago customers said they wanted similar units with higher cores, not they want higher vol and higher cores which intc can't match today.  </t>
  </si>
  <si>
    <t xml:space="preserve">Products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</si>
</sst>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"/>
    <numFmt numFmtId="166" formatCode="0.0%"/>
  </numFmts>
  <fonts count="10">
    <font>
      <sz val="10"/>
      <color theme="1"/>
      <name val="ArialMT"/>
      <family val="2"/>
    </font>
    <font>
      <b/>
      <sz val="10"/>
      <color theme="1"/>
      <name val="ArialMT"/>
    </font>
    <font>
      <sz val="10"/>
      <color theme="1"/>
      <name val="ArialMT"/>
    </font>
    <font>
      <i/>
      <sz val="10"/>
      <color theme="1"/>
      <name val="ArialMT"/>
    </font>
    <font>
      <u/>
      <sz val="10"/>
      <color theme="10"/>
      <name val="ArialMT"/>
      <family val="2"/>
    </font>
    <font>
      <u/>
      <sz val="10"/>
      <color theme="1"/>
      <name val="ArialMT"/>
      <family val="2"/>
    </font>
    <font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0" tint="-0.499984740745262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3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164" fontId="0" fillId="0" borderId="0" xfId="0" applyNumberFormat="1"/>
    <xf numFmtId="3" fontId="2" fillId="0" borderId="0" xfId="0" applyNumberFormat="1" applyFont="1"/>
    <xf numFmtId="14" fontId="0" fillId="0" borderId="0" xfId="0" applyNumberFormat="1"/>
    <xf numFmtId="14" fontId="4" fillId="0" borderId="0" xfId="1" applyNumberFormat="1"/>
    <xf numFmtId="3" fontId="3" fillId="0" borderId="0" xfId="0" applyNumberFormat="1" applyFont="1"/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quotePrefix="1" applyNumberFormat="1"/>
    <xf numFmtId="3" fontId="0" fillId="0" borderId="0" xfId="0" applyNumberFormat="1" applyAlignment="1">
      <alignment horizontal="left" indent="1"/>
    </xf>
    <xf numFmtId="0" fontId="5" fillId="0" borderId="0" xfId="0" applyFont="1"/>
    <xf numFmtId="3" fontId="0" fillId="0" borderId="1" xfId="0" applyNumberFormat="1" applyBorder="1"/>
    <xf numFmtId="0" fontId="0" fillId="0" borderId="1" xfId="0" applyBorder="1"/>
    <xf numFmtId="3" fontId="0" fillId="0" borderId="0" xfId="0" applyNumberFormat="1" applyAlignment="1">
      <alignment horizontal="left" indent="2"/>
    </xf>
    <xf numFmtId="9" fontId="0" fillId="2" borderId="0" xfId="0" applyNumberFormat="1" applyFill="1"/>
    <xf numFmtId="3" fontId="1" fillId="0" borderId="0" xfId="0" applyNumberFormat="1" applyFont="1"/>
    <xf numFmtId="166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0" applyNumberFormat="1"/>
    <xf numFmtId="8" fontId="0" fillId="0" borderId="0" xfId="0" applyNumberFormat="1"/>
    <xf numFmtId="0" fontId="6" fillId="0" borderId="0" xfId="0" applyFont="1"/>
    <xf numFmtId="3" fontId="4" fillId="0" borderId="0" xfId="1" applyNumberFormat="1"/>
    <xf numFmtId="3" fontId="1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1" xfId="0" applyNumberFormat="1" applyBorder="1"/>
    <xf numFmtId="3" fontId="9" fillId="0" borderId="0" xfId="0" applyNumberFormat="1" applyFont="1" applyAlignment="1">
      <alignment horizontal="left" indent="1"/>
    </xf>
    <xf numFmtId="3" fontId="9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4" fontId="1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506223</xdr:colOff>
      <xdr:row>0</xdr:row>
      <xdr:rowOff>0</xdr:rowOff>
    </xdr:from>
    <xdr:to>
      <xdr:col>14</xdr:col>
      <xdr:colOff>17348</xdr:colOff>
      <xdr:row>108</xdr:row>
      <xdr:rowOff>150979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0C7B33D-7CCE-83E2-FDCB-BF69C851566F}"/>
            </a:ext>
          </a:extLst>
        </xdr:cNvPr>
        <xdr:cNvCxnSpPr/>
      </xdr:nvCxnSpPr>
      <xdr:spPr>
        <a:xfrm flipH="1">
          <a:off x="7797622" y="0"/>
          <a:ext cx="17348" cy="133127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710075</xdr:colOff>
      <xdr:row>0</xdr:row>
      <xdr:rowOff>0</xdr:rowOff>
    </xdr:from>
    <xdr:to>
      <xdr:col>41</xdr:col>
      <xdr:colOff>8053</xdr:colOff>
      <xdr:row>85</xdr:row>
      <xdr:rowOff>33867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9DEE7BA-FC7D-6149-BC4F-9E923004884D}"/>
            </a:ext>
          </a:extLst>
        </xdr:cNvPr>
        <xdr:cNvCxnSpPr/>
      </xdr:nvCxnSpPr>
      <xdr:spPr>
        <a:xfrm flipH="1">
          <a:off x="24875599" y="0"/>
          <a:ext cx="8468" cy="91458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tc.com/news-events/ir-calendar/detail/20260122-q4-2025-intel-corporation-earnings-conference-call" TargetMode="External"/><Relationship Id="rId3" Type="http://schemas.openxmlformats.org/officeDocument/2006/relationships/hyperlink" Target="https://www.intc.com/news-events/press-releases/detail/1719/intel-announces-retirement-of-ceo-pat-gelsinger" TargetMode="External"/><Relationship Id="rId7" Type="http://schemas.openxmlformats.org/officeDocument/2006/relationships/hyperlink" Target="https://www.intc.com/news-events/press-releases/detail/1752/intel-unveils-panther-lake-architecture-first-ai-pc" TargetMode="External"/><Relationship Id="rId2" Type="http://schemas.openxmlformats.org/officeDocument/2006/relationships/hyperlink" Target="https://www.intc.com/news-events/press-releases/detail/1721/intel-appoints-semiconductor-leaders-eric-meurice-and-steve" TargetMode="External"/><Relationship Id="rId1" Type="http://schemas.openxmlformats.org/officeDocument/2006/relationships/hyperlink" Target="https://www.intc.com/news-events/press-releases/detail/1725/intel-capital-to-become-standalone-investment-fund" TargetMode="External"/><Relationship Id="rId6" Type="http://schemas.openxmlformats.org/officeDocument/2006/relationships/hyperlink" Target="https://www.intc.com/news-events/press-releases/detail/1757/ces-2026-intel-core-ultra-series-3-debuts-as-first-built" TargetMode="External"/><Relationship Id="rId5" Type="http://schemas.openxmlformats.org/officeDocument/2006/relationships/hyperlink" Target="https://www.intc.com/news-events/press-releases/detail/1710/a-message-from-intel-ceo-pat-gelsinger-to-employees" TargetMode="External"/><Relationship Id="rId4" Type="http://schemas.openxmlformats.org/officeDocument/2006/relationships/hyperlink" Target="https://www.intc.com/news-events/press-releases/detail/1718/intel-and-biden-harris-administration-finalize-7-86" TargetMode="External"/><Relationship Id="rId9" Type="http://schemas.openxmlformats.org/officeDocument/2006/relationships/hyperlink" Target="https://edge.media-server.com/mmc/p/muncnm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ECD1-937E-3544-9E69-E40FA9858C1C}">
  <dimension ref="A1:IQ85"/>
  <sheetViews>
    <sheetView showGridLines="0" zoomScale="143" zoomScaleNormal="150" workbookViewId="0">
      <pane xSplit="2" ySplit="4" topLeftCell="AE5" activePane="bottomRight" state="frozen"/>
      <selection pane="topRight" activeCell="C1" sqref="C1"/>
      <selection pane="bottomLeft" activeCell="A3" sqref="A3"/>
      <selection pane="bottomRight" activeCell="BB25" sqref="BB25"/>
    </sheetView>
  </sheetViews>
  <sheetFormatPr baseColWidth="10" defaultColWidth="3.33203125" defaultRowHeight="13"/>
  <cols>
    <col min="1" max="1" width="3.5" bestFit="1" customWidth="1"/>
    <col min="2" max="2" width="19.1640625" bestFit="1" customWidth="1"/>
    <col min="3" max="5" width="7.6640625" style="20" bestFit="1" customWidth="1"/>
    <col min="6" max="6" width="8.1640625" style="20" bestFit="1" customWidth="1"/>
    <col min="7" max="7" width="7.6640625" style="20" bestFit="1" customWidth="1"/>
    <col min="8" max="8" width="8" style="20" bestFit="1" customWidth="1"/>
    <col min="9" max="10" width="7.83203125" style="20" bestFit="1" customWidth="1"/>
    <col min="11" max="12" width="8" style="20" bestFit="1" customWidth="1"/>
    <col min="13" max="14" width="7.83203125" style="20" bestFit="1" customWidth="1"/>
    <col min="15" max="15" width="6.1640625" bestFit="1" customWidth="1"/>
    <col min="16" max="18" width="5.5" bestFit="1" customWidth="1"/>
    <col min="19" max="20" width="5.6640625" customWidth="1"/>
    <col min="22" max="22" width="8.1640625" bestFit="1" customWidth="1"/>
    <col min="23" max="26" width="6.1640625" bestFit="1" customWidth="1"/>
    <col min="27" max="38" width="6.6640625" bestFit="1" customWidth="1"/>
    <col min="39" max="40" width="7.33203125" bestFit="1" customWidth="1"/>
    <col min="41" max="43" width="7.1640625" bestFit="1" customWidth="1"/>
    <col min="44" max="51" width="6.6640625" bestFit="1" customWidth="1"/>
    <col min="52" max="52" width="13.6640625" bestFit="1" customWidth="1"/>
    <col min="53" max="53" width="9" bestFit="1" customWidth="1"/>
    <col min="54" max="54" width="10.83203125" bestFit="1" customWidth="1"/>
    <col min="55" max="55" width="9" bestFit="1" customWidth="1"/>
    <col min="56" max="60" width="6.1640625" bestFit="1" customWidth="1"/>
    <col min="61" max="82" width="7.1640625" bestFit="1" customWidth="1"/>
    <col min="83" max="91" width="6.83203125" bestFit="1" customWidth="1"/>
    <col min="92" max="111" width="7.1640625" bestFit="1" customWidth="1"/>
    <col min="112" max="120" width="6.83203125" bestFit="1" customWidth="1"/>
    <col min="121" max="142" width="7.1640625" bestFit="1" customWidth="1"/>
    <col min="143" max="151" width="6.83203125" bestFit="1" customWidth="1"/>
    <col min="152" max="172" width="7.1640625" bestFit="1" customWidth="1"/>
    <col min="173" max="181" width="6.83203125" bestFit="1" customWidth="1"/>
    <col min="182" max="203" width="7.1640625" bestFit="1" customWidth="1"/>
    <col min="204" max="212" width="6.83203125" bestFit="1" customWidth="1"/>
    <col min="213" max="233" width="7.1640625" bestFit="1" customWidth="1"/>
    <col min="234" max="242" width="6.83203125" bestFit="1" customWidth="1"/>
    <col min="243" max="251" width="7.1640625" bestFit="1" customWidth="1"/>
  </cols>
  <sheetData>
    <row r="1" spans="1:251">
      <c r="A1" t="s">
        <v>73</v>
      </c>
      <c r="G1" s="23">
        <f t="shared" ref="G1:N1" si="0">+G5/G14</f>
        <v>0.65018861993083932</v>
      </c>
      <c r="H1" s="23">
        <f t="shared" si="0"/>
        <v>0.6345359619730383</v>
      </c>
      <c r="I1" s="23">
        <f t="shared" si="0"/>
        <v>0.55179162902740142</v>
      </c>
      <c r="J1" s="23">
        <f t="shared" si="0"/>
        <v>0.5622019635343618</v>
      </c>
      <c r="K1" s="23">
        <f t="shared" si="0"/>
        <v>0.60227362437830578</v>
      </c>
      <c r="L1" s="23">
        <f t="shared" si="0"/>
        <v>0.61210047437592352</v>
      </c>
      <c r="M1" s="23">
        <f t="shared" si="0"/>
        <v>0.62513733245440561</v>
      </c>
      <c r="N1" s="23">
        <f>+N5/N14</f>
        <v>0.59916630100921453</v>
      </c>
      <c r="O1" s="23">
        <f>+O5/O14</f>
        <v>0.594061475409836</v>
      </c>
    </row>
    <row r="2" spans="1:251">
      <c r="G2" s="23">
        <f t="shared" ref="G2:N2" si="1">+G6/G14</f>
        <v>0.3008487896887771</v>
      </c>
      <c r="H2" s="23">
        <f t="shared" si="1"/>
        <v>0.29650120782357986</v>
      </c>
      <c r="I2" s="23">
        <f t="shared" si="1"/>
        <v>0.25210779885576634</v>
      </c>
      <c r="J2" s="23">
        <f t="shared" si="1"/>
        <v>0.23751753155680225</v>
      </c>
      <c r="K2" s="23">
        <f t="shared" si="1"/>
        <v>0.32572827030867607</v>
      </c>
      <c r="L2" s="23">
        <f t="shared" si="1"/>
        <v>0.3063224200948752</v>
      </c>
      <c r="M2" s="23">
        <f t="shared" si="1"/>
        <v>0.30154544788691129</v>
      </c>
      <c r="N2" s="23">
        <f>+N6/N14</f>
        <v>0.34642387011847303</v>
      </c>
      <c r="O2" s="23">
        <v>0.3</v>
      </c>
    </row>
    <row r="3" spans="1:251" s="6" customFormat="1">
      <c r="C3" s="30"/>
      <c r="D3" s="30">
        <v>45108</v>
      </c>
      <c r="E3" s="30"/>
      <c r="F3" s="30">
        <v>45290</v>
      </c>
      <c r="G3" s="30"/>
      <c r="H3" s="30">
        <v>45472</v>
      </c>
      <c r="I3" s="30">
        <v>45563</v>
      </c>
      <c r="J3" s="30"/>
      <c r="K3" s="30">
        <v>45741</v>
      </c>
      <c r="L3" s="30">
        <v>45836</v>
      </c>
      <c r="M3" s="30"/>
      <c r="N3" s="30"/>
      <c r="AQ3" s="6" t="s">
        <v>142</v>
      </c>
      <c r="AZ3" s="25">
        <v>1</v>
      </c>
      <c r="BA3" s="25">
        <f>+AZ3+1</f>
        <v>2</v>
      </c>
      <c r="BB3" s="25">
        <f t="shared" ref="BB3:DM4" si="2">+BA3+1</f>
        <v>3</v>
      </c>
      <c r="BC3" s="25">
        <f t="shared" si="2"/>
        <v>4</v>
      </c>
      <c r="BD3" s="25">
        <f t="shared" si="2"/>
        <v>5</v>
      </c>
      <c r="BE3" s="25">
        <f t="shared" si="2"/>
        <v>6</v>
      </c>
      <c r="BF3" s="25">
        <f t="shared" si="2"/>
        <v>7</v>
      </c>
      <c r="BG3" s="25">
        <f t="shared" si="2"/>
        <v>8</v>
      </c>
      <c r="BH3" s="25">
        <f t="shared" si="2"/>
        <v>9</v>
      </c>
      <c r="BI3" s="25">
        <f t="shared" si="2"/>
        <v>10</v>
      </c>
      <c r="BJ3" s="25">
        <f t="shared" si="2"/>
        <v>11</v>
      </c>
      <c r="BK3" s="25">
        <f t="shared" si="2"/>
        <v>12</v>
      </c>
      <c r="BL3" s="25">
        <f t="shared" si="2"/>
        <v>13</v>
      </c>
      <c r="BM3" s="25">
        <f t="shared" si="2"/>
        <v>14</v>
      </c>
      <c r="BN3" s="25">
        <f t="shared" si="2"/>
        <v>15</v>
      </c>
      <c r="BO3" s="25">
        <f t="shared" si="2"/>
        <v>16</v>
      </c>
      <c r="BP3" s="25">
        <f t="shared" si="2"/>
        <v>17</v>
      </c>
      <c r="BQ3" s="25">
        <f t="shared" si="2"/>
        <v>18</v>
      </c>
      <c r="BR3" s="25">
        <f t="shared" si="2"/>
        <v>19</v>
      </c>
      <c r="BS3" s="25">
        <f t="shared" si="2"/>
        <v>20</v>
      </c>
      <c r="BT3" s="25">
        <f t="shared" si="2"/>
        <v>21</v>
      </c>
      <c r="BU3" s="25">
        <f t="shared" si="2"/>
        <v>22</v>
      </c>
      <c r="BV3" s="25">
        <f t="shared" si="2"/>
        <v>23</v>
      </c>
      <c r="BW3" s="25">
        <f t="shared" si="2"/>
        <v>24</v>
      </c>
      <c r="BX3" s="25">
        <f t="shared" si="2"/>
        <v>25</v>
      </c>
      <c r="BY3" s="25">
        <f t="shared" si="2"/>
        <v>26</v>
      </c>
      <c r="BZ3" s="25">
        <f t="shared" si="2"/>
        <v>27</v>
      </c>
      <c r="CA3" s="25">
        <f t="shared" si="2"/>
        <v>28</v>
      </c>
      <c r="CB3" s="25">
        <f t="shared" si="2"/>
        <v>29</v>
      </c>
      <c r="CC3" s="25">
        <f t="shared" si="2"/>
        <v>30</v>
      </c>
      <c r="CD3" s="25">
        <f t="shared" si="2"/>
        <v>31</v>
      </c>
      <c r="CE3" s="25">
        <f t="shared" si="2"/>
        <v>32</v>
      </c>
      <c r="CF3" s="25">
        <f t="shared" si="2"/>
        <v>33</v>
      </c>
      <c r="CG3" s="25">
        <f t="shared" si="2"/>
        <v>34</v>
      </c>
      <c r="CH3" s="25">
        <f t="shared" si="2"/>
        <v>35</v>
      </c>
      <c r="CI3" s="25">
        <f t="shared" si="2"/>
        <v>36</v>
      </c>
      <c r="CJ3" s="25">
        <f t="shared" si="2"/>
        <v>37</v>
      </c>
      <c r="CK3" s="25">
        <f t="shared" si="2"/>
        <v>38</v>
      </c>
      <c r="CL3" s="25">
        <f t="shared" si="2"/>
        <v>39</v>
      </c>
      <c r="CM3" s="25">
        <f t="shared" si="2"/>
        <v>40</v>
      </c>
      <c r="CN3" s="25">
        <f t="shared" si="2"/>
        <v>41</v>
      </c>
      <c r="CO3" s="25">
        <f t="shared" si="2"/>
        <v>42</v>
      </c>
      <c r="CP3" s="25">
        <f t="shared" si="2"/>
        <v>43</v>
      </c>
      <c r="CQ3" s="25">
        <f t="shared" si="2"/>
        <v>44</v>
      </c>
      <c r="CR3" s="25">
        <f t="shared" si="2"/>
        <v>45</v>
      </c>
      <c r="CS3" s="25">
        <f t="shared" si="2"/>
        <v>46</v>
      </c>
      <c r="CT3" s="25">
        <f t="shared" si="2"/>
        <v>47</v>
      </c>
      <c r="CU3" s="25">
        <f t="shared" si="2"/>
        <v>48</v>
      </c>
      <c r="CV3" s="25">
        <f t="shared" si="2"/>
        <v>49</v>
      </c>
      <c r="CW3" s="25">
        <f t="shared" si="2"/>
        <v>50</v>
      </c>
      <c r="CX3" s="25">
        <f t="shared" si="2"/>
        <v>51</v>
      </c>
      <c r="CY3" s="25">
        <f t="shared" si="2"/>
        <v>52</v>
      </c>
      <c r="CZ3" s="25">
        <f t="shared" si="2"/>
        <v>53</v>
      </c>
      <c r="DA3" s="25">
        <f t="shared" si="2"/>
        <v>54</v>
      </c>
      <c r="DB3" s="25">
        <f t="shared" si="2"/>
        <v>55</v>
      </c>
      <c r="DC3" s="25">
        <f t="shared" si="2"/>
        <v>56</v>
      </c>
      <c r="DD3" s="25">
        <f t="shared" si="2"/>
        <v>57</v>
      </c>
      <c r="DE3" s="25">
        <f t="shared" si="2"/>
        <v>58</v>
      </c>
      <c r="DF3" s="25">
        <f t="shared" si="2"/>
        <v>59</v>
      </c>
      <c r="DG3" s="25">
        <f t="shared" si="2"/>
        <v>60</v>
      </c>
      <c r="DH3" s="25">
        <f t="shared" si="2"/>
        <v>61</v>
      </c>
      <c r="DI3" s="25">
        <f t="shared" si="2"/>
        <v>62</v>
      </c>
      <c r="DJ3" s="25">
        <f t="shared" si="2"/>
        <v>63</v>
      </c>
      <c r="DK3" s="25">
        <f t="shared" si="2"/>
        <v>64</v>
      </c>
      <c r="DL3" s="25">
        <f t="shared" si="2"/>
        <v>65</v>
      </c>
      <c r="DM3" s="25">
        <f t="shared" si="2"/>
        <v>66</v>
      </c>
      <c r="DN3" s="25">
        <f t="shared" ref="DN3:FY4" si="3">+DM3+1</f>
        <v>67</v>
      </c>
      <c r="DO3" s="25">
        <f t="shared" si="3"/>
        <v>68</v>
      </c>
      <c r="DP3" s="25">
        <f t="shared" si="3"/>
        <v>69</v>
      </c>
      <c r="DQ3" s="25">
        <f t="shared" si="3"/>
        <v>70</v>
      </c>
      <c r="DR3" s="25">
        <f t="shared" si="3"/>
        <v>71</v>
      </c>
      <c r="DS3" s="25">
        <f t="shared" si="3"/>
        <v>72</v>
      </c>
      <c r="DT3" s="25">
        <f t="shared" si="3"/>
        <v>73</v>
      </c>
      <c r="DU3" s="25">
        <f t="shared" si="3"/>
        <v>74</v>
      </c>
      <c r="DV3" s="25">
        <f t="shared" si="3"/>
        <v>75</v>
      </c>
      <c r="DW3" s="25">
        <f t="shared" si="3"/>
        <v>76</v>
      </c>
      <c r="DX3" s="25">
        <f t="shared" si="3"/>
        <v>77</v>
      </c>
      <c r="DY3" s="25">
        <f t="shared" si="3"/>
        <v>78</v>
      </c>
      <c r="DZ3" s="25">
        <f t="shared" si="3"/>
        <v>79</v>
      </c>
      <c r="EA3" s="25">
        <f t="shared" si="3"/>
        <v>80</v>
      </c>
      <c r="EB3" s="25">
        <f t="shared" si="3"/>
        <v>81</v>
      </c>
      <c r="EC3" s="25">
        <f t="shared" si="3"/>
        <v>82</v>
      </c>
      <c r="ED3" s="25">
        <f t="shared" si="3"/>
        <v>83</v>
      </c>
      <c r="EE3" s="25">
        <f t="shared" si="3"/>
        <v>84</v>
      </c>
      <c r="EF3" s="25">
        <f t="shared" si="3"/>
        <v>85</v>
      </c>
      <c r="EG3" s="25">
        <f t="shared" si="3"/>
        <v>86</v>
      </c>
      <c r="EH3" s="25">
        <f t="shared" si="3"/>
        <v>87</v>
      </c>
      <c r="EI3" s="25">
        <f t="shared" si="3"/>
        <v>88</v>
      </c>
      <c r="EJ3" s="25">
        <f t="shared" si="3"/>
        <v>89</v>
      </c>
      <c r="EK3" s="25">
        <f t="shared" si="3"/>
        <v>90</v>
      </c>
      <c r="EL3" s="25">
        <f t="shared" si="3"/>
        <v>91</v>
      </c>
      <c r="EM3" s="25">
        <f t="shared" si="3"/>
        <v>92</v>
      </c>
      <c r="EN3" s="25">
        <f t="shared" si="3"/>
        <v>93</v>
      </c>
      <c r="EO3" s="25">
        <f t="shared" si="3"/>
        <v>94</v>
      </c>
      <c r="EP3" s="25">
        <f t="shared" si="3"/>
        <v>95</v>
      </c>
      <c r="EQ3" s="25">
        <f t="shared" si="3"/>
        <v>96</v>
      </c>
      <c r="ER3" s="25">
        <f t="shared" si="3"/>
        <v>97</v>
      </c>
      <c r="ES3" s="25">
        <f t="shared" si="3"/>
        <v>98</v>
      </c>
      <c r="ET3" s="25">
        <f t="shared" si="3"/>
        <v>99</v>
      </c>
      <c r="EU3" s="25">
        <f t="shared" si="3"/>
        <v>100</v>
      </c>
      <c r="EV3" s="25">
        <f t="shared" si="3"/>
        <v>101</v>
      </c>
      <c r="EW3" s="25">
        <f t="shared" si="3"/>
        <v>102</v>
      </c>
      <c r="EX3" s="25">
        <f t="shared" si="3"/>
        <v>103</v>
      </c>
      <c r="EY3" s="25">
        <f t="shared" si="3"/>
        <v>104</v>
      </c>
      <c r="EZ3" s="25">
        <f t="shared" si="3"/>
        <v>105</v>
      </c>
      <c r="FA3" s="25">
        <f t="shared" si="3"/>
        <v>106</v>
      </c>
      <c r="FB3" s="25">
        <f t="shared" si="3"/>
        <v>107</v>
      </c>
      <c r="FC3" s="25">
        <f t="shared" si="3"/>
        <v>108</v>
      </c>
      <c r="FD3" s="25">
        <f t="shared" si="3"/>
        <v>109</v>
      </c>
      <c r="FE3" s="25">
        <f t="shared" si="3"/>
        <v>110</v>
      </c>
      <c r="FF3" s="25">
        <f t="shared" si="3"/>
        <v>111</v>
      </c>
      <c r="FG3" s="25">
        <f t="shared" si="3"/>
        <v>112</v>
      </c>
      <c r="FH3" s="25">
        <f t="shared" si="3"/>
        <v>113</v>
      </c>
      <c r="FI3" s="25">
        <f t="shared" si="3"/>
        <v>114</v>
      </c>
      <c r="FJ3" s="25">
        <f t="shared" si="3"/>
        <v>115</v>
      </c>
      <c r="FK3" s="25">
        <f t="shared" si="3"/>
        <v>116</v>
      </c>
      <c r="FL3" s="25">
        <f t="shared" si="3"/>
        <v>117</v>
      </c>
      <c r="FM3" s="25">
        <f t="shared" si="3"/>
        <v>118</v>
      </c>
      <c r="FN3" s="25">
        <f t="shared" si="3"/>
        <v>119</v>
      </c>
      <c r="FO3" s="25">
        <f t="shared" si="3"/>
        <v>120</v>
      </c>
      <c r="FP3" s="25">
        <f t="shared" si="3"/>
        <v>121</v>
      </c>
      <c r="FQ3" s="25">
        <f t="shared" si="3"/>
        <v>122</v>
      </c>
      <c r="FR3" s="25">
        <f t="shared" si="3"/>
        <v>123</v>
      </c>
      <c r="FS3" s="25">
        <f t="shared" si="3"/>
        <v>124</v>
      </c>
      <c r="FT3" s="25">
        <f t="shared" si="3"/>
        <v>125</v>
      </c>
      <c r="FU3" s="25">
        <f t="shared" si="3"/>
        <v>126</v>
      </c>
      <c r="FV3" s="25">
        <f t="shared" si="3"/>
        <v>127</v>
      </c>
      <c r="FW3" s="25">
        <f t="shared" si="3"/>
        <v>128</v>
      </c>
      <c r="FX3" s="25">
        <f t="shared" si="3"/>
        <v>129</v>
      </c>
      <c r="FY3" s="25">
        <f t="shared" si="3"/>
        <v>130</v>
      </c>
      <c r="FZ3" s="25">
        <f t="shared" ref="FZ3:IK4" si="4">+FY3+1</f>
        <v>131</v>
      </c>
      <c r="GA3" s="25">
        <f t="shared" si="4"/>
        <v>132</v>
      </c>
      <c r="GB3" s="25">
        <f t="shared" si="4"/>
        <v>133</v>
      </c>
      <c r="GC3" s="25">
        <f t="shared" si="4"/>
        <v>134</v>
      </c>
      <c r="GD3" s="25">
        <f t="shared" si="4"/>
        <v>135</v>
      </c>
      <c r="GE3" s="25">
        <f t="shared" si="4"/>
        <v>136</v>
      </c>
      <c r="GF3" s="25">
        <f t="shared" si="4"/>
        <v>137</v>
      </c>
      <c r="GG3" s="25">
        <f t="shared" si="4"/>
        <v>138</v>
      </c>
      <c r="GH3" s="25">
        <f t="shared" si="4"/>
        <v>139</v>
      </c>
      <c r="GI3" s="25">
        <f t="shared" si="4"/>
        <v>140</v>
      </c>
      <c r="GJ3" s="25">
        <f t="shared" si="4"/>
        <v>141</v>
      </c>
      <c r="GK3" s="25">
        <f t="shared" si="4"/>
        <v>142</v>
      </c>
      <c r="GL3" s="25">
        <f t="shared" si="4"/>
        <v>143</v>
      </c>
      <c r="GM3" s="25">
        <f t="shared" si="4"/>
        <v>144</v>
      </c>
      <c r="GN3" s="25">
        <f t="shared" si="4"/>
        <v>145</v>
      </c>
      <c r="GO3" s="25">
        <f t="shared" si="4"/>
        <v>146</v>
      </c>
      <c r="GP3" s="25">
        <f t="shared" si="4"/>
        <v>147</v>
      </c>
      <c r="GQ3" s="25">
        <f t="shared" si="4"/>
        <v>148</v>
      </c>
      <c r="GR3" s="25">
        <f t="shared" si="4"/>
        <v>149</v>
      </c>
      <c r="GS3" s="25">
        <f t="shared" si="4"/>
        <v>150</v>
      </c>
      <c r="GT3" s="25">
        <f t="shared" si="4"/>
        <v>151</v>
      </c>
      <c r="GU3" s="25">
        <f t="shared" si="4"/>
        <v>152</v>
      </c>
      <c r="GV3" s="25">
        <f t="shared" si="4"/>
        <v>153</v>
      </c>
      <c r="GW3" s="25">
        <f t="shared" si="4"/>
        <v>154</v>
      </c>
      <c r="GX3" s="25">
        <f t="shared" si="4"/>
        <v>155</v>
      </c>
      <c r="GY3" s="25">
        <f t="shared" si="4"/>
        <v>156</v>
      </c>
      <c r="GZ3" s="25">
        <f t="shared" si="4"/>
        <v>157</v>
      </c>
      <c r="HA3" s="25">
        <f t="shared" si="4"/>
        <v>158</v>
      </c>
      <c r="HB3" s="25">
        <f t="shared" si="4"/>
        <v>159</v>
      </c>
      <c r="HC3" s="25">
        <f t="shared" si="4"/>
        <v>160</v>
      </c>
      <c r="HD3" s="25">
        <f t="shared" si="4"/>
        <v>161</v>
      </c>
      <c r="HE3" s="25">
        <f t="shared" si="4"/>
        <v>162</v>
      </c>
      <c r="HF3" s="25">
        <f t="shared" si="4"/>
        <v>163</v>
      </c>
      <c r="HG3" s="25">
        <f t="shared" si="4"/>
        <v>164</v>
      </c>
      <c r="HH3" s="25">
        <f t="shared" si="4"/>
        <v>165</v>
      </c>
      <c r="HI3" s="25">
        <f t="shared" si="4"/>
        <v>166</v>
      </c>
      <c r="HJ3" s="25">
        <f t="shared" si="4"/>
        <v>167</v>
      </c>
      <c r="HK3" s="25">
        <f t="shared" si="4"/>
        <v>168</v>
      </c>
      <c r="HL3" s="25">
        <f t="shared" si="4"/>
        <v>169</v>
      </c>
      <c r="HM3" s="25">
        <f t="shared" si="4"/>
        <v>170</v>
      </c>
      <c r="HN3" s="25">
        <f t="shared" si="4"/>
        <v>171</v>
      </c>
      <c r="HO3" s="25">
        <f t="shared" si="4"/>
        <v>172</v>
      </c>
      <c r="HP3" s="25">
        <f t="shared" si="4"/>
        <v>173</v>
      </c>
      <c r="HQ3" s="25">
        <f t="shared" si="4"/>
        <v>174</v>
      </c>
      <c r="HR3" s="25">
        <f t="shared" si="4"/>
        <v>175</v>
      </c>
      <c r="HS3" s="25">
        <f t="shared" si="4"/>
        <v>176</v>
      </c>
      <c r="HT3" s="25">
        <f t="shared" si="4"/>
        <v>177</v>
      </c>
      <c r="HU3" s="25">
        <f t="shared" si="4"/>
        <v>178</v>
      </c>
      <c r="HV3" s="25">
        <f t="shared" si="4"/>
        <v>179</v>
      </c>
      <c r="HW3" s="25">
        <f t="shared" si="4"/>
        <v>180</v>
      </c>
      <c r="HX3" s="25">
        <f t="shared" si="4"/>
        <v>181</v>
      </c>
      <c r="HY3" s="25">
        <f t="shared" si="4"/>
        <v>182</v>
      </c>
      <c r="HZ3" s="25">
        <f t="shared" si="4"/>
        <v>183</v>
      </c>
      <c r="IA3" s="25">
        <f t="shared" si="4"/>
        <v>184</v>
      </c>
      <c r="IB3" s="25">
        <f t="shared" si="4"/>
        <v>185</v>
      </c>
      <c r="IC3" s="25">
        <f t="shared" si="4"/>
        <v>186</v>
      </c>
      <c r="ID3" s="25">
        <f t="shared" si="4"/>
        <v>187</v>
      </c>
      <c r="IE3" s="25">
        <f t="shared" si="4"/>
        <v>188</v>
      </c>
      <c r="IF3" s="25">
        <f t="shared" si="4"/>
        <v>189</v>
      </c>
      <c r="IG3" s="25">
        <f t="shared" si="4"/>
        <v>190</v>
      </c>
      <c r="IH3" s="25">
        <f t="shared" si="4"/>
        <v>191</v>
      </c>
      <c r="II3" s="25">
        <f t="shared" si="4"/>
        <v>192</v>
      </c>
      <c r="IJ3" s="25">
        <f t="shared" si="4"/>
        <v>193</v>
      </c>
      <c r="IK3" s="25">
        <f t="shared" si="4"/>
        <v>194</v>
      </c>
      <c r="IL3" s="25">
        <f t="shared" ref="IL3:IQ4" si="5">+IK3+1</f>
        <v>195</v>
      </c>
      <c r="IM3" s="25">
        <f t="shared" si="5"/>
        <v>196</v>
      </c>
      <c r="IN3" s="25">
        <f t="shared" si="5"/>
        <v>197</v>
      </c>
      <c r="IO3" s="25">
        <f t="shared" si="5"/>
        <v>198</v>
      </c>
      <c r="IP3" s="25">
        <f t="shared" si="5"/>
        <v>199</v>
      </c>
      <c r="IQ3" s="25">
        <f t="shared" si="5"/>
        <v>200</v>
      </c>
    </row>
    <row r="4" spans="1:251">
      <c r="C4" s="20" t="s">
        <v>0</v>
      </c>
      <c r="D4" s="20" t="s">
        <v>1</v>
      </c>
      <c r="E4" s="20" t="s">
        <v>2</v>
      </c>
      <c r="F4" s="20" t="s">
        <v>3</v>
      </c>
      <c r="G4" s="20" t="s">
        <v>4</v>
      </c>
      <c r="H4" s="20" t="s">
        <v>5</v>
      </c>
      <c r="I4" s="20" t="s">
        <v>6</v>
      </c>
      <c r="J4" s="20" t="s">
        <v>7</v>
      </c>
      <c r="K4" s="20" t="s">
        <v>69</v>
      </c>
      <c r="L4" s="20" t="s">
        <v>70</v>
      </c>
      <c r="M4" s="20" t="s">
        <v>71</v>
      </c>
      <c r="N4" s="20" t="s">
        <v>72</v>
      </c>
      <c r="O4" s="20" t="s">
        <v>102</v>
      </c>
      <c r="P4" s="20" t="s">
        <v>103</v>
      </c>
      <c r="Q4" s="20" t="s">
        <v>104</v>
      </c>
      <c r="R4" s="20" t="s">
        <v>105</v>
      </c>
      <c r="W4">
        <v>2007</v>
      </c>
      <c r="X4">
        <f t="shared" ref="X4:BA4" si="6">+W4+1</f>
        <v>2008</v>
      </c>
      <c r="Y4">
        <f t="shared" si="6"/>
        <v>2009</v>
      </c>
      <c r="Z4">
        <f t="shared" si="6"/>
        <v>2010</v>
      </c>
      <c r="AA4">
        <f t="shared" si="6"/>
        <v>2011</v>
      </c>
      <c r="AB4">
        <f t="shared" si="6"/>
        <v>2012</v>
      </c>
      <c r="AC4">
        <f t="shared" si="6"/>
        <v>2013</v>
      </c>
      <c r="AD4">
        <f t="shared" si="6"/>
        <v>2014</v>
      </c>
      <c r="AE4">
        <f t="shared" si="6"/>
        <v>2015</v>
      </c>
      <c r="AF4">
        <f t="shared" si="6"/>
        <v>2016</v>
      </c>
      <c r="AG4">
        <f t="shared" si="6"/>
        <v>2017</v>
      </c>
      <c r="AH4">
        <f t="shared" si="6"/>
        <v>2018</v>
      </c>
      <c r="AI4">
        <f t="shared" si="6"/>
        <v>2019</v>
      </c>
      <c r="AJ4">
        <f t="shared" si="6"/>
        <v>2020</v>
      </c>
      <c r="AK4">
        <f t="shared" si="6"/>
        <v>2021</v>
      </c>
      <c r="AL4">
        <f t="shared" si="6"/>
        <v>2022</v>
      </c>
      <c r="AM4">
        <f t="shared" si="6"/>
        <v>2023</v>
      </c>
      <c r="AN4">
        <f t="shared" si="6"/>
        <v>2024</v>
      </c>
      <c r="AO4">
        <f t="shared" si="6"/>
        <v>2025</v>
      </c>
      <c r="AP4">
        <f t="shared" si="6"/>
        <v>2026</v>
      </c>
      <c r="AQ4">
        <f t="shared" si="6"/>
        <v>2027</v>
      </c>
      <c r="AR4">
        <f t="shared" si="6"/>
        <v>2028</v>
      </c>
      <c r="AS4">
        <f t="shared" si="6"/>
        <v>2029</v>
      </c>
      <c r="AT4">
        <f t="shared" si="6"/>
        <v>2030</v>
      </c>
      <c r="AU4">
        <f t="shared" si="6"/>
        <v>2031</v>
      </c>
      <c r="AV4">
        <f t="shared" si="6"/>
        <v>2032</v>
      </c>
      <c r="AW4">
        <f t="shared" si="6"/>
        <v>2033</v>
      </c>
      <c r="AX4">
        <f t="shared" si="6"/>
        <v>2034</v>
      </c>
      <c r="AY4">
        <f t="shared" si="6"/>
        <v>2035</v>
      </c>
      <c r="AZ4">
        <f t="shared" si="6"/>
        <v>2036</v>
      </c>
      <c r="BA4">
        <f t="shared" si="6"/>
        <v>2037</v>
      </c>
      <c r="BB4">
        <f t="shared" si="2"/>
        <v>2038</v>
      </c>
      <c r="BC4">
        <f t="shared" si="2"/>
        <v>2039</v>
      </c>
      <c r="BD4">
        <f t="shared" si="2"/>
        <v>2040</v>
      </c>
      <c r="BE4">
        <f t="shared" si="2"/>
        <v>2041</v>
      </c>
      <c r="BF4">
        <f t="shared" si="2"/>
        <v>2042</v>
      </c>
      <c r="BG4">
        <f t="shared" si="2"/>
        <v>2043</v>
      </c>
      <c r="BH4">
        <f t="shared" si="2"/>
        <v>2044</v>
      </c>
      <c r="BI4">
        <f t="shared" si="2"/>
        <v>2045</v>
      </c>
      <c r="BJ4">
        <f t="shared" si="2"/>
        <v>2046</v>
      </c>
      <c r="BK4">
        <f t="shared" si="2"/>
        <v>2047</v>
      </c>
      <c r="BL4">
        <f t="shared" si="2"/>
        <v>2048</v>
      </c>
      <c r="BM4">
        <f t="shared" si="2"/>
        <v>2049</v>
      </c>
      <c r="BN4">
        <f t="shared" si="2"/>
        <v>2050</v>
      </c>
      <c r="BO4">
        <f t="shared" si="2"/>
        <v>2051</v>
      </c>
      <c r="BP4">
        <f t="shared" si="2"/>
        <v>2052</v>
      </c>
      <c r="BQ4">
        <f t="shared" si="2"/>
        <v>2053</v>
      </c>
      <c r="BR4">
        <f t="shared" si="2"/>
        <v>2054</v>
      </c>
      <c r="BS4">
        <f t="shared" si="2"/>
        <v>2055</v>
      </c>
      <c r="BT4">
        <f t="shared" si="2"/>
        <v>2056</v>
      </c>
      <c r="BU4">
        <f t="shared" si="2"/>
        <v>2057</v>
      </c>
      <c r="BV4">
        <f t="shared" si="2"/>
        <v>2058</v>
      </c>
      <c r="BW4">
        <f t="shared" si="2"/>
        <v>2059</v>
      </c>
      <c r="BX4">
        <f t="shared" si="2"/>
        <v>2060</v>
      </c>
      <c r="BY4">
        <f t="shared" si="2"/>
        <v>2061</v>
      </c>
      <c r="BZ4">
        <f t="shared" si="2"/>
        <v>2062</v>
      </c>
      <c r="CA4">
        <f t="shared" si="2"/>
        <v>2063</v>
      </c>
      <c r="CB4">
        <f t="shared" si="2"/>
        <v>2064</v>
      </c>
      <c r="CC4">
        <f t="shared" si="2"/>
        <v>2065</v>
      </c>
      <c r="CD4">
        <f t="shared" si="2"/>
        <v>2066</v>
      </c>
      <c r="CE4">
        <f t="shared" si="2"/>
        <v>2067</v>
      </c>
      <c r="CF4">
        <f t="shared" si="2"/>
        <v>2068</v>
      </c>
      <c r="CG4">
        <f t="shared" si="2"/>
        <v>2069</v>
      </c>
      <c r="CH4">
        <f t="shared" si="2"/>
        <v>2070</v>
      </c>
      <c r="CI4">
        <f t="shared" si="2"/>
        <v>2071</v>
      </c>
      <c r="CJ4">
        <f t="shared" si="2"/>
        <v>2072</v>
      </c>
      <c r="CK4">
        <f t="shared" si="2"/>
        <v>2073</v>
      </c>
      <c r="CL4">
        <f t="shared" si="2"/>
        <v>2074</v>
      </c>
      <c r="CM4">
        <f t="shared" si="2"/>
        <v>2075</v>
      </c>
      <c r="CN4">
        <f t="shared" si="2"/>
        <v>2076</v>
      </c>
      <c r="CO4">
        <f t="shared" si="2"/>
        <v>2077</v>
      </c>
      <c r="CP4">
        <f t="shared" si="2"/>
        <v>2078</v>
      </c>
      <c r="CQ4">
        <f t="shared" si="2"/>
        <v>2079</v>
      </c>
      <c r="CR4">
        <f t="shared" si="2"/>
        <v>2080</v>
      </c>
      <c r="CS4">
        <f t="shared" si="2"/>
        <v>2081</v>
      </c>
      <c r="CT4">
        <f t="shared" si="2"/>
        <v>2082</v>
      </c>
      <c r="CU4">
        <f t="shared" si="2"/>
        <v>2083</v>
      </c>
      <c r="CV4">
        <f t="shared" si="2"/>
        <v>2084</v>
      </c>
      <c r="CW4">
        <f t="shared" si="2"/>
        <v>2085</v>
      </c>
      <c r="CX4">
        <f t="shared" si="2"/>
        <v>2086</v>
      </c>
      <c r="CY4">
        <f t="shared" si="2"/>
        <v>2087</v>
      </c>
      <c r="CZ4">
        <f t="shared" si="2"/>
        <v>2088</v>
      </c>
      <c r="DA4">
        <f t="shared" si="2"/>
        <v>2089</v>
      </c>
      <c r="DB4">
        <f t="shared" si="2"/>
        <v>2090</v>
      </c>
      <c r="DC4">
        <f t="shared" si="2"/>
        <v>2091</v>
      </c>
      <c r="DD4">
        <f t="shared" si="2"/>
        <v>2092</v>
      </c>
      <c r="DE4">
        <f t="shared" si="2"/>
        <v>2093</v>
      </c>
      <c r="DF4">
        <f t="shared" si="2"/>
        <v>2094</v>
      </c>
      <c r="DG4">
        <f t="shared" si="2"/>
        <v>2095</v>
      </c>
      <c r="DH4">
        <f t="shared" si="2"/>
        <v>2096</v>
      </c>
      <c r="DI4">
        <f t="shared" si="2"/>
        <v>2097</v>
      </c>
      <c r="DJ4">
        <f t="shared" si="2"/>
        <v>2098</v>
      </c>
      <c r="DK4">
        <f t="shared" si="2"/>
        <v>2099</v>
      </c>
      <c r="DL4">
        <f t="shared" si="2"/>
        <v>2100</v>
      </c>
      <c r="DM4">
        <f t="shared" si="2"/>
        <v>2101</v>
      </c>
      <c r="DN4">
        <f t="shared" si="3"/>
        <v>2102</v>
      </c>
      <c r="DO4">
        <f t="shared" si="3"/>
        <v>2103</v>
      </c>
      <c r="DP4">
        <f t="shared" si="3"/>
        <v>2104</v>
      </c>
      <c r="DQ4">
        <f t="shared" si="3"/>
        <v>2105</v>
      </c>
      <c r="DR4">
        <f t="shared" si="3"/>
        <v>2106</v>
      </c>
      <c r="DS4">
        <f t="shared" si="3"/>
        <v>2107</v>
      </c>
      <c r="DT4">
        <f t="shared" si="3"/>
        <v>2108</v>
      </c>
      <c r="DU4">
        <f t="shared" si="3"/>
        <v>2109</v>
      </c>
      <c r="DV4">
        <f t="shared" si="3"/>
        <v>2110</v>
      </c>
      <c r="DW4">
        <f t="shared" si="3"/>
        <v>2111</v>
      </c>
      <c r="DX4">
        <f t="shared" si="3"/>
        <v>2112</v>
      </c>
      <c r="DY4">
        <f t="shared" si="3"/>
        <v>2113</v>
      </c>
      <c r="DZ4">
        <f t="shared" si="3"/>
        <v>2114</v>
      </c>
      <c r="EA4">
        <f t="shared" si="3"/>
        <v>2115</v>
      </c>
      <c r="EB4">
        <f t="shared" si="3"/>
        <v>2116</v>
      </c>
      <c r="EC4">
        <f t="shared" si="3"/>
        <v>2117</v>
      </c>
      <c r="ED4">
        <f t="shared" si="3"/>
        <v>2118</v>
      </c>
      <c r="EE4">
        <f t="shared" si="3"/>
        <v>2119</v>
      </c>
      <c r="EF4">
        <f t="shared" si="3"/>
        <v>2120</v>
      </c>
      <c r="EG4">
        <f t="shared" si="3"/>
        <v>2121</v>
      </c>
      <c r="EH4">
        <f t="shared" si="3"/>
        <v>2122</v>
      </c>
      <c r="EI4">
        <f t="shared" si="3"/>
        <v>2123</v>
      </c>
      <c r="EJ4">
        <f t="shared" si="3"/>
        <v>2124</v>
      </c>
      <c r="EK4">
        <f t="shared" si="3"/>
        <v>2125</v>
      </c>
      <c r="EL4">
        <f t="shared" si="3"/>
        <v>2126</v>
      </c>
      <c r="EM4">
        <f t="shared" si="3"/>
        <v>2127</v>
      </c>
      <c r="EN4">
        <f t="shared" si="3"/>
        <v>2128</v>
      </c>
      <c r="EO4">
        <f t="shared" si="3"/>
        <v>2129</v>
      </c>
      <c r="EP4">
        <f t="shared" si="3"/>
        <v>2130</v>
      </c>
      <c r="EQ4">
        <f t="shared" si="3"/>
        <v>2131</v>
      </c>
      <c r="ER4">
        <f t="shared" si="3"/>
        <v>2132</v>
      </c>
      <c r="ES4">
        <f t="shared" si="3"/>
        <v>2133</v>
      </c>
      <c r="ET4">
        <f t="shared" si="3"/>
        <v>2134</v>
      </c>
      <c r="EU4">
        <f t="shared" si="3"/>
        <v>2135</v>
      </c>
      <c r="EV4">
        <f t="shared" si="3"/>
        <v>2136</v>
      </c>
      <c r="EW4">
        <f t="shared" si="3"/>
        <v>2137</v>
      </c>
      <c r="EX4">
        <f t="shared" si="3"/>
        <v>2138</v>
      </c>
      <c r="EY4">
        <f t="shared" si="3"/>
        <v>2139</v>
      </c>
      <c r="EZ4">
        <f t="shared" si="3"/>
        <v>2140</v>
      </c>
      <c r="FA4">
        <f t="shared" si="3"/>
        <v>2141</v>
      </c>
      <c r="FB4">
        <f t="shared" si="3"/>
        <v>2142</v>
      </c>
      <c r="FC4">
        <f t="shared" si="3"/>
        <v>2143</v>
      </c>
      <c r="FD4">
        <f t="shared" si="3"/>
        <v>2144</v>
      </c>
      <c r="FE4">
        <f t="shared" si="3"/>
        <v>2145</v>
      </c>
      <c r="FF4">
        <f t="shared" si="3"/>
        <v>2146</v>
      </c>
      <c r="FG4">
        <f t="shared" si="3"/>
        <v>2147</v>
      </c>
      <c r="FH4">
        <f t="shared" si="3"/>
        <v>2148</v>
      </c>
      <c r="FI4">
        <f t="shared" si="3"/>
        <v>2149</v>
      </c>
      <c r="FJ4">
        <f t="shared" si="3"/>
        <v>2150</v>
      </c>
      <c r="FK4">
        <f t="shared" si="3"/>
        <v>2151</v>
      </c>
      <c r="FL4">
        <f t="shared" si="3"/>
        <v>2152</v>
      </c>
      <c r="FM4">
        <f t="shared" si="3"/>
        <v>2153</v>
      </c>
      <c r="FN4">
        <f t="shared" si="3"/>
        <v>2154</v>
      </c>
      <c r="FO4">
        <f t="shared" si="3"/>
        <v>2155</v>
      </c>
      <c r="FP4">
        <f t="shared" si="3"/>
        <v>2156</v>
      </c>
      <c r="FQ4">
        <f t="shared" si="3"/>
        <v>2157</v>
      </c>
      <c r="FR4">
        <f t="shared" si="3"/>
        <v>2158</v>
      </c>
      <c r="FS4">
        <f t="shared" si="3"/>
        <v>2159</v>
      </c>
      <c r="FT4">
        <f t="shared" si="3"/>
        <v>2160</v>
      </c>
      <c r="FU4">
        <f t="shared" si="3"/>
        <v>2161</v>
      </c>
      <c r="FV4">
        <f t="shared" si="3"/>
        <v>2162</v>
      </c>
      <c r="FW4">
        <f t="shared" si="3"/>
        <v>2163</v>
      </c>
      <c r="FX4">
        <f t="shared" si="3"/>
        <v>2164</v>
      </c>
      <c r="FY4">
        <f t="shared" si="3"/>
        <v>2165</v>
      </c>
      <c r="FZ4">
        <f t="shared" si="4"/>
        <v>2166</v>
      </c>
      <c r="GA4">
        <f t="shared" si="4"/>
        <v>2167</v>
      </c>
      <c r="GB4">
        <f t="shared" si="4"/>
        <v>2168</v>
      </c>
      <c r="GC4">
        <f t="shared" si="4"/>
        <v>2169</v>
      </c>
      <c r="GD4">
        <f t="shared" si="4"/>
        <v>2170</v>
      </c>
      <c r="GE4">
        <f t="shared" si="4"/>
        <v>2171</v>
      </c>
      <c r="GF4">
        <f t="shared" si="4"/>
        <v>2172</v>
      </c>
      <c r="GG4">
        <f t="shared" si="4"/>
        <v>2173</v>
      </c>
      <c r="GH4">
        <f t="shared" si="4"/>
        <v>2174</v>
      </c>
      <c r="GI4">
        <f t="shared" si="4"/>
        <v>2175</v>
      </c>
      <c r="GJ4">
        <f t="shared" si="4"/>
        <v>2176</v>
      </c>
      <c r="GK4">
        <f t="shared" si="4"/>
        <v>2177</v>
      </c>
      <c r="GL4">
        <f t="shared" si="4"/>
        <v>2178</v>
      </c>
      <c r="GM4">
        <f t="shared" si="4"/>
        <v>2179</v>
      </c>
      <c r="GN4">
        <f t="shared" si="4"/>
        <v>2180</v>
      </c>
      <c r="GO4">
        <f t="shared" si="4"/>
        <v>2181</v>
      </c>
      <c r="GP4">
        <f t="shared" si="4"/>
        <v>2182</v>
      </c>
      <c r="GQ4">
        <f t="shared" si="4"/>
        <v>2183</v>
      </c>
      <c r="GR4">
        <f t="shared" si="4"/>
        <v>2184</v>
      </c>
      <c r="GS4">
        <f t="shared" si="4"/>
        <v>2185</v>
      </c>
      <c r="GT4">
        <f t="shared" si="4"/>
        <v>2186</v>
      </c>
      <c r="GU4">
        <f t="shared" si="4"/>
        <v>2187</v>
      </c>
      <c r="GV4">
        <f t="shared" si="4"/>
        <v>2188</v>
      </c>
      <c r="GW4">
        <f t="shared" si="4"/>
        <v>2189</v>
      </c>
      <c r="GX4">
        <f t="shared" si="4"/>
        <v>2190</v>
      </c>
      <c r="GY4">
        <f t="shared" si="4"/>
        <v>2191</v>
      </c>
      <c r="GZ4">
        <f t="shared" si="4"/>
        <v>2192</v>
      </c>
      <c r="HA4">
        <f t="shared" si="4"/>
        <v>2193</v>
      </c>
      <c r="HB4">
        <f t="shared" si="4"/>
        <v>2194</v>
      </c>
      <c r="HC4">
        <f t="shared" si="4"/>
        <v>2195</v>
      </c>
      <c r="HD4">
        <f t="shared" si="4"/>
        <v>2196</v>
      </c>
      <c r="HE4">
        <f t="shared" si="4"/>
        <v>2197</v>
      </c>
      <c r="HF4">
        <f t="shared" si="4"/>
        <v>2198</v>
      </c>
      <c r="HG4">
        <f t="shared" si="4"/>
        <v>2199</v>
      </c>
      <c r="HH4">
        <f t="shared" si="4"/>
        <v>2200</v>
      </c>
      <c r="HI4">
        <f t="shared" si="4"/>
        <v>2201</v>
      </c>
      <c r="HJ4">
        <f t="shared" si="4"/>
        <v>2202</v>
      </c>
      <c r="HK4">
        <f t="shared" si="4"/>
        <v>2203</v>
      </c>
      <c r="HL4">
        <f t="shared" si="4"/>
        <v>2204</v>
      </c>
      <c r="HM4">
        <f t="shared" si="4"/>
        <v>2205</v>
      </c>
      <c r="HN4">
        <f t="shared" si="4"/>
        <v>2206</v>
      </c>
      <c r="HO4">
        <f t="shared" si="4"/>
        <v>2207</v>
      </c>
      <c r="HP4">
        <f t="shared" si="4"/>
        <v>2208</v>
      </c>
      <c r="HQ4">
        <f t="shared" si="4"/>
        <v>2209</v>
      </c>
      <c r="HR4">
        <f t="shared" si="4"/>
        <v>2210</v>
      </c>
      <c r="HS4">
        <f t="shared" si="4"/>
        <v>2211</v>
      </c>
      <c r="HT4">
        <f t="shared" si="4"/>
        <v>2212</v>
      </c>
      <c r="HU4">
        <f t="shared" si="4"/>
        <v>2213</v>
      </c>
      <c r="HV4">
        <f t="shared" si="4"/>
        <v>2214</v>
      </c>
      <c r="HW4">
        <f t="shared" si="4"/>
        <v>2215</v>
      </c>
      <c r="HX4">
        <f t="shared" si="4"/>
        <v>2216</v>
      </c>
      <c r="HY4">
        <f t="shared" si="4"/>
        <v>2217</v>
      </c>
      <c r="HZ4">
        <f t="shared" si="4"/>
        <v>2218</v>
      </c>
      <c r="IA4">
        <f t="shared" si="4"/>
        <v>2219</v>
      </c>
      <c r="IB4">
        <f t="shared" si="4"/>
        <v>2220</v>
      </c>
      <c r="IC4">
        <f t="shared" si="4"/>
        <v>2221</v>
      </c>
      <c r="ID4">
        <f t="shared" si="4"/>
        <v>2222</v>
      </c>
      <c r="IE4">
        <f t="shared" si="4"/>
        <v>2223</v>
      </c>
      <c r="IF4">
        <f t="shared" si="4"/>
        <v>2224</v>
      </c>
      <c r="IG4">
        <f t="shared" si="4"/>
        <v>2225</v>
      </c>
      <c r="IH4">
        <f t="shared" si="4"/>
        <v>2226</v>
      </c>
      <c r="II4">
        <f t="shared" si="4"/>
        <v>2227</v>
      </c>
      <c r="IJ4">
        <f t="shared" si="4"/>
        <v>2228</v>
      </c>
      <c r="IK4">
        <f t="shared" si="4"/>
        <v>2229</v>
      </c>
      <c r="IL4">
        <f t="shared" si="5"/>
        <v>2230</v>
      </c>
      <c r="IM4">
        <f t="shared" si="5"/>
        <v>2231</v>
      </c>
      <c r="IN4">
        <f t="shared" si="5"/>
        <v>2232</v>
      </c>
      <c r="IO4">
        <f t="shared" si="5"/>
        <v>2233</v>
      </c>
      <c r="IP4">
        <f t="shared" si="5"/>
        <v>2234</v>
      </c>
      <c r="IQ4">
        <f t="shared" si="5"/>
        <v>2235</v>
      </c>
    </row>
    <row r="5" spans="1:251" s="1" customFormat="1">
      <c r="B5" s="16" t="s">
        <v>18</v>
      </c>
      <c r="C5" s="21">
        <v>5767</v>
      </c>
      <c r="D5" s="21">
        <v>6780</v>
      </c>
      <c r="E5" s="21">
        <v>7867</v>
      </c>
      <c r="F5" s="21">
        <v>8844</v>
      </c>
      <c r="G5" s="21">
        <v>8273</v>
      </c>
      <c r="H5" s="21">
        <v>8143</v>
      </c>
      <c r="I5" s="21">
        <v>7330</v>
      </c>
      <c r="J5" s="21">
        <v>8017</v>
      </c>
      <c r="K5" s="21">
        <v>7629</v>
      </c>
      <c r="L5" s="21">
        <v>7871</v>
      </c>
      <c r="M5" s="21">
        <v>8535</v>
      </c>
      <c r="N5" s="21">
        <v>8193</v>
      </c>
      <c r="O5" s="1">
        <f>+K5*0.95</f>
        <v>7247.5499999999993</v>
      </c>
      <c r="P5" s="1">
        <f>+L5*1.05</f>
        <v>8264.5500000000011</v>
      </c>
      <c r="AI5" s="1">
        <v>37146</v>
      </c>
      <c r="AJ5" s="1">
        <v>40057</v>
      </c>
      <c r="AK5" s="1">
        <v>41067</v>
      </c>
      <c r="AL5" s="1">
        <v>31708</v>
      </c>
      <c r="AM5" s="1">
        <f>SUM(C5:F5)</f>
        <v>29258</v>
      </c>
      <c r="AN5" s="1">
        <f>SUM(G5:J5)</f>
        <v>31763</v>
      </c>
      <c r="AO5" s="1">
        <f>SUM(K5:N5)</f>
        <v>32228</v>
      </c>
      <c r="AP5" s="1">
        <f>+AO5*1.05</f>
        <v>33839.4</v>
      </c>
      <c r="AQ5" s="1">
        <f>+AP5*1.02</f>
        <v>34516.188000000002</v>
      </c>
      <c r="AR5" s="1">
        <f>+AQ5*1.02</f>
        <v>35206.511760000001</v>
      </c>
      <c r="AS5" s="1">
        <f>+AR5*1.04</f>
        <v>36614.772230400005</v>
      </c>
      <c r="AT5" s="1">
        <f t="shared" ref="AT5:AY5" si="7">+AS5*1.04</f>
        <v>38079.363119616006</v>
      </c>
      <c r="AU5" s="1">
        <f t="shared" si="7"/>
        <v>39602.537644400647</v>
      </c>
      <c r="AV5" s="1">
        <f t="shared" si="7"/>
        <v>41186.639150176678</v>
      </c>
      <c r="AW5" s="1">
        <f t="shared" si="7"/>
        <v>42834.104716183749</v>
      </c>
      <c r="AX5" s="1">
        <f t="shared" si="7"/>
        <v>44547.468904831097</v>
      </c>
      <c r="AY5" s="1">
        <f t="shared" si="7"/>
        <v>46329.367661024342</v>
      </c>
    </row>
    <row r="6" spans="1:251" s="1" customFormat="1">
      <c r="B6" s="16" t="s">
        <v>74</v>
      </c>
      <c r="C6" s="21">
        <v>2901</v>
      </c>
      <c r="D6" s="21">
        <v>3155</v>
      </c>
      <c r="E6" s="21">
        <v>3076</v>
      </c>
      <c r="F6" s="21">
        <v>3503</v>
      </c>
      <c r="G6" s="21">
        <v>3828</v>
      </c>
      <c r="H6" s="21">
        <v>3805</v>
      </c>
      <c r="I6" s="21">
        <v>3349</v>
      </c>
      <c r="J6" s="21">
        <v>3387</v>
      </c>
      <c r="K6" s="21">
        <v>4126</v>
      </c>
      <c r="L6" s="21">
        <v>3939</v>
      </c>
      <c r="M6" s="21">
        <v>4117</v>
      </c>
      <c r="N6" s="21">
        <v>4737</v>
      </c>
      <c r="O6" s="1">
        <f>+O14*0.33</f>
        <v>4026</v>
      </c>
      <c r="AI6" s="1">
        <v>23481</v>
      </c>
      <c r="AJ6" s="1">
        <v>26103</v>
      </c>
      <c r="AK6" s="1">
        <v>22691</v>
      </c>
      <c r="AL6" s="1">
        <v>19196</v>
      </c>
      <c r="AM6" s="1">
        <f>SUM(C6:F6)</f>
        <v>12635</v>
      </c>
      <c r="AN6" s="1">
        <f>SUM(G6:J6)</f>
        <v>14369</v>
      </c>
      <c r="AO6" s="1">
        <f>SUM(K6:N6)</f>
        <v>16919</v>
      </c>
      <c r="AP6" s="1">
        <f>+AO6*1.05</f>
        <v>17764.95</v>
      </c>
      <c r="AQ6" s="1">
        <f>+AP6*1.01</f>
        <v>17942.5995</v>
      </c>
      <c r="AR6" s="1">
        <f>+AQ6*1.01</f>
        <v>18122.025495000002</v>
      </c>
      <c r="AS6" s="1">
        <f>+AR6*1.05</f>
        <v>19028.126769750004</v>
      </c>
      <c r="AT6" s="1">
        <f t="shared" ref="AT6:AY6" si="8">+AS6*1.05</f>
        <v>19979.533108237505</v>
      </c>
      <c r="AU6" s="1">
        <f t="shared" si="8"/>
        <v>20978.509763649381</v>
      </c>
      <c r="AV6" s="1">
        <f t="shared" si="8"/>
        <v>22027.435251831852</v>
      </c>
      <c r="AW6" s="1">
        <f t="shared" si="8"/>
        <v>23128.807014423444</v>
      </c>
      <c r="AX6" s="1">
        <f t="shared" si="8"/>
        <v>24285.247365144616</v>
      </c>
      <c r="AY6" s="1">
        <f t="shared" si="8"/>
        <v>25499.509733401846</v>
      </c>
    </row>
    <row r="7" spans="1:251" s="1" customFormat="1">
      <c r="B7" s="16" t="s">
        <v>87</v>
      </c>
      <c r="C7" s="21">
        <v>1489</v>
      </c>
      <c r="D7" s="21">
        <v>1364</v>
      </c>
      <c r="E7" s="21">
        <v>1450</v>
      </c>
      <c r="F7" s="21">
        <v>1471</v>
      </c>
      <c r="G7" s="21"/>
      <c r="H7" s="21"/>
      <c r="I7" s="21">
        <v>1511</v>
      </c>
      <c r="J7" s="21">
        <v>1623</v>
      </c>
      <c r="K7" s="21"/>
      <c r="L7" s="21"/>
      <c r="M7" s="21"/>
      <c r="N7" s="21"/>
      <c r="AK7" s="1">
        <v>7976</v>
      </c>
      <c r="AL7" s="1">
        <v>8873</v>
      </c>
      <c r="AM7" s="1">
        <f>SUM(C7:F7)</f>
        <v>5774</v>
      </c>
      <c r="AN7" s="1">
        <f>SUM(G7:J7)</f>
        <v>3134</v>
      </c>
      <c r="AO7" s="1">
        <f>SUM(K7:N7)</f>
        <v>0</v>
      </c>
    </row>
    <row r="8" spans="1:251" s="1" customFormat="1">
      <c r="B8" s="12" t="s">
        <v>19</v>
      </c>
      <c r="C8" s="21">
        <f t="shared" ref="C8:O8" si="9">SUM(C5:C7)</f>
        <v>10157</v>
      </c>
      <c r="D8" s="21">
        <f t="shared" si="9"/>
        <v>11299</v>
      </c>
      <c r="E8" s="21">
        <f t="shared" si="9"/>
        <v>12393</v>
      </c>
      <c r="F8" s="21">
        <f t="shared" si="9"/>
        <v>13818</v>
      </c>
      <c r="G8" s="21">
        <f t="shared" si="9"/>
        <v>12101</v>
      </c>
      <c r="H8" s="21">
        <f t="shared" si="9"/>
        <v>11948</v>
      </c>
      <c r="I8" s="21">
        <f t="shared" si="9"/>
        <v>12190</v>
      </c>
      <c r="J8" s="21">
        <f t="shared" si="9"/>
        <v>13027</v>
      </c>
      <c r="K8" s="21">
        <f t="shared" si="9"/>
        <v>11755</v>
      </c>
      <c r="L8" s="21">
        <f t="shared" si="9"/>
        <v>11810</v>
      </c>
      <c r="M8" s="21">
        <f t="shared" si="9"/>
        <v>12652</v>
      </c>
      <c r="N8" s="21">
        <f t="shared" si="9"/>
        <v>12930</v>
      </c>
      <c r="O8" s="21">
        <f t="shared" si="9"/>
        <v>11273.55</v>
      </c>
      <c r="AK8" s="1">
        <f t="shared" ref="AK8:AL8" si="10">SUM(AK5:AK7)</f>
        <v>71734</v>
      </c>
      <c r="AL8" s="1">
        <f t="shared" si="10"/>
        <v>59777</v>
      </c>
      <c r="AM8" s="1">
        <f>SUM(C8:F8)</f>
        <v>47667</v>
      </c>
      <c r="AN8" s="1">
        <f>SUM(G8:J8)</f>
        <v>49266</v>
      </c>
      <c r="AO8" s="1">
        <f>SUM(K8:N8)</f>
        <v>49147</v>
      </c>
      <c r="AP8" s="1">
        <f>SUM(AP5:AP7)</f>
        <v>51604.350000000006</v>
      </c>
      <c r="AQ8" s="1">
        <f t="shared" ref="AQ8:AY8" si="11">SUM(AQ5:AQ7)</f>
        <v>52458.787500000006</v>
      </c>
      <c r="AR8" s="1">
        <f t="shared" si="11"/>
        <v>53328.537255000003</v>
      </c>
      <c r="AS8" s="1">
        <f t="shared" si="11"/>
        <v>55642.899000150006</v>
      </c>
      <c r="AT8" s="1">
        <f t="shared" si="11"/>
        <v>58058.896227853511</v>
      </c>
      <c r="AU8" s="1">
        <f t="shared" si="11"/>
        <v>60581.047408050028</v>
      </c>
      <c r="AV8" s="1">
        <f t="shared" si="11"/>
        <v>63214.074402008526</v>
      </c>
      <c r="AW8" s="1">
        <f t="shared" si="11"/>
        <v>65962.911730607186</v>
      </c>
      <c r="AX8" s="1">
        <f t="shared" si="11"/>
        <v>68832.716269975717</v>
      </c>
      <c r="AY8" s="1">
        <f t="shared" si="11"/>
        <v>71828.877394426192</v>
      </c>
    </row>
    <row r="9" spans="1:251" s="1" customFormat="1">
      <c r="B9" s="12" t="s">
        <v>20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AK9" s="1">
        <v>1386</v>
      </c>
      <c r="AL9" s="1">
        <v>1869</v>
      </c>
    </row>
    <row r="10" spans="1:251" s="1" customFormat="1">
      <c r="B10" s="12" t="s">
        <v>88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AK10" s="1">
        <v>774</v>
      </c>
      <c r="AL10" s="1">
        <v>837</v>
      </c>
    </row>
    <row r="11" spans="1:251" s="1" customFormat="1">
      <c r="B11" s="12" t="s">
        <v>81</v>
      </c>
      <c r="C11" s="21">
        <v>4831</v>
      </c>
      <c r="D11" s="21">
        <v>4172</v>
      </c>
      <c r="E11" s="21">
        <v>4732</v>
      </c>
      <c r="F11" s="21">
        <v>5175</v>
      </c>
      <c r="G11" s="21">
        <v>4356</v>
      </c>
      <c r="H11" s="21">
        <v>4282</v>
      </c>
      <c r="I11" s="21">
        <v>4352</v>
      </c>
      <c r="J11" s="21">
        <v>4502</v>
      </c>
      <c r="K11" s="21">
        <v>4667</v>
      </c>
      <c r="L11" s="21">
        <v>4417</v>
      </c>
      <c r="M11" s="21">
        <v>4235</v>
      </c>
      <c r="N11" s="21">
        <v>4507</v>
      </c>
      <c r="O11" s="1">
        <f>+O$14*(K11/K$14)</f>
        <v>4494.9396068524511</v>
      </c>
      <c r="AK11" s="1">
        <v>786</v>
      </c>
      <c r="AL11" s="1">
        <v>895</v>
      </c>
      <c r="AM11" s="1">
        <f t="shared" ref="AM11:AM23" si="12">SUM(C11:F11)</f>
        <v>18910</v>
      </c>
      <c r="AN11" s="1">
        <f t="shared" ref="AN11:AN23" si="13">SUM(G11:J11)</f>
        <v>17492</v>
      </c>
      <c r="AO11" s="1">
        <f>SUM(K11:N11)</f>
        <v>17826</v>
      </c>
      <c r="AP11" s="1">
        <f>+AO11*1.03</f>
        <v>18360.78</v>
      </c>
      <c r="AQ11" s="1">
        <f>+AP11*1.03</f>
        <v>18911.6034</v>
      </c>
      <c r="AR11" s="1">
        <f>+AQ11*1.03</f>
        <v>19478.951502</v>
      </c>
      <c r="AS11" s="1">
        <f>+AR11*1.4</f>
        <v>27270.5321028</v>
      </c>
      <c r="AT11" s="1">
        <f>+AS11*1.1</f>
        <v>29997.585313080002</v>
      </c>
      <c r="AU11" s="1">
        <f t="shared" ref="AU11:AY11" si="14">+AT11*1.1</f>
        <v>32997.343844388008</v>
      </c>
      <c r="AV11" s="1">
        <f t="shared" si="14"/>
        <v>36297.078228826809</v>
      </c>
      <c r="AW11" s="1">
        <f t="shared" si="14"/>
        <v>39926.786051709496</v>
      </c>
      <c r="AX11" s="1">
        <f t="shared" si="14"/>
        <v>43919.464656880446</v>
      </c>
      <c r="AY11" s="1">
        <f t="shared" si="14"/>
        <v>48311.411122568497</v>
      </c>
    </row>
    <row r="12" spans="1:251" s="1" customFormat="1">
      <c r="B12" s="12" t="s">
        <v>82</v>
      </c>
      <c r="C12" s="21">
        <v>1440</v>
      </c>
      <c r="D12" s="21">
        <v>1419</v>
      </c>
      <c r="E12" s="21">
        <v>1452</v>
      </c>
      <c r="F12" s="21">
        <v>1297</v>
      </c>
      <c r="G12" s="21">
        <v>643</v>
      </c>
      <c r="H12" s="21">
        <v>881</v>
      </c>
      <c r="I12" s="21">
        <v>1039</v>
      </c>
      <c r="J12" s="21">
        <v>1042</v>
      </c>
      <c r="K12" s="21">
        <v>943</v>
      </c>
      <c r="L12" s="21">
        <v>1053</v>
      </c>
      <c r="M12" s="21">
        <v>993</v>
      </c>
      <c r="N12" s="21">
        <v>574</v>
      </c>
      <c r="O12" s="1">
        <f>+O$14*(K12/K$14)</f>
        <v>908.2339938422673</v>
      </c>
      <c r="AK12" s="1">
        <v>5019</v>
      </c>
      <c r="AL12" s="1">
        <v>196</v>
      </c>
      <c r="AM12" s="1">
        <f t="shared" si="12"/>
        <v>5608</v>
      </c>
      <c r="AN12" s="1">
        <f t="shared" si="13"/>
        <v>3605</v>
      </c>
      <c r="AO12" s="1">
        <f>SUM(K12:N12)</f>
        <v>3563</v>
      </c>
      <c r="AP12" s="1">
        <f>+AO12*1.01</f>
        <v>3598.63</v>
      </c>
      <c r="AQ12" s="1">
        <f t="shared" ref="AQ12:AY12" si="15">+AP12*1.01</f>
        <v>3634.6163000000001</v>
      </c>
      <c r="AR12" s="1">
        <f t="shared" si="15"/>
        <v>3670.9624630000003</v>
      </c>
      <c r="AS12" s="1">
        <f t="shared" si="15"/>
        <v>3707.6720876300005</v>
      </c>
      <c r="AT12" s="1">
        <f t="shared" si="15"/>
        <v>3744.7488085063005</v>
      </c>
      <c r="AU12" s="1">
        <f t="shared" si="15"/>
        <v>3782.1962965913635</v>
      </c>
      <c r="AV12" s="1">
        <f t="shared" si="15"/>
        <v>3820.0182595572774</v>
      </c>
      <c r="AW12" s="1">
        <f t="shared" si="15"/>
        <v>3858.21844215285</v>
      </c>
      <c r="AX12" s="1">
        <f t="shared" si="15"/>
        <v>3896.8006265743784</v>
      </c>
      <c r="AY12" s="1">
        <f t="shared" si="15"/>
        <v>3935.7686328401223</v>
      </c>
    </row>
    <row r="13" spans="1:251" s="1" customFormat="1">
      <c r="B13" s="12" t="s">
        <v>83</v>
      </c>
      <c r="C13" s="21">
        <v>-4713</v>
      </c>
      <c r="D13" s="21">
        <v>-3941</v>
      </c>
      <c r="E13" s="21">
        <v>-4419</v>
      </c>
      <c r="F13" s="21">
        <v>-4884</v>
      </c>
      <c r="G13" s="21">
        <v>-4376</v>
      </c>
      <c r="H13" s="21">
        <v>-4278</v>
      </c>
      <c r="I13" s="21">
        <v>-4297</v>
      </c>
      <c r="J13" s="21">
        <v>-4311</v>
      </c>
      <c r="K13" s="21">
        <v>-4698</v>
      </c>
      <c r="L13" s="21">
        <v>-4421</v>
      </c>
      <c r="M13" s="21">
        <v>-4227</v>
      </c>
      <c r="N13" s="21">
        <v>-4337</v>
      </c>
      <c r="O13" s="1">
        <f>+O14-SUM(O8:O12)</f>
        <v>-4476.7236006947169</v>
      </c>
      <c r="AM13" s="1">
        <f t="shared" si="12"/>
        <v>-17957</v>
      </c>
      <c r="AN13" s="1">
        <f t="shared" si="13"/>
        <v>-17262</v>
      </c>
      <c r="AO13" s="1">
        <f>SUM(K13:N13)</f>
        <v>-17683</v>
      </c>
      <c r="AP13" s="1">
        <f>+AO13</f>
        <v>-17683</v>
      </c>
      <c r="AQ13" s="1">
        <f>+AP13</f>
        <v>-17683</v>
      </c>
      <c r="AR13" s="1">
        <f t="shared" ref="AR13:AY13" si="16">+AQ13</f>
        <v>-17683</v>
      </c>
      <c r="AS13" s="1">
        <f t="shared" si="16"/>
        <v>-17683</v>
      </c>
      <c r="AT13" s="1">
        <f t="shared" si="16"/>
        <v>-17683</v>
      </c>
      <c r="AU13" s="1">
        <f t="shared" si="16"/>
        <v>-17683</v>
      </c>
      <c r="AV13" s="1">
        <f t="shared" si="16"/>
        <v>-17683</v>
      </c>
      <c r="AW13" s="1">
        <f t="shared" si="16"/>
        <v>-17683</v>
      </c>
      <c r="AX13" s="1">
        <f t="shared" si="16"/>
        <v>-17683</v>
      </c>
      <c r="AY13" s="1">
        <f t="shared" si="16"/>
        <v>-17683</v>
      </c>
    </row>
    <row r="14" spans="1:251">
      <c r="B14" s="14" t="s">
        <v>75</v>
      </c>
      <c r="C14" s="22">
        <f t="shared" ref="C14:N14" si="17">+SUM(C8:C13)</f>
        <v>11715</v>
      </c>
      <c r="D14" s="22">
        <f t="shared" si="17"/>
        <v>12949</v>
      </c>
      <c r="E14" s="22">
        <f t="shared" si="17"/>
        <v>14158</v>
      </c>
      <c r="F14" s="22">
        <f t="shared" si="17"/>
        <v>15406</v>
      </c>
      <c r="G14" s="22">
        <f t="shared" si="17"/>
        <v>12724</v>
      </c>
      <c r="H14" s="22">
        <f t="shared" si="17"/>
        <v>12833</v>
      </c>
      <c r="I14" s="22">
        <f t="shared" si="17"/>
        <v>13284</v>
      </c>
      <c r="J14" s="22">
        <f>+SUM(J8:J13)</f>
        <v>14260</v>
      </c>
      <c r="K14" s="22">
        <f t="shared" si="17"/>
        <v>12667</v>
      </c>
      <c r="L14" s="22">
        <f t="shared" si="17"/>
        <v>12859</v>
      </c>
      <c r="M14" s="22">
        <f t="shared" si="17"/>
        <v>13653</v>
      </c>
      <c r="N14" s="22">
        <f t="shared" si="17"/>
        <v>13674</v>
      </c>
      <c r="O14" s="15">
        <f>AVERAGE(11.7,12.7) * 10^3</f>
        <v>12200</v>
      </c>
      <c r="P14" s="15"/>
      <c r="Q14" s="15"/>
      <c r="R14" s="15"/>
      <c r="S14" s="15"/>
      <c r="T14" s="15"/>
      <c r="U14" s="15"/>
      <c r="V14" s="15"/>
      <c r="W14" s="14">
        <v>38334</v>
      </c>
      <c r="X14" s="14">
        <v>37586</v>
      </c>
      <c r="Y14" s="14">
        <v>35127</v>
      </c>
      <c r="Z14" s="14">
        <v>43623</v>
      </c>
      <c r="AA14" s="14">
        <v>53999</v>
      </c>
      <c r="AB14" s="14">
        <v>53341</v>
      </c>
      <c r="AC14" s="14">
        <v>52708</v>
      </c>
      <c r="AD14" s="14">
        <v>55870</v>
      </c>
      <c r="AE14" s="14">
        <v>55355</v>
      </c>
      <c r="AF14" s="14">
        <v>59387</v>
      </c>
      <c r="AG14" s="14">
        <v>62761</v>
      </c>
      <c r="AH14" s="14">
        <v>70848</v>
      </c>
      <c r="AI14" s="14">
        <v>71965</v>
      </c>
      <c r="AJ14" s="14">
        <v>77867</v>
      </c>
      <c r="AK14" s="14">
        <f>+SUM(AK8:AK13)</f>
        <v>79699</v>
      </c>
      <c r="AL14" s="14">
        <f>+SUM(AL8:AL13)</f>
        <v>63574</v>
      </c>
      <c r="AM14" s="14">
        <f t="shared" si="12"/>
        <v>54228</v>
      </c>
      <c r="AN14" s="14">
        <f>SUM(G14:J14)</f>
        <v>53101</v>
      </c>
      <c r="AO14" s="14">
        <f>SUM(K14:N14)</f>
        <v>52853</v>
      </c>
      <c r="AP14" s="14">
        <f>SUM(AP8:AP13)</f>
        <v>55880.760000000009</v>
      </c>
      <c r="AQ14" s="14">
        <f t="shared" ref="AQ14:AY14" si="18">SUM(AQ8:AQ13)</f>
        <v>57322.007199999993</v>
      </c>
      <c r="AR14" s="14">
        <f t="shared" si="18"/>
        <v>58795.451220000003</v>
      </c>
      <c r="AS14" s="14">
        <f t="shared" si="18"/>
        <v>68938.103190580005</v>
      </c>
      <c r="AT14" s="14">
        <f t="shared" si="18"/>
        <v>74118.230349439807</v>
      </c>
      <c r="AU14" s="14">
        <f t="shared" si="18"/>
        <v>79677.587549029413</v>
      </c>
      <c r="AV14" s="14">
        <f t="shared" si="18"/>
        <v>85648.170890392619</v>
      </c>
      <c r="AW14" s="14">
        <f t="shared" si="18"/>
        <v>92064.916224469533</v>
      </c>
      <c r="AX14" s="14">
        <f t="shared" si="18"/>
        <v>98965.981553430538</v>
      </c>
      <c r="AY14" s="14">
        <f t="shared" si="18"/>
        <v>106393.0571498348</v>
      </c>
      <c r="AZ14" s="1"/>
    </row>
    <row r="15" spans="1:251" s="1" customFormat="1">
      <c r="B15" s="1" t="s">
        <v>76</v>
      </c>
      <c r="C15" s="21">
        <v>7707</v>
      </c>
      <c r="D15" s="21">
        <v>8311</v>
      </c>
      <c r="E15" s="21">
        <v>8140</v>
      </c>
      <c r="F15" s="21">
        <v>8359</v>
      </c>
      <c r="G15" s="21">
        <v>7507</v>
      </c>
      <c r="H15" s="21">
        <v>8286</v>
      </c>
      <c r="I15" s="21">
        <v>11287</v>
      </c>
      <c r="J15" s="21">
        <v>8676</v>
      </c>
      <c r="K15" s="21">
        <v>7995</v>
      </c>
      <c r="L15" s="21">
        <v>9317</v>
      </c>
      <c r="M15" s="21">
        <v>8435</v>
      </c>
      <c r="N15" s="21">
        <f t="shared" ref="N15:N23" si="19">+AO15-SUM(K15:M15)</f>
        <v>8731</v>
      </c>
      <c r="W15" s="27">
        <v>18430</v>
      </c>
      <c r="X15" s="27">
        <v>16742</v>
      </c>
      <c r="Y15" s="27">
        <v>15566</v>
      </c>
      <c r="Z15" s="27">
        <v>15132</v>
      </c>
      <c r="AA15" s="27">
        <v>20242</v>
      </c>
      <c r="AB15" s="27">
        <v>20190</v>
      </c>
      <c r="AC15" s="27">
        <v>21187</v>
      </c>
      <c r="AD15" s="27">
        <v>20261</v>
      </c>
      <c r="AE15" s="1">
        <v>20676</v>
      </c>
      <c r="AF15" s="1">
        <v>23154</v>
      </c>
      <c r="AG15" s="1">
        <v>23663</v>
      </c>
      <c r="AH15" s="1">
        <v>27111</v>
      </c>
      <c r="AI15" s="1">
        <v>29825</v>
      </c>
      <c r="AJ15" s="1">
        <v>34255</v>
      </c>
      <c r="AK15" s="1">
        <v>35209</v>
      </c>
      <c r="AL15" s="1">
        <v>36188</v>
      </c>
      <c r="AM15" s="1">
        <f t="shared" si="12"/>
        <v>32517</v>
      </c>
      <c r="AN15" s="1">
        <f t="shared" si="13"/>
        <v>35756</v>
      </c>
      <c r="AO15" s="1">
        <v>34478</v>
      </c>
      <c r="AP15" s="1">
        <f>+AP14*0.655</f>
        <v>36601.897800000006</v>
      </c>
      <c r="AQ15" s="1">
        <f>+AQ14*0.6</f>
        <v>34393.204319999997</v>
      </c>
      <c r="AR15" s="1">
        <f>+AR14*0.58</f>
        <v>34101.361707600001</v>
      </c>
      <c r="AS15" s="1">
        <f>+AS14*0.56</f>
        <v>38605.337786724805</v>
      </c>
      <c r="AT15" s="1">
        <f>+AT14*0.54</f>
        <v>40023.8443886975</v>
      </c>
      <c r="AU15" s="1">
        <f>+AU14*0.52</f>
        <v>41432.345525495293</v>
      </c>
      <c r="AV15" s="1">
        <f>+AV14*0.5</f>
        <v>42824.08544519631</v>
      </c>
      <c r="AW15" s="1">
        <f t="shared" ref="AW15:AY15" si="20">+AW14*0.5</f>
        <v>46032.458112234766</v>
      </c>
      <c r="AX15" s="1">
        <f t="shared" si="20"/>
        <v>49482.990776715269</v>
      </c>
      <c r="AY15" s="1">
        <f t="shared" si="20"/>
        <v>53196.5285749174</v>
      </c>
    </row>
    <row r="16" spans="1:251" s="1" customFormat="1">
      <c r="B16" s="1" t="s">
        <v>14</v>
      </c>
      <c r="C16" s="21">
        <v>4109</v>
      </c>
      <c r="D16" s="21">
        <v>4080</v>
      </c>
      <c r="E16" s="21">
        <v>3870</v>
      </c>
      <c r="F16" s="21">
        <v>3987</v>
      </c>
      <c r="G16" s="21">
        <v>4382</v>
      </c>
      <c r="H16" s="21">
        <v>4239</v>
      </c>
      <c r="I16" s="21">
        <v>4049</v>
      </c>
      <c r="J16" s="21">
        <v>3876</v>
      </c>
      <c r="K16" s="21">
        <v>3640</v>
      </c>
      <c r="L16" s="21">
        <v>3684</v>
      </c>
      <c r="M16" s="21">
        <v>3231</v>
      </c>
      <c r="N16" s="21">
        <f t="shared" si="19"/>
        <v>3219</v>
      </c>
      <c r="AD16" s="1">
        <v>11537</v>
      </c>
      <c r="AE16" s="1">
        <v>12128</v>
      </c>
      <c r="AF16" s="1">
        <v>12685</v>
      </c>
      <c r="AG16" s="1">
        <v>13035</v>
      </c>
      <c r="AH16" s="1">
        <v>13543</v>
      </c>
      <c r="AI16" s="1">
        <v>13362</v>
      </c>
      <c r="AJ16" s="1">
        <v>13556</v>
      </c>
      <c r="AK16" s="1">
        <v>15190</v>
      </c>
      <c r="AL16" s="1">
        <v>17528</v>
      </c>
      <c r="AM16" s="1">
        <f t="shared" si="12"/>
        <v>16046</v>
      </c>
      <c r="AN16" s="1">
        <f t="shared" si="13"/>
        <v>16546</v>
      </c>
      <c r="AO16" s="1">
        <v>13774</v>
      </c>
      <c r="AP16" s="1">
        <f>+AP14*0.26</f>
        <v>14528.997600000002</v>
      </c>
      <c r="AQ16" s="1">
        <f>+AQ14*0.26</f>
        <v>14903.721871999998</v>
      </c>
      <c r="AR16" s="1">
        <f>+AR14*0.26</f>
        <v>15286.817317200001</v>
      </c>
      <c r="AS16" s="1">
        <f t="shared" ref="AS16:AY16" si="21">+AS14*0.26</f>
        <v>17923.9068295508</v>
      </c>
      <c r="AT16" s="1">
        <f t="shared" si="21"/>
        <v>19270.739890854351</v>
      </c>
      <c r="AU16" s="1">
        <f t="shared" si="21"/>
        <v>20716.172762747647</v>
      </c>
      <c r="AV16" s="1">
        <f t="shared" si="21"/>
        <v>22268.524431502083</v>
      </c>
      <c r="AW16" s="1">
        <f t="shared" si="21"/>
        <v>23936.878218362079</v>
      </c>
      <c r="AX16" s="1">
        <f t="shared" si="21"/>
        <v>25731.15520389194</v>
      </c>
      <c r="AY16" s="1">
        <f t="shared" si="21"/>
        <v>27662.194858957049</v>
      </c>
    </row>
    <row r="17" spans="2:251" s="1" customFormat="1">
      <c r="B17" s="1" t="s">
        <v>77</v>
      </c>
      <c r="C17" s="21">
        <v>1303</v>
      </c>
      <c r="D17" s="21">
        <v>1374</v>
      </c>
      <c r="E17" s="21">
        <v>1340</v>
      </c>
      <c r="F17" s="21">
        <v>1617</v>
      </c>
      <c r="G17" s="21">
        <v>1556</v>
      </c>
      <c r="H17" s="21">
        <v>1329</v>
      </c>
      <c r="I17" s="21">
        <v>1383</v>
      </c>
      <c r="J17" s="21">
        <v>1239</v>
      </c>
      <c r="K17" s="21">
        <v>1177</v>
      </c>
      <c r="L17" s="21">
        <v>1144</v>
      </c>
      <c r="M17" s="21">
        <v>1129</v>
      </c>
      <c r="N17" s="21">
        <f t="shared" si="19"/>
        <v>1174</v>
      </c>
      <c r="AD17" s="1">
        <v>8136</v>
      </c>
      <c r="AE17" s="1">
        <v>7930</v>
      </c>
      <c r="AF17" s="1">
        <v>8377</v>
      </c>
      <c r="AG17" s="1">
        <v>7452</v>
      </c>
      <c r="AH17" s="1">
        <v>6750</v>
      </c>
      <c r="AI17" s="1">
        <v>6350</v>
      </c>
      <c r="AJ17" s="1">
        <v>6180</v>
      </c>
      <c r="AK17" s="1">
        <v>6543</v>
      </c>
      <c r="AL17" s="1">
        <v>7002</v>
      </c>
      <c r="AM17" s="1">
        <f t="shared" si="12"/>
        <v>5634</v>
      </c>
      <c r="AN17" s="1">
        <f t="shared" si="13"/>
        <v>5507</v>
      </c>
      <c r="AO17" s="1">
        <v>4624</v>
      </c>
      <c r="AP17" s="1">
        <f>+AP14*0.08</f>
        <v>4470.4608000000007</v>
      </c>
      <c r="AQ17" s="1">
        <f t="shared" ref="AQ17:AY17" si="22">+AQ14*0.08</f>
        <v>4585.7605759999997</v>
      </c>
      <c r="AR17" s="1">
        <f t="shared" si="22"/>
        <v>4703.6360976000005</v>
      </c>
      <c r="AS17" s="1">
        <f t="shared" si="22"/>
        <v>5515.0482552464009</v>
      </c>
      <c r="AT17" s="1">
        <f t="shared" si="22"/>
        <v>5929.4584279551846</v>
      </c>
      <c r="AU17" s="1">
        <f t="shared" si="22"/>
        <v>6374.2070039223536</v>
      </c>
      <c r="AV17" s="1">
        <f t="shared" si="22"/>
        <v>6851.8536712314099</v>
      </c>
      <c r="AW17" s="1">
        <f t="shared" si="22"/>
        <v>7365.1932979575631</v>
      </c>
      <c r="AX17" s="1">
        <f t="shared" si="22"/>
        <v>7917.278524274443</v>
      </c>
      <c r="AY17" s="1">
        <f t="shared" si="22"/>
        <v>8511.4445719867836</v>
      </c>
    </row>
    <row r="18" spans="2:251" s="1" customFormat="1">
      <c r="B18" s="1" t="s">
        <v>78</v>
      </c>
      <c r="C18" s="21">
        <f t="shared" ref="C18:M18" si="23">+C14-SUM(C15:C17)</f>
        <v>-1404</v>
      </c>
      <c r="D18" s="21">
        <f t="shared" si="23"/>
        <v>-816</v>
      </c>
      <c r="E18" s="21">
        <f t="shared" si="23"/>
        <v>808</v>
      </c>
      <c r="F18" s="21">
        <f t="shared" si="23"/>
        <v>1443</v>
      </c>
      <c r="G18" s="21">
        <f t="shared" si="23"/>
        <v>-721</v>
      </c>
      <c r="H18" s="21">
        <f t="shared" si="23"/>
        <v>-1021</v>
      </c>
      <c r="I18" s="21">
        <f t="shared" si="23"/>
        <v>-3435</v>
      </c>
      <c r="J18" s="21">
        <f t="shared" si="23"/>
        <v>469</v>
      </c>
      <c r="K18" s="21">
        <f t="shared" si="23"/>
        <v>-145</v>
      </c>
      <c r="L18" s="21">
        <f t="shared" si="23"/>
        <v>-1286</v>
      </c>
      <c r="M18" s="21">
        <f t="shared" si="23"/>
        <v>858</v>
      </c>
      <c r="N18" s="21">
        <f t="shared" si="19"/>
        <v>550</v>
      </c>
      <c r="AD18" s="1">
        <f t="shared" ref="AD18:AH18" si="24">+AD14-SUM(AD15:AD17)</f>
        <v>15936</v>
      </c>
      <c r="AE18" s="1">
        <f t="shared" si="24"/>
        <v>14621</v>
      </c>
      <c r="AF18" s="1">
        <f t="shared" si="24"/>
        <v>15171</v>
      </c>
      <c r="AG18" s="1">
        <f t="shared" si="24"/>
        <v>18611</v>
      </c>
      <c r="AH18" s="1">
        <f t="shared" si="24"/>
        <v>23444</v>
      </c>
      <c r="AI18" s="1">
        <f>+AI14-SUM(AI15:AI17)</f>
        <v>22428</v>
      </c>
      <c r="AJ18" s="1">
        <f>+AJ14-SUM(AJ15:AJ17)</f>
        <v>23876</v>
      </c>
      <c r="AK18" s="1">
        <f>+AK14-SUM(AK15:AK17)</f>
        <v>22757</v>
      </c>
      <c r="AL18" s="1">
        <f>+AL14-SUM(AL15:AL17)</f>
        <v>2856</v>
      </c>
      <c r="AM18" s="1">
        <f t="shared" si="12"/>
        <v>31</v>
      </c>
      <c r="AN18" s="1">
        <f t="shared" si="13"/>
        <v>-4708</v>
      </c>
      <c r="AO18" s="1">
        <f>+AO14-SUM(AO15:AO17)</f>
        <v>-23</v>
      </c>
      <c r="AP18" s="1">
        <f>+AP14-SUM(AP15:AP17)</f>
        <v>279.40380000000005</v>
      </c>
      <c r="AQ18" s="1">
        <f>+AQ14-SUM(AQ15:AQ17)</f>
        <v>3439.3204319999932</v>
      </c>
      <c r="AR18" s="1">
        <f>+AR14-SUM(AR15:AR17)</f>
        <v>4703.6360975999996</v>
      </c>
      <c r="AS18" s="1">
        <f>+AS14-SUM(AS15:AS17)</f>
        <v>6893.8103190579932</v>
      </c>
      <c r="AT18" s="1">
        <f t="shared" ref="AT18:AY18" si="25">+AT14-SUM(AT15:AT17)</f>
        <v>8894.1876419327673</v>
      </c>
      <c r="AU18" s="1">
        <f t="shared" si="25"/>
        <v>11154.862256864129</v>
      </c>
      <c r="AV18" s="1">
        <f t="shared" si="25"/>
        <v>13703.707342462818</v>
      </c>
      <c r="AW18" s="1">
        <f t="shared" si="25"/>
        <v>14730.386595915115</v>
      </c>
      <c r="AX18" s="1">
        <f t="shared" si="25"/>
        <v>15834.557048548886</v>
      </c>
      <c r="AY18" s="1">
        <f t="shared" si="25"/>
        <v>17022.889143973574</v>
      </c>
    </row>
    <row r="19" spans="2:251" s="1" customFormat="1">
      <c r="B19" s="1" t="s">
        <v>79</v>
      </c>
      <c r="C19" s="21">
        <v>169</v>
      </c>
      <c r="D19" s="21">
        <v>-24</v>
      </c>
      <c r="E19" s="21">
        <v>-191</v>
      </c>
      <c r="F19" s="21">
        <v>86</v>
      </c>
      <c r="G19" s="21">
        <v>205</v>
      </c>
      <c r="H19" s="21">
        <v>-120</v>
      </c>
      <c r="I19" s="21">
        <v>-159</v>
      </c>
      <c r="J19" s="21">
        <v>316</v>
      </c>
      <c r="K19" s="21">
        <v>-112</v>
      </c>
      <c r="L19" s="21">
        <v>502</v>
      </c>
      <c r="M19" s="21">
        <v>221</v>
      </c>
      <c r="N19" s="21">
        <f t="shared" si="19"/>
        <v>-97</v>
      </c>
      <c r="AD19" s="1">
        <v>411</v>
      </c>
      <c r="AE19" s="1">
        <v>315</v>
      </c>
      <c r="AF19" s="1">
        <v>506</v>
      </c>
      <c r="AG19" s="1">
        <v>2651</v>
      </c>
      <c r="AH19" s="1">
        <v>-125</v>
      </c>
      <c r="AI19" s="1">
        <v>1539</v>
      </c>
      <c r="AJ19" s="1">
        <v>1904</v>
      </c>
      <c r="AK19" s="1">
        <v>2729</v>
      </c>
      <c r="AL19" s="1">
        <v>4268</v>
      </c>
      <c r="AM19" s="1">
        <f t="shared" si="12"/>
        <v>40</v>
      </c>
      <c r="AN19" s="1">
        <f t="shared" si="13"/>
        <v>242</v>
      </c>
      <c r="AO19" s="1">
        <v>514</v>
      </c>
      <c r="AP19" s="1">
        <f>+AN19</f>
        <v>242</v>
      </c>
      <c r="AQ19" s="1">
        <f t="shared" ref="AQ19:AS20" si="26">+AP19</f>
        <v>242</v>
      </c>
      <c r="AR19" s="1">
        <f t="shared" si="26"/>
        <v>242</v>
      </c>
      <c r="AS19" s="1">
        <f t="shared" si="26"/>
        <v>242</v>
      </c>
      <c r="AT19" s="1">
        <f t="shared" ref="AT19:AY19" si="27">+AS19</f>
        <v>242</v>
      </c>
      <c r="AU19" s="1">
        <f t="shared" si="27"/>
        <v>242</v>
      </c>
      <c r="AV19" s="1">
        <f t="shared" si="27"/>
        <v>242</v>
      </c>
      <c r="AW19" s="1">
        <f t="shared" si="27"/>
        <v>242</v>
      </c>
      <c r="AX19" s="1">
        <f t="shared" si="27"/>
        <v>242</v>
      </c>
      <c r="AY19" s="1">
        <f t="shared" si="27"/>
        <v>242</v>
      </c>
    </row>
    <row r="20" spans="2:251" s="1" customFormat="1">
      <c r="B20" s="1" t="s">
        <v>15</v>
      </c>
      <c r="C20" s="21">
        <v>141</v>
      </c>
      <c r="D20" s="21">
        <v>224</v>
      </c>
      <c r="E20" s="21">
        <v>147</v>
      </c>
      <c r="F20" s="21">
        <v>117</v>
      </c>
      <c r="G20" s="21">
        <v>145</v>
      </c>
      <c r="H20" s="21">
        <v>80</v>
      </c>
      <c r="I20" s="21">
        <v>130</v>
      </c>
      <c r="J20" s="21">
        <v>-129</v>
      </c>
      <c r="K20" s="21">
        <v>-173</v>
      </c>
      <c r="L20" s="21">
        <v>-95</v>
      </c>
      <c r="M20" s="21">
        <v>3670</v>
      </c>
      <c r="N20" s="21">
        <f t="shared" si="19"/>
        <v>-145</v>
      </c>
      <c r="AD20" s="1">
        <v>43</v>
      </c>
      <c r="AE20" s="1">
        <v>-105</v>
      </c>
      <c r="AF20" s="1">
        <v>-703</v>
      </c>
      <c r="AG20" s="1">
        <v>-349</v>
      </c>
      <c r="AH20" s="1">
        <v>126</v>
      </c>
      <c r="AI20" s="1">
        <v>484</v>
      </c>
      <c r="AJ20" s="1">
        <v>-504</v>
      </c>
      <c r="AK20" s="1">
        <v>-482</v>
      </c>
      <c r="AL20" s="1">
        <v>1166</v>
      </c>
      <c r="AM20" s="1">
        <f t="shared" si="12"/>
        <v>629</v>
      </c>
      <c r="AN20" s="1">
        <f t="shared" si="13"/>
        <v>226</v>
      </c>
      <c r="AO20" s="1">
        <v>3257</v>
      </c>
      <c r="AP20" s="1">
        <f>+AN20</f>
        <v>226</v>
      </c>
      <c r="AQ20" s="1">
        <f t="shared" si="26"/>
        <v>226</v>
      </c>
      <c r="AR20" s="1">
        <f t="shared" si="26"/>
        <v>226</v>
      </c>
      <c r="AS20" s="1">
        <f t="shared" si="26"/>
        <v>226</v>
      </c>
      <c r="AT20" s="1">
        <f t="shared" ref="AT20:AY20" si="28">+AS20</f>
        <v>226</v>
      </c>
      <c r="AU20" s="1">
        <f t="shared" si="28"/>
        <v>226</v>
      </c>
      <c r="AV20" s="1">
        <f t="shared" si="28"/>
        <v>226</v>
      </c>
      <c r="AW20" s="1">
        <f t="shared" si="28"/>
        <v>226</v>
      </c>
      <c r="AX20" s="1">
        <f t="shared" si="28"/>
        <v>226</v>
      </c>
      <c r="AY20" s="1">
        <f t="shared" si="28"/>
        <v>226</v>
      </c>
    </row>
    <row r="21" spans="2:251" s="1" customFormat="1">
      <c r="B21" s="1" t="s">
        <v>16</v>
      </c>
      <c r="C21" s="21">
        <f t="shared" ref="C21:M21" si="29">SUM(C18:C20)</f>
        <v>-1094</v>
      </c>
      <c r="D21" s="21">
        <f t="shared" si="29"/>
        <v>-616</v>
      </c>
      <c r="E21" s="21">
        <f t="shared" si="29"/>
        <v>764</v>
      </c>
      <c r="F21" s="21">
        <f t="shared" si="29"/>
        <v>1646</v>
      </c>
      <c r="G21" s="21">
        <f t="shared" si="29"/>
        <v>-371</v>
      </c>
      <c r="H21" s="21">
        <f t="shared" si="29"/>
        <v>-1061</v>
      </c>
      <c r="I21" s="21">
        <f t="shared" si="29"/>
        <v>-3464</v>
      </c>
      <c r="J21" s="21">
        <f t="shared" si="29"/>
        <v>656</v>
      </c>
      <c r="K21" s="21">
        <f t="shared" si="29"/>
        <v>-430</v>
      </c>
      <c r="L21" s="21">
        <f t="shared" si="29"/>
        <v>-879</v>
      </c>
      <c r="M21" s="21">
        <f t="shared" si="29"/>
        <v>4749</v>
      </c>
      <c r="N21" s="21">
        <f t="shared" si="19"/>
        <v>308</v>
      </c>
      <c r="AD21" s="1">
        <f t="shared" ref="AD21:AH21" si="30">SUM(AD18:AD20)</f>
        <v>16390</v>
      </c>
      <c r="AE21" s="1">
        <f t="shared" si="30"/>
        <v>14831</v>
      </c>
      <c r="AF21" s="1">
        <f t="shared" si="30"/>
        <v>14974</v>
      </c>
      <c r="AG21" s="1">
        <f t="shared" si="30"/>
        <v>20913</v>
      </c>
      <c r="AH21" s="1">
        <f t="shared" si="30"/>
        <v>23445</v>
      </c>
      <c r="AI21" s="1">
        <f>SUM(AI18:AI20)</f>
        <v>24451</v>
      </c>
      <c r="AJ21" s="1">
        <f>SUM(AJ18:AJ20)</f>
        <v>25276</v>
      </c>
      <c r="AK21" s="1">
        <f>SUM(AK18:AK20)</f>
        <v>25004</v>
      </c>
      <c r="AL21" s="1">
        <f>SUM(AL18:AL20)</f>
        <v>8290</v>
      </c>
      <c r="AM21" s="1">
        <f t="shared" si="12"/>
        <v>700</v>
      </c>
      <c r="AN21" s="1">
        <f t="shared" si="13"/>
        <v>-4240</v>
      </c>
      <c r="AO21" s="1">
        <f>SUM(AO18:AO20)</f>
        <v>3748</v>
      </c>
      <c r="AP21" s="1">
        <f>SUM(AP18:AP20)</f>
        <v>747.40380000000005</v>
      </c>
      <c r="AQ21" s="1">
        <f t="shared" ref="AQ21:AY21" si="31">SUM(AQ18:AQ20)</f>
        <v>3907.3204319999932</v>
      </c>
      <c r="AR21" s="1">
        <f t="shared" si="31"/>
        <v>5171.6360975999996</v>
      </c>
      <c r="AS21" s="1">
        <f t="shared" si="31"/>
        <v>7361.8103190579932</v>
      </c>
      <c r="AT21" s="1">
        <f t="shared" si="31"/>
        <v>9362.1876419327673</v>
      </c>
      <c r="AU21" s="1">
        <f t="shared" si="31"/>
        <v>11622.862256864129</v>
      </c>
      <c r="AV21" s="1">
        <f t="shared" si="31"/>
        <v>14171.707342462818</v>
      </c>
      <c r="AW21" s="1">
        <f t="shared" si="31"/>
        <v>15198.386595915115</v>
      </c>
      <c r="AX21" s="1">
        <f t="shared" si="31"/>
        <v>16302.557048548886</v>
      </c>
      <c r="AY21" s="1">
        <f t="shared" si="31"/>
        <v>17490.889143973574</v>
      </c>
    </row>
    <row r="22" spans="2:251" s="1" customFormat="1">
      <c r="B22" s="1" t="s">
        <v>17</v>
      </c>
      <c r="C22" s="21">
        <v>1610</v>
      </c>
      <c r="D22" s="21">
        <v>-2289</v>
      </c>
      <c r="E22" s="21">
        <v>7271</v>
      </c>
      <c r="F22" s="21">
        <v>128</v>
      </c>
      <c r="G22" s="21">
        <v>-282</v>
      </c>
      <c r="H22" s="21">
        <v>-350</v>
      </c>
      <c r="I22" s="21">
        <v>7903</v>
      </c>
      <c r="J22" s="21">
        <v>752</v>
      </c>
      <c r="K22" s="21">
        <v>301</v>
      </c>
      <c r="L22" s="21">
        <v>255</v>
      </c>
      <c r="M22" s="21">
        <v>304</v>
      </c>
      <c r="N22" s="21">
        <f t="shared" si="19"/>
        <v>671</v>
      </c>
      <c r="AD22" s="1">
        <v>4097</v>
      </c>
      <c r="AE22" s="1">
        <v>2792</v>
      </c>
      <c r="AF22" s="1">
        <v>2620</v>
      </c>
      <c r="AG22" s="1">
        <v>10751</v>
      </c>
      <c r="AH22" s="1">
        <v>2264</v>
      </c>
      <c r="AI22" s="1">
        <v>3010</v>
      </c>
      <c r="AJ22" s="1">
        <v>4179</v>
      </c>
      <c r="AK22" s="1">
        <v>1835</v>
      </c>
      <c r="AL22" s="1">
        <v>-249</v>
      </c>
      <c r="AM22" s="1">
        <f t="shared" si="12"/>
        <v>6720</v>
      </c>
      <c r="AN22" s="1">
        <f t="shared" si="13"/>
        <v>8023</v>
      </c>
      <c r="AO22" s="5">
        <v>1531</v>
      </c>
      <c r="AP22" s="5">
        <f t="shared" ref="AP22" si="32">+AP21*0.21</f>
        <v>156.95479800000001</v>
      </c>
      <c r="AQ22" s="5">
        <f t="shared" ref="AQ22:AS22" si="33">+AQ21*0.21</f>
        <v>820.53729071999851</v>
      </c>
      <c r="AR22" s="5">
        <f t="shared" si="33"/>
        <v>1086.0435804959998</v>
      </c>
      <c r="AS22" s="5">
        <f t="shared" si="33"/>
        <v>1545.9801670021784</v>
      </c>
      <c r="AT22" s="5">
        <f t="shared" ref="AT22:AY22" si="34">+AT21*0.21</f>
        <v>1966.0594048058811</v>
      </c>
      <c r="AU22" s="5">
        <f t="shared" si="34"/>
        <v>2440.8010739414672</v>
      </c>
      <c r="AV22" s="5">
        <f t="shared" si="34"/>
        <v>2976.0585419171916</v>
      </c>
      <c r="AW22" s="5">
        <f t="shared" si="34"/>
        <v>3191.661185142174</v>
      </c>
      <c r="AX22" s="5">
        <f t="shared" si="34"/>
        <v>3423.5369801952661</v>
      </c>
      <c r="AY22" s="5">
        <f t="shared" si="34"/>
        <v>3673.0867202344507</v>
      </c>
    </row>
    <row r="23" spans="2:251" s="1" customFormat="1">
      <c r="B23" s="1" t="s">
        <v>80</v>
      </c>
      <c r="C23" s="21">
        <f t="shared" ref="C23:M23" si="35">+C21-C22</f>
        <v>-2704</v>
      </c>
      <c r="D23" s="21">
        <f t="shared" si="35"/>
        <v>1673</v>
      </c>
      <c r="E23" s="21">
        <f t="shared" si="35"/>
        <v>-6507</v>
      </c>
      <c r="F23" s="21">
        <f t="shared" si="35"/>
        <v>1518</v>
      </c>
      <c r="G23" s="21">
        <f t="shared" si="35"/>
        <v>-89</v>
      </c>
      <c r="H23" s="21">
        <f t="shared" si="35"/>
        <v>-711</v>
      </c>
      <c r="I23" s="21">
        <f t="shared" si="35"/>
        <v>-11367</v>
      </c>
      <c r="J23" s="21">
        <f t="shared" si="35"/>
        <v>-96</v>
      </c>
      <c r="K23" s="21">
        <f t="shared" si="35"/>
        <v>-731</v>
      </c>
      <c r="L23" s="21">
        <f t="shared" si="35"/>
        <v>-1134</v>
      </c>
      <c r="M23" s="21">
        <f t="shared" si="35"/>
        <v>4445</v>
      </c>
      <c r="N23" s="21">
        <f t="shared" si="19"/>
        <v>-363</v>
      </c>
      <c r="AD23" s="1">
        <f t="shared" ref="AD23:AH23" si="36">+AD21-AD22</f>
        <v>12293</v>
      </c>
      <c r="AE23" s="1">
        <f t="shared" si="36"/>
        <v>12039</v>
      </c>
      <c r="AF23" s="1">
        <f t="shared" si="36"/>
        <v>12354</v>
      </c>
      <c r="AG23" s="1">
        <f t="shared" si="36"/>
        <v>10162</v>
      </c>
      <c r="AH23" s="1">
        <f t="shared" si="36"/>
        <v>21181</v>
      </c>
      <c r="AI23" s="1">
        <f>+AI21-AI22</f>
        <v>21441</v>
      </c>
      <c r="AJ23" s="1">
        <f>+AJ21-AJ22</f>
        <v>21097</v>
      </c>
      <c r="AK23" s="1">
        <f>+AK21-AK22</f>
        <v>23169</v>
      </c>
      <c r="AL23" s="1">
        <f>+AL21-AL22</f>
        <v>8539</v>
      </c>
      <c r="AM23" s="1">
        <f t="shared" si="12"/>
        <v>-6020</v>
      </c>
      <c r="AN23" s="1">
        <f t="shared" si="13"/>
        <v>-12263</v>
      </c>
      <c r="AO23" s="5">
        <f>+AO21-AO22</f>
        <v>2217</v>
      </c>
      <c r="AP23" s="5">
        <f t="shared" ref="AP23" si="37">+AP21-AP22</f>
        <v>590.44900200000006</v>
      </c>
      <c r="AQ23" s="5">
        <f t="shared" ref="AQ23:AS23" si="38">+AQ21-AQ22</f>
        <v>3086.7831412799947</v>
      </c>
      <c r="AR23" s="5">
        <f t="shared" si="38"/>
        <v>4085.5925171039999</v>
      </c>
      <c r="AS23" s="5">
        <f t="shared" si="38"/>
        <v>5815.8301520558143</v>
      </c>
      <c r="AT23" s="5">
        <f t="shared" ref="AT23:AY23" si="39">+AT21-AT22</f>
        <v>7396.1282371268862</v>
      </c>
      <c r="AU23" s="5">
        <f t="shared" si="39"/>
        <v>9182.0611829226618</v>
      </c>
      <c r="AV23" s="5">
        <f t="shared" si="39"/>
        <v>11195.648800545627</v>
      </c>
      <c r="AW23" s="5">
        <f t="shared" si="39"/>
        <v>12006.725410772942</v>
      </c>
      <c r="AX23" s="5">
        <f t="shared" si="39"/>
        <v>12879.02006835362</v>
      </c>
      <c r="AY23" s="5">
        <f t="shared" si="39"/>
        <v>13817.802423739124</v>
      </c>
      <c r="AZ23" s="1">
        <f>+AY23*(1+$BB$25)</f>
        <v>13955.980447976515</v>
      </c>
      <c r="BA23" s="1">
        <f>+AZ23*(1+$BB$25)</f>
        <v>14095.540252456281</v>
      </c>
      <c r="BB23" s="1">
        <f t="shared" ref="BB23:DM23" si="40">+BA23*(1+$BB$25)</f>
        <v>14236.495654980845</v>
      </c>
      <c r="BC23" s="1">
        <f t="shared" si="40"/>
        <v>14378.860611530654</v>
      </c>
      <c r="BD23" s="1">
        <f t="shared" si="40"/>
        <v>14522.64921764596</v>
      </c>
      <c r="BE23" s="1">
        <f t="shared" si="40"/>
        <v>14667.87570982242</v>
      </c>
      <c r="BF23" s="1">
        <f t="shared" si="40"/>
        <v>14814.554466920645</v>
      </c>
      <c r="BG23" s="1">
        <f t="shared" si="40"/>
        <v>14962.700011589852</v>
      </c>
      <c r="BH23" s="1">
        <f t="shared" si="40"/>
        <v>15112.327011705751</v>
      </c>
      <c r="BI23" s="1">
        <f t="shared" si="40"/>
        <v>15263.450281822808</v>
      </c>
      <c r="BJ23" s="1">
        <f t="shared" si="40"/>
        <v>15416.084784641036</v>
      </c>
      <c r="BK23" s="1">
        <f t="shared" si="40"/>
        <v>15570.245632487447</v>
      </c>
      <c r="BL23" s="1">
        <f t="shared" si="40"/>
        <v>15725.948088812322</v>
      </c>
      <c r="BM23" s="1">
        <f t="shared" si="40"/>
        <v>15883.207569700446</v>
      </c>
      <c r="BN23" s="1">
        <f t="shared" si="40"/>
        <v>16042.03964539745</v>
      </c>
      <c r="BO23" s="1">
        <f t="shared" si="40"/>
        <v>16202.460041851424</v>
      </c>
      <c r="BP23" s="1">
        <f t="shared" si="40"/>
        <v>16364.484642269937</v>
      </c>
      <c r="BQ23" s="1">
        <f t="shared" si="40"/>
        <v>16528.129488692637</v>
      </c>
      <c r="BR23" s="1">
        <f t="shared" si="40"/>
        <v>16693.410783579562</v>
      </c>
      <c r="BS23" s="1">
        <f t="shared" si="40"/>
        <v>16860.34489141536</v>
      </c>
      <c r="BT23" s="1">
        <f t="shared" si="40"/>
        <v>17028.948340329513</v>
      </c>
      <c r="BU23" s="1">
        <f t="shared" si="40"/>
        <v>17199.237823732808</v>
      </c>
      <c r="BV23" s="1">
        <f t="shared" si="40"/>
        <v>17371.230201970138</v>
      </c>
      <c r="BW23" s="1">
        <f t="shared" si="40"/>
        <v>17544.942503989841</v>
      </c>
      <c r="BX23" s="1">
        <f t="shared" si="40"/>
        <v>17720.391929029742</v>
      </c>
      <c r="BY23" s="1">
        <f t="shared" si="40"/>
        <v>17897.595848320041</v>
      </c>
      <c r="BZ23" s="1">
        <f t="shared" si="40"/>
        <v>18076.57180680324</v>
      </c>
      <c r="CA23" s="1">
        <f t="shared" si="40"/>
        <v>18257.337524871273</v>
      </c>
      <c r="CB23" s="1">
        <f t="shared" si="40"/>
        <v>18439.910900119987</v>
      </c>
      <c r="CC23" s="1">
        <f t="shared" si="40"/>
        <v>18624.310009121185</v>
      </c>
      <c r="CD23" s="1">
        <f t="shared" si="40"/>
        <v>18810.553109212397</v>
      </c>
      <c r="CE23" s="1">
        <f t="shared" si="40"/>
        <v>18998.658640304522</v>
      </c>
      <c r="CF23" s="1">
        <f t="shared" si="40"/>
        <v>19188.645226707569</v>
      </c>
      <c r="CG23" s="1">
        <f t="shared" si="40"/>
        <v>19380.531678974647</v>
      </c>
      <c r="CH23" s="1">
        <f t="shared" si="40"/>
        <v>19574.336995764392</v>
      </c>
      <c r="CI23" s="1">
        <f t="shared" si="40"/>
        <v>19770.080365722035</v>
      </c>
      <c r="CJ23" s="1">
        <f t="shared" si="40"/>
        <v>19967.781169379254</v>
      </c>
      <c r="CK23" s="1">
        <f t="shared" si="40"/>
        <v>20167.458981073047</v>
      </c>
      <c r="CL23" s="1">
        <f t="shared" si="40"/>
        <v>20369.133570883776</v>
      </c>
      <c r="CM23" s="1">
        <f t="shared" si="40"/>
        <v>20572.824906592614</v>
      </c>
      <c r="CN23" s="1">
        <f t="shared" si="40"/>
        <v>20778.553155658541</v>
      </c>
      <c r="CO23" s="1">
        <f t="shared" si="40"/>
        <v>20986.338687215128</v>
      </c>
      <c r="CP23" s="1">
        <f t="shared" si="40"/>
        <v>21196.202074087279</v>
      </c>
      <c r="CQ23" s="1">
        <f t="shared" si="40"/>
        <v>21408.164094828153</v>
      </c>
      <c r="CR23" s="1">
        <f t="shared" si="40"/>
        <v>21622.245735776436</v>
      </c>
      <c r="CS23" s="1">
        <f t="shared" si="40"/>
        <v>21838.468193134202</v>
      </c>
      <c r="CT23" s="1">
        <f t="shared" si="40"/>
        <v>22056.852875065546</v>
      </c>
      <c r="CU23" s="1">
        <f t="shared" si="40"/>
        <v>22277.421403816203</v>
      </c>
      <c r="CV23" s="1">
        <f t="shared" si="40"/>
        <v>22500.195617854366</v>
      </c>
      <c r="CW23" s="1">
        <f t="shared" si="40"/>
        <v>22725.197574032911</v>
      </c>
      <c r="CX23" s="1">
        <f t="shared" si="40"/>
        <v>22952.449549773239</v>
      </c>
      <c r="CY23" s="1">
        <f t="shared" si="40"/>
        <v>23181.97404527097</v>
      </c>
      <c r="CZ23" s="1">
        <f t="shared" si="40"/>
        <v>23413.793785723679</v>
      </c>
      <c r="DA23" s="1">
        <f t="shared" si="40"/>
        <v>23647.931723580918</v>
      </c>
      <c r="DB23" s="1">
        <f t="shared" si="40"/>
        <v>23884.411040816725</v>
      </c>
      <c r="DC23" s="1">
        <f t="shared" si="40"/>
        <v>24123.255151224894</v>
      </c>
      <c r="DD23" s="1">
        <f t="shared" si="40"/>
        <v>24364.487702737144</v>
      </c>
      <c r="DE23" s="1">
        <f t="shared" si="40"/>
        <v>24608.132579764515</v>
      </c>
      <c r="DF23" s="1">
        <f t="shared" si="40"/>
        <v>24854.213905562159</v>
      </c>
      <c r="DG23" s="1">
        <f t="shared" si="40"/>
        <v>25102.756044617781</v>
      </c>
      <c r="DH23" s="1">
        <f t="shared" si="40"/>
        <v>25353.78360506396</v>
      </c>
      <c r="DI23" s="1">
        <f t="shared" si="40"/>
        <v>25607.3214411146</v>
      </c>
      <c r="DJ23" s="1">
        <f t="shared" si="40"/>
        <v>25863.394655525746</v>
      </c>
      <c r="DK23" s="1">
        <f t="shared" si="40"/>
        <v>26122.028602081005</v>
      </c>
      <c r="DL23" s="1">
        <f t="shared" si="40"/>
        <v>26383.248888101814</v>
      </c>
      <c r="DM23" s="1">
        <f t="shared" si="40"/>
        <v>26647.081376982831</v>
      </c>
      <c r="DN23" s="1">
        <f t="shared" ref="DN23:FY23" si="41">+DM23*(1+$BB$25)</f>
        <v>26913.55219075266</v>
      </c>
      <c r="DO23" s="1">
        <f t="shared" si="41"/>
        <v>27182.687712660187</v>
      </c>
      <c r="DP23" s="1">
        <f t="shared" si="41"/>
        <v>27454.514589786788</v>
      </c>
      <c r="DQ23" s="1">
        <f t="shared" si="41"/>
        <v>27729.059735684656</v>
      </c>
      <c r="DR23" s="1">
        <f t="shared" si="41"/>
        <v>28006.350333041504</v>
      </c>
      <c r="DS23" s="1">
        <f t="shared" si="41"/>
        <v>28286.413836371921</v>
      </c>
      <c r="DT23" s="1">
        <f t="shared" si="41"/>
        <v>28569.27797473564</v>
      </c>
      <c r="DU23" s="1">
        <f t="shared" si="41"/>
        <v>28854.970754482998</v>
      </c>
      <c r="DV23" s="1">
        <f t="shared" si="41"/>
        <v>29143.520462027827</v>
      </c>
      <c r="DW23" s="1">
        <f t="shared" si="41"/>
        <v>29434.955666648108</v>
      </c>
      <c r="DX23" s="1">
        <f t="shared" si="41"/>
        <v>29729.30522331459</v>
      </c>
      <c r="DY23" s="1">
        <f t="shared" si="41"/>
        <v>30026.598275547734</v>
      </c>
      <c r="DZ23" s="1">
        <f t="shared" si="41"/>
        <v>30326.864258303212</v>
      </c>
      <c r="EA23" s="1">
        <f t="shared" si="41"/>
        <v>30630.132900886245</v>
      </c>
      <c r="EB23" s="1">
        <f t="shared" si="41"/>
        <v>30936.434229895109</v>
      </c>
      <c r="EC23" s="1">
        <f t="shared" si="41"/>
        <v>31245.79857219406</v>
      </c>
      <c r="ED23" s="1">
        <f t="shared" si="41"/>
        <v>31558.256557916</v>
      </c>
      <c r="EE23" s="1">
        <f t="shared" si="41"/>
        <v>31873.83912349516</v>
      </c>
      <c r="EF23" s="1">
        <f t="shared" si="41"/>
        <v>32192.57751473011</v>
      </c>
      <c r="EG23" s="1">
        <f t="shared" si="41"/>
        <v>32514.503289877412</v>
      </c>
      <c r="EH23" s="1">
        <f t="shared" si="41"/>
        <v>32839.648322776186</v>
      </c>
      <c r="EI23" s="1">
        <f t="shared" si="41"/>
        <v>33168.044806003949</v>
      </c>
      <c r="EJ23" s="1">
        <f t="shared" si="41"/>
        <v>33499.725254063989</v>
      </c>
      <c r="EK23" s="1">
        <f t="shared" si="41"/>
        <v>33834.72250660463</v>
      </c>
      <c r="EL23" s="1">
        <f t="shared" si="41"/>
        <v>34173.069731670679</v>
      </c>
      <c r="EM23" s="1">
        <f t="shared" si="41"/>
        <v>34514.800428987386</v>
      </c>
      <c r="EN23" s="1">
        <f t="shared" si="41"/>
        <v>34859.948433277263</v>
      </c>
      <c r="EO23" s="1">
        <f t="shared" si="41"/>
        <v>35208.547917610034</v>
      </c>
      <c r="EP23" s="1">
        <f t="shared" si="41"/>
        <v>35560.633396786136</v>
      </c>
      <c r="EQ23" s="1">
        <f t="shared" si="41"/>
        <v>35916.239730753994</v>
      </c>
      <c r="ER23" s="1">
        <f t="shared" si="41"/>
        <v>36275.402128061534</v>
      </c>
      <c r="ES23" s="1">
        <f t="shared" si="41"/>
        <v>36638.156149342147</v>
      </c>
      <c r="ET23" s="1">
        <f t="shared" si="41"/>
        <v>37004.537710835568</v>
      </c>
      <c r="EU23" s="1">
        <f t="shared" si="41"/>
        <v>37374.583087943924</v>
      </c>
      <c r="EV23" s="1">
        <f t="shared" si="41"/>
        <v>37748.328918823361</v>
      </c>
      <c r="EW23" s="1">
        <f t="shared" si="41"/>
        <v>38125.812208011594</v>
      </c>
      <c r="EX23" s="1">
        <f t="shared" si="41"/>
        <v>38507.070330091708</v>
      </c>
      <c r="EY23" s="1">
        <f t="shared" si="41"/>
        <v>38892.141033392625</v>
      </c>
      <c r="EZ23" s="1">
        <f t="shared" si="41"/>
        <v>39281.062443726551</v>
      </c>
      <c r="FA23" s="1">
        <f t="shared" si="41"/>
        <v>39673.873068163819</v>
      </c>
      <c r="FB23" s="1">
        <f t="shared" si="41"/>
        <v>40070.611798845457</v>
      </c>
      <c r="FC23" s="1">
        <f t="shared" si="41"/>
        <v>40471.317916833912</v>
      </c>
      <c r="FD23" s="1">
        <f t="shared" si="41"/>
        <v>40876.031096002254</v>
      </c>
      <c r="FE23" s="1">
        <f t="shared" si="41"/>
        <v>41284.791406962278</v>
      </c>
      <c r="FF23" s="1">
        <f t="shared" si="41"/>
        <v>41697.6393210319</v>
      </c>
      <c r="FG23" s="1">
        <f t="shared" si="41"/>
        <v>42114.615714242216</v>
      </c>
      <c r="FH23" s="1">
        <f t="shared" si="41"/>
        <v>42535.761871384639</v>
      </c>
      <c r="FI23" s="1">
        <f t="shared" si="41"/>
        <v>42961.119490098485</v>
      </c>
      <c r="FJ23" s="1">
        <f t="shared" si="41"/>
        <v>43390.730684999471</v>
      </c>
      <c r="FK23" s="1">
        <f t="shared" si="41"/>
        <v>43824.637991849464</v>
      </c>
      <c r="FL23" s="1">
        <f t="shared" si="41"/>
        <v>44262.884371767956</v>
      </c>
      <c r="FM23" s="1">
        <f t="shared" si="41"/>
        <v>44705.513215485633</v>
      </c>
      <c r="FN23" s="1">
        <f t="shared" si="41"/>
        <v>45152.568347640488</v>
      </c>
      <c r="FO23" s="1">
        <f t="shared" si="41"/>
        <v>45604.094031116896</v>
      </c>
      <c r="FP23" s="1">
        <f t="shared" si="41"/>
        <v>46060.134971428066</v>
      </c>
      <c r="FQ23" s="1">
        <f t="shared" si="41"/>
        <v>46520.736321142344</v>
      </c>
      <c r="FR23" s="1">
        <f t="shared" si="41"/>
        <v>46985.94368435377</v>
      </c>
      <c r="FS23" s="1">
        <f t="shared" si="41"/>
        <v>47455.803121197307</v>
      </c>
      <c r="FT23" s="1">
        <f t="shared" si="41"/>
        <v>47930.361152409278</v>
      </c>
      <c r="FU23" s="1">
        <f t="shared" si="41"/>
        <v>48409.664763933368</v>
      </c>
      <c r="FV23" s="1">
        <f t="shared" si="41"/>
        <v>48893.761411572705</v>
      </c>
      <c r="FW23" s="1">
        <f t="shared" si="41"/>
        <v>49382.699025688431</v>
      </c>
      <c r="FX23" s="1">
        <f t="shared" si="41"/>
        <v>49876.526015945317</v>
      </c>
      <c r="FY23" s="1">
        <f t="shared" si="41"/>
        <v>50375.29127610477</v>
      </c>
      <c r="FZ23" s="1">
        <f t="shared" ref="FZ23:IK23" si="42">+FY23*(1+$BB$25)</f>
        <v>50879.044188865817</v>
      </c>
      <c r="GA23" s="1">
        <f t="shared" si="42"/>
        <v>51387.834630754478</v>
      </c>
      <c r="GB23" s="1">
        <f t="shared" si="42"/>
        <v>51901.712977062023</v>
      </c>
      <c r="GC23" s="1">
        <f t="shared" si="42"/>
        <v>52420.730106832641</v>
      </c>
      <c r="GD23" s="1">
        <f t="shared" si="42"/>
        <v>52944.937407900965</v>
      </c>
      <c r="GE23" s="1">
        <f t="shared" si="42"/>
        <v>53474.386781979978</v>
      </c>
      <c r="GF23" s="1">
        <f t="shared" si="42"/>
        <v>54009.130649799779</v>
      </c>
      <c r="GG23" s="1">
        <f t="shared" si="42"/>
        <v>54549.221956297777</v>
      </c>
      <c r="GH23" s="1">
        <f t="shared" si="42"/>
        <v>55094.714175860754</v>
      </c>
      <c r="GI23" s="1">
        <f t="shared" si="42"/>
        <v>55645.661317619364</v>
      </c>
      <c r="GJ23" s="1">
        <f t="shared" si="42"/>
        <v>56202.117930795561</v>
      </c>
      <c r="GK23" s="1">
        <f t="shared" si="42"/>
        <v>56764.139110103519</v>
      </c>
      <c r="GL23" s="1">
        <f t="shared" si="42"/>
        <v>57331.780501204557</v>
      </c>
      <c r="GM23" s="1">
        <f t="shared" si="42"/>
        <v>57905.098306216605</v>
      </c>
      <c r="GN23" s="1">
        <f t="shared" si="42"/>
        <v>58484.149289278772</v>
      </c>
      <c r="GO23" s="1">
        <f t="shared" si="42"/>
        <v>59068.990782171561</v>
      </c>
      <c r="GP23" s="1">
        <f t="shared" si="42"/>
        <v>59659.680689993278</v>
      </c>
      <c r="GQ23" s="1">
        <f t="shared" si="42"/>
        <v>60256.277496893214</v>
      </c>
      <c r="GR23" s="1">
        <f t="shared" si="42"/>
        <v>60858.840271862144</v>
      </c>
      <c r="GS23" s="1">
        <f t="shared" si="42"/>
        <v>61467.428674580762</v>
      </c>
      <c r="GT23" s="1">
        <f t="shared" si="42"/>
        <v>62082.102961326571</v>
      </c>
      <c r="GU23" s="1">
        <f t="shared" si="42"/>
        <v>62702.923990939838</v>
      </c>
      <c r="GV23" s="1">
        <f t="shared" si="42"/>
        <v>63329.953230849234</v>
      </c>
      <c r="GW23" s="1">
        <f t="shared" si="42"/>
        <v>63963.252763157725</v>
      </c>
      <c r="GX23" s="1">
        <f t="shared" si="42"/>
        <v>64602.885290789302</v>
      </c>
      <c r="GY23" s="1">
        <f t="shared" si="42"/>
        <v>65248.914143697199</v>
      </c>
      <c r="GZ23" s="1">
        <f t="shared" si="42"/>
        <v>65901.403285134176</v>
      </c>
      <c r="HA23" s="1">
        <f t="shared" si="42"/>
        <v>66560.417317985513</v>
      </c>
      <c r="HB23" s="1">
        <f t="shared" si="42"/>
        <v>67226.021491165375</v>
      </c>
      <c r="HC23" s="1">
        <f t="shared" si="42"/>
        <v>67898.281706077032</v>
      </c>
      <c r="HD23" s="1">
        <f t="shared" si="42"/>
        <v>68577.264523137797</v>
      </c>
      <c r="HE23" s="1">
        <f t="shared" si="42"/>
        <v>69263.037168369177</v>
      </c>
      <c r="HF23" s="1">
        <f t="shared" si="42"/>
        <v>69955.667540052877</v>
      </c>
      <c r="HG23" s="1">
        <f t="shared" si="42"/>
        <v>70655.224215453403</v>
      </c>
      <c r="HH23" s="1">
        <f t="shared" si="42"/>
        <v>71361.776457607935</v>
      </c>
      <c r="HI23" s="1">
        <f t="shared" si="42"/>
        <v>72075.394222184012</v>
      </c>
      <c r="HJ23" s="1">
        <f t="shared" si="42"/>
        <v>72796.148164405851</v>
      </c>
      <c r="HK23" s="1">
        <f t="shared" si="42"/>
        <v>73524.10964604991</v>
      </c>
      <c r="HL23" s="1">
        <f t="shared" si="42"/>
        <v>74259.350742510404</v>
      </c>
      <c r="HM23" s="1">
        <f t="shared" si="42"/>
        <v>75001.944249935506</v>
      </c>
      <c r="HN23" s="1">
        <f t="shared" si="42"/>
        <v>75751.96369243486</v>
      </c>
      <c r="HO23" s="1">
        <f t="shared" si="42"/>
        <v>76509.483329359209</v>
      </c>
      <c r="HP23" s="1">
        <f t="shared" si="42"/>
        <v>77274.578162652804</v>
      </c>
      <c r="HQ23" s="1">
        <f t="shared" si="42"/>
        <v>78047.323944279327</v>
      </c>
      <c r="HR23" s="1">
        <f t="shared" si="42"/>
        <v>78827.797183722127</v>
      </c>
      <c r="HS23" s="1">
        <f t="shared" si="42"/>
        <v>79616.075155559345</v>
      </c>
      <c r="HT23" s="1">
        <f t="shared" si="42"/>
        <v>80412.23590711494</v>
      </c>
      <c r="HU23" s="1">
        <f t="shared" si="42"/>
        <v>81216.358266186086</v>
      </c>
      <c r="HV23" s="1">
        <f t="shared" si="42"/>
        <v>82028.521848847944</v>
      </c>
      <c r="HW23" s="1">
        <f t="shared" si="42"/>
        <v>82848.807067336427</v>
      </c>
      <c r="HX23" s="1">
        <f t="shared" si="42"/>
        <v>83677.295138009795</v>
      </c>
      <c r="HY23" s="1">
        <f t="shared" si="42"/>
        <v>84514.068089389897</v>
      </c>
      <c r="HZ23" s="1">
        <f t="shared" si="42"/>
        <v>85359.208770283803</v>
      </c>
      <c r="IA23" s="1">
        <f t="shared" si="42"/>
        <v>86212.800857986644</v>
      </c>
      <c r="IB23" s="1">
        <f t="shared" si="42"/>
        <v>87074.928866566508</v>
      </c>
      <c r="IC23" s="1">
        <f t="shared" si="42"/>
        <v>87945.678155232177</v>
      </c>
      <c r="ID23" s="1">
        <f t="shared" si="42"/>
        <v>88825.134936784496</v>
      </c>
      <c r="IE23" s="1">
        <f t="shared" si="42"/>
        <v>89713.386286152338</v>
      </c>
      <c r="IF23" s="1">
        <f t="shared" si="42"/>
        <v>90610.520149013857</v>
      </c>
      <c r="IG23" s="1">
        <f t="shared" si="42"/>
        <v>91516.625350503993</v>
      </c>
      <c r="IH23" s="1">
        <f t="shared" si="42"/>
        <v>92431.791604009035</v>
      </c>
      <c r="II23" s="1">
        <f t="shared" si="42"/>
        <v>93356.109520049125</v>
      </c>
      <c r="IJ23" s="1">
        <f t="shared" si="42"/>
        <v>94289.670615249619</v>
      </c>
      <c r="IK23" s="1">
        <f t="shared" si="42"/>
        <v>95232.567321402123</v>
      </c>
      <c r="IL23" s="1">
        <f t="shared" ref="IL23:IQ23" si="43">+IK23*(1+$BB$25)</f>
        <v>96184.892994616152</v>
      </c>
      <c r="IM23" s="1">
        <f t="shared" si="43"/>
        <v>97146.741924562317</v>
      </c>
      <c r="IN23" s="1">
        <f t="shared" si="43"/>
        <v>98118.209343807946</v>
      </c>
      <c r="IO23" s="1">
        <f t="shared" si="43"/>
        <v>99099.391437246028</v>
      </c>
      <c r="IP23" s="1">
        <f t="shared" si="43"/>
        <v>100090.38535161849</v>
      </c>
      <c r="IQ23" s="1">
        <f t="shared" si="43"/>
        <v>101091.28920513467</v>
      </c>
    </row>
    <row r="25" spans="2:251">
      <c r="B25" s="13" t="s">
        <v>84</v>
      </c>
      <c r="BA25" t="s">
        <v>106</v>
      </c>
      <c r="BB25" s="2">
        <v>0.01</v>
      </c>
    </row>
    <row r="26" spans="2:251" s="2" customFormat="1">
      <c r="B26" s="12" t="s">
        <v>18</v>
      </c>
      <c r="C26" s="23"/>
      <c r="D26" s="23"/>
      <c r="E26" s="23"/>
      <c r="F26" s="23"/>
      <c r="G26" s="23">
        <f t="shared" ref="G26:R29" si="44">+IFERROR(G5/C5-1,"")</f>
        <v>0.4345413559909832</v>
      </c>
      <c r="H26" s="23">
        <f t="shared" si="44"/>
        <v>0.20103244837758116</v>
      </c>
      <c r="I26" s="23">
        <f t="shared" si="44"/>
        <v>-6.8259819499173813E-2</v>
      </c>
      <c r="J26" s="23">
        <f t="shared" si="44"/>
        <v>-9.3509724106739078E-2</v>
      </c>
      <c r="K26" s="23">
        <f t="shared" si="44"/>
        <v>-7.7843587574035977E-2</v>
      </c>
      <c r="L26" s="23">
        <f t="shared" si="44"/>
        <v>-3.3402922755741082E-2</v>
      </c>
      <c r="M26" s="23">
        <f t="shared" si="44"/>
        <v>0.16439290586630295</v>
      </c>
      <c r="N26" s="23">
        <f t="shared" si="44"/>
        <v>2.1953349133092104E-2</v>
      </c>
      <c r="O26" s="34">
        <f t="shared" si="44"/>
        <v>-5.0000000000000044E-2</v>
      </c>
      <c r="P26" s="34">
        <f t="shared" si="44"/>
        <v>5.0000000000000044E-2</v>
      </c>
      <c r="Q26" s="34">
        <f t="shared" si="44"/>
        <v>-1</v>
      </c>
      <c r="R26" s="34">
        <f t="shared" si="44"/>
        <v>-1</v>
      </c>
      <c r="AK26" s="2">
        <f t="shared" ref="AK26:AO29" si="45">+IFERROR((AK5/AJ5-1),"")</f>
        <v>2.5214069950320717E-2</v>
      </c>
      <c r="AL26" s="17">
        <f t="shared" si="45"/>
        <v>-0.22789587746852702</v>
      </c>
      <c r="AM26" s="2">
        <f t="shared" si="45"/>
        <v>-7.7267566544720556E-2</v>
      </c>
      <c r="AN26" s="2">
        <f t="shared" si="45"/>
        <v>8.5617608859115402E-2</v>
      </c>
      <c r="AO26" s="2">
        <f t="shared" si="45"/>
        <v>1.4639675093662374E-2</v>
      </c>
      <c r="AP26" s="2">
        <f t="shared" ref="AP26:AP29" si="46">+IFERROR((AP5/AO5-1),"")</f>
        <v>5.0000000000000044E-2</v>
      </c>
      <c r="AQ26" s="2">
        <f t="shared" ref="AQ26:AQ29" si="47">+IFERROR((AQ5/AP5-1),"")</f>
        <v>2.0000000000000018E-2</v>
      </c>
      <c r="AR26" s="2">
        <f t="shared" ref="AR26:AR29" si="48">+IFERROR((AR5/AQ5-1),"")</f>
        <v>2.0000000000000018E-2</v>
      </c>
      <c r="AS26" s="2">
        <f t="shared" ref="AS26:AS29" si="49">+IFERROR((AS5/AR5-1),"")</f>
        <v>4.0000000000000036E-2</v>
      </c>
      <c r="AT26" s="2">
        <f t="shared" ref="AT26:AT29" si="50">+IFERROR((AT5/AS5-1),"")</f>
        <v>4.0000000000000036E-2</v>
      </c>
      <c r="AU26" s="2">
        <f t="shared" ref="AU26:AU29" si="51">+IFERROR((AU5/AT5-1),"")</f>
        <v>4.0000000000000036E-2</v>
      </c>
      <c r="AV26" s="2">
        <f t="shared" ref="AV26:AV29" si="52">+IFERROR((AV5/AU5-1),"")</f>
        <v>4.0000000000000036E-2</v>
      </c>
      <c r="AW26" s="2">
        <f t="shared" ref="AW26:AW29" si="53">+IFERROR((AW5/AV5-1),"")</f>
        <v>4.0000000000000036E-2</v>
      </c>
      <c r="AX26" s="2">
        <f t="shared" ref="AX26:AX29" si="54">+IFERROR((AX5/AW5-1),"")</f>
        <v>4.0000000000000036E-2</v>
      </c>
      <c r="AY26" s="2">
        <f t="shared" ref="AY26:AY29" si="55">+IFERROR((AY5/AX5-1),"")</f>
        <v>4.0000000000000036E-2</v>
      </c>
      <c r="BA26" s="2" t="s">
        <v>107</v>
      </c>
      <c r="BB26" s="19">
        <v>7.0000000000000007E-2</v>
      </c>
    </row>
    <row r="27" spans="2:251" s="2" customFormat="1">
      <c r="B27" s="12" t="s">
        <v>74</v>
      </c>
      <c r="C27" s="23"/>
      <c r="D27" s="23"/>
      <c r="E27" s="23"/>
      <c r="F27" s="23"/>
      <c r="G27" s="23">
        <f t="shared" si="44"/>
        <v>0.31954498448810753</v>
      </c>
      <c r="H27" s="23">
        <f t="shared" si="44"/>
        <v>0.20602218700475428</v>
      </c>
      <c r="I27" s="23">
        <f t="shared" si="44"/>
        <v>8.8751625487646368E-2</v>
      </c>
      <c r="J27" s="23">
        <f t="shared" si="44"/>
        <v>-3.3114473308592629E-2</v>
      </c>
      <c r="K27" s="23">
        <f t="shared" si="44"/>
        <v>7.7847439916405525E-2</v>
      </c>
      <c r="L27" s="23">
        <f t="shared" si="44"/>
        <v>3.5216819973718838E-2</v>
      </c>
      <c r="M27" s="23">
        <f t="shared" si="44"/>
        <v>0.22932218572708263</v>
      </c>
      <c r="N27" s="23">
        <f t="shared" si="44"/>
        <v>0.39858281665190431</v>
      </c>
      <c r="O27" s="34">
        <f t="shared" si="44"/>
        <v>-2.423654871546288E-2</v>
      </c>
      <c r="P27" s="34">
        <f t="shared" si="44"/>
        <v>-1</v>
      </c>
      <c r="Q27" s="34">
        <f t="shared" si="44"/>
        <v>-1</v>
      </c>
      <c r="R27" s="34">
        <f t="shared" si="44"/>
        <v>-1</v>
      </c>
      <c r="AK27" s="2">
        <f t="shared" si="45"/>
        <v>-0.13071294487223695</v>
      </c>
      <c r="AL27" s="17">
        <f t="shared" si="45"/>
        <v>-0.15402582521704644</v>
      </c>
      <c r="AM27" s="2">
        <f t="shared" si="45"/>
        <v>-0.34178995624088349</v>
      </c>
      <c r="AN27" s="2">
        <f t="shared" si="45"/>
        <v>0.13723783142065682</v>
      </c>
      <c r="AO27" s="2">
        <f t="shared" si="45"/>
        <v>0.17746537685294728</v>
      </c>
      <c r="AP27" s="2">
        <f t="shared" si="46"/>
        <v>5.0000000000000044E-2</v>
      </c>
      <c r="AQ27" s="2">
        <f t="shared" si="47"/>
        <v>1.0000000000000009E-2</v>
      </c>
      <c r="AR27" s="2">
        <f t="shared" si="48"/>
        <v>1.0000000000000009E-2</v>
      </c>
      <c r="AS27" s="2">
        <f t="shared" si="49"/>
        <v>5.0000000000000044E-2</v>
      </c>
      <c r="AT27" s="2">
        <f t="shared" si="50"/>
        <v>5.0000000000000044E-2</v>
      </c>
      <c r="AU27" s="2">
        <f t="shared" si="51"/>
        <v>5.0000000000000044E-2</v>
      </c>
      <c r="AV27" s="2">
        <f t="shared" si="52"/>
        <v>5.0000000000000044E-2</v>
      </c>
      <c r="AW27" s="2">
        <f t="shared" si="53"/>
        <v>5.0000000000000044E-2</v>
      </c>
      <c r="AX27" s="2">
        <f t="shared" si="54"/>
        <v>5.0000000000000044E-2</v>
      </c>
      <c r="AY27" s="2">
        <f t="shared" si="55"/>
        <v>5.0000000000000044E-2</v>
      </c>
      <c r="BA27" s="2" t="s">
        <v>108</v>
      </c>
      <c r="BB27" s="26">
        <f>NPV(BB26,AP23:IQ23)</f>
        <v>168642.04454348079</v>
      </c>
    </row>
    <row r="28" spans="2:251" s="2" customFormat="1">
      <c r="B28" s="12" t="s">
        <v>87</v>
      </c>
      <c r="C28" s="23"/>
      <c r="D28" s="23"/>
      <c r="E28" s="23"/>
      <c r="F28" s="23"/>
      <c r="G28" s="23">
        <f t="shared" si="44"/>
        <v>-1</v>
      </c>
      <c r="H28" s="23">
        <f t="shared" si="44"/>
        <v>-1</v>
      </c>
      <c r="I28" s="23">
        <f t="shared" si="44"/>
        <v>4.2068965517241486E-2</v>
      </c>
      <c r="J28" s="23">
        <f t="shared" si="44"/>
        <v>0.1033310673011556</v>
      </c>
      <c r="K28" s="23" t="str">
        <f t="shared" si="44"/>
        <v/>
      </c>
      <c r="L28" s="23" t="str">
        <f t="shared" si="44"/>
        <v/>
      </c>
      <c r="M28" s="23">
        <f t="shared" si="44"/>
        <v>-1</v>
      </c>
      <c r="N28" s="23">
        <f t="shared" si="44"/>
        <v>-1</v>
      </c>
      <c r="O28" s="23" t="str">
        <f t="shared" si="44"/>
        <v/>
      </c>
      <c r="P28" s="23" t="str">
        <f t="shared" si="44"/>
        <v/>
      </c>
      <c r="Q28" s="23" t="str">
        <f t="shared" si="44"/>
        <v/>
      </c>
      <c r="R28" s="23" t="str">
        <f t="shared" si="44"/>
        <v/>
      </c>
      <c r="AK28" s="2" t="str">
        <f t="shared" si="45"/>
        <v/>
      </c>
      <c r="AL28" s="2">
        <f t="shared" si="45"/>
        <v>0.11246238716148449</v>
      </c>
      <c r="AM28" s="2">
        <f t="shared" si="45"/>
        <v>-0.34926180547729069</v>
      </c>
      <c r="AN28" s="2">
        <f t="shared" si="45"/>
        <v>-0.45722202978870796</v>
      </c>
      <c r="AO28" s="2">
        <f t="shared" si="45"/>
        <v>-1</v>
      </c>
      <c r="AP28" s="2" t="str">
        <f t="shared" si="46"/>
        <v/>
      </c>
      <c r="AQ28" s="2" t="str">
        <f t="shared" si="47"/>
        <v/>
      </c>
      <c r="AR28" s="2" t="str">
        <f t="shared" si="48"/>
        <v/>
      </c>
      <c r="AS28" s="2" t="str">
        <f t="shared" si="49"/>
        <v/>
      </c>
      <c r="AT28" s="2" t="str">
        <f t="shared" si="50"/>
        <v/>
      </c>
      <c r="AU28" s="2" t="str">
        <f t="shared" si="51"/>
        <v/>
      </c>
      <c r="AV28" s="2" t="str">
        <f t="shared" si="52"/>
        <v/>
      </c>
      <c r="AW28" s="2" t="str">
        <f t="shared" si="53"/>
        <v/>
      </c>
      <c r="AX28" s="2" t="str">
        <f t="shared" si="54"/>
        <v/>
      </c>
      <c r="AY28" s="2" t="str">
        <f t="shared" si="55"/>
        <v/>
      </c>
      <c r="BA28" s="2" t="s">
        <v>95</v>
      </c>
      <c r="BB28" s="1">
        <f>+Model!L5</f>
        <v>4995</v>
      </c>
    </row>
    <row r="29" spans="2:251" s="2" customFormat="1">
      <c r="B29" s="12" t="s">
        <v>19</v>
      </c>
      <c r="C29" s="23"/>
      <c r="D29" s="23"/>
      <c r="E29" s="23"/>
      <c r="F29" s="23"/>
      <c r="G29" s="23">
        <f t="shared" si="44"/>
        <v>0.19139509697745405</v>
      </c>
      <c r="H29" s="23">
        <f t="shared" si="44"/>
        <v>5.7438711390388475E-2</v>
      </c>
      <c r="I29" s="23">
        <f t="shared" si="44"/>
        <v>-1.6380214637295221E-2</v>
      </c>
      <c r="J29" s="23">
        <f t="shared" si="44"/>
        <v>-5.7244174265450809E-2</v>
      </c>
      <c r="K29" s="23">
        <f t="shared" si="44"/>
        <v>-2.8592678291050277E-2</v>
      </c>
      <c r="L29" s="23">
        <f t="shared" si="44"/>
        <v>-1.1550050217609686E-2</v>
      </c>
      <c r="M29" s="23">
        <f t="shared" si="44"/>
        <v>3.7899917965545482E-2</v>
      </c>
      <c r="N29" s="23">
        <f t="shared" si="44"/>
        <v>-7.4460735395716071E-3</v>
      </c>
      <c r="O29" s="23">
        <f t="shared" si="44"/>
        <v>-4.0957039557635078E-2</v>
      </c>
      <c r="P29" s="23">
        <f t="shared" si="44"/>
        <v>-1</v>
      </c>
      <c r="Q29" s="23">
        <f t="shared" si="44"/>
        <v>-1</v>
      </c>
      <c r="R29" s="23">
        <f t="shared" si="44"/>
        <v>-1</v>
      </c>
      <c r="AK29" s="2" t="str">
        <f t="shared" si="45"/>
        <v/>
      </c>
      <c r="AL29" s="2">
        <f t="shared" si="45"/>
        <v>-0.16668525385451805</v>
      </c>
      <c r="AM29" s="2">
        <f t="shared" si="45"/>
        <v>-0.20258627900363013</v>
      </c>
      <c r="AN29" s="2">
        <f t="shared" si="45"/>
        <v>3.3545219963496686E-2</v>
      </c>
      <c r="AO29" s="2">
        <f t="shared" si="45"/>
        <v>-2.4154589371980784E-3</v>
      </c>
      <c r="AP29" s="2">
        <f t="shared" si="46"/>
        <v>5.0000000000000044E-2</v>
      </c>
      <c r="AQ29" s="2">
        <f t="shared" si="47"/>
        <v>1.6557470445805356E-2</v>
      </c>
      <c r="AR29" s="2">
        <f t="shared" si="48"/>
        <v>1.6579677046481445E-2</v>
      </c>
      <c r="AS29" s="2">
        <f t="shared" si="49"/>
        <v>4.339818536712281E-2</v>
      </c>
      <c r="AT29" s="2">
        <f t="shared" si="50"/>
        <v>4.341968644906502E-2</v>
      </c>
      <c r="AU29" s="2">
        <f t="shared" si="51"/>
        <v>4.3441252660027851E-2</v>
      </c>
      <c r="AV29" s="2">
        <f t="shared" si="52"/>
        <v>4.3462883304467681E-2</v>
      </c>
      <c r="AW29" s="2">
        <f t="shared" si="53"/>
        <v>4.3484577676760505E-2</v>
      </c>
      <c r="AX29" s="2">
        <f t="shared" si="54"/>
        <v>4.3506335061266332E-2</v>
      </c>
      <c r="AY29" s="2">
        <f t="shared" si="55"/>
        <v>4.352815473239402E-2</v>
      </c>
      <c r="BA29" s="3" t="s">
        <v>96</v>
      </c>
      <c r="BB29" s="18">
        <f>+BB27/BB28</f>
        <v>33.762171079775932</v>
      </c>
    </row>
    <row r="30" spans="2:251" s="2" customFormat="1">
      <c r="B30" s="12" t="s">
        <v>81</v>
      </c>
      <c r="C30" s="23"/>
      <c r="D30" s="23"/>
      <c r="E30" s="23"/>
      <c r="F30" s="23"/>
      <c r="G30" s="23">
        <f t="shared" ref="G30:K33" si="56">+IFERROR(G11/C11-1,"")</f>
        <v>-9.8323328503415408E-2</v>
      </c>
      <c r="H30" s="23">
        <f t="shared" si="56"/>
        <v>2.6366251198465918E-2</v>
      </c>
      <c r="I30" s="23">
        <f t="shared" si="56"/>
        <v>-8.0304311073541856E-2</v>
      </c>
      <c r="J30" s="23">
        <f t="shared" si="56"/>
        <v>-0.13004830917874399</v>
      </c>
      <c r="K30" s="23">
        <f t="shared" si="56"/>
        <v>7.1395775941230477E-2</v>
      </c>
      <c r="L30" s="23">
        <f t="shared" ref="L30:R33" si="57">+IFERROR(L11/H11-1,"")</f>
        <v>3.1527323680523134E-2</v>
      </c>
      <c r="M30" s="23">
        <f t="shared" si="57"/>
        <v>-2.6884191176470562E-2</v>
      </c>
      <c r="N30" s="23">
        <f t="shared" si="57"/>
        <v>1.1106175033317456E-3</v>
      </c>
      <c r="O30" s="23">
        <f t="shared" si="57"/>
        <v>-3.6867450856556405E-2</v>
      </c>
      <c r="P30" s="23">
        <f t="shared" si="57"/>
        <v>-1</v>
      </c>
      <c r="Q30" s="23">
        <f t="shared" si="57"/>
        <v>-1</v>
      </c>
      <c r="R30" s="23">
        <f t="shared" si="57"/>
        <v>-1</v>
      </c>
      <c r="AK30" s="2" t="str">
        <f t="shared" ref="AK30:AM33" si="58">+IFERROR((AK11/AJ11-1),"")</f>
        <v/>
      </c>
      <c r="AL30" s="2">
        <f t="shared" si="58"/>
        <v>0.138676844783715</v>
      </c>
      <c r="AM30" s="2">
        <f t="shared" si="58"/>
        <v>20.128491620111731</v>
      </c>
      <c r="AN30" s="2">
        <f t="shared" ref="AN30:AO33" si="59">+IFERROR((AN11/AM11-1),"")</f>
        <v>-7.4986779481755694E-2</v>
      </c>
      <c r="AO30" s="2">
        <f t="shared" si="59"/>
        <v>1.9094443174022313E-2</v>
      </c>
      <c r="AP30" s="2">
        <f t="shared" ref="AP30:AP33" si="60">+IFERROR((AP11/AO11-1),"")</f>
        <v>3.0000000000000027E-2</v>
      </c>
      <c r="AQ30" s="2">
        <f t="shared" ref="AQ30:AQ33" si="61">+IFERROR((AQ11/AP11-1),"")</f>
        <v>3.0000000000000027E-2</v>
      </c>
      <c r="AR30" s="2">
        <f t="shared" ref="AR30:AR33" si="62">+IFERROR((AR11/AQ11-1),"")</f>
        <v>3.0000000000000027E-2</v>
      </c>
      <c r="AS30" s="17">
        <f t="shared" ref="AS30:AS33" si="63">+IFERROR((AS11/AR11-1),"")</f>
        <v>0.39999999999999991</v>
      </c>
      <c r="AT30" s="17">
        <f t="shared" ref="AT30:AT33" si="64">+IFERROR((AT11/AS11-1),"")</f>
        <v>0.10000000000000009</v>
      </c>
      <c r="AU30" s="17">
        <f t="shared" ref="AU30:AU33" si="65">+IFERROR((AU11/AT11-1),"")</f>
        <v>0.10000000000000009</v>
      </c>
      <c r="AV30" s="17">
        <f t="shared" ref="AV30:AV33" si="66">+IFERROR((AV11/AU11-1),"")</f>
        <v>0.10000000000000009</v>
      </c>
      <c r="AW30" s="17">
        <f t="shared" ref="AW30:AW33" si="67">+IFERROR((AW11/AV11-1),"")</f>
        <v>0.10000000000000009</v>
      </c>
      <c r="AX30" s="17">
        <f t="shared" ref="AX30:AX33" si="68">+IFERROR((AX11/AW11-1),"")</f>
        <v>0.10000000000000009</v>
      </c>
      <c r="AY30" s="17">
        <f t="shared" ref="AY30:AY33" si="69">+IFERROR((AY11/AX11-1),"")</f>
        <v>0.10000000000000009</v>
      </c>
      <c r="BA30" s="2" t="s">
        <v>109</v>
      </c>
      <c r="BB30" s="1">
        <f>+Model!L4</f>
        <v>46.79</v>
      </c>
    </row>
    <row r="31" spans="2:251" s="2" customFormat="1">
      <c r="B31" s="12" t="s">
        <v>82</v>
      </c>
      <c r="C31" s="23"/>
      <c r="D31" s="23"/>
      <c r="E31" s="23"/>
      <c r="F31" s="23"/>
      <c r="G31" s="23">
        <f t="shared" si="56"/>
        <v>-0.55347222222222214</v>
      </c>
      <c r="H31" s="23">
        <f t="shared" si="56"/>
        <v>-0.37914023960535592</v>
      </c>
      <c r="I31" s="23">
        <f t="shared" si="56"/>
        <v>-0.28443526170798894</v>
      </c>
      <c r="J31" s="23">
        <f t="shared" si="56"/>
        <v>-0.19660755589822665</v>
      </c>
      <c r="K31" s="23">
        <f t="shared" si="56"/>
        <v>0.46656298600311041</v>
      </c>
      <c r="L31" s="23">
        <f t="shared" si="57"/>
        <v>0.19523269012485822</v>
      </c>
      <c r="M31" s="23">
        <f t="shared" si="57"/>
        <v>-4.4273339749759333E-2</v>
      </c>
      <c r="N31" s="23">
        <f t="shared" si="57"/>
        <v>-0.44913627639155473</v>
      </c>
      <c r="O31" s="23">
        <f t="shared" si="57"/>
        <v>-3.6867450856556405E-2</v>
      </c>
      <c r="P31" s="23">
        <f t="shared" si="57"/>
        <v>-1</v>
      </c>
      <c r="Q31" s="23">
        <f t="shared" si="57"/>
        <v>-1</v>
      </c>
      <c r="R31" s="23">
        <f t="shared" si="57"/>
        <v>-1</v>
      </c>
      <c r="AK31" s="2" t="str">
        <f t="shared" si="58"/>
        <v/>
      </c>
      <c r="AL31" s="2">
        <f t="shared" si="58"/>
        <v>-0.96094839609483962</v>
      </c>
      <c r="AM31" s="2">
        <f t="shared" si="58"/>
        <v>27.612244897959183</v>
      </c>
      <c r="AN31" s="2">
        <f t="shared" si="59"/>
        <v>-0.35716833095577749</v>
      </c>
      <c r="AO31" s="2">
        <f t="shared" si="59"/>
        <v>-1.1650485436893177E-2</v>
      </c>
      <c r="AP31" s="2">
        <f t="shared" si="60"/>
        <v>1.0000000000000009E-2</v>
      </c>
      <c r="AQ31" s="2">
        <f t="shared" si="61"/>
        <v>1.0000000000000009E-2</v>
      </c>
      <c r="AR31" s="2">
        <f t="shared" si="62"/>
        <v>1.0000000000000009E-2</v>
      </c>
      <c r="AS31" s="2">
        <f t="shared" si="63"/>
        <v>1.0000000000000009E-2</v>
      </c>
      <c r="AT31" s="2">
        <f t="shared" si="64"/>
        <v>1.0000000000000009E-2</v>
      </c>
      <c r="AU31" s="2">
        <f t="shared" si="65"/>
        <v>1.0000000000000009E-2</v>
      </c>
      <c r="AV31" s="2">
        <f t="shared" si="66"/>
        <v>1.0000000000000009E-2</v>
      </c>
      <c r="AW31" s="2">
        <f t="shared" si="67"/>
        <v>1.0000000000000009E-2</v>
      </c>
      <c r="AX31" s="2">
        <f t="shared" si="68"/>
        <v>1.0000000000000009E-2</v>
      </c>
      <c r="AY31" s="2">
        <f t="shared" si="69"/>
        <v>1.0000000000000009E-2</v>
      </c>
      <c r="BB31" s="2">
        <f>+BB29/BB30-1</f>
        <v>-0.27843190682248486</v>
      </c>
    </row>
    <row r="32" spans="2:251" s="2" customFormat="1">
      <c r="B32" s="12" t="s">
        <v>83</v>
      </c>
      <c r="C32" s="23"/>
      <c r="D32" s="23"/>
      <c r="E32" s="23"/>
      <c r="F32" s="23"/>
      <c r="G32" s="23">
        <f t="shared" si="56"/>
        <v>-7.1504349671122402E-2</v>
      </c>
      <c r="H32" s="23">
        <f t="shared" si="56"/>
        <v>8.5511291550367963E-2</v>
      </c>
      <c r="I32" s="23">
        <f t="shared" si="56"/>
        <v>-2.7608056121294355E-2</v>
      </c>
      <c r="J32" s="23">
        <f t="shared" si="56"/>
        <v>-0.11732186732186733</v>
      </c>
      <c r="K32" s="23">
        <f t="shared" si="56"/>
        <v>7.3583180987202956E-2</v>
      </c>
      <c r="L32" s="23">
        <f t="shared" si="57"/>
        <v>3.3426834969612074E-2</v>
      </c>
      <c r="M32" s="23">
        <f t="shared" si="57"/>
        <v>-1.6290435187339969E-2</v>
      </c>
      <c r="N32" s="23">
        <f t="shared" si="57"/>
        <v>6.0310832753420751E-3</v>
      </c>
      <c r="O32" s="23">
        <f t="shared" si="57"/>
        <v>-4.7100127566045757E-2</v>
      </c>
      <c r="P32" s="23">
        <f t="shared" si="57"/>
        <v>-1</v>
      </c>
      <c r="Q32" s="23">
        <f t="shared" si="57"/>
        <v>-1</v>
      </c>
      <c r="R32" s="23">
        <f t="shared" si="57"/>
        <v>-1</v>
      </c>
      <c r="AK32" s="2" t="str">
        <f t="shared" si="58"/>
        <v/>
      </c>
      <c r="AL32" s="2" t="str">
        <f t="shared" si="58"/>
        <v/>
      </c>
      <c r="AM32" s="2" t="str">
        <f t="shared" si="58"/>
        <v/>
      </c>
      <c r="AN32" s="2">
        <f t="shared" si="59"/>
        <v>-3.8703569638581015E-2</v>
      </c>
      <c r="AO32" s="2">
        <f t="shared" si="59"/>
        <v>2.4388830958174124E-2</v>
      </c>
      <c r="AP32" s="2">
        <f t="shared" si="60"/>
        <v>0</v>
      </c>
      <c r="AQ32" s="2">
        <f t="shared" si="61"/>
        <v>0</v>
      </c>
      <c r="AR32" s="2">
        <f t="shared" si="62"/>
        <v>0</v>
      </c>
      <c r="AS32" s="2">
        <f t="shared" si="63"/>
        <v>0</v>
      </c>
      <c r="AT32" s="2">
        <f t="shared" si="64"/>
        <v>0</v>
      </c>
      <c r="AU32" s="2">
        <f t="shared" si="65"/>
        <v>0</v>
      </c>
      <c r="AV32" s="2">
        <f t="shared" si="66"/>
        <v>0</v>
      </c>
      <c r="AW32" s="2">
        <f t="shared" si="67"/>
        <v>0</v>
      </c>
      <c r="AX32" s="2">
        <f t="shared" si="68"/>
        <v>0</v>
      </c>
      <c r="AY32" s="2">
        <f t="shared" si="69"/>
        <v>0</v>
      </c>
    </row>
    <row r="33" spans="2:51" s="2" customFormat="1">
      <c r="B33" s="1" t="s">
        <v>75</v>
      </c>
      <c r="C33" s="23"/>
      <c r="D33" s="23"/>
      <c r="E33" s="23"/>
      <c r="F33" s="23"/>
      <c r="G33" s="23">
        <f t="shared" si="56"/>
        <v>8.6128894579598825E-2</v>
      </c>
      <c r="H33" s="23">
        <f t="shared" si="56"/>
        <v>-8.9582207120241231E-3</v>
      </c>
      <c r="I33" s="23">
        <f t="shared" si="56"/>
        <v>-6.1731883034326862E-2</v>
      </c>
      <c r="J33" s="23">
        <f t="shared" si="56"/>
        <v>-7.4386602622354969E-2</v>
      </c>
      <c r="K33" s="24">
        <f t="shared" si="56"/>
        <v>-4.4797233574347395E-3</v>
      </c>
      <c r="L33" s="24">
        <f t="shared" si="57"/>
        <v>2.0260266500429225E-3</v>
      </c>
      <c r="M33" s="24">
        <f t="shared" si="57"/>
        <v>2.7777777777777679E-2</v>
      </c>
      <c r="N33" s="24">
        <f t="shared" si="57"/>
        <v>-4.1093969144460063E-2</v>
      </c>
      <c r="O33" s="24">
        <f t="shared" si="57"/>
        <v>-3.6867450856556405E-2</v>
      </c>
      <c r="P33" s="24">
        <f t="shared" si="57"/>
        <v>-1</v>
      </c>
      <c r="Q33" s="24">
        <f t="shared" si="57"/>
        <v>-1</v>
      </c>
      <c r="R33" s="24">
        <f t="shared" si="57"/>
        <v>-1</v>
      </c>
      <c r="AA33" s="2">
        <f t="shared" ref="AA33:AJ33" si="70">+IFERROR((AA14/Z14-1),"")</f>
        <v>0.2378561767874745</v>
      </c>
      <c r="AB33" s="2">
        <f t="shared" si="70"/>
        <v>-1.2185410840941491E-2</v>
      </c>
      <c r="AC33" s="2">
        <f t="shared" si="70"/>
        <v>-1.1867044112408798E-2</v>
      </c>
      <c r="AD33" s="2">
        <f t="shared" si="70"/>
        <v>5.9990893223040187E-2</v>
      </c>
      <c r="AE33" s="2">
        <f t="shared" si="70"/>
        <v>-9.2178270986218447E-3</v>
      </c>
      <c r="AF33" s="2">
        <f t="shared" si="70"/>
        <v>7.283894860446205E-2</v>
      </c>
      <c r="AG33" s="2">
        <f t="shared" si="70"/>
        <v>5.6813780793776525E-2</v>
      </c>
      <c r="AH33" s="2">
        <f t="shared" si="70"/>
        <v>0.12885390608817571</v>
      </c>
      <c r="AI33" s="2">
        <f t="shared" si="70"/>
        <v>1.576614724480585E-2</v>
      </c>
      <c r="AJ33" s="2">
        <f t="shared" si="70"/>
        <v>8.2012089210032668E-2</v>
      </c>
      <c r="AK33" s="2">
        <f t="shared" si="58"/>
        <v>2.3527296544107346E-2</v>
      </c>
      <c r="AL33" s="2">
        <f t="shared" si="58"/>
        <v>-0.2023237430833511</v>
      </c>
      <c r="AM33" s="2">
        <f t="shared" si="58"/>
        <v>-0.14700978387391073</v>
      </c>
      <c r="AN33" s="2">
        <f t="shared" si="59"/>
        <v>-2.0782621523935951E-2</v>
      </c>
      <c r="AO33" s="2">
        <f t="shared" si="59"/>
        <v>-4.6703451912393223E-3</v>
      </c>
      <c r="AP33" s="2">
        <f t="shared" si="60"/>
        <v>5.728643596390004E-2</v>
      </c>
      <c r="AQ33" s="2">
        <f t="shared" si="61"/>
        <v>2.5791474561190242E-2</v>
      </c>
      <c r="AR33" s="2">
        <f t="shared" si="62"/>
        <v>2.5704682930223877E-2</v>
      </c>
      <c r="AS33" s="2">
        <f t="shared" si="63"/>
        <v>0.17250742634202032</v>
      </c>
      <c r="AT33" s="2">
        <f t="shared" si="64"/>
        <v>7.5141712915124614E-2</v>
      </c>
      <c r="AU33" s="2">
        <f t="shared" si="65"/>
        <v>7.5006610025351472E-2</v>
      </c>
      <c r="AV33" s="2">
        <f t="shared" si="66"/>
        <v>7.4934288612707123E-2</v>
      </c>
      <c r="AW33" s="2">
        <f t="shared" si="67"/>
        <v>7.4919817520547882E-2</v>
      </c>
      <c r="AX33" s="2">
        <f t="shared" si="68"/>
        <v>7.495868797767713E-2</v>
      </c>
      <c r="AY33" s="2">
        <f t="shared" si="69"/>
        <v>7.5046753236054808E-2</v>
      </c>
    </row>
    <row r="35" spans="2:51">
      <c r="B35" t="s">
        <v>85</v>
      </c>
      <c r="C35" s="23">
        <f t="shared" ref="C35:K35" si="71">IFERROR((C14-C15)/C14,"")</f>
        <v>0.34212548015364919</v>
      </c>
      <c r="D35" s="23">
        <f t="shared" si="71"/>
        <v>0.35817437639972199</v>
      </c>
      <c r="E35" s="23">
        <f t="shared" si="71"/>
        <v>0.42506003672835146</v>
      </c>
      <c r="F35" s="23">
        <f t="shared" si="71"/>
        <v>0.45741918732961184</v>
      </c>
      <c r="G35" s="23">
        <f t="shared" si="71"/>
        <v>0.41001257466205598</v>
      </c>
      <c r="H35" s="23">
        <f t="shared" si="71"/>
        <v>0.35432089145172602</v>
      </c>
      <c r="I35" s="23">
        <f t="shared" ref="I35" si="72">IFERROR((I14-I15)/I14,"")</f>
        <v>0.15033122553447756</v>
      </c>
      <c r="J35" s="23">
        <f t="shared" si="71"/>
        <v>0.39158485273492288</v>
      </c>
      <c r="K35" s="23">
        <f t="shared" si="71"/>
        <v>0.36883239914739085</v>
      </c>
      <c r="L35" s="23">
        <f>IFERROR((L14-L15)/L14,"")</f>
        <v>0.27544910179640719</v>
      </c>
      <c r="M35" s="23">
        <f>IFERROR((M14-M15)/M14,"")</f>
        <v>0.38218706511389439</v>
      </c>
      <c r="N35" s="23">
        <f>IFERROR((N14-N15)/N14,"")</f>
        <v>0.36148895714494661</v>
      </c>
      <c r="X35" s="2">
        <f t="shared" ref="X35:AC35" si="73">IFERROR((X14-X15)/X14,"")</f>
        <v>0.55456819028361626</v>
      </c>
      <c r="Y35" s="2">
        <f t="shared" si="73"/>
        <v>0.55686508953226865</v>
      </c>
      <c r="Z35" s="2">
        <f t="shared" si="73"/>
        <v>0.65311876762258436</v>
      </c>
      <c r="AA35" s="2">
        <f t="shared" si="73"/>
        <v>0.62514120631863557</v>
      </c>
      <c r="AB35" s="2">
        <f t="shared" si="73"/>
        <v>0.62149191053786024</v>
      </c>
      <c r="AC35" s="2">
        <f t="shared" si="73"/>
        <v>0.5980306594824315</v>
      </c>
      <c r="AD35" s="2">
        <f t="shared" ref="AD35:AH35" si="74">IFERROR((AD14-AD15)/AD14,"")</f>
        <v>0.6373545731161625</v>
      </c>
      <c r="AE35" s="2">
        <f t="shared" si="74"/>
        <v>0.62648360581699936</v>
      </c>
      <c r="AF35" s="2">
        <f t="shared" si="74"/>
        <v>0.6101166922053648</v>
      </c>
      <c r="AG35" s="2">
        <f t="shared" si="74"/>
        <v>0.62296649192970155</v>
      </c>
      <c r="AH35" s="2">
        <f t="shared" si="74"/>
        <v>0.61733570460704612</v>
      </c>
      <c r="AI35" s="2">
        <f t="shared" ref="AI35:AO35" si="75">IFERROR((AI14-AI15)/AI14,"")</f>
        <v>0.5855624261793928</v>
      </c>
      <c r="AJ35" s="2">
        <f t="shared" si="75"/>
        <v>0.5600832188218372</v>
      </c>
      <c r="AK35" s="2">
        <f t="shared" si="75"/>
        <v>0.55822532277694825</v>
      </c>
      <c r="AL35" s="17">
        <f t="shared" si="75"/>
        <v>0.43077358668638122</v>
      </c>
      <c r="AM35" s="17">
        <f t="shared" si="75"/>
        <v>0.40036512502766097</v>
      </c>
      <c r="AN35" s="17">
        <f t="shared" si="75"/>
        <v>0.32664168283083184</v>
      </c>
      <c r="AO35" s="2">
        <f t="shared" si="75"/>
        <v>0.34766238434904356</v>
      </c>
      <c r="AP35" s="2">
        <f t="shared" ref="AP35:AS35" si="76">IFERROR((AP14-AP15)/AP14,"")</f>
        <v>0.34499999999999997</v>
      </c>
      <c r="AQ35" s="2">
        <f t="shared" si="76"/>
        <v>0.39999999999999997</v>
      </c>
      <c r="AR35" s="2">
        <f t="shared" si="76"/>
        <v>0.42</v>
      </c>
      <c r="AS35" s="2">
        <f t="shared" si="76"/>
        <v>0.43999999999999995</v>
      </c>
      <c r="AT35" s="2">
        <f t="shared" ref="AT35:AY35" si="77">IFERROR((AT14-AT15)/AT14,"")</f>
        <v>0.45999999999999996</v>
      </c>
      <c r="AU35" s="2">
        <f t="shared" si="77"/>
        <v>0.48000000000000004</v>
      </c>
      <c r="AV35" s="2">
        <f t="shared" si="77"/>
        <v>0.5</v>
      </c>
      <c r="AW35" s="2">
        <f t="shared" si="77"/>
        <v>0.5</v>
      </c>
      <c r="AX35" s="2">
        <f t="shared" si="77"/>
        <v>0.5</v>
      </c>
      <c r="AY35" s="2">
        <f t="shared" si="77"/>
        <v>0.5</v>
      </c>
    </row>
    <row r="36" spans="2:51">
      <c r="B36" t="s">
        <v>86</v>
      </c>
      <c r="C36" s="23">
        <f t="shared" ref="C36:K36" si="78">+IFERROR((C18/C14),"")</f>
        <v>-0.11984635083226633</v>
      </c>
      <c r="D36" s="23">
        <f t="shared" si="78"/>
        <v>-6.3016449146652248E-2</v>
      </c>
      <c r="E36" s="23">
        <f t="shared" si="78"/>
        <v>5.707020765644865E-2</v>
      </c>
      <c r="F36" s="23">
        <f t="shared" si="78"/>
        <v>9.3664805919771513E-2</v>
      </c>
      <c r="G36" s="23">
        <f t="shared" si="78"/>
        <v>-5.6664570889657338E-2</v>
      </c>
      <c r="H36" s="23">
        <f t="shared" si="78"/>
        <v>-7.9560508065144545E-2</v>
      </c>
      <c r="I36" s="23">
        <f t="shared" ref="I36" si="79">+IFERROR((I18/I14),"")</f>
        <v>-0.25858175248419152</v>
      </c>
      <c r="J36" s="23">
        <f t="shared" si="78"/>
        <v>3.2889200561009815E-2</v>
      </c>
      <c r="K36" s="23">
        <f t="shared" si="78"/>
        <v>-1.1447067182442568E-2</v>
      </c>
      <c r="L36" s="23">
        <f>+IFERROR((L18/L14),"")</f>
        <v>-0.10000777665448324</v>
      </c>
      <c r="M36" s="23">
        <f>+IFERROR((M18/M14),"")</f>
        <v>6.2843331136014063E-2</v>
      </c>
      <c r="N36" s="23">
        <f>+IFERROR((N18/N14),"")</f>
        <v>4.0222319730876116E-2</v>
      </c>
      <c r="AD36" s="2">
        <f t="shared" ref="AD36:AH36" si="80">+IFERROR((AD18/AD14),"")</f>
        <v>0.28523357794880971</v>
      </c>
      <c r="AE36" s="2">
        <f t="shared" si="80"/>
        <v>0.26413151476831359</v>
      </c>
      <c r="AF36" s="2">
        <f t="shared" si="80"/>
        <v>0.25545994914711972</v>
      </c>
      <c r="AG36" s="2">
        <f t="shared" si="80"/>
        <v>0.2965376587371138</v>
      </c>
      <c r="AH36" s="2">
        <f t="shared" si="80"/>
        <v>0.33090560072267389</v>
      </c>
      <c r="AI36" s="2">
        <f t="shared" ref="AI36:AO36" si="81">+IFERROR((AI18/AI14),"")</f>
        <v>0.31165149725561037</v>
      </c>
      <c r="AJ36" s="2">
        <f t="shared" si="81"/>
        <v>0.30662539972003544</v>
      </c>
      <c r="AK36" s="2">
        <f t="shared" si="81"/>
        <v>0.28553683233164784</v>
      </c>
      <c r="AL36" s="2">
        <f t="shared" si="81"/>
        <v>4.4924025545034135E-2</v>
      </c>
      <c r="AM36" s="2">
        <f t="shared" si="81"/>
        <v>5.716603968429593E-4</v>
      </c>
      <c r="AN36" s="2">
        <f t="shared" si="81"/>
        <v>-8.8661230485301598E-2</v>
      </c>
      <c r="AO36" s="2">
        <f t="shared" si="81"/>
        <v>-4.3516924299472119E-4</v>
      </c>
      <c r="AP36" s="2">
        <f t="shared" ref="AP36:AS36" si="82">+IFERROR((AP18/AP14),"")</f>
        <v>5.0000000000000001E-3</v>
      </c>
      <c r="AQ36" s="2">
        <f t="shared" si="82"/>
        <v>5.9999999999999887E-2</v>
      </c>
      <c r="AR36" s="2">
        <f t="shared" si="82"/>
        <v>7.9999999999999988E-2</v>
      </c>
      <c r="AS36" s="2">
        <f t="shared" si="82"/>
        <v>9.9999999999999895E-2</v>
      </c>
      <c r="AT36" s="2">
        <f t="shared" ref="AT36:AY36" si="83">+IFERROR((AT18/AT14),"")</f>
        <v>0.11999999999999987</v>
      </c>
      <c r="AU36" s="2">
        <f t="shared" si="83"/>
        <v>0.14000000000000015</v>
      </c>
      <c r="AV36" s="2">
        <f t="shared" si="83"/>
        <v>0.15999999999999998</v>
      </c>
      <c r="AW36" s="2">
        <f t="shared" si="83"/>
        <v>0.15999999999999989</v>
      </c>
      <c r="AX36" s="2">
        <f t="shared" si="83"/>
        <v>0.16</v>
      </c>
      <c r="AY36" s="2">
        <f t="shared" si="83"/>
        <v>0.16000000000000006</v>
      </c>
    </row>
    <row r="37" spans="2:51">
      <c r="C37" s="23"/>
      <c r="D37" s="23"/>
      <c r="E37" s="23"/>
      <c r="F37" s="23"/>
      <c r="G37" s="23"/>
      <c r="H37" s="23"/>
      <c r="I37" s="23"/>
      <c r="J37" s="23"/>
      <c r="K37" s="23"/>
      <c r="L37" s="2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51">
      <c r="B38" t="s">
        <v>89</v>
      </c>
    </row>
    <row r="39" spans="2:51">
      <c r="B39" t="s">
        <v>76</v>
      </c>
      <c r="AD39" s="2">
        <f t="shared" ref="AD39:AN39" si="84">+AD15/AD14</f>
        <v>0.3626454268838375</v>
      </c>
      <c r="AE39" s="2">
        <f t="shared" si="84"/>
        <v>0.37351639418300064</v>
      </c>
      <c r="AF39" s="2">
        <f t="shared" si="84"/>
        <v>0.3898833077946352</v>
      </c>
      <c r="AG39" s="2">
        <f t="shared" si="84"/>
        <v>0.37703350807029845</v>
      </c>
      <c r="AH39" s="2">
        <f t="shared" si="84"/>
        <v>0.38266429539295393</v>
      </c>
      <c r="AI39" s="2">
        <f t="shared" si="84"/>
        <v>0.41443757382060725</v>
      </c>
      <c r="AJ39" s="2">
        <f t="shared" si="84"/>
        <v>0.43991678117816274</v>
      </c>
      <c r="AK39" s="2">
        <f t="shared" si="84"/>
        <v>0.44177467722305175</v>
      </c>
      <c r="AL39" s="2">
        <f t="shared" si="84"/>
        <v>0.56922641331361878</v>
      </c>
      <c r="AM39" s="2">
        <f t="shared" si="84"/>
        <v>0.59963487497233903</v>
      </c>
      <c r="AN39" s="2">
        <f t="shared" si="84"/>
        <v>0.67335831716916816</v>
      </c>
      <c r="AO39" s="2">
        <f>+AO15/AO14</f>
        <v>0.65233761565095638</v>
      </c>
      <c r="AP39" s="2">
        <f>+AP15/AP14</f>
        <v>0.65500000000000003</v>
      </c>
      <c r="AQ39" s="2">
        <f t="shared" ref="AQ39:AY39" si="85">+AQ15/AQ14</f>
        <v>0.6</v>
      </c>
      <c r="AR39" s="2">
        <f t="shared" si="85"/>
        <v>0.57999999999999996</v>
      </c>
      <c r="AS39" s="2">
        <f t="shared" si="85"/>
        <v>0.56000000000000005</v>
      </c>
      <c r="AT39" s="2">
        <f t="shared" si="85"/>
        <v>0.54</v>
      </c>
      <c r="AU39" s="2">
        <f t="shared" si="85"/>
        <v>0.52</v>
      </c>
      <c r="AV39" s="2">
        <f t="shared" si="85"/>
        <v>0.5</v>
      </c>
      <c r="AW39" s="2">
        <f t="shared" si="85"/>
        <v>0.5</v>
      </c>
      <c r="AX39" s="2">
        <f t="shared" si="85"/>
        <v>0.5</v>
      </c>
      <c r="AY39" s="2">
        <f t="shared" si="85"/>
        <v>0.5</v>
      </c>
    </row>
    <row r="40" spans="2:51">
      <c r="B40" s="1" t="s">
        <v>14</v>
      </c>
      <c r="C40" s="23">
        <f>+C16/C$14</f>
        <v>0.35074690567648314</v>
      </c>
      <c r="D40" s="23">
        <f t="shared" ref="D40:L40" si="86">+D16/D$14</f>
        <v>0.31508224573326127</v>
      </c>
      <c r="E40" s="23">
        <f t="shared" si="86"/>
        <v>0.27334369261195085</v>
      </c>
      <c r="F40" s="23">
        <f t="shared" si="86"/>
        <v>0.25879527456835</v>
      </c>
      <c r="G40" s="23">
        <f t="shared" si="86"/>
        <v>0.34438855705752908</v>
      </c>
      <c r="H40" s="23">
        <f t="shared" si="86"/>
        <v>0.33032026805891063</v>
      </c>
      <c r="I40" s="23">
        <f t="shared" si="86"/>
        <v>0.30480277024992475</v>
      </c>
      <c r="J40" s="23">
        <f t="shared" si="86"/>
        <v>0.27180925666199157</v>
      </c>
      <c r="K40" s="23">
        <f t="shared" si="86"/>
        <v>0.28736085892476515</v>
      </c>
      <c r="L40" s="23">
        <f t="shared" si="86"/>
        <v>0.28649195116260984</v>
      </c>
      <c r="M40" s="23">
        <f t="shared" ref="M40:N40" si="87">+M16/M$14</f>
        <v>0.23665128543177325</v>
      </c>
      <c r="N40" s="23">
        <f t="shared" si="87"/>
        <v>0.23541026766125495</v>
      </c>
      <c r="AD40" s="23">
        <f t="shared" ref="AD40:AM41" si="88">+AD16/AD$14</f>
        <v>0.20649722570252371</v>
      </c>
      <c r="AE40" s="23">
        <f t="shared" si="88"/>
        <v>0.21909493270707253</v>
      </c>
      <c r="AF40" s="23">
        <f t="shared" si="88"/>
        <v>0.213598935794029</v>
      </c>
      <c r="AG40" s="23">
        <f t="shared" si="88"/>
        <v>0.20769267538758146</v>
      </c>
      <c r="AH40" s="23">
        <f t="shared" si="88"/>
        <v>0.19115571364046974</v>
      </c>
      <c r="AI40" s="23">
        <f t="shared" si="88"/>
        <v>0.18567359132911831</v>
      </c>
      <c r="AJ40" s="23">
        <f t="shared" si="88"/>
        <v>0.17409172049777183</v>
      </c>
      <c r="AK40" s="23">
        <f t="shared" si="88"/>
        <v>0.19059210278673508</v>
      </c>
      <c r="AL40" s="23">
        <f t="shared" si="88"/>
        <v>0.27571019599207225</v>
      </c>
      <c r="AM40" s="23">
        <f t="shared" si="88"/>
        <v>0.29589879766910082</v>
      </c>
      <c r="AN40" s="23">
        <f t="shared" ref="AN40" si="89">+AN16/AN$14</f>
        <v>0.31159488521873413</v>
      </c>
      <c r="AO40" s="23">
        <f t="shared" ref="AO40:AP40" si="90">+AO16/AO$14</f>
        <v>0.26060961534823002</v>
      </c>
      <c r="AP40" s="23">
        <f t="shared" si="90"/>
        <v>0.26</v>
      </c>
      <c r="AQ40" s="23">
        <f t="shared" ref="AQ40:AS40" si="91">+AQ16/AQ$14</f>
        <v>0.26</v>
      </c>
      <c r="AR40" s="23">
        <f t="shared" si="91"/>
        <v>0.26</v>
      </c>
      <c r="AS40" s="23">
        <f t="shared" si="91"/>
        <v>0.26</v>
      </c>
      <c r="AT40" s="23">
        <f t="shared" ref="AT40:AY40" si="92">+AT16/AT$14</f>
        <v>0.26</v>
      </c>
      <c r="AU40" s="23">
        <f t="shared" si="92"/>
        <v>0.26</v>
      </c>
      <c r="AV40" s="23">
        <f t="shared" si="92"/>
        <v>0.26</v>
      </c>
      <c r="AW40" s="23">
        <f t="shared" si="92"/>
        <v>0.26</v>
      </c>
      <c r="AX40" s="23">
        <f t="shared" si="92"/>
        <v>0.26</v>
      </c>
      <c r="AY40" s="23">
        <f t="shared" si="92"/>
        <v>0.26</v>
      </c>
    </row>
    <row r="41" spans="2:51">
      <c r="B41" s="1" t="s">
        <v>77</v>
      </c>
      <c r="C41" s="23">
        <f>+C17/C$14</f>
        <v>0.11122492530943236</v>
      </c>
      <c r="D41" s="23">
        <f t="shared" ref="D41:L41" si="93">+D17/D$14</f>
        <v>0.10610857981311299</v>
      </c>
      <c r="E41" s="23">
        <f t="shared" si="93"/>
        <v>9.4646136459951971E-2</v>
      </c>
      <c r="F41" s="23">
        <f t="shared" si="93"/>
        <v>0.10495910684149033</v>
      </c>
      <c r="G41" s="23">
        <f t="shared" si="93"/>
        <v>0.12228858849418422</v>
      </c>
      <c r="H41" s="23">
        <f t="shared" si="93"/>
        <v>0.10356113145795995</v>
      </c>
      <c r="I41" s="23">
        <f t="shared" si="93"/>
        <v>0.10411020776874436</v>
      </c>
      <c r="J41" s="23">
        <f t="shared" si="93"/>
        <v>8.6886395511921455E-2</v>
      </c>
      <c r="K41" s="23">
        <f t="shared" si="93"/>
        <v>9.2918607405068285E-2</v>
      </c>
      <c r="L41" s="23">
        <f t="shared" si="93"/>
        <v>8.8964927288280579E-2</v>
      </c>
      <c r="M41" s="23">
        <f t="shared" ref="M41:N41" si="94">+M17/M$14</f>
        <v>8.2692448546107078E-2</v>
      </c>
      <c r="N41" s="23">
        <f t="shared" si="94"/>
        <v>8.5856369752815562E-2</v>
      </c>
      <c r="AD41" s="23">
        <f t="shared" si="88"/>
        <v>0.14562376946482908</v>
      </c>
      <c r="AE41" s="23">
        <f t="shared" si="88"/>
        <v>0.14325715834161323</v>
      </c>
      <c r="AF41" s="23">
        <f t="shared" si="88"/>
        <v>0.14105780726421607</v>
      </c>
      <c r="AG41" s="23">
        <f t="shared" si="88"/>
        <v>0.11873615780500629</v>
      </c>
      <c r="AH41" s="23">
        <f t="shared" si="88"/>
        <v>9.527439024390244E-2</v>
      </c>
      <c r="AI41" s="23">
        <f t="shared" si="88"/>
        <v>8.8237337594664067E-2</v>
      </c>
      <c r="AJ41" s="23">
        <f t="shared" si="88"/>
        <v>7.9366098604029947E-2</v>
      </c>
      <c r="AK41" s="23">
        <f t="shared" si="88"/>
        <v>8.2096387658565348E-2</v>
      </c>
      <c r="AL41" s="23">
        <f t="shared" si="88"/>
        <v>0.11013936514927486</v>
      </c>
      <c r="AM41" s="23">
        <f t="shared" si="88"/>
        <v>0.10389466696171719</v>
      </c>
      <c r="AN41" s="23">
        <f t="shared" ref="AN41" si="95">+AN17/AN$14</f>
        <v>0.10370802809739929</v>
      </c>
      <c r="AO41" s="23">
        <f t="shared" ref="AO41:AP41" si="96">+AO17/AO$14</f>
        <v>8.7487938243808294E-2</v>
      </c>
      <c r="AP41" s="23">
        <f t="shared" si="96"/>
        <v>0.08</v>
      </c>
      <c r="AQ41" s="23">
        <f t="shared" ref="AQ41:AS41" si="97">+AQ17/AQ$14</f>
        <v>0.08</v>
      </c>
      <c r="AR41" s="23">
        <f t="shared" si="97"/>
        <v>0.08</v>
      </c>
      <c r="AS41" s="23">
        <f t="shared" si="97"/>
        <v>0.08</v>
      </c>
      <c r="AT41" s="23">
        <f t="shared" ref="AT41:AY41" si="98">+AT17/AT$14</f>
        <v>0.08</v>
      </c>
      <c r="AU41" s="23">
        <f t="shared" si="98"/>
        <v>0.08</v>
      </c>
      <c r="AV41" s="23">
        <f t="shared" si="98"/>
        <v>0.08</v>
      </c>
      <c r="AW41" s="23">
        <f t="shared" si="98"/>
        <v>0.08</v>
      </c>
      <c r="AX41" s="23">
        <f t="shared" si="98"/>
        <v>0.08</v>
      </c>
      <c r="AY41" s="23">
        <f t="shared" si="98"/>
        <v>0.08</v>
      </c>
    </row>
    <row r="44" spans="2:51" s="1" customFormat="1">
      <c r="B44" s="1" t="s">
        <v>116</v>
      </c>
      <c r="C44" s="21">
        <v>8232</v>
      </c>
      <c r="D44" s="21">
        <v>8349</v>
      </c>
      <c r="E44" s="21">
        <v>7621</v>
      </c>
      <c r="F44" s="21">
        <v>7079</v>
      </c>
      <c r="G44" s="21">
        <v>6923</v>
      </c>
      <c r="H44" s="21">
        <v>11287</v>
      </c>
      <c r="I44" s="21">
        <v>8785</v>
      </c>
      <c r="J44" s="21">
        <v>8249</v>
      </c>
      <c r="K44" s="21">
        <v>8947</v>
      </c>
      <c r="L44" s="21">
        <v>9643</v>
      </c>
      <c r="M44" s="21">
        <v>11141</v>
      </c>
      <c r="N44" s="21">
        <v>14265</v>
      </c>
    </row>
    <row r="45" spans="2:51" s="1" customFormat="1">
      <c r="B45" s="1" t="s">
        <v>117</v>
      </c>
      <c r="C45" s="21">
        <v>19302</v>
      </c>
      <c r="D45" s="21">
        <v>15908</v>
      </c>
      <c r="E45" s="21">
        <v>17409</v>
      </c>
      <c r="F45" s="21">
        <v>17955</v>
      </c>
      <c r="G45" s="21">
        <v>14388</v>
      </c>
      <c r="H45" s="21">
        <v>17986</v>
      </c>
      <c r="I45" s="21">
        <v>15301</v>
      </c>
      <c r="J45" s="21">
        <v>13813</v>
      </c>
      <c r="K45" s="21">
        <v>12101</v>
      </c>
      <c r="L45" s="21">
        <v>11563</v>
      </c>
      <c r="M45" s="21">
        <v>19794</v>
      </c>
      <c r="N45" s="21">
        <v>23151</v>
      </c>
    </row>
    <row r="46" spans="2:51" s="1" customFormat="1">
      <c r="B46" s="1" t="s">
        <v>118</v>
      </c>
      <c r="C46" s="21">
        <v>3847</v>
      </c>
      <c r="D46" s="21">
        <v>2996</v>
      </c>
      <c r="E46" s="21">
        <v>2843</v>
      </c>
      <c r="F46" s="21">
        <v>3402</v>
      </c>
      <c r="G46" s="21">
        <v>3323</v>
      </c>
      <c r="H46" s="21">
        <v>3131</v>
      </c>
      <c r="I46" s="21">
        <v>3121</v>
      </c>
      <c r="J46" s="21">
        <v>3478</v>
      </c>
      <c r="K46" s="21">
        <v>3064</v>
      </c>
      <c r="L46" s="21">
        <v>2360</v>
      </c>
      <c r="M46" s="21">
        <v>3202</v>
      </c>
      <c r="N46" s="21">
        <v>3839</v>
      </c>
    </row>
    <row r="47" spans="2:51" s="1" customFormat="1">
      <c r="B47" s="1" t="s">
        <v>119</v>
      </c>
      <c r="C47" s="21">
        <v>12993</v>
      </c>
      <c r="D47" s="21">
        <v>11984</v>
      </c>
      <c r="E47" s="21">
        <v>11466</v>
      </c>
      <c r="F47" s="21">
        <v>11127</v>
      </c>
      <c r="G47" s="21">
        <v>11494</v>
      </c>
      <c r="H47" s="21">
        <v>11244</v>
      </c>
      <c r="I47" s="21">
        <v>12062</v>
      </c>
      <c r="J47" s="21">
        <v>12198</v>
      </c>
      <c r="K47" s="21">
        <v>12281</v>
      </c>
      <c r="L47" s="21">
        <v>11377</v>
      </c>
      <c r="M47" s="21">
        <v>11489</v>
      </c>
      <c r="N47" s="21">
        <v>11618</v>
      </c>
    </row>
    <row r="48" spans="2:51" s="1" customFormat="1">
      <c r="B48" s="32" t="s">
        <v>139</v>
      </c>
      <c r="C48" s="33"/>
      <c r="D48" s="33"/>
      <c r="E48" s="33"/>
      <c r="F48" s="33">
        <v>1166</v>
      </c>
      <c r="G48" s="33">
        <v>1209</v>
      </c>
      <c r="H48" s="33">
        <v>1284</v>
      </c>
      <c r="I48" s="33">
        <v>1434</v>
      </c>
      <c r="J48" s="33">
        <v>1344</v>
      </c>
      <c r="K48" s="33">
        <v>1322</v>
      </c>
      <c r="L48" s="33">
        <v>1194</v>
      </c>
      <c r="M48" s="33">
        <v>1135</v>
      </c>
      <c r="N48" s="33">
        <v>993</v>
      </c>
    </row>
    <row r="49" spans="2:55" s="1" customFormat="1">
      <c r="B49" s="32" t="s">
        <v>140</v>
      </c>
      <c r="C49" s="33"/>
      <c r="D49" s="33"/>
      <c r="E49" s="33"/>
      <c r="F49" s="33">
        <v>6203</v>
      </c>
      <c r="G49" s="33">
        <v>6560</v>
      </c>
      <c r="H49" s="33">
        <v>6294</v>
      </c>
      <c r="I49" s="33">
        <v>6941</v>
      </c>
      <c r="J49" s="33">
        <v>7432</v>
      </c>
      <c r="K49" s="33">
        <v>7240</v>
      </c>
      <c r="L49" s="33">
        <v>6484</v>
      </c>
      <c r="M49" s="33">
        <v>6751</v>
      </c>
      <c r="N49" s="33">
        <v>7840</v>
      </c>
    </row>
    <row r="50" spans="2:55" s="1" customFormat="1">
      <c r="B50" s="32" t="s">
        <v>141</v>
      </c>
      <c r="C50" s="33"/>
      <c r="D50" s="33"/>
      <c r="E50" s="33"/>
      <c r="F50" s="33">
        <v>3758</v>
      </c>
      <c r="G50" s="33">
        <v>3725</v>
      </c>
      <c r="H50" s="33">
        <v>3666</v>
      </c>
      <c r="I50" s="33">
        <v>3657</v>
      </c>
      <c r="J50" s="33">
        <v>3422</v>
      </c>
      <c r="K50" s="33">
        <v>3719</v>
      </c>
      <c r="L50" s="33">
        <v>3699</v>
      </c>
      <c r="M50" s="33">
        <v>3603</v>
      </c>
      <c r="N50" s="33">
        <v>2785</v>
      </c>
      <c r="O50" s="2">
        <f>+N50/K50-1</f>
        <v>-0.25114278031728965</v>
      </c>
    </row>
    <row r="51" spans="2:55" s="1" customFormat="1">
      <c r="B51" s="1" t="s">
        <v>120</v>
      </c>
      <c r="C51" s="21">
        <v>3940</v>
      </c>
      <c r="D51" s="21">
        <v>4119</v>
      </c>
      <c r="E51" s="21">
        <v>4472</v>
      </c>
      <c r="F51" s="21">
        <v>3706</v>
      </c>
      <c r="G51" s="21">
        <v>6480</v>
      </c>
      <c r="H51" s="21">
        <v>7181</v>
      </c>
      <c r="I51" s="21">
        <v>6868</v>
      </c>
      <c r="J51" s="21">
        <v>9586</v>
      </c>
      <c r="K51" s="21">
        <v>5741</v>
      </c>
      <c r="L51" s="21">
        <v>8432</v>
      </c>
      <c r="M51" s="21">
        <v>6105</v>
      </c>
      <c r="N51" s="21">
        <v>10815</v>
      </c>
    </row>
    <row r="52" spans="2:55" s="1" customFormat="1">
      <c r="B52" s="1" t="s">
        <v>121</v>
      </c>
      <c r="C52" s="21">
        <v>85734</v>
      </c>
      <c r="D52" s="21">
        <v>90945</v>
      </c>
      <c r="E52" s="21">
        <v>93352</v>
      </c>
      <c r="F52" s="21">
        <v>96647</v>
      </c>
      <c r="G52" s="21">
        <v>99924</v>
      </c>
      <c r="H52" s="21">
        <v>103398</v>
      </c>
      <c r="I52" s="21">
        <v>104248</v>
      </c>
      <c r="J52" s="21">
        <v>107919</v>
      </c>
      <c r="K52" s="21">
        <v>109763</v>
      </c>
      <c r="L52" s="21">
        <v>109510</v>
      </c>
      <c r="M52" s="21">
        <v>105047</v>
      </c>
      <c r="N52" s="21">
        <v>105414</v>
      </c>
      <c r="BA52" s="18" t="s">
        <v>97</v>
      </c>
      <c r="BC52" s="18" t="s">
        <v>98</v>
      </c>
    </row>
    <row r="53" spans="2:55" s="1" customFormat="1">
      <c r="B53" s="1" t="s">
        <v>79</v>
      </c>
      <c r="C53" s="21">
        <v>6029</v>
      </c>
      <c r="D53" s="21">
        <v>5893</v>
      </c>
      <c r="E53" s="21">
        <v>5700</v>
      </c>
      <c r="F53" s="21">
        <v>5829</v>
      </c>
      <c r="G53" s="21">
        <v>6139</v>
      </c>
      <c r="H53" s="21">
        <v>5824</v>
      </c>
      <c r="I53" s="21">
        <v>5496</v>
      </c>
      <c r="J53" s="21">
        <v>5383</v>
      </c>
      <c r="K53" s="21">
        <v>5027</v>
      </c>
      <c r="L53" s="21">
        <v>5383</v>
      </c>
      <c r="M53" s="21">
        <v>8667</v>
      </c>
      <c r="N53" s="21">
        <v>8512</v>
      </c>
      <c r="AZ53" s="1" t="s">
        <v>13</v>
      </c>
      <c r="BA53" s="1">
        <f>+Model!L9</f>
        <v>242885.05</v>
      </c>
      <c r="BC53" s="1">
        <f>+BA53</f>
        <v>242885.05</v>
      </c>
    </row>
    <row r="54" spans="2:55" s="1" customFormat="1">
      <c r="B54" s="1" t="s">
        <v>122</v>
      </c>
      <c r="C54" s="21">
        <v>27591</v>
      </c>
      <c r="D54" s="21">
        <v>27591</v>
      </c>
      <c r="E54" s="21">
        <v>27591</v>
      </c>
      <c r="F54" s="21">
        <v>27591</v>
      </c>
      <c r="G54" s="21">
        <v>27440</v>
      </c>
      <c r="H54" s="21">
        <v>27442</v>
      </c>
      <c r="I54" s="21">
        <v>24680</v>
      </c>
      <c r="J54" s="21">
        <v>24693</v>
      </c>
      <c r="K54" s="21">
        <v>24693</v>
      </c>
      <c r="L54" s="21">
        <v>23912</v>
      </c>
      <c r="M54" s="21">
        <v>23912</v>
      </c>
      <c r="N54" s="21">
        <v>23912</v>
      </c>
      <c r="AZ54" s="1" t="s">
        <v>90</v>
      </c>
      <c r="BA54" s="1">
        <f>+AP14</f>
        <v>55880.760000000009</v>
      </c>
      <c r="BC54" s="1">
        <f>+BA54</f>
        <v>55880.760000000009</v>
      </c>
    </row>
    <row r="55" spans="2:55" s="1" customFormat="1">
      <c r="B55" s="1" t="s">
        <v>123</v>
      </c>
      <c r="C55" s="21">
        <v>5567</v>
      </c>
      <c r="D55" s="21">
        <v>5173</v>
      </c>
      <c r="E55" s="21">
        <v>4970</v>
      </c>
      <c r="F55" s="21">
        <v>4589</v>
      </c>
      <c r="G55" s="21">
        <v>4675</v>
      </c>
      <c r="H55" s="21">
        <v>4383</v>
      </c>
      <c r="I55" s="21">
        <v>3975</v>
      </c>
      <c r="J55" s="21">
        <v>3691</v>
      </c>
      <c r="K55" s="21">
        <v>3568</v>
      </c>
      <c r="L55" s="21">
        <v>3057</v>
      </c>
      <c r="M55" s="21">
        <v>2877</v>
      </c>
      <c r="N55" s="21">
        <v>2772</v>
      </c>
      <c r="AZ55" s="1" t="s">
        <v>91</v>
      </c>
      <c r="BA55" s="1">
        <f>+BA53/BA54</f>
        <v>4.3464879504144172</v>
      </c>
      <c r="BC55" s="1">
        <v>5</v>
      </c>
    </row>
    <row r="56" spans="2:55" s="1" customFormat="1">
      <c r="B56" s="1" t="s">
        <v>124</v>
      </c>
      <c r="C56" s="21">
        <v>12068</v>
      </c>
      <c r="D56" s="21">
        <v>12671</v>
      </c>
      <c r="E56" s="21">
        <v>13413</v>
      </c>
      <c r="F56" s="21">
        <v>13647</v>
      </c>
      <c r="G56" s="21">
        <v>11947</v>
      </c>
      <c r="H56" s="21">
        <v>14329</v>
      </c>
      <c r="I56" s="21">
        <v>9006</v>
      </c>
      <c r="J56" s="21">
        <v>7475</v>
      </c>
      <c r="K56" s="21">
        <v>7057</v>
      </c>
      <c r="L56" s="21">
        <v>7283</v>
      </c>
      <c r="M56" s="21">
        <v>12280</v>
      </c>
      <c r="N56" s="21">
        <v>7131</v>
      </c>
    </row>
    <row r="57" spans="2:55" s="18" customFormat="1">
      <c r="B57" s="18" t="s">
        <v>125</v>
      </c>
      <c r="C57" s="29">
        <f t="shared" ref="C57:L57" si="99">SUM(C44:C47,C51:C56)</f>
        <v>185303</v>
      </c>
      <c r="D57" s="29">
        <f t="shared" si="99"/>
        <v>185629</v>
      </c>
      <c r="E57" s="29">
        <f t="shared" si="99"/>
        <v>188837</v>
      </c>
      <c r="F57" s="29">
        <f t="shared" si="99"/>
        <v>191572</v>
      </c>
      <c r="G57" s="29">
        <f t="shared" si="99"/>
        <v>192733</v>
      </c>
      <c r="H57" s="29">
        <f t="shared" si="99"/>
        <v>206205</v>
      </c>
      <c r="I57" s="29">
        <f t="shared" si="99"/>
        <v>193542</v>
      </c>
      <c r="J57" s="29">
        <f t="shared" si="99"/>
        <v>196485</v>
      </c>
      <c r="K57" s="29">
        <f t="shared" si="99"/>
        <v>192242</v>
      </c>
      <c r="L57" s="29">
        <f t="shared" si="99"/>
        <v>192520</v>
      </c>
      <c r="M57" s="29">
        <f>SUM(M44:M47,M51:M56)</f>
        <v>204514</v>
      </c>
      <c r="N57" s="29">
        <f>SUM(N44:N47,N51:N56)</f>
        <v>211429</v>
      </c>
    </row>
    <row r="58" spans="2:55" s="1" customFormat="1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2:55" s="1" customFormat="1">
      <c r="B59" s="1" t="s">
        <v>128</v>
      </c>
      <c r="C59" s="21">
        <v>1437</v>
      </c>
      <c r="D59" s="21">
        <v>2711</v>
      </c>
      <c r="E59" s="21">
        <v>2288</v>
      </c>
      <c r="F59" s="21">
        <v>8578</v>
      </c>
      <c r="G59" s="21">
        <v>4581</v>
      </c>
      <c r="H59" s="21">
        <v>4695</v>
      </c>
      <c r="I59" s="21">
        <v>11074</v>
      </c>
      <c r="J59" s="21">
        <v>12556</v>
      </c>
      <c r="K59" s="21">
        <v>10896</v>
      </c>
      <c r="L59" s="21">
        <v>10666</v>
      </c>
      <c r="M59" s="21">
        <v>10268</v>
      </c>
      <c r="N59" s="21">
        <v>9882</v>
      </c>
    </row>
    <row r="60" spans="2:55" s="1" customFormat="1">
      <c r="B60" s="1" t="s">
        <v>129</v>
      </c>
      <c r="C60" s="21">
        <v>8083</v>
      </c>
      <c r="D60" s="21">
        <v>8757</v>
      </c>
      <c r="E60" s="21">
        <v>8669</v>
      </c>
      <c r="F60" s="21">
        <v>3655</v>
      </c>
      <c r="G60" s="21">
        <v>8559</v>
      </c>
      <c r="H60" s="21">
        <v>9618</v>
      </c>
      <c r="I60" s="21">
        <v>5015</v>
      </c>
      <c r="J60" s="21">
        <v>3343</v>
      </c>
      <c r="K60" s="21">
        <v>2652</v>
      </c>
      <c r="L60" s="21">
        <v>4249</v>
      </c>
      <c r="M60" s="21">
        <v>3756</v>
      </c>
      <c r="N60" s="21">
        <v>3990</v>
      </c>
    </row>
    <row r="61" spans="2:55" s="1" customFormat="1">
      <c r="B61" s="1" t="s">
        <v>130</v>
      </c>
      <c r="C61" s="21">
        <v>2497</v>
      </c>
      <c r="D61" s="21">
        <v>2887</v>
      </c>
      <c r="E61" s="21">
        <v>3115</v>
      </c>
      <c r="F61" s="21">
        <v>2288</v>
      </c>
      <c r="G61" s="21">
        <v>2506</v>
      </c>
      <c r="H61" s="21">
        <v>2651</v>
      </c>
      <c r="I61" s="21">
        <v>3765</v>
      </c>
      <c r="J61" s="21">
        <v>3729</v>
      </c>
      <c r="K61" s="21">
        <v>5240</v>
      </c>
      <c r="L61" s="21">
        <v>6731</v>
      </c>
      <c r="M61" s="21">
        <v>2496</v>
      </c>
      <c r="N61" s="21">
        <v>2499</v>
      </c>
    </row>
    <row r="62" spans="2:55" s="1" customFormat="1">
      <c r="B62" s="1" t="s">
        <v>131</v>
      </c>
      <c r="C62" s="21">
        <v>4046</v>
      </c>
      <c r="D62" s="21">
        <v>2169</v>
      </c>
      <c r="E62" s="21">
        <v>2112</v>
      </c>
      <c r="F62" s="21">
        <v>1107</v>
      </c>
      <c r="G62" s="21">
        <v>346</v>
      </c>
      <c r="H62" s="21">
        <v>1856</v>
      </c>
      <c r="I62" s="21">
        <v>2440</v>
      </c>
      <c r="J62" s="21">
        <v>1756</v>
      </c>
      <c r="K62" s="21">
        <v>1873</v>
      </c>
      <c r="L62" s="21">
        <v>887</v>
      </c>
      <c r="M62" s="21">
        <v>825</v>
      </c>
      <c r="N62" s="21">
        <v>604</v>
      </c>
    </row>
    <row r="63" spans="2:55" s="1" customFormat="1">
      <c r="B63" s="1" t="s">
        <v>132</v>
      </c>
      <c r="C63" s="21">
        <v>11330</v>
      </c>
      <c r="D63" s="21">
        <v>10656</v>
      </c>
      <c r="E63" s="21">
        <v>12430</v>
      </c>
      <c r="F63" s="21">
        <v>12425</v>
      </c>
      <c r="G63" s="21">
        <v>11221</v>
      </c>
      <c r="H63" s="21">
        <v>13207</v>
      </c>
      <c r="I63" s="21">
        <v>12865</v>
      </c>
      <c r="J63" s="21">
        <v>14282</v>
      </c>
      <c r="K63" s="21">
        <v>11513</v>
      </c>
      <c r="L63" s="21">
        <v>12433</v>
      </c>
      <c r="M63" s="21">
        <v>14952</v>
      </c>
      <c r="N63" s="21">
        <v>14600</v>
      </c>
    </row>
    <row r="64" spans="2:55" s="1" customFormat="1">
      <c r="B64" s="1" t="s">
        <v>133</v>
      </c>
      <c r="C64" s="21">
        <v>48836</v>
      </c>
      <c r="D64" s="21">
        <v>46335</v>
      </c>
      <c r="E64" s="21">
        <v>46591</v>
      </c>
      <c r="F64" s="21">
        <v>46978</v>
      </c>
      <c r="G64" s="21">
        <v>47869</v>
      </c>
      <c r="H64" s="21">
        <v>48334</v>
      </c>
      <c r="I64" s="21">
        <v>46471</v>
      </c>
      <c r="J64" s="21">
        <v>46282</v>
      </c>
      <c r="K64" s="21">
        <v>44911</v>
      </c>
      <c r="L64" s="21">
        <v>44026</v>
      </c>
      <c r="M64" s="21">
        <v>44057</v>
      </c>
      <c r="N64" s="21">
        <v>44086</v>
      </c>
    </row>
    <row r="65" spans="2:55" s="1" customFormat="1">
      <c r="B65" s="1" t="s">
        <v>134</v>
      </c>
      <c r="C65" s="21">
        <f>3831+4840</f>
        <v>8671</v>
      </c>
      <c r="D65" s="21">
        <v>7643</v>
      </c>
      <c r="E65" s="21">
        <v>7946</v>
      </c>
      <c r="F65" s="21">
        <v>6576</v>
      </c>
      <c r="G65" s="21">
        <v>6895</v>
      </c>
      <c r="H65" s="21">
        <v>5410</v>
      </c>
      <c r="I65" s="21">
        <v>7048</v>
      </c>
      <c r="J65" s="21">
        <v>9505</v>
      </c>
      <c r="K65" s="21">
        <v>8744</v>
      </c>
      <c r="L65" s="21">
        <v>7777</v>
      </c>
      <c r="M65" s="21">
        <v>11430</v>
      </c>
      <c r="N65" s="21">
        <v>9408</v>
      </c>
    </row>
    <row r="66" spans="2:55" s="1" customFormat="1">
      <c r="B66" s="1" t="s">
        <v>135</v>
      </c>
      <c r="C66" s="21">
        <f>SUM(C59:C65)</f>
        <v>84900</v>
      </c>
      <c r="D66" s="21">
        <f>SUM(D59:D65)</f>
        <v>81158</v>
      </c>
      <c r="E66" s="21">
        <f>SUM(E59:E65)</f>
        <v>83151</v>
      </c>
      <c r="F66" s="21">
        <f>SUM(F59:F65)</f>
        <v>81607</v>
      </c>
      <c r="G66" s="21">
        <f>SUM(G59:G65)</f>
        <v>81977</v>
      </c>
      <c r="H66" s="21">
        <f>SUM(H59:H65)</f>
        <v>85771</v>
      </c>
      <c r="I66" s="21">
        <f>SUM(I59:I65)</f>
        <v>88678</v>
      </c>
      <c r="J66" s="21">
        <f>SUM(J59:J65)</f>
        <v>91453</v>
      </c>
      <c r="K66" s="21">
        <f>SUM(K59:K65)</f>
        <v>85829</v>
      </c>
      <c r="L66" s="21">
        <f>SUM(L59:L65)</f>
        <v>86769</v>
      </c>
      <c r="M66" s="21">
        <f>SUM(M59:M65)</f>
        <v>87784</v>
      </c>
      <c r="N66" s="21">
        <f>SUM(N59:N65)</f>
        <v>85069</v>
      </c>
    </row>
    <row r="67" spans="2:55" s="1" customFormat="1">
      <c r="B67" s="1" t="s">
        <v>126</v>
      </c>
      <c r="C67" s="21">
        <v>100403</v>
      </c>
      <c r="D67" s="21">
        <v>104471</v>
      </c>
      <c r="E67" s="21">
        <v>105686</v>
      </c>
      <c r="F67" s="21">
        <v>109965</v>
      </c>
      <c r="G67" s="21">
        <v>110756</v>
      </c>
      <c r="H67" s="21">
        <v>120434</v>
      </c>
      <c r="I67" s="21">
        <v>104864</v>
      </c>
      <c r="J67" s="21">
        <v>105032</v>
      </c>
      <c r="K67" s="21">
        <v>106413</v>
      </c>
      <c r="L67" s="21">
        <v>105751</v>
      </c>
      <c r="M67" s="21">
        <v>116730</v>
      </c>
      <c r="N67" s="21">
        <v>126360</v>
      </c>
      <c r="AZ67" s="1" t="s">
        <v>13</v>
      </c>
      <c r="BA67" s="1">
        <f>+BA54*BA55</f>
        <v>242885.05</v>
      </c>
      <c r="BC67" s="1">
        <f>+BC54*BC55</f>
        <v>279403.80000000005</v>
      </c>
    </row>
    <row r="68" spans="2:55" s="18" customFormat="1">
      <c r="B68" s="18" t="s">
        <v>127</v>
      </c>
      <c r="C68" s="29">
        <f>+C66+C67</f>
        <v>185303</v>
      </c>
      <c r="D68" s="29">
        <f>+D66+D67</f>
        <v>185629</v>
      </c>
      <c r="E68" s="29">
        <f>+E66+E67</f>
        <v>188837</v>
      </c>
      <c r="F68" s="29">
        <f>+F66+F67</f>
        <v>191572</v>
      </c>
      <c r="G68" s="29">
        <f>+G66+G67</f>
        <v>192733</v>
      </c>
      <c r="H68" s="29">
        <f>+H66+H67</f>
        <v>206205</v>
      </c>
      <c r="I68" s="29">
        <f>+I66+I67</f>
        <v>193542</v>
      </c>
      <c r="J68" s="29">
        <f>+J66+J67</f>
        <v>196485</v>
      </c>
      <c r="K68" s="29">
        <f>+K66+K67</f>
        <v>192242</v>
      </c>
      <c r="L68" s="29">
        <f>+L66+L67</f>
        <v>192520</v>
      </c>
      <c r="M68" s="29">
        <f>+M66+M67</f>
        <v>204514</v>
      </c>
      <c r="N68" s="29">
        <f>+N66+N67</f>
        <v>211429</v>
      </c>
    </row>
    <row r="69" spans="2:55" s="1" customFormat="1"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2:55" s="1" customFormat="1">
      <c r="B70" s="1" t="s">
        <v>136</v>
      </c>
      <c r="C70" s="21">
        <v>65649</v>
      </c>
      <c r="D70" s="21">
        <v>67231</v>
      </c>
      <c r="E70" s="21">
        <v>67021</v>
      </c>
      <c r="F70" s="21">
        <v>69156</v>
      </c>
      <c r="G70" s="21">
        <v>68224</v>
      </c>
      <c r="H70" s="21">
        <v>66162</v>
      </c>
      <c r="I70" s="21">
        <v>49052</v>
      </c>
      <c r="J70" s="21">
        <v>49032</v>
      </c>
      <c r="K70" s="21">
        <v>48322</v>
      </c>
      <c r="L70" s="21">
        <v>45484</v>
      </c>
      <c r="M70" s="21">
        <v>49602</v>
      </c>
      <c r="N70" s="21">
        <v>48983</v>
      </c>
    </row>
    <row r="71" spans="2:55">
      <c r="I71" s="21"/>
      <c r="N71" s="21"/>
      <c r="BA71" s="1"/>
      <c r="BB71" s="1"/>
      <c r="BC71" s="1"/>
    </row>
    <row r="72" spans="2:55">
      <c r="N72" s="21">
        <f>MAX(F50:N50)</f>
        <v>3758</v>
      </c>
      <c r="BA72" s="1"/>
      <c r="BB72" s="1"/>
      <c r="BC72" s="1"/>
    </row>
    <row r="73" spans="2:55">
      <c r="N73" s="23">
        <f>+N50/N72-1</f>
        <v>-0.25891431612559868</v>
      </c>
      <c r="BA73" s="1"/>
      <c r="BB73" s="1"/>
      <c r="BC73" s="1"/>
    </row>
    <row r="74" spans="2:55">
      <c r="N74" s="21"/>
      <c r="BA74" s="1"/>
      <c r="BB74" s="1"/>
      <c r="BC74" s="1"/>
    </row>
    <row r="75" spans="2:55">
      <c r="N75" s="21"/>
      <c r="BA75" s="1"/>
      <c r="BB75" s="1"/>
      <c r="BC75" s="1"/>
    </row>
    <row r="76" spans="2:55">
      <c r="N76" s="21"/>
      <c r="BA76" s="1"/>
      <c r="BB76" s="1"/>
      <c r="BC76" s="1"/>
    </row>
    <row r="77" spans="2:55">
      <c r="N77" s="21"/>
      <c r="BA77" s="1"/>
      <c r="BB77" s="1"/>
      <c r="BC77" s="1"/>
    </row>
    <row r="78" spans="2:55">
      <c r="N78" s="21"/>
      <c r="BA78" s="1"/>
      <c r="BB78" s="1"/>
      <c r="BC78" s="1"/>
    </row>
    <row r="79" spans="2:55" s="1" customFormat="1">
      <c r="B79" s="1" t="s">
        <v>110</v>
      </c>
      <c r="C79" s="21"/>
      <c r="D79" s="21"/>
      <c r="E79" s="21"/>
      <c r="F79" s="21"/>
      <c r="G79" s="21">
        <v>-1223</v>
      </c>
      <c r="H79" s="21">
        <f>1069-G79</f>
        <v>2292</v>
      </c>
      <c r="I79" s="21">
        <f>5123-SUM(G79:H79)</f>
        <v>4054</v>
      </c>
      <c r="J79" s="21">
        <f>+AN79-SUM(G79:I79)</f>
        <v>3165</v>
      </c>
      <c r="K79" s="21">
        <v>813</v>
      </c>
      <c r="L79" s="21">
        <f>2863-K79</f>
        <v>2050</v>
      </c>
      <c r="M79" s="21">
        <f>5409-SUM(K79:L79)</f>
        <v>2546</v>
      </c>
      <c r="N79" s="21">
        <f>+AO79-SUM(K79:M79)</f>
        <v>4288</v>
      </c>
      <c r="AM79" s="1">
        <v>11471</v>
      </c>
      <c r="AN79" s="1">
        <v>8288</v>
      </c>
      <c r="AO79" s="1">
        <v>9697</v>
      </c>
      <c r="AZ79" s="1" t="s">
        <v>92</v>
      </c>
      <c r="BA79" s="1">
        <f>+Model!L7</f>
        <v>37416</v>
      </c>
      <c r="BC79" s="1">
        <f>+BA79</f>
        <v>37416</v>
      </c>
    </row>
    <row r="80" spans="2:55" s="1" customFormat="1">
      <c r="B80" s="1" t="s">
        <v>111</v>
      </c>
      <c r="C80" s="21"/>
      <c r="D80" s="21"/>
      <c r="E80" s="21"/>
      <c r="F80" s="21"/>
      <c r="G80" s="21">
        <v>-5970</v>
      </c>
      <c r="H80" s="21">
        <f>+-11652-G80</f>
        <v>-5682</v>
      </c>
      <c r="I80" s="21">
        <f>+-18110-SUM(G80:H80)</f>
        <v>-6458</v>
      </c>
      <c r="J80" s="21">
        <f>+AN80-SUM(G80:I80)</f>
        <v>-5834</v>
      </c>
      <c r="K80" s="21">
        <v>-5183</v>
      </c>
      <c r="L80" s="21">
        <f>+-8733-K80</f>
        <v>-3550</v>
      </c>
      <c r="M80" s="21">
        <f>+-11158-SUM(K80:L80)</f>
        <v>-2425</v>
      </c>
      <c r="N80" s="21">
        <f>+AO80-SUM(K80:M80)</f>
        <v>-3488</v>
      </c>
      <c r="AM80" s="1">
        <v>-25750</v>
      </c>
      <c r="AN80" s="1">
        <v>-23944</v>
      </c>
      <c r="AO80" s="1">
        <v>-14646</v>
      </c>
      <c r="AZ80" s="1" t="s">
        <v>93</v>
      </c>
      <c r="BA80" s="1">
        <f>+Model!L8</f>
        <v>46585</v>
      </c>
      <c r="BC80" s="1">
        <f>+BA80</f>
        <v>46585</v>
      </c>
    </row>
    <row r="81" spans="2:55" s="1" customFormat="1">
      <c r="B81" s="1" t="s">
        <v>112</v>
      </c>
      <c r="C81" s="21"/>
      <c r="D81" s="21">
        <f t="shared" ref="D81:M81" si="100">+D79+D80</f>
        <v>0</v>
      </c>
      <c r="E81" s="21">
        <f t="shared" si="100"/>
        <v>0</v>
      </c>
      <c r="F81" s="21">
        <f t="shared" si="100"/>
        <v>0</v>
      </c>
      <c r="G81" s="21">
        <f t="shared" si="100"/>
        <v>-7193</v>
      </c>
      <c r="H81" s="21">
        <f t="shared" si="100"/>
        <v>-3390</v>
      </c>
      <c r="I81" s="21">
        <f t="shared" si="100"/>
        <v>-2404</v>
      </c>
      <c r="J81" s="21">
        <f t="shared" si="100"/>
        <v>-2669</v>
      </c>
      <c r="K81" s="21">
        <f t="shared" si="100"/>
        <v>-4370</v>
      </c>
      <c r="L81" s="21">
        <f t="shared" si="100"/>
        <v>-1500</v>
      </c>
      <c r="M81" s="21">
        <f t="shared" si="100"/>
        <v>121</v>
      </c>
      <c r="N81" s="21">
        <f>+N79+N80</f>
        <v>800</v>
      </c>
      <c r="AM81" s="1">
        <f>+SUM(AM79:AM80)</f>
        <v>-14279</v>
      </c>
      <c r="AN81" s="1">
        <f>+SUM(AN79:AN80)</f>
        <v>-15656</v>
      </c>
      <c r="AO81" s="1">
        <f>+SUM(AO79:AO80)</f>
        <v>-4949</v>
      </c>
      <c r="AZ81" s="18" t="s">
        <v>94</v>
      </c>
      <c r="BA81" s="18">
        <f>+BA67+BA79-BA80</f>
        <v>233716.05</v>
      </c>
      <c r="BC81" s="18">
        <f>+BC67+BC79-BC80</f>
        <v>270234.80000000005</v>
      </c>
    </row>
    <row r="82" spans="2:55">
      <c r="B82" s="1" t="s">
        <v>113</v>
      </c>
      <c r="G82" s="21">
        <f t="shared" ref="G82:M82" si="101">+G23</f>
        <v>-89</v>
      </c>
      <c r="H82" s="21">
        <f t="shared" si="101"/>
        <v>-711</v>
      </c>
      <c r="I82" s="21">
        <f t="shared" si="101"/>
        <v>-11367</v>
      </c>
      <c r="J82" s="21">
        <f t="shared" si="101"/>
        <v>-96</v>
      </c>
      <c r="K82" s="21">
        <f t="shared" si="101"/>
        <v>-731</v>
      </c>
      <c r="L82" s="21">
        <f t="shared" si="101"/>
        <v>-1134</v>
      </c>
      <c r="M82" s="21">
        <f t="shared" si="101"/>
        <v>4445</v>
      </c>
      <c r="N82" s="21">
        <f>+N23</f>
        <v>-363</v>
      </c>
      <c r="AZ82" t="s">
        <v>95</v>
      </c>
      <c r="BA82" s="1">
        <f>+Model!L5</f>
        <v>4995</v>
      </c>
      <c r="BB82" s="1"/>
      <c r="BC82" s="1">
        <f>+BA82</f>
        <v>4995</v>
      </c>
    </row>
    <row r="83" spans="2:55">
      <c r="AZ83" t="s">
        <v>96</v>
      </c>
      <c r="BA83" s="4">
        <f>+BA81/BA82</f>
        <v>46.79</v>
      </c>
      <c r="BB83" s="4"/>
      <c r="BC83" s="4">
        <f>+BC81/BC82</f>
        <v>54.101061061061067</v>
      </c>
    </row>
    <row r="85" spans="2:55">
      <c r="AZ85" t="s">
        <v>99</v>
      </c>
      <c r="BC85" s="3">
        <f>+BC83/BA83-1</f>
        <v>0.15625264075787704</v>
      </c>
    </row>
  </sheetData>
  <pageMargins left="0.7" right="0.7" top="0.75" bottom="0.75" header="0.3" footer="0.3"/>
  <pageSetup orientation="portrait" horizontalDpi="0" verticalDpi="0"/>
  <ignoredErrors>
    <ignoredError sqref="AM11:AM13 AM15:AN22 AL24:AN24 AN23 AM5:AM8 K15:N25 AN5:AN8 AN11:AN13 AN9:AO10 AO11:AO13 AO5:AO8 K26:M28" formulaRange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9C6E-A34F-484D-B1AE-0A963F160D56}">
  <dimension ref="B2:Q51"/>
  <sheetViews>
    <sheetView showGridLines="0" tabSelected="1" zoomScale="158" workbookViewId="0">
      <selection activeCell="A10" sqref="A10"/>
    </sheetView>
  </sheetViews>
  <sheetFormatPr baseColWidth="10" defaultRowHeight="13"/>
  <cols>
    <col min="1" max="1" width="3" style="1" customWidth="1"/>
    <col min="2" max="2" width="14" style="6" customWidth="1"/>
    <col min="3" max="5" width="10.83203125" style="1"/>
    <col min="6" max="6" width="3.6640625" style="1" bestFit="1" customWidth="1"/>
    <col min="7" max="7" width="7.6640625" style="1" bestFit="1" customWidth="1"/>
    <col min="8" max="8" width="5.5" style="1" bestFit="1" customWidth="1"/>
    <col min="9" max="10" width="10.83203125" style="1"/>
    <col min="11" max="11" width="3.6640625" style="1" bestFit="1" customWidth="1"/>
    <col min="12" max="12" width="7.6640625" style="1" bestFit="1" customWidth="1"/>
    <col min="13" max="13" width="38.83203125" style="1" bestFit="1" customWidth="1"/>
    <col min="14" max="16" width="10.83203125" style="1"/>
    <col min="17" max="17" width="12.1640625" style="1" bestFit="1" customWidth="1"/>
    <col min="18" max="16384" width="10.83203125" style="1"/>
  </cols>
  <sheetData>
    <row r="2" spans="2:13">
      <c r="B2" s="6" t="s">
        <v>21</v>
      </c>
      <c r="C2" s="1" t="s">
        <v>115</v>
      </c>
    </row>
    <row r="3" spans="2:13">
      <c r="B3" s="6" t="s">
        <v>22</v>
      </c>
      <c r="C3" s="1" t="s">
        <v>143</v>
      </c>
    </row>
    <row r="4" spans="2:13">
      <c r="B4" s="6" t="s">
        <v>144</v>
      </c>
      <c r="C4" s="25" t="s">
        <v>145</v>
      </c>
      <c r="K4" s="1" t="s">
        <v>8</v>
      </c>
      <c r="L4" s="1">
        <v>46.79</v>
      </c>
    </row>
    <row r="5" spans="2:13">
      <c r="K5" s="1" t="s">
        <v>9</v>
      </c>
      <c r="L5" s="1">
        <v>4995</v>
      </c>
      <c r="M5" s="1" t="s">
        <v>72</v>
      </c>
    </row>
    <row r="6" spans="2:13">
      <c r="K6" s="1" t="s">
        <v>10</v>
      </c>
      <c r="L6" s="1">
        <f>+L4*L5</f>
        <v>233716.05</v>
      </c>
    </row>
    <row r="7" spans="2:13">
      <c r="K7" s="1" t="s">
        <v>11</v>
      </c>
      <c r="L7" s="1">
        <f>14265+23151</f>
        <v>37416</v>
      </c>
      <c r="M7" s="1" t="str">
        <f>+M5</f>
        <v>Q425</v>
      </c>
    </row>
    <row r="8" spans="2:13">
      <c r="K8" s="1" t="s">
        <v>12</v>
      </c>
      <c r="L8" s="1">
        <f>2499+44086</f>
        <v>46585</v>
      </c>
      <c r="M8" s="1" t="str">
        <f>+M7</f>
        <v>Q425</v>
      </c>
    </row>
    <row r="9" spans="2:13">
      <c r="K9" s="1" t="s">
        <v>13</v>
      </c>
      <c r="L9" s="1">
        <f>+L6-L7+L8</f>
        <v>242885.05</v>
      </c>
    </row>
    <row r="11" spans="2:13">
      <c r="C11" s="18" t="s">
        <v>146</v>
      </c>
    </row>
    <row r="12" spans="2:13">
      <c r="C12" s="1" t="s">
        <v>149</v>
      </c>
    </row>
    <row r="13" spans="2:13">
      <c r="C13" s="1" t="s">
        <v>147</v>
      </c>
    </row>
    <row r="14" spans="2:13">
      <c r="C14" s="1" t="s">
        <v>148</v>
      </c>
    </row>
    <row r="18" spans="2:17">
      <c r="C18" s="8"/>
    </row>
    <row r="19" spans="2:17">
      <c r="B19" s="35" t="s">
        <v>150</v>
      </c>
      <c r="C19" s="14"/>
      <c r="D19" s="14"/>
      <c r="E19" s="14"/>
      <c r="F19" s="14"/>
      <c r="G19" s="14"/>
      <c r="H19" s="14"/>
      <c r="I19" s="14"/>
      <c r="L19" s="31" t="s">
        <v>23</v>
      </c>
      <c r="M19" s="14" t="s">
        <v>138</v>
      </c>
      <c r="Q19" s="14" t="s">
        <v>137</v>
      </c>
    </row>
    <row r="20" spans="2:17">
      <c r="B20" s="1" t="s">
        <v>29</v>
      </c>
      <c r="C20" s="1" t="s">
        <v>35</v>
      </c>
      <c r="D20" s="1" t="s">
        <v>36</v>
      </c>
      <c r="L20" s="7">
        <v>45622</v>
      </c>
      <c r="M20" s="1" t="s">
        <v>27</v>
      </c>
      <c r="Q20" s="28" t="s">
        <v>72</v>
      </c>
    </row>
    <row r="21" spans="2:17">
      <c r="B21" s="1" t="s">
        <v>30</v>
      </c>
      <c r="C21" s="1" t="s">
        <v>40</v>
      </c>
      <c r="D21" s="1" t="s">
        <v>39</v>
      </c>
      <c r="L21" s="7">
        <v>45612</v>
      </c>
      <c r="M21" s="1" t="s">
        <v>28</v>
      </c>
      <c r="Q21" s="28" t="s">
        <v>71</v>
      </c>
    </row>
    <row r="22" spans="2:17">
      <c r="B22" s="1" t="s">
        <v>31</v>
      </c>
      <c r="C22" s="1" t="s">
        <v>42</v>
      </c>
      <c r="D22" s="1" t="s">
        <v>41</v>
      </c>
      <c r="L22" s="7">
        <v>45671</v>
      </c>
      <c r="M22" s="1" t="s">
        <v>24</v>
      </c>
    </row>
    <row r="23" spans="2:17">
      <c r="B23" s="1" t="s">
        <v>32</v>
      </c>
      <c r="D23" s="1" t="s">
        <v>43</v>
      </c>
      <c r="L23" s="7">
        <v>45631</v>
      </c>
      <c r="M23" s="1" t="s">
        <v>25</v>
      </c>
    </row>
    <row r="24" spans="2:17">
      <c r="B24" s="1" t="s">
        <v>34</v>
      </c>
      <c r="C24" s="1" t="s">
        <v>37</v>
      </c>
      <c r="D24" s="1" t="s">
        <v>38</v>
      </c>
      <c r="L24" s="7">
        <v>45628</v>
      </c>
      <c r="M24" s="1" t="s">
        <v>26</v>
      </c>
    </row>
    <row r="25" spans="2:17">
      <c r="B25" s="6" t="s">
        <v>44</v>
      </c>
      <c r="D25" s="1" t="s">
        <v>45</v>
      </c>
      <c r="L25" s="7">
        <v>45939</v>
      </c>
      <c r="M25" s="1" t="s">
        <v>114</v>
      </c>
    </row>
    <row r="26" spans="2:17">
      <c r="L26" s="7">
        <v>46027</v>
      </c>
    </row>
    <row r="27" spans="2:17">
      <c r="B27" s="6" t="s">
        <v>34</v>
      </c>
      <c r="C27" s="9" t="s">
        <v>47</v>
      </c>
      <c r="D27" s="1" t="s">
        <v>49</v>
      </c>
    </row>
    <row r="28" spans="2:17">
      <c r="B28" s="6" t="s">
        <v>30</v>
      </c>
      <c r="C28" s="9" t="s">
        <v>48</v>
      </c>
      <c r="D28" s="1" t="s">
        <v>100</v>
      </c>
    </row>
    <row r="29" spans="2:17">
      <c r="B29" s="6" t="s">
        <v>31</v>
      </c>
      <c r="C29" s="10">
        <v>2024</v>
      </c>
      <c r="D29" s="1" t="s">
        <v>50</v>
      </c>
      <c r="L29" s="7"/>
    </row>
    <row r="30" spans="2:17">
      <c r="B30" s="6" t="s">
        <v>46</v>
      </c>
      <c r="C30" s="10">
        <v>2024</v>
      </c>
      <c r="D30" s="1" t="s">
        <v>51</v>
      </c>
      <c r="L30" s="7"/>
    </row>
    <row r="31" spans="2:17">
      <c r="B31" s="6" t="s">
        <v>32</v>
      </c>
      <c r="C31" s="10">
        <v>2025</v>
      </c>
      <c r="D31" s="1" t="s">
        <v>52</v>
      </c>
      <c r="L31" s="7"/>
    </row>
    <row r="32" spans="2:17">
      <c r="B32" s="6" t="s">
        <v>44</v>
      </c>
      <c r="C32" s="1" t="s">
        <v>101</v>
      </c>
      <c r="L32" s="7"/>
    </row>
    <row r="33" spans="2:12">
      <c r="L33" s="7"/>
    </row>
    <row r="34" spans="2:12">
      <c r="B34" s="6" t="s">
        <v>53</v>
      </c>
      <c r="C34" s="1" t="s">
        <v>54</v>
      </c>
      <c r="L34" s="7"/>
    </row>
    <row r="35" spans="2:12">
      <c r="C35" s="1" t="s">
        <v>55</v>
      </c>
      <c r="L35" s="7"/>
    </row>
    <row r="36" spans="2:12">
      <c r="C36" s="1" t="s">
        <v>56</v>
      </c>
      <c r="L36" s="7"/>
    </row>
    <row r="37" spans="2:12">
      <c r="B37" s="11" t="s">
        <v>57</v>
      </c>
      <c r="C37" s="1" t="s">
        <v>58</v>
      </c>
      <c r="L37" s="7"/>
    </row>
    <row r="38" spans="2:12">
      <c r="C38" s="1" t="s">
        <v>59</v>
      </c>
      <c r="L38" s="7"/>
    </row>
    <row r="39" spans="2:12">
      <c r="C39" s="1" t="s">
        <v>60</v>
      </c>
      <c r="L39" s="7"/>
    </row>
    <row r="40" spans="2:12">
      <c r="B40" s="11" t="s">
        <v>61</v>
      </c>
      <c r="C40" s="1" t="s">
        <v>62</v>
      </c>
      <c r="L40" s="7"/>
    </row>
    <row r="41" spans="2:12">
      <c r="C41" s="1" t="s">
        <v>63</v>
      </c>
      <c r="L41" s="7"/>
    </row>
    <row r="42" spans="2:12">
      <c r="C42" s="1" t="s">
        <v>64</v>
      </c>
      <c r="L42" s="7"/>
    </row>
    <row r="43" spans="2:12">
      <c r="C43" s="1" t="s">
        <v>65</v>
      </c>
      <c r="L43" s="7"/>
    </row>
    <row r="44" spans="2:12">
      <c r="C44" s="1" t="s">
        <v>66</v>
      </c>
      <c r="L44" s="7"/>
    </row>
    <row r="45" spans="2:12">
      <c r="C45" s="1" t="s">
        <v>67</v>
      </c>
      <c r="L45" s="7"/>
    </row>
    <row r="46" spans="2:12">
      <c r="C46" s="1" t="s">
        <v>68</v>
      </c>
      <c r="L46" s="7"/>
    </row>
    <row r="51" spans="2:2">
      <c r="B51" s="8" t="s">
        <v>33</v>
      </c>
    </row>
  </sheetData>
  <hyperlinks>
    <hyperlink ref="L22" r:id="rId1" display="https://www.intc.com/news-events/press-releases/detail/1725/intel-capital-to-become-standalone-investment-fund" xr:uid="{2742DD3B-F5C1-CE48-90A2-6FFD2939CEF7}"/>
    <hyperlink ref="L23" r:id="rId2" display="https://www.intc.com/news-events/press-releases/detail/1721/intel-appoints-semiconductor-leaders-eric-meurice-and-steve" xr:uid="{8418F28A-257C-0D4F-9819-3A069D7A495A}"/>
    <hyperlink ref="L24" r:id="rId3" display="https://www.intc.com/news-events/press-releases/detail/1719/intel-announces-retirement-of-ceo-pat-gelsinger" xr:uid="{FED00A20-55BC-7649-A31E-941632B0CD12}"/>
    <hyperlink ref="L20" r:id="rId4" display="https://www.intc.com/news-events/press-releases/detail/1718/intel-and-biden-harris-administration-finalize-7-86" xr:uid="{FD9D1D03-85A2-E344-8850-F3270F6E5195}"/>
    <hyperlink ref="L21" r:id="rId5" display="https://www.intc.com/news-events/press-releases/detail/1710/a-message-from-intel-ceo-pat-gelsinger-to-employees" xr:uid="{BA85B082-1C6E-EA4C-9309-B91F35F1A821}"/>
    <hyperlink ref="L26" r:id="rId6" display="https://www.intc.com/news-events/press-releases/detail/1757/ces-2026-intel-core-ultra-series-3-debuts-as-first-built" xr:uid="{EDEF16C8-8610-464F-8488-C961776A2B20}"/>
    <hyperlink ref="L25" r:id="rId7" display="https://www.intc.com/news-events/press-releases/detail/1752/intel-unveils-panther-lake-architecture-first-ai-pc" xr:uid="{5D116BE5-FCC6-D64F-A276-10DCF1F5F22A}"/>
    <hyperlink ref="Q20" r:id="rId8" display="Q425 Call" xr:uid="{C6B66038-A960-6743-8265-A31985CA1169}"/>
    <hyperlink ref="Q21" r:id="rId9" xr:uid="{122DB5B3-7729-E342-A213-0CC8F74EC7B6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2025-02-03T14:46:49Z</dcterms:created>
  <dcterms:modified xsi:type="dcterms:W3CDTF">2026-02-18T03:18:43Z</dcterms:modified>
</cp:coreProperties>
</file>