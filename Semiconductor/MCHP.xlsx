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C4FECA45-E2CB-CA42-8A4A-F6E103307872}" xr6:coauthVersionLast="47" xr6:coauthVersionMax="47" xr10:uidLastSave="{00000000-0000-0000-0000-000000000000}"/>
  <bookViews>
    <workbookView xWindow="16800" yWindow="6420" windowWidth="30880" windowHeight="18300" activeTab="1" xr2:uid="{9E24D492-E658-584E-A592-6AE475D049C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2" l="1"/>
  <c r="L61" i="2"/>
  <c r="K61" i="2"/>
  <c r="J61" i="2"/>
  <c r="J60" i="2"/>
  <c r="K60" i="2"/>
  <c r="L60" i="2"/>
  <c r="M60" i="2"/>
  <c r="AB58" i="2"/>
  <c r="AB57" i="2"/>
  <c r="M58" i="2"/>
  <c r="L58" i="2"/>
  <c r="K58" i="2"/>
  <c r="J58" i="2"/>
  <c r="I58" i="2"/>
  <c r="H58" i="2"/>
  <c r="G58" i="2"/>
  <c r="J57" i="2"/>
  <c r="I57" i="2"/>
  <c r="M57" i="2"/>
  <c r="H57" i="2"/>
  <c r="L57" i="2"/>
  <c r="G57" i="2"/>
  <c r="K57" i="2"/>
  <c r="K43" i="2"/>
  <c r="K35" i="2"/>
  <c r="L43" i="2"/>
  <c r="L35" i="2"/>
  <c r="J51" i="2"/>
  <c r="J50" i="2"/>
  <c r="J49" i="2"/>
  <c r="J52" i="2" s="1"/>
  <c r="K51" i="2"/>
  <c r="K50" i="2"/>
  <c r="K49" i="2"/>
  <c r="L51" i="2"/>
  <c r="L50" i="2"/>
  <c r="L49" i="2"/>
  <c r="M52" i="2"/>
  <c r="M51" i="2"/>
  <c r="M50" i="2"/>
  <c r="M49" i="2"/>
  <c r="K46" i="2"/>
  <c r="K45" i="2"/>
  <c r="K47" i="2" s="1"/>
  <c r="L46" i="2"/>
  <c r="L45" i="2"/>
  <c r="M46" i="2"/>
  <c r="M45" i="2"/>
  <c r="M47" i="2" s="1"/>
  <c r="J47" i="2"/>
  <c r="J46" i="2"/>
  <c r="J45" i="2"/>
  <c r="J43" i="2"/>
  <c r="J35" i="2"/>
  <c r="M43" i="2"/>
  <c r="M35" i="2"/>
  <c r="AE6" i="2"/>
  <c r="AF6" i="2" s="1"/>
  <c r="AG6" i="2" s="1"/>
  <c r="AH6" i="2" s="1"/>
  <c r="AI6" i="2" s="1"/>
  <c r="AJ6" i="2" s="1"/>
  <c r="AK6" i="2" s="1"/>
  <c r="AL6" i="2" s="1"/>
  <c r="AD6" i="2"/>
  <c r="AP25" i="2"/>
  <c r="AP23" i="2"/>
  <c r="ID2" i="2"/>
  <c r="ID1" i="2"/>
  <c r="IC2" i="2"/>
  <c r="IC1" i="2"/>
  <c r="IB2" i="2"/>
  <c r="IB1" i="2"/>
  <c r="HL2" i="2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HL1" i="2"/>
  <c r="HM1" i="2" s="1"/>
  <c r="HN1" i="2" s="1"/>
  <c r="HO1" i="2" s="1"/>
  <c r="HP1" i="2" s="1"/>
  <c r="HQ1" i="2" s="1"/>
  <c r="HR1" i="2" s="1"/>
  <c r="HS1" i="2" s="1"/>
  <c r="HT1" i="2" s="1"/>
  <c r="HU1" i="2" s="1"/>
  <c r="HV1" i="2" s="1"/>
  <c r="HW1" i="2" s="1"/>
  <c r="HX1" i="2" s="1"/>
  <c r="HY1" i="2" s="1"/>
  <c r="HZ1" i="2" s="1"/>
  <c r="IA1" i="2" s="1"/>
  <c r="GI2" i="2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GI1" i="2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EM2" i="2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EM1" i="2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AO2" i="2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AO1" i="2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AN1" i="2"/>
  <c r="AC19" i="2"/>
  <c r="AC18" i="2"/>
  <c r="AC16" i="2"/>
  <c r="AC15" i="2"/>
  <c r="AC14" i="2"/>
  <c r="AC13" i="2"/>
  <c r="AC12" i="2"/>
  <c r="AC11" i="2"/>
  <c r="AC10" i="2"/>
  <c r="AC9" i="2"/>
  <c r="AC8" i="2"/>
  <c r="AC7" i="2"/>
  <c r="N25" i="2"/>
  <c r="N24" i="2"/>
  <c r="N23" i="2"/>
  <c r="N22" i="2"/>
  <c r="N19" i="2"/>
  <c r="N18" i="2"/>
  <c r="N16" i="2"/>
  <c r="N15" i="2"/>
  <c r="N14" i="2"/>
  <c r="N13" i="2"/>
  <c r="N12" i="2"/>
  <c r="N11" i="2"/>
  <c r="N9" i="2"/>
  <c r="N8" i="2"/>
  <c r="N7" i="2"/>
  <c r="N10" i="2"/>
  <c r="N5" i="2"/>
  <c r="N4" i="2"/>
  <c r="AC4" i="2" s="1"/>
  <c r="AC23" i="2" s="1"/>
  <c r="N3" i="2"/>
  <c r="AC3" i="2" s="1"/>
  <c r="AC22" i="2" s="1"/>
  <c r="AC5" i="2"/>
  <c r="AC24" i="2" s="1"/>
  <c r="AC25" i="2"/>
  <c r="AC6" i="2"/>
  <c r="L25" i="2"/>
  <c r="L24" i="2"/>
  <c r="L23" i="2"/>
  <c r="L22" i="2"/>
  <c r="L6" i="2"/>
  <c r="K10" i="1" s="1"/>
  <c r="M25" i="2"/>
  <c r="M24" i="2"/>
  <c r="M23" i="2"/>
  <c r="M22" i="2"/>
  <c r="M19" i="2"/>
  <c r="M18" i="2"/>
  <c r="M16" i="2"/>
  <c r="M14" i="2"/>
  <c r="M10" i="2"/>
  <c r="M6" i="2"/>
  <c r="K7" i="1"/>
  <c r="T23" i="2"/>
  <c r="T22" i="2"/>
  <c r="U23" i="2"/>
  <c r="U22" i="2"/>
  <c r="S5" i="2"/>
  <c r="T24" i="2" s="1"/>
  <c r="S6" i="2"/>
  <c r="T6" i="2"/>
  <c r="T25" i="2" s="1"/>
  <c r="T5" i="2"/>
  <c r="V23" i="2"/>
  <c r="V22" i="2"/>
  <c r="U6" i="2"/>
  <c r="U25" i="2" s="1"/>
  <c r="U5" i="2"/>
  <c r="U24" i="2" s="1"/>
  <c r="W23" i="2"/>
  <c r="W22" i="2"/>
  <c r="X24" i="2"/>
  <c r="X23" i="2"/>
  <c r="X22" i="2"/>
  <c r="Y24" i="2"/>
  <c r="Y23" i="2"/>
  <c r="Y22" i="2"/>
  <c r="Z24" i="2"/>
  <c r="Z23" i="2"/>
  <c r="Z22" i="2"/>
  <c r="V5" i="2"/>
  <c r="W24" i="2" s="1"/>
  <c r="W6" i="2"/>
  <c r="X6" i="2"/>
  <c r="X25" i="2" s="1"/>
  <c r="Y6" i="2"/>
  <c r="G24" i="2"/>
  <c r="G23" i="2"/>
  <c r="G22" i="2"/>
  <c r="C19" i="2"/>
  <c r="C18" i="2"/>
  <c r="C6" i="2"/>
  <c r="C10" i="2" s="1"/>
  <c r="AA24" i="2"/>
  <c r="AA23" i="2"/>
  <c r="AA22" i="2"/>
  <c r="Z18" i="2"/>
  <c r="Z6" i="2"/>
  <c r="Z10" i="2" s="1"/>
  <c r="F15" i="2"/>
  <c r="F13" i="2"/>
  <c r="F12" i="2"/>
  <c r="F11" i="2"/>
  <c r="F9" i="2"/>
  <c r="F8" i="2"/>
  <c r="F7" i="2"/>
  <c r="F5" i="2"/>
  <c r="F4" i="2"/>
  <c r="F3" i="2"/>
  <c r="AB25" i="2"/>
  <c r="AB24" i="2"/>
  <c r="AB23" i="2"/>
  <c r="AB22" i="2"/>
  <c r="AB19" i="2"/>
  <c r="AB18" i="2"/>
  <c r="AA18" i="2"/>
  <c r="AA10" i="2"/>
  <c r="AA14" i="2" s="1"/>
  <c r="AA16" i="2" s="1"/>
  <c r="AB10" i="2"/>
  <c r="J7" i="2"/>
  <c r="J8" i="2"/>
  <c r="J9" i="2"/>
  <c r="J15" i="2"/>
  <c r="J13" i="2"/>
  <c r="J12" i="2"/>
  <c r="J11" i="2"/>
  <c r="J5" i="2"/>
  <c r="J4" i="2"/>
  <c r="J3" i="2"/>
  <c r="AA6" i="2"/>
  <c r="AA25" i="2" s="1"/>
  <c r="AB6" i="2"/>
  <c r="H24" i="2"/>
  <c r="H23" i="2"/>
  <c r="H22" i="2"/>
  <c r="H19" i="2"/>
  <c r="H18" i="2"/>
  <c r="H10" i="2"/>
  <c r="H14" i="2" s="1"/>
  <c r="H16" i="2" s="1"/>
  <c r="H6" i="2"/>
  <c r="D6" i="2"/>
  <c r="H25" i="2" s="1"/>
  <c r="I25" i="2"/>
  <c r="I24" i="2"/>
  <c r="I23" i="2"/>
  <c r="I22" i="2"/>
  <c r="E18" i="2"/>
  <c r="I18" i="2"/>
  <c r="E10" i="2"/>
  <c r="E14" i="2" s="1"/>
  <c r="E16" i="2" s="1"/>
  <c r="I10" i="2"/>
  <c r="I14" i="2" s="1"/>
  <c r="I16" i="2" s="1"/>
  <c r="E6" i="2"/>
  <c r="I6" i="2"/>
  <c r="K24" i="2"/>
  <c r="K23" i="2"/>
  <c r="K22" i="2"/>
  <c r="G6" i="2"/>
  <c r="G18" i="2" s="1"/>
  <c r="K6" i="2"/>
  <c r="K18" i="2" s="1"/>
  <c r="S2" i="2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K5" i="1"/>
  <c r="L6" i="1"/>
  <c r="L7" i="1" s="1"/>
  <c r="K52" i="2" l="1"/>
  <c r="L52" i="2"/>
  <c r="L47" i="2"/>
  <c r="AD25" i="2"/>
  <c r="AD8" i="2"/>
  <c r="AE8" i="2" s="1"/>
  <c r="AF8" i="2" s="1"/>
  <c r="AG8" i="2" s="1"/>
  <c r="AH8" i="2" s="1"/>
  <c r="AI8" i="2" s="1"/>
  <c r="AJ8" i="2" s="1"/>
  <c r="AK8" i="2" s="1"/>
  <c r="AL8" i="2" s="1"/>
  <c r="AD9" i="2"/>
  <c r="AD7" i="2"/>
  <c r="AD10" i="2"/>
  <c r="AE9" i="2"/>
  <c r="AF9" i="2" s="1"/>
  <c r="AG9" i="2" s="1"/>
  <c r="AH9" i="2" s="1"/>
  <c r="AI9" i="2" s="1"/>
  <c r="AJ9" i="2" s="1"/>
  <c r="AK9" i="2" s="1"/>
  <c r="AL9" i="2" s="1"/>
  <c r="AE25" i="2"/>
  <c r="L18" i="2"/>
  <c r="L10" i="2"/>
  <c r="K8" i="1"/>
  <c r="K11" i="1" s="1"/>
  <c r="Z14" i="2"/>
  <c r="Z16" i="2" s="1"/>
  <c r="Z19" i="2"/>
  <c r="J6" i="2"/>
  <c r="V6" i="2"/>
  <c r="V25" i="2" s="1"/>
  <c r="I19" i="2"/>
  <c r="J10" i="2"/>
  <c r="J19" i="2" s="1"/>
  <c r="G25" i="2"/>
  <c r="V24" i="2"/>
  <c r="D10" i="2"/>
  <c r="D18" i="2"/>
  <c r="AA19" i="2"/>
  <c r="J23" i="2"/>
  <c r="Y25" i="2"/>
  <c r="E19" i="2"/>
  <c r="J22" i="2"/>
  <c r="J24" i="2"/>
  <c r="Z25" i="2"/>
  <c r="C14" i="2"/>
  <c r="F10" i="2"/>
  <c r="F6" i="2"/>
  <c r="F18" i="2" s="1"/>
  <c r="AB14" i="2"/>
  <c r="K10" i="2"/>
  <c r="G10" i="2"/>
  <c r="K25" i="2"/>
  <c r="AE7" i="2" l="1"/>
  <c r="AD18" i="2"/>
  <c r="AE18" i="2"/>
  <c r="AE10" i="2"/>
  <c r="AF7" i="2"/>
  <c r="AD11" i="2"/>
  <c r="AD12" i="2"/>
  <c r="AD13" i="2"/>
  <c r="AD19" i="2"/>
  <c r="AF18" i="2"/>
  <c r="AF25" i="2"/>
  <c r="AE19" i="2"/>
  <c r="AE12" i="2"/>
  <c r="AE13" i="2"/>
  <c r="AE11" i="2"/>
  <c r="AE14" i="2" s="1"/>
  <c r="AG7" i="2"/>
  <c r="AF10" i="2"/>
  <c r="L14" i="2"/>
  <c r="L16" i="2" s="1"/>
  <c r="L19" i="2"/>
  <c r="G14" i="2"/>
  <c r="G16" i="2" s="1"/>
  <c r="G19" i="2"/>
  <c r="D14" i="2"/>
  <c r="D16" i="2" s="1"/>
  <c r="D19" i="2"/>
  <c r="K14" i="2"/>
  <c r="K16" i="2" s="1"/>
  <c r="K19" i="2"/>
  <c r="W25" i="2"/>
  <c r="J18" i="2"/>
  <c r="J25" i="2"/>
  <c r="F19" i="2"/>
  <c r="C16" i="2"/>
  <c r="F16" i="2" s="1"/>
  <c r="F14" i="2"/>
  <c r="AB16" i="2"/>
  <c r="J16" i="2" s="1"/>
  <c r="J14" i="2"/>
  <c r="AD14" i="2" l="1"/>
  <c r="AD15" i="2"/>
  <c r="AG18" i="2"/>
  <c r="AG25" i="2"/>
  <c r="AF13" i="2"/>
  <c r="AF12" i="2"/>
  <c r="AF19" i="2"/>
  <c r="AF11" i="2"/>
  <c r="AH7" i="2"/>
  <c r="AG10" i="2"/>
  <c r="AF14" i="2" l="1"/>
  <c r="AH18" i="2"/>
  <c r="AH25" i="2"/>
  <c r="AG12" i="2"/>
  <c r="AG13" i="2"/>
  <c r="AE15" i="2"/>
  <c r="AE16" i="2" s="1"/>
  <c r="AD16" i="2"/>
  <c r="AF15" i="2"/>
  <c r="AF16" i="2" s="1"/>
  <c r="AG19" i="2"/>
  <c r="AG11" i="2"/>
  <c r="AI7" i="2"/>
  <c r="AH10" i="2"/>
  <c r="AG14" i="2" l="1"/>
  <c r="AG15" i="2" s="1"/>
  <c r="AG16" i="2" s="1"/>
  <c r="AI18" i="2"/>
  <c r="AI25" i="2"/>
  <c r="AH12" i="2"/>
  <c r="AH13" i="2"/>
  <c r="AH19" i="2"/>
  <c r="AH11" i="2"/>
  <c r="AJ7" i="2"/>
  <c r="AI10" i="2"/>
  <c r="AH14" i="2" l="1"/>
  <c r="AH15" i="2" s="1"/>
  <c r="AH16" i="2" s="1"/>
  <c r="AJ18" i="2"/>
  <c r="AJ25" i="2"/>
  <c r="AI12" i="2"/>
  <c r="AI13" i="2"/>
  <c r="AI19" i="2"/>
  <c r="AI11" i="2"/>
  <c r="AK7" i="2"/>
  <c r="AJ10" i="2"/>
  <c r="AI14" i="2" l="1"/>
  <c r="AI15" i="2" s="1"/>
  <c r="AI16" i="2" s="1"/>
  <c r="AK25" i="2"/>
  <c r="AK18" i="2"/>
  <c r="AJ13" i="2"/>
  <c r="AJ12" i="2"/>
  <c r="AJ19" i="2"/>
  <c r="AJ11" i="2"/>
  <c r="AJ14" i="2" s="1"/>
  <c r="AJ15" i="2" s="1"/>
  <c r="AJ16" i="2" s="1"/>
  <c r="AL7" i="2"/>
  <c r="AL10" i="2" s="1"/>
  <c r="AK10" i="2"/>
  <c r="AL18" i="2" l="1"/>
  <c r="AL25" i="2"/>
  <c r="AK13" i="2"/>
  <c r="AL13" i="2" s="1"/>
  <c r="AK12" i="2"/>
  <c r="AL12" i="2" s="1"/>
  <c r="AL19" i="2"/>
  <c r="AK19" i="2"/>
  <c r="AK11" i="2"/>
  <c r="AL11" i="2" l="1"/>
  <c r="AL14" i="2" s="1"/>
  <c r="AK14" i="2"/>
  <c r="AK15" i="2" s="1"/>
  <c r="AL15" i="2" l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Y16" i="2" s="1"/>
  <c r="GZ16" i="2" s="1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HK16" i="2" s="1"/>
  <c r="HL16" i="2" s="1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W16" i="2" s="1"/>
  <c r="HX16" i="2" s="1"/>
  <c r="HY16" i="2" s="1"/>
  <c r="HZ16" i="2" s="1"/>
  <c r="IA16" i="2" s="1"/>
  <c r="IB16" i="2" s="1"/>
  <c r="IC16" i="2" s="1"/>
  <c r="ID16" i="2" s="1"/>
  <c r="AK16" i="2"/>
  <c r="AP22" i="2" l="1"/>
  <c r="AP24" i="2" s="1"/>
  <c r="AP26" i="2" s="1"/>
</calcChain>
</file>

<file path=xl/sharedStrings.xml><?xml version="1.0" encoding="utf-8"?>
<sst xmlns="http://schemas.openxmlformats.org/spreadsheetml/2006/main" count="143" uniqueCount="135">
  <si>
    <t>P</t>
  </si>
  <si>
    <t>S</t>
  </si>
  <si>
    <t>MC</t>
  </si>
  <si>
    <t>C</t>
  </si>
  <si>
    <t>D</t>
  </si>
  <si>
    <t>EV</t>
  </si>
  <si>
    <t>Q125</t>
  </si>
  <si>
    <t xml:space="preserve">CFO </t>
  </si>
  <si>
    <t>CEO</t>
  </si>
  <si>
    <t>Q124</t>
  </si>
  <si>
    <t>Q224</t>
  </si>
  <si>
    <t>Q324</t>
  </si>
  <si>
    <t>Q424</t>
  </si>
  <si>
    <t>Q225</t>
  </si>
  <si>
    <t>Q325</t>
  </si>
  <si>
    <t>Q425</t>
  </si>
  <si>
    <t>Mixed Signal Controllers</t>
  </si>
  <si>
    <t xml:space="preserve">Analog </t>
  </si>
  <si>
    <t>Other</t>
  </si>
  <si>
    <t xml:space="preserve">Total Net Sales </t>
  </si>
  <si>
    <t>Growth YY</t>
  </si>
  <si>
    <t>R&amp;D</t>
  </si>
  <si>
    <t>SG&amp;A</t>
  </si>
  <si>
    <t>Costs</t>
  </si>
  <si>
    <t xml:space="preserve">Operating Income </t>
  </si>
  <si>
    <t>GM%</t>
  </si>
  <si>
    <t>Interest income</t>
  </si>
  <si>
    <t>Interest Exp</t>
  </si>
  <si>
    <t>Other income</t>
  </si>
  <si>
    <t>EBT</t>
  </si>
  <si>
    <t xml:space="preserve">Taxes Net Income </t>
  </si>
  <si>
    <t>Net Income</t>
  </si>
  <si>
    <t>OM%</t>
  </si>
  <si>
    <t>Q126</t>
  </si>
  <si>
    <t>Q226</t>
  </si>
  <si>
    <t>Q326</t>
  </si>
  <si>
    <t>Q426</t>
  </si>
  <si>
    <t>HQ</t>
  </si>
  <si>
    <t>AZ</t>
  </si>
  <si>
    <t xml:space="preserve">Cash </t>
  </si>
  <si>
    <t>Press Release</t>
  </si>
  <si>
    <t xml:space="preserve">Terminal </t>
  </si>
  <si>
    <t xml:space="preserve">Discount </t>
  </si>
  <si>
    <t>Npv</t>
  </si>
  <si>
    <t>Shares</t>
  </si>
  <si>
    <t xml:space="preserve">Estimate </t>
  </si>
  <si>
    <t xml:space="preserve">Current </t>
  </si>
  <si>
    <t>TL + E</t>
  </si>
  <si>
    <t>E</t>
  </si>
  <si>
    <t>A/P</t>
  </si>
  <si>
    <t>LTD</t>
  </si>
  <si>
    <t xml:space="preserve">LT Income Tx Payable </t>
  </si>
  <si>
    <t>LT Deferred Tx Liability</t>
  </si>
  <si>
    <t>OLTL</t>
  </si>
  <si>
    <t xml:space="preserve">TA </t>
  </si>
  <si>
    <t>A/R</t>
  </si>
  <si>
    <t>Inventories</t>
  </si>
  <si>
    <t>OCA</t>
  </si>
  <si>
    <t>PPE</t>
  </si>
  <si>
    <t>OA</t>
  </si>
  <si>
    <t xml:space="preserve">Total Debt </t>
  </si>
  <si>
    <t xml:space="preserve">Total Cash </t>
  </si>
  <si>
    <t xml:space="preserve">Net Debt </t>
  </si>
  <si>
    <t>DSO</t>
  </si>
  <si>
    <t xml:space="preserve">DIO </t>
  </si>
  <si>
    <t>DPO</t>
  </si>
  <si>
    <t>CC</t>
  </si>
  <si>
    <t>CFFO</t>
  </si>
  <si>
    <t>Capex</t>
  </si>
  <si>
    <t xml:space="preserve">FCF </t>
  </si>
  <si>
    <t>NI</t>
  </si>
  <si>
    <t>4Q Moving FCF</t>
  </si>
  <si>
    <t>4Q Moving NI</t>
  </si>
  <si>
    <t>Microcontrollers (MCUs)</t>
  </si>
  <si>
    <t>Microprocessors (MPUs)</t>
  </si>
  <si>
    <t>FPGAs</t>
  </si>
  <si>
    <t>Analog &amp; Power chips</t>
  </si>
  <si>
    <t xml:space="preserve">Memory Chips </t>
  </si>
  <si>
    <t xml:space="preserve">Business </t>
  </si>
  <si>
    <t xml:space="preserve">small </t>
  </si>
  <si>
    <t xml:space="preserve">End Market </t>
  </si>
  <si>
    <t>Cars (EV systems, safety, infotainment)</t>
  </si>
  <si>
    <t>Industrial Automation</t>
  </si>
  <si>
    <t>Data centers</t>
  </si>
  <si>
    <t>Smart home devices</t>
  </si>
  <si>
    <t xml:space="preserve">Applianced </t>
  </si>
  <si>
    <t xml:space="preserve">Aerospace &amp; defense </t>
  </si>
  <si>
    <t>IoT Devices</t>
  </si>
  <si>
    <t>Power Supplies</t>
  </si>
  <si>
    <t xml:space="preserve">Motor Control Systems </t>
  </si>
  <si>
    <t>Mix Signal Controllers --&gt; small computer chip  that can read analog signals (temperature, voltage, sound, motion), process them digitally (using software), and control something physical (motor, display, power system)</t>
  </si>
  <si>
    <t xml:space="preserve">Example: Washing Machine </t>
  </si>
  <si>
    <t xml:space="preserve">Water level sensor --&gt; analog voltage </t>
  </si>
  <si>
    <t>MCU converts voltage (ADC)</t>
  </si>
  <si>
    <t xml:space="preserve">Software decides if tank is full </t>
  </si>
  <si>
    <t>MCU turns  motor on/off</t>
  </si>
  <si>
    <t xml:space="preserve">Mix signal includes </t>
  </si>
  <si>
    <t xml:space="preserve">Analog Blocks </t>
  </si>
  <si>
    <t xml:space="preserve">ADC (Analog to Digital Converter) --&gt; converts voltage into numbers </t>
  </si>
  <si>
    <t>DAC (Digital to Analog Converter)</t>
  </si>
  <si>
    <t>Amplifiers</t>
  </si>
  <si>
    <t>Comparators</t>
  </si>
  <si>
    <t xml:space="preserve">Power Management </t>
  </si>
  <si>
    <t xml:space="preserve">Digital Blocks </t>
  </si>
  <si>
    <t>CPU Core</t>
  </si>
  <si>
    <t>RAM</t>
  </si>
  <si>
    <t xml:space="preserve">Flash Memory </t>
  </si>
  <si>
    <t>Timers</t>
  </si>
  <si>
    <t>Communication interfaces(USB, Ethernet, CAN, SPI)</t>
  </si>
  <si>
    <t>8-bit MCUs</t>
  </si>
  <si>
    <t>Cheap</t>
  </si>
  <si>
    <t>low power</t>
  </si>
  <si>
    <t>simple firmware</t>
  </si>
  <si>
    <t xml:space="preserve">sticky </t>
  </si>
  <si>
    <t xml:space="preserve">massive volume </t>
  </si>
  <si>
    <t>32-bit MCUs</t>
  </si>
  <si>
    <t>higher asp</t>
  </si>
  <si>
    <t xml:space="preserve">higher performance </t>
  </si>
  <si>
    <t xml:space="preserve">used in complex systems </t>
  </si>
  <si>
    <t>8-bit</t>
  </si>
  <si>
    <t xml:space="preserve">32 bit </t>
  </si>
  <si>
    <t>speed</t>
  </si>
  <si>
    <t>complexity</t>
  </si>
  <si>
    <t>cost</t>
  </si>
  <si>
    <t>power</t>
  </si>
  <si>
    <t xml:space="preserve">volume </t>
  </si>
  <si>
    <t>low</t>
  </si>
  <si>
    <t>simple tasks</t>
  </si>
  <si>
    <t xml:space="preserve">very cheap </t>
  </si>
  <si>
    <t xml:space="preserve">very low </t>
  </si>
  <si>
    <t xml:space="preserve">higher </t>
  </si>
  <si>
    <t xml:space="preserve">complex systems </t>
  </si>
  <si>
    <t xml:space="preserve">more expensive </t>
  </si>
  <si>
    <t xml:space="preserve">growing </t>
  </si>
  <si>
    <t xml:space="preserve">huge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</si>
</sst>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3" fontId="2" fillId="0" borderId="0" xfId="0" applyNumberFormat="1" applyFont="1"/>
    <xf numFmtId="3" fontId="1" fillId="0" borderId="1" xfId="0" applyNumberFormat="1" applyFont="1" applyBorder="1"/>
    <xf numFmtId="3" fontId="3" fillId="0" borderId="0" xfId="1" applyNumberFormat="1"/>
    <xf numFmtId="164" fontId="0" fillId="0" borderId="0" xfId="0" applyNumberFormat="1"/>
    <xf numFmtId="8" fontId="0" fillId="0" borderId="0" xfId="0" applyNumberFormat="1"/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24351</xdr:colOff>
      <xdr:row>0</xdr:row>
      <xdr:rowOff>0</xdr:rowOff>
    </xdr:from>
    <xdr:to>
      <xdr:col>13</xdr:col>
      <xdr:colOff>167314</xdr:colOff>
      <xdr:row>56</xdr:row>
      <xdr:rowOff>159973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C0F33E-1EB9-D323-568E-D57A50EA598E}"/>
            </a:ext>
          </a:extLst>
        </xdr:cNvPr>
        <xdr:cNvCxnSpPr/>
      </xdr:nvCxnSpPr>
      <xdr:spPr>
        <a:xfrm>
          <a:off x="6921966" y="0"/>
          <a:ext cx="142963" cy="112753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439256</xdr:colOff>
      <xdr:row>0</xdr:row>
      <xdr:rowOff>0</xdr:rowOff>
    </xdr:from>
    <xdr:to>
      <xdr:col>28</xdr:col>
      <xdr:colOff>83656</xdr:colOff>
      <xdr:row>56</xdr:row>
      <xdr:rowOff>165100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33DB4F-7413-7F4B-8713-5AC0474008DB}"/>
            </a:ext>
          </a:extLst>
        </xdr:cNvPr>
        <xdr:cNvCxnSpPr/>
      </xdr:nvCxnSpPr>
      <xdr:spPr>
        <a:xfrm>
          <a:off x="14362650" y="0"/>
          <a:ext cx="87153" cy="1128051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microchip.com/news-events/press-releases/detail/1364/microchip-technology-announces-financial-results-for-third-quarter-of-fiscal-year-2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2708-C69B-E046-83A3-E9BB4E8B7663}">
  <dimension ref="B2:L59"/>
  <sheetViews>
    <sheetView topLeftCell="A12" workbookViewId="0">
      <selection activeCell="E36" sqref="E36"/>
    </sheetView>
  </sheetViews>
  <sheetFormatPr baseColWidth="10" defaultRowHeight="16" x14ac:dyDescent="0.2"/>
  <cols>
    <col min="1" max="1" width="10.83203125" style="1"/>
    <col min="2" max="2" width="25.1640625" style="1" customWidth="1"/>
    <col min="3" max="9" width="10.83203125" style="1"/>
    <col min="10" max="10" width="4" style="1" bestFit="1" customWidth="1"/>
    <col min="11" max="11" width="6.6640625" style="1" bestFit="1" customWidth="1"/>
    <col min="12" max="12" width="5.5" style="1" bestFit="1" customWidth="1"/>
    <col min="13" max="16384" width="10.83203125" style="1"/>
  </cols>
  <sheetData>
    <row r="2" spans="2:12" x14ac:dyDescent="0.2">
      <c r="B2" s="1" t="s">
        <v>8</v>
      </c>
    </row>
    <row r="3" spans="2:12" x14ac:dyDescent="0.2">
      <c r="B3" s="1" t="s">
        <v>7</v>
      </c>
      <c r="J3" s="1" t="s">
        <v>0</v>
      </c>
      <c r="K3" s="1">
        <v>82</v>
      </c>
    </row>
    <row r="4" spans="2:12" x14ac:dyDescent="0.2">
      <c r="B4" s="1" t="s">
        <v>37</v>
      </c>
      <c r="C4" s="1" t="s">
        <v>38</v>
      </c>
      <c r="J4" s="1" t="s">
        <v>1</v>
      </c>
      <c r="K4" s="1">
        <v>541.13545799999997</v>
      </c>
      <c r="L4" s="1" t="s">
        <v>35</v>
      </c>
    </row>
    <row r="5" spans="2:12" x14ac:dyDescent="0.2">
      <c r="J5" s="1" t="s">
        <v>2</v>
      </c>
      <c r="K5" s="1">
        <f>+K3*K4</f>
        <v>44373.107555999995</v>
      </c>
    </row>
    <row r="6" spans="2:12" x14ac:dyDescent="0.2">
      <c r="J6" s="1" t="s">
        <v>3</v>
      </c>
      <c r="K6" s="1">
        <v>250.7</v>
      </c>
      <c r="L6" s="1" t="str">
        <f>+L4</f>
        <v>Q326</v>
      </c>
    </row>
    <row r="7" spans="2:12" x14ac:dyDescent="0.2">
      <c r="J7" s="1" t="s">
        <v>4</v>
      </c>
      <c r="K7" s="1">
        <f>5366+0</f>
        <v>5366</v>
      </c>
      <c r="L7" s="1" t="str">
        <f>+L6</f>
        <v>Q326</v>
      </c>
    </row>
    <row r="8" spans="2:12" x14ac:dyDescent="0.2">
      <c r="B8" s="1" t="s">
        <v>78</v>
      </c>
      <c r="C8" s="1" t="s">
        <v>80</v>
      </c>
      <c r="J8" s="2" t="s">
        <v>5</v>
      </c>
      <c r="K8" s="2">
        <f>+K5-K6+K7</f>
        <v>49488.407555999998</v>
      </c>
    </row>
    <row r="9" spans="2:12" x14ac:dyDescent="0.2">
      <c r="B9" s="1" t="s">
        <v>73</v>
      </c>
      <c r="C9" s="1" t="s">
        <v>79</v>
      </c>
    </row>
    <row r="10" spans="2:12" x14ac:dyDescent="0.2">
      <c r="B10" s="1" t="s">
        <v>74</v>
      </c>
      <c r="K10" s="1">
        <f>+Model!L6*4</f>
        <v>4561.6000000000004</v>
      </c>
    </row>
    <row r="11" spans="2:12" x14ac:dyDescent="0.2">
      <c r="B11" s="1" t="s">
        <v>75</v>
      </c>
      <c r="K11" s="1">
        <f>+K8/K10</f>
        <v>10.848914318660118</v>
      </c>
    </row>
    <row r="12" spans="2:12" x14ac:dyDescent="0.2">
      <c r="B12" s="1" t="s">
        <v>76</v>
      </c>
    </row>
    <row r="13" spans="2:12" x14ac:dyDescent="0.2">
      <c r="B13" s="1" t="s">
        <v>77</v>
      </c>
    </row>
    <row r="15" spans="2:12" x14ac:dyDescent="0.2">
      <c r="B15" s="1" t="s">
        <v>90</v>
      </c>
    </row>
    <row r="16" spans="2:12" x14ac:dyDescent="0.2">
      <c r="B16" s="1" t="s">
        <v>96</v>
      </c>
    </row>
    <row r="17" spans="2:6" x14ac:dyDescent="0.2">
      <c r="B17" s="2" t="s">
        <v>97</v>
      </c>
    </row>
    <row r="18" spans="2:6" x14ac:dyDescent="0.2">
      <c r="B18" s="15" t="s">
        <v>98</v>
      </c>
    </row>
    <row r="19" spans="2:6" x14ac:dyDescent="0.2">
      <c r="B19" s="15" t="s">
        <v>99</v>
      </c>
    </row>
    <row r="20" spans="2:6" x14ac:dyDescent="0.2">
      <c r="B20" s="15" t="s">
        <v>100</v>
      </c>
    </row>
    <row r="21" spans="2:6" x14ac:dyDescent="0.2">
      <c r="B21" s="15" t="s">
        <v>101</v>
      </c>
    </row>
    <row r="22" spans="2:6" x14ac:dyDescent="0.2">
      <c r="B22" s="15" t="s">
        <v>102</v>
      </c>
    </row>
    <row r="23" spans="2:6" x14ac:dyDescent="0.2">
      <c r="B23" s="2" t="s">
        <v>103</v>
      </c>
    </row>
    <row r="24" spans="2:6" x14ac:dyDescent="0.2">
      <c r="B24" s="15" t="s">
        <v>104</v>
      </c>
    </row>
    <row r="25" spans="2:6" x14ac:dyDescent="0.2">
      <c r="B25" s="15" t="s">
        <v>105</v>
      </c>
    </row>
    <row r="26" spans="2:6" x14ac:dyDescent="0.2">
      <c r="B26" s="15" t="s">
        <v>106</v>
      </c>
    </row>
    <row r="27" spans="2:6" x14ac:dyDescent="0.2">
      <c r="B27" s="15" t="s">
        <v>107</v>
      </c>
    </row>
    <row r="28" spans="2:6" x14ac:dyDescent="0.2">
      <c r="B28" s="15" t="s">
        <v>108</v>
      </c>
    </row>
    <row r="29" spans="2:6" x14ac:dyDescent="0.2">
      <c r="B29" s="15"/>
    </row>
    <row r="30" spans="2:6" x14ac:dyDescent="0.2">
      <c r="B30" s="15" t="s">
        <v>109</v>
      </c>
      <c r="E30" s="1" t="s">
        <v>119</v>
      </c>
      <c r="F30" s="1" t="s">
        <v>120</v>
      </c>
    </row>
    <row r="31" spans="2:6" x14ac:dyDescent="0.2">
      <c r="B31" s="15" t="s">
        <v>110</v>
      </c>
      <c r="D31" s="1" t="s">
        <v>121</v>
      </c>
      <c r="E31" s="1" t="s">
        <v>126</v>
      </c>
      <c r="F31" s="1" t="s">
        <v>130</v>
      </c>
    </row>
    <row r="32" spans="2:6" x14ac:dyDescent="0.2">
      <c r="B32" s="15" t="s">
        <v>111</v>
      </c>
      <c r="D32" s="1" t="s">
        <v>122</v>
      </c>
      <c r="E32" s="1" t="s">
        <v>127</v>
      </c>
      <c r="F32" s="1" t="s">
        <v>131</v>
      </c>
    </row>
    <row r="33" spans="2:6" x14ac:dyDescent="0.2">
      <c r="B33" s="15" t="s">
        <v>112</v>
      </c>
      <c r="D33" s="1" t="s">
        <v>123</v>
      </c>
      <c r="E33" s="1" t="s">
        <v>128</v>
      </c>
      <c r="F33" s="1" t="s">
        <v>132</v>
      </c>
    </row>
    <row r="34" spans="2:6" x14ac:dyDescent="0.2">
      <c r="B34" s="15" t="s">
        <v>114</v>
      </c>
      <c r="D34" s="1" t="s">
        <v>124</v>
      </c>
      <c r="E34" s="1" t="s">
        <v>129</v>
      </c>
      <c r="F34" s="1" t="s">
        <v>130</v>
      </c>
    </row>
    <row r="35" spans="2:6" x14ac:dyDescent="0.2">
      <c r="B35" s="15" t="s">
        <v>113</v>
      </c>
      <c r="D35" s="1" t="s">
        <v>125</v>
      </c>
      <c r="E35" s="1" t="s">
        <v>134</v>
      </c>
      <c r="F35" s="1" t="s">
        <v>133</v>
      </c>
    </row>
    <row r="36" spans="2:6" x14ac:dyDescent="0.2">
      <c r="B36" s="15" t="s">
        <v>115</v>
      </c>
    </row>
    <row r="37" spans="2:6" x14ac:dyDescent="0.2">
      <c r="B37" s="15" t="s">
        <v>116</v>
      </c>
    </row>
    <row r="38" spans="2:6" x14ac:dyDescent="0.2">
      <c r="B38" s="15" t="s">
        <v>117</v>
      </c>
    </row>
    <row r="39" spans="2:6" x14ac:dyDescent="0.2">
      <c r="B39" s="15" t="s">
        <v>118</v>
      </c>
    </row>
    <row r="40" spans="2:6" x14ac:dyDescent="0.2">
      <c r="B40" s="15"/>
    </row>
    <row r="41" spans="2:6" x14ac:dyDescent="0.2">
      <c r="B41" s="1" t="s">
        <v>91</v>
      </c>
    </row>
    <row r="42" spans="2:6" x14ac:dyDescent="0.2">
      <c r="B42" s="15" t="s">
        <v>92</v>
      </c>
    </row>
    <row r="43" spans="2:6" x14ac:dyDescent="0.2">
      <c r="B43" s="15" t="s">
        <v>93</v>
      </c>
    </row>
    <row r="44" spans="2:6" x14ac:dyDescent="0.2">
      <c r="B44" s="15" t="s">
        <v>94</v>
      </c>
    </row>
    <row r="45" spans="2:6" x14ac:dyDescent="0.2">
      <c r="B45" s="15" t="s">
        <v>95</v>
      </c>
    </row>
    <row r="49" spans="2:4" x14ac:dyDescent="0.2">
      <c r="D49" s="1" t="s">
        <v>40</v>
      </c>
    </row>
    <row r="50" spans="2:4" x14ac:dyDescent="0.2">
      <c r="B50" s="2" t="s">
        <v>80</v>
      </c>
      <c r="D50" s="8" t="s">
        <v>35</v>
      </c>
    </row>
    <row r="51" spans="2:4" x14ac:dyDescent="0.2">
      <c r="B51" s="1" t="s">
        <v>81</v>
      </c>
    </row>
    <row r="52" spans="2:4" x14ac:dyDescent="0.2">
      <c r="B52" s="1" t="s">
        <v>82</v>
      </c>
    </row>
    <row r="53" spans="2:4" x14ac:dyDescent="0.2">
      <c r="B53" s="1" t="s">
        <v>83</v>
      </c>
    </row>
    <row r="54" spans="2:4" x14ac:dyDescent="0.2">
      <c r="B54" s="1" t="s">
        <v>84</v>
      </c>
    </row>
    <row r="55" spans="2:4" x14ac:dyDescent="0.2">
      <c r="B55" s="1" t="s">
        <v>85</v>
      </c>
    </row>
    <row r="56" spans="2:4" x14ac:dyDescent="0.2">
      <c r="B56" s="1" t="s">
        <v>86</v>
      </c>
    </row>
    <row r="57" spans="2:4" x14ac:dyDescent="0.2">
      <c r="B57" s="1" t="s">
        <v>87</v>
      </c>
    </row>
    <row r="58" spans="2:4" x14ac:dyDescent="0.2">
      <c r="B58" s="1" t="s">
        <v>88</v>
      </c>
    </row>
    <row r="59" spans="2:4" x14ac:dyDescent="0.2">
      <c r="B59" s="1" t="s">
        <v>89</v>
      </c>
    </row>
  </sheetData>
  <hyperlinks>
    <hyperlink ref="D50" r:id="rId1" display="Q325" xr:uid="{E1452F6F-2DD7-744F-964C-E758FBABEC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D664-A1EF-D549-B952-7BAFCFE03B97}">
  <dimension ref="B1:ID61"/>
  <sheetViews>
    <sheetView showGridLines="0" tabSelected="1" zoomScale="109" zoomScaleNormal="14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I6" sqref="I6"/>
    </sheetView>
  </sheetViews>
  <sheetFormatPr baseColWidth="10" defaultRowHeight="16" x14ac:dyDescent="0.2"/>
  <cols>
    <col min="1" max="1" width="1.5" style="1" customWidth="1"/>
    <col min="2" max="2" width="20.83203125" style="1" bestFit="1" customWidth="1"/>
    <col min="3" max="9" width="5.83203125" style="11" bestFit="1" customWidth="1"/>
    <col min="10" max="13" width="6.83203125" style="11" bestFit="1" customWidth="1"/>
    <col min="14" max="14" width="5.83203125" style="11" bestFit="1" customWidth="1"/>
    <col min="15" max="17" width="10.83203125" style="1"/>
    <col min="18" max="18" width="5.33203125" style="1" bestFit="1" customWidth="1"/>
    <col min="19" max="28" width="5.83203125" style="1" bestFit="1" customWidth="1"/>
    <col min="29" max="32" width="5.83203125" style="11" bestFit="1" customWidth="1"/>
    <col min="33" max="38" width="6.83203125" style="11" bestFit="1" customWidth="1"/>
    <col min="39" max="40" width="5.83203125" style="1" bestFit="1" customWidth="1"/>
    <col min="41" max="41" width="8.83203125" style="1" bestFit="1" customWidth="1"/>
    <col min="42" max="42" width="11.1640625" style="1" bestFit="1" customWidth="1"/>
    <col min="43" max="238" width="5.83203125" style="1" bestFit="1" customWidth="1"/>
    <col min="239" max="16384" width="10.83203125" style="1"/>
  </cols>
  <sheetData>
    <row r="1" spans="2:238" x14ac:dyDescent="0.2">
      <c r="AM1" s="1">
        <v>1</v>
      </c>
      <c r="AN1" s="1">
        <f>+AM1+1</f>
        <v>2</v>
      </c>
      <c r="AO1" s="1">
        <f t="shared" ref="AO1:CZ2" si="0">+AN1+1</f>
        <v>3</v>
      </c>
      <c r="AP1" s="1">
        <f t="shared" si="0"/>
        <v>4</v>
      </c>
      <c r="AQ1" s="1">
        <f t="shared" si="0"/>
        <v>5</v>
      </c>
      <c r="AR1" s="1">
        <f t="shared" si="0"/>
        <v>6</v>
      </c>
      <c r="AS1" s="1">
        <f t="shared" si="0"/>
        <v>7</v>
      </c>
      <c r="AT1" s="1">
        <f t="shared" si="0"/>
        <v>8</v>
      </c>
      <c r="AU1" s="1">
        <f t="shared" si="0"/>
        <v>9</v>
      </c>
      <c r="AV1" s="1">
        <f t="shared" si="0"/>
        <v>10</v>
      </c>
      <c r="AW1" s="1">
        <f t="shared" si="0"/>
        <v>11</v>
      </c>
      <c r="AX1" s="1">
        <f t="shared" si="0"/>
        <v>12</v>
      </c>
      <c r="AY1" s="1">
        <f t="shared" si="0"/>
        <v>13</v>
      </c>
      <c r="AZ1" s="1">
        <f t="shared" si="0"/>
        <v>14</v>
      </c>
      <c r="BA1" s="1">
        <f t="shared" si="0"/>
        <v>15</v>
      </c>
      <c r="BB1" s="1">
        <f t="shared" si="0"/>
        <v>16</v>
      </c>
      <c r="BC1" s="1">
        <f t="shared" si="0"/>
        <v>17</v>
      </c>
      <c r="BD1" s="1">
        <f t="shared" si="0"/>
        <v>18</v>
      </c>
      <c r="BE1" s="1">
        <f t="shared" si="0"/>
        <v>19</v>
      </c>
      <c r="BF1" s="1">
        <f t="shared" si="0"/>
        <v>20</v>
      </c>
      <c r="BG1" s="1">
        <f t="shared" si="0"/>
        <v>21</v>
      </c>
      <c r="BH1" s="1">
        <f t="shared" si="0"/>
        <v>22</v>
      </c>
      <c r="BI1" s="1">
        <f t="shared" si="0"/>
        <v>23</v>
      </c>
      <c r="BJ1" s="1">
        <f t="shared" si="0"/>
        <v>24</v>
      </c>
      <c r="BK1" s="1">
        <f t="shared" si="0"/>
        <v>25</v>
      </c>
      <c r="BL1" s="1">
        <f t="shared" si="0"/>
        <v>26</v>
      </c>
      <c r="BM1" s="1">
        <f t="shared" si="0"/>
        <v>27</v>
      </c>
      <c r="BN1" s="1">
        <f t="shared" si="0"/>
        <v>28</v>
      </c>
      <c r="BO1" s="1">
        <f t="shared" si="0"/>
        <v>29</v>
      </c>
      <c r="BP1" s="1">
        <f t="shared" si="0"/>
        <v>30</v>
      </c>
      <c r="BQ1" s="1">
        <f t="shared" si="0"/>
        <v>31</v>
      </c>
      <c r="BR1" s="1">
        <f t="shared" si="0"/>
        <v>32</v>
      </c>
      <c r="BS1" s="1">
        <f t="shared" si="0"/>
        <v>33</v>
      </c>
      <c r="BT1" s="1">
        <f t="shared" si="0"/>
        <v>34</v>
      </c>
      <c r="BU1" s="1">
        <f t="shared" si="0"/>
        <v>35</v>
      </c>
      <c r="BV1" s="1">
        <f t="shared" si="0"/>
        <v>36</v>
      </c>
      <c r="BW1" s="1">
        <f t="shared" si="0"/>
        <v>37</v>
      </c>
      <c r="BX1" s="1">
        <f t="shared" si="0"/>
        <v>38</v>
      </c>
      <c r="BY1" s="1">
        <f t="shared" si="0"/>
        <v>39</v>
      </c>
      <c r="BZ1" s="1">
        <f t="shared" si="0"/>
        <v>40</v>
      </c>
      <c r="CA1" s="1">
        <f t="shared" si="0"/>
        <v>41</v>
      </c>
      <c r="CB1" s="1">
        <f t="shared" si="0"/>
        <v>42</v>
      </c>
      <c r="CC1" s="1">
        <f t="shared" si="0"/>
        <v>43</v>
      </c>
      <c r="CD1" s="1">
        <f t="shared" si="0"/>
        <v>44</v>
      </c>
      <c r="CE1" s="1">
        <f t="shared" si="0"/>
        <v>45</v>
      </c>
      <c r="CF1" s="1">
        <f t="shared" si="0"/>
        <v>46</v>
      </c>
      <c r="CG1" s="1">
        <f t="shared" si="0"/>
        <v>47</v>
      </c>
      <c r="CH1" s="1">
        <f t="shared" si="0"/>
        <v>48</v>
      </c>
      <c r="CI1" s="1">
        <f t="shared" si="0"/>
        <v>49</v>
      </c>
      <c r="CJ1" s="1">
        <f t="shared" si="0"/>
        <v>50</v>
      </c>
      <c r="CK1" s="1">
        <f t="shared" si="0"/>
        <v>51</v>
      </c>
      <c r="CL1" s="1">
        <f t="shared" si="0"/>
        <v>52</v>
      </c>
      <c r="CM1" s="1">
        <f t="shared" si="0"/>
        <v>53</v>
      </c>
      <c r="CN1" s="1">
        <f t="shared" si="0"/>
        <v>54</v>
      </c>
      <c r="CO1" s="1">
        <f t="shared" si="0"/>
        <v>55</v>
      </c>
      <c r="CP1" s="1">
        <f t="shared" si="0"/>
        <v>56</v>
      </c>
      <c r="CQ1" s="1">
        <f t="shared" si="0"/>
        <v>57</v>
      </c>
      <c r="CR1" s="1">
        <f t="shared" si="0"/>
        <v>58</v>
      </c>
      <c r="CS1" s="1">
        <f t="shared" si="0"/>
        <v>59</v>
      </c>
      <c r="CT1" s="1">
        <f t="shared" si="0"/>
        <v>60</v>
      </c>
      <c r="CU1" s="1">
        <f t="shared" si="0"/>
        <v>61</v>
      </c>
      <c r="CV1" s="1">
        <f t="shared" si="0"/>
        <v>62</v>
      </c>
      <c r="CW1" s="1">
        <f t="shared" si="0"/>
        <v>63</v>
      </c>
      <c r="CX1" s="1">
        <f t="shared" si="0"/>
        <v>64</v>
      </c>
      <c r="CY1" s="1">
        <f t="shared" si="0"/>
        <v>65</v>
      </c>
      <c r="CZ1" s="1">
        <f t="shared" si="0"/>
        <v>66</v>
      </c>
      <c r="DA1" s="1">
        <f t="shared" ref="DA1:EL2" si="1">+CZ1+1</f>
        <v>67</v>
      </c>
      <c r="DB1" s="1">
        <f t="shared" si="1"/>
        <v>68</v>
      </c>
      <c r="DC1" s="1">
        <f t="shared" si="1"/>
        <v>69</v>
      </c>
      <c r="DD1" s="1">
        <f t="shared" si="1"/>
        <v>70</v>
      </c>
      <c r="DE1" s="1">
        <f t="shared" si="1"/>
        <v>71</v>
      </c>
      <c r="DF1" s="1">
        <f t="shared" si="1"/>
        <v>72</v>
      </c>
      <c r="DG1" s="1">
        <f t="shared" si="1"/>
        <v>73</v>
      </c>
      <c r="DH1" s="1">
        <f t="shared" si="1"/>
        <v>74</v>
      </c>
      <c r="DI1" s="1">
        <f t="shared" si="1"/>
        <v>75</v>
      </c>
      <c r="DJ1" s="1">
        <f t="shared" si="1"/>
        <v>76</v>
      </c>
      <c r="DK1" s="1">
        <f t="shared" si="1"/>
        <v>77</v>
      </c>
      <c r="DL1" s="1">
        <f t="shared" si="1"/>
        <v>78</v>
      </c>
      <c r="DM1" s="1">
        <f t="shared" si="1"/>
        <v>79</v>
      </c>
      <c r="DN1" s="1">
        <f t="shared" si="1"/>
        <v>80</v>
      </c>
      <c r="DO1" s="1">
        <f t="shared" si="1"/>
        <v>81</v>
      </c>
      <c r="DP1" s="1">
        <f t="shared" si="1"/>
        <v>82</v>
      </c>
      <c r="DQ1" s="1">
        <f t="shared" si="1"/>
        <v>83</v>
      </c>
      <c r="DR1" s="1">
        <f t="shared" si="1"/>
        <v>84</v>
      </c>
      <c r="DS1" s="1">
        <f t="shared" si="1"/>
        <v>85</v>
      </c>
      <c r="DT1" s="1">
        <f t="shared" si="1"/>
        <v>86</v>
      </c>
      <c r="DU1" s="1">
        <f t="shared" si="1"/>
        <v>87</v>
      </c>
      <c r="DV1" s="1">
        <f t="shared" si="1"/>
        <v>88</v>
      </c>
      <c r="DW1" s="1">
        <f t="shared" si="1"/>
        <v>89</v>
      </c>
      <c r="DX1" s="1">
        <f t="shared" si="1"/>
        <v>90</v>
      </c>
      <c r="DY1" s="1">
        <f t="shared" si="1"/>
        <v>91</v>
      </c>
      <c r="DZ1" s="1">
        <f t="shared" si="1"/>
        <v>92</v>
      </c>
      <c r="EA1" s="1">
        <f t="shared" si="1"/>
        <v>93</v>
      </c>
      <c r="EB1" s="1">
        <f t="shared" si="1"/>
        <v>94</v>
      </c>
      <c r="EC1" s="1">
        <f t="shared" si="1"/>
        <v>95</v>
      </c>
      <c r="ED1" s="1">
        <f t="shared" si="1"/>
        <v>96</v>
      </c>
      <c r="EE1" s="1">
        <f t="shared" si="1"/>
        <v>97</v>
      </c>
      <c r="EF1" s="1">
        <f t="shared" si="1"/>
        <v>98</v>
      </c>
      <c r="EG1" s="1">
        <f t="shared" si="1"/>
        <v>99</v>
      </c>
      <c r="EH1" s="1">
        <f t="shared" si="1"/>
        <v>100</v>
      </c>
      <c r="EI1" s="1">
        <f t="shared" si="1"/>
        <v>101</v>
      </c>
      <c r="EJ1" s="1">
        <f t="shared" si="1"/>
        <v>102</v>
      </c>
      <c r="EK1" s="1">
        <f t="shared" si="1"/>
        <v>103</v>
      </c>
      <c r="EL1" s="1">
        <f t="shared" si="1"/>
        <v>104</v>
      </c>
      <c r="EM1" s="1">
        <f t="shared" ref="EM1:GH1" si="2">+EL1+1</f>
        <v>105</v>
      </c>
      <c r="EN1" s="1">
        <f t="shared" si="2"/>
        <v>106</v>
      </c>
      <c r="EO1" s="1">
        <f t="shared" si="2"/>
        <v>107</v>
      </c>
      <c r="EP1" s="1">
        <f t="shared" si="2"/>
        <v>108</v>
      </c>
      <c r="EQ1" s="1">
        <f t="shared" si="2"/>
        <v>109</v>
      </c>
      <c r="ER1" s="1">
        <f t="shared" si="2"/>
        <v>110</v>
      </c>
      <c r="ES1" s="1">
        <f t="shared" si="2"/>
        <v>111</v>
      </c>
      <c r="ET1" s="1">
        <f t="shared" si="2"/>
        <v>112</v>
      </c>
      <c r="EU1" s="1">
        <f t="shared" si="2"/>
        <v>113</v>
      </c>
      <c r="EV1" s="1">
        <f t="shared" si="2"/>
        <v>114</v>
      </c>
      <c r="EW1" s="1">
        <f t="shared" si="2"/>
        <v>115</v>
      </c>
      <c r="EX1" s="1">
        <f t="shared" si="2"/>
        <v>116</v>
      </c>
      <c r="EY1" s="1">
        <f t="shared" si="2"/>
        <v>117</v>
      </c>
      <c r="EZ1" s="1">
        <f t="shared" si="2"/>
        <v>118</v>
      </c>
      <c r="FA1" s="1">
        <f t="shared" si="2"/>
        <v>119</v>
      </c>
      <c r="FB1" s="1">
        <f t="shared" si="2"/>
        <v>120</v>
      </c>
      <c r="FC1" s="1">
        <f t="shared" si="2"/>
        <v>121</v>
      </c>
      <c r="FD1" s="1">
        <f t="shared" si="2"/>
        <v>122</v>
      </c>
      <c r="FE1" s="1">
        <f t="shared" si="2"/>
        <v>123</v>
      </c>
      <c r="FF1" s="1">
        <f t="shared" si="2"/>
        <v>124</v>
      </c>
      <c r="FG1" s="1">
        <f t="shared" si="2"/>
        <v>125</v>
      </c>
      <c r="FH1" s="1">
        <f t="shared" si="2"/>
        <v>126</v>
      </c>
      <c r="FI1" s="1">
        <f t="shared" si="2"/>
        <v>127</v>
      </c>
      <c r="FJ1" s="1">
        <f t="shared" si="2"/>
        <v>128</v>
      </c>
      <c r="FK1" s="1">
        <f t="shared" si="2"/>
        <v>129</v>
      </c>
      <c r="FL1" s="1">
        <f t="shared" si="2"/>
        <v>130</v>
      </c>
      <c r="FM1" s="1">
        <f t="shared" si="2"/>
        <v>131</v>
      </c>
      <c r="FN1" s="1">
        <f t="shared" si="2"/>
        <v>132</v>
      </c>
      <c r="FO1" s="1">
        <f t="shared" si="2"/>
        <v>133</v>
      </c>
      <c r="FP1" s="1">
        <f t="shared" si="2"/>
        <v>134</v>
      </c>
      <c r="FQ1" s="1">
        <f t="shared" si="2"/>
        <v>135</v>
      </c>
      <c r="FR1" s="1">
        <f t="shared" si="2"/>
        <v>136</v>
      </c>
      <c r="FS1" s="1">
        <f t="shared" si="2"/>
        <v>137</v>
      </c>
      <c r="FT1" s="1">
        <f t="shared" si="2"/>
        <v>138</v>
      </c>
      <c r="FU1" s="1">
        <f t="shared" si="2"/>
        <v>139</v>
      </c>
      <c r="FV1" s="1">
        <f t="shared" si="2"/>
        <v>140</v>
      </c>
      <c r="FW1" s="1">
        <f t="shared" si="2"/>
        <v>141</v>
      </c>
      <c r="FX1" s="1">
        <f t="shared" si="2"/>
        <v>142</v>
      </c>
      <c r="FY1" s="1">
        <f t="shared" si="2"/>
        <v>143</v>
      </c>
      <c r="FZ1" s="1">
        <f t="shared" si="2"/>
        <v>144</v>
      </c>
      <c r="GA1" s="1">
        <f t="shared" si="2"/>
        <v>145</v>
      </c>
      <c r="GB1" s="1">
        <f t="shared" si="2"/>
        <v>146</v>
      </c>
      <c r="GC1" s="1">
        <f t="shared" si="2"/>
        <v>147</v>
      </c>
      <c r="GD1" s="1">
        <f t="shared" si="2"/>
        <v>148</v>
      </c>
      <c r="GE1" s="1">
        <f t="shared" si="2"/>
        <v>149</v>
      </c>
      <c r="GF1" s="1">
        <f t="shared" si="2"/>
        <v>150</v>
      </c>
      <c r="GG1" s="1">
        <f t="shared" si="2"/>
        <v>151</v>
      </c>
      <c r="GH1" s="1">
        <f t="shared" si="2"/>
        <v>152</v>
      </c>
      <c r="GI1" s="1">
        <f t="shared" ref="GI1:HK1" si="3">+GH1+1</f>
        <v>153</v>
      </c>
      <c r="GJ1" s="1">
        <f t="shared" si="3"/>
        <v>154</v>
      </c>
      <c r="GK1" s="1">
        <f t="shared" si="3"/>
        <v>155</v>
      </c>
      <c r="GL1" s="1">
        <f t="shared" si="3"/>
        <v>156</v>
      </c>
      <c r="GM1" s="1">
        <f t="shared" si="3"/>
        <v>157</v>
      </c>
      <c r="GN1" s="1">
        <f t="shared" si="3"/>
        <v>158</v>
      </c>
      <c r="GO1" s="1">
        <f t="shared" si="3"/>
        <v>159</v>
      </c>
      <c r="GP1" s="1">
        <f t="shared" si="3"/>
        <v>160</v>
      </c>
      <c r="GQ1" s="1">
        <f t="shared" si="3"/>
        <v>161</v>
      </c>
      <c r="GR1" s="1">
        <f t="shared" si="3"/>
        <v>162</v>
      </c>
      <c r="GS1" s="1">
        <f t="shared" si="3"/>
        <v>163</v>
      </c>
      <c r="GT1" s="1">
        <f t="shared" si="3"/>
        <v>164</v>
      </c>
      <c r="GU1" s="1">
        <f t="shared" si="3"/>
        <v>165</v>
      </c>
      <c r="GV1" s="1">
        <f t="shared" si="3"/>
        <v>166</v>
      </c>
      <c r="GW1" s="1">
        <f t="shared" si="3"/>
        <v>167</v>
      </c>
      <c r="GX1" s="1">
        <f t="shared" si="3"/>
        <v>168</v>
      </c>
      <c r="GY1" s="1">
        <f t="shared" si="3"/>
        <v>169</v>
      </c>
      <c r="GZ1" s="1">
        <f t="shared" si="3"/>
        <v>170</v>
      </c>
      <c r="HA1" s="1">
        <f t="shared" si="3"/>
        <v>171</v>
      </c>
      <c r="HB1" s="1">
        <f t="shared" si="3"/>
        <v>172</v>
      </c>
      <c r="HC1" s="1">
        <f t="shared" si="3"/>
        <v>173</v>
      </c>
      <c r="HD1" s="1">
        <f t="shared" si="3"/>
        <v>174</v>
      </c>
      <c r="HE1" s="1">
        <f t="shared" si="3"/>
        <v>175</v>
      </c>
      <c r="HF1" s="1">
        <f t="shared" si="3"/>
        <v>176</v>
      </c>
      <c r="HG1" s="1">
        <f t="shared" si="3"/>
        <v>177</v>
      </c>
      <c r="HH1" s="1">
        <f t="shared" si="3"/>
        <v>178</v>
      </c>
      <c r="HI1" s="1">
        <f t="shared" si="3"/>
        <v>179</v>
      </c>
      <c r="HJ1" s="1">
        <f t="shared" si="3"/>
        <v>180</v>
      </c>
      <c r="HK1" s="1">
        <f t="shared" si="3"/>
        <v>181</v>
      </c>
      <c r="HL1" s="1">
        <f t="shared" ref="HL1:IA1" si="4">+HK1+1</f>
        <v>182</v>
      </c>
      <c r="HM1" s="1">
        <f t="shared" si="4"/>
        <v>183</v>
      </c>
      <c r="HN1" s="1">
        <f t="shared" si="4"/>
        <v>184</v>
      </c>
      <c r="HO1" s="1">
        <f t="shared" si="4"/>
        <v>185</v>
      </c>
      <c r="HP1" s="1">
        <f t="shared" si="4"/>
        <v>186</v>
      </c>
      <c r="HQ1" s="1">
        <f t="shared" si="4"/>
        <v>187</v>
      </c>
      <c r="HR1" s="1">
        <f t="shared" si="4"/>
        <v>188</v>
      </c>
      <c r="HS1" s="1">
        <f t="shared" si="4"/>
        <v>189</v>
      </c>
      <c r="HT1" s="1">
        <f t="shared" si="4"/>
        <v>190</v>
      </c>
      <c r="HU1" s="1">
        <f t="shared" si="4"/>
        <v>191</v>
      </c>
      <c r="HV1" s="1">
        <f t="shared" si="4"/>
        <v>192</v>
      </c>
      <c r="HW1" s="1">
        <f t="shared" si="4"/>
        <v>193</v>
      </c>
      <c r="HX1" s="1">
        <f t="shared" si="4"/>
        <v>194</v>
      </c>
      <c r="HY1" s="1">
        <f t="shared" si="4"/>
        <v>195</v>
      </c>
      <c r="HZ1" s="1">
        <f t="shared" si="4"/>
        <v>196</v>
      </c>
      <c r="IA1" s="1">
        <f t="shared" si="4"/>
        <v>197</v>
      </c>
      <c r="IB1" s="1">
        <f t="shared" ref="IB1:ID1" si="5">+IA1+1</f>
        <v>198</v>
      </c>
      <c r="IC1" s="1">
        <f t="shared" si="5"/>
        <v>199</v>
      </c>
      <c r="ID1" s="1">
        <f t="shared" si="5"/>
        <v>200</v>
      </c>
    </row>
    <row r="2" spans="2:238" s="3" customFormat="1" x14ac:dyDescent="0.2">
      <c r="C2" s="12" t="s">
        <v>9</v>
      </c>
      <c r="D2" s="12" t="s">
        <v>10</v>
      </c>
      <c r="E2" s="12" t="s">
        <v>11</v>
      </c>
      <c r="F2" s="12" t="s">
        <v>12</v>
      </c>
      <c r="G2" s="12" t="s">
        <v>6</v>
      </c>
      <c r="H2" s="12" t="s">
        <v>13</v>
      </c>
      <c r="I2" s="12" t="s">
        <v>14</v>
      </c>
      <c r="J2" s="12" t="s">
        <v>15</v>
      </c>
      <c r="K2" s="12" t="s">
        <v>33</v>
      </c>
      <c r="L2" s="12" t="s">
        <v>34</v>
      </c>
      <c r="M2" s="12" t="s">
        <v>35</v>
      </c>
      <c r="N2" s="12" t="s">
        <v>36</v>
      </c>
      <c r="R2" s="3">
        <v>2015</v>
      </c>
      <c r="S2" s="3">
        <f>+R2+1</f>
        <v>2016</v>
      </c>
      <c r="T2" s="3">
        <f t="shared" ref="T2:BJ2" si="6">+S2+1</f>
        <v>2017</v>
      </c>
      <c r="U2" s="3">
        <f t="shared" si="6"/>
        <v>2018</v>
      </c>
      <c r="V2" s="3">
        <f t="shared" si="6"/>
        <v>2019</v>
      </c>
      <c r="W2" s="3">
        <f t="shared" si="6"/>
        <v>2020</v>
      </c>
      <c r="X2" s="3">
        <f t="shared" si="6"/>
        <v>2021</v>
      </c>
      <c r="Y2" s="3">
        <f t="shared" si="6"/>
        <v>2022</v>
      </c>
      <c r="Z2" s="3">
        <f t="shared" si="6"/>
        <v>2023</v>
      </c>
      <c r="AA2" s="3">
        <f t="shared" si="6"/>
        <v>2024</v>
      </c>
      <c r="AB2" s="3">
        <f t="shared" si="6"/>
        <v>2025</v>
      </c>
      <c r="AC2" s="12">
        <f t="shared" si="6"/>
        <v>2026</v>
      </c>
      <c r="AD2" s="12">
        <f t="shared" si="6"/>
        <v>2027</v>
      </c>
      <c r="AE2" s="12">
        <f t="shared" si="6"/>
        <v>2028</v>
      </c>
      <c r="AF2" s="12">
        <f t="shared" si="6"/>
        <v>2029</v>
      </c>
      <c r="AG2" s="12">
        <f t="shared" si="6"/>
        <v>2030</v>
      </c>
      <c r="AH2" s="12">
        <f t="shared" si="6"/>
        <v>2031</v>
      </c>
      <c r="AI2" s="12">
        <f t="shared" si="6"/>
        <v>2032</v>
      </c>
      <c r="AJ2" s="12">
        <f t="shared" si="6"/>
        <v>2033</v>
      </c>
      <c r="AK2" s="12">
        <f t="shared" si="6"/>
        <v>2034</v>
      </c>
      <c r="AL2" s="12">
        <f t="shared" si="6"/>
        <v>2035</v>
      </c>
      <c r="AM2" s="3">
        <f t="shared" si="6"/>
        <v>2036</v>
      </c>
      <c r="AN2" s="3">
        <f t="shared" si="6"/>
        <v>2037</v>
      </c>
      <c r="AO2" s="3">
        <f t="shared" si="0"/>
        <v>2038</v>
      </c>
      <c r="AP2" s="3">
        <f t="shared" si="0"/>
        <v>2039</v>
      </c>
      <c r="AQ2" s="3">
        <f t="shared" si="0"/>
        <v>2040</v>
      </c>
      <c r="AR2" s="3">
        <f t="shared" si="0"/>
        <v>2041</v>
      </c>
      <c r="AS2" s="3">
        <f t="shared" si="0"/>
        <v>2042</v>
      </c>
      <c r="AT2" s="3">
        <f t="shared" si="0"/>
        <v>2043</v>
      </c>
      <c r="AU2" s="3">
        <f t="shared" si="0"/>
        <v>2044</v>
      </c>
      <c r="AV2" s="3">
        <f t="shared" si="0"/>
        <v>2045</v>
      </c>
      <c r="AW2" s="3">
        <f t="shared" si="0"/>
        <v>2046</v>
      </c>
      <c r="AX2" s="3">
        <f t="shared" si="0"/>
        <v>2047</v>
      </c>
      <c r="AY2" s="3">
        <f t="shared" si="0"/>
        <v>2048</v>
      </c>
      <c r="AZ2" s="3">
        <f t="shared" si="0"/>
        <v>2049</v>
      </c>
      <c r="BA2" s="3">
        <f t="shared" si="0"/>
        <v>2050</v>
      </c>
      <c r="BB2" s="3">
        <f t="shared" si="0"/>
        <v>2051</v>
      </c>
      <c r="BC2" s="3">
        <f t="shared" si="0"/>
        <v>2052</v>
      </c>
      <c r="BD2" s="3">
        <f t="shared" si="0"/>
        <v>2053</v>
      </c>
      <c r="BE2" s="3">
        <f t="shared" si="0"/>
        <v>2054</v>
      </c>
      <c r="BF2" s="3">
        <f t="shared" si="0"/>
        <v>2055</v>
      </c>
      <c r="BG2" s="3">
        <f t="shared" si="0"/>
        <v>2056</v>
      </c>
      <c r="BH2" s="3">
        <f t="shared" si="0"/>
        <v>2057</v>
      </c>
      <c r="BI2" s="3">
        <f t="shared" si="0"/>
        <v>2058</v>
      </c>
      <c r="BJ2" s="3">
        <f t="shared" si="0"/>
        <v>2059</v>
      </c>
      <c r="BK2" s="3">
        <f t="shared" si="0"/>
        <v>2060</v>
      </c>
      <c r="BL2" s="3">
        <f t="shared" si="0"/>
        <v>2061</v>
      </c>
      <c r="BM2" s="3">
        <f t="shared" si="0"/>
        <v>2062</v>
      </c>
      <c r="BN2" s="3">
        <f t="shared" si="0"/>
        <v>2063</v>
      </c>
      <c r="BO2" s="3">
        <f t="shared" si="0"/>
        <v>2064</v>
      </c>
      <c r="BP2" s="3">
        <f t="shared" si="0"/>
        <v>2065</v>
      </c>
      <c r="BQ2" s="3">
        <f t="shared" si="0"/>
        <v>2066</v>
      </c>
      <c r="BR2" s="3">
        <f t="shared" si="0"/>
        <v>2067</v>
      </c>
      <c r="BS2" s="3">
        <f t="shared" si="0"/>
        <v>2068</v>
      </c>
      <c r="BT2" s="3">
        <f t="shared" si="0"/>
        <v>2069</v>
      </c>
      <c r="BU2" s="3">
        <f t="shared" si="0"/>
        <v>2070</v>
      </c>
      <c r="BV2" s="3">
        <f t="shared" si="0"/>
        <v>2071</v>
      </c>
      <c r="BW2" s="3">
        <f t="shared" si="0"/>
        <v>2072</v>
      </c>
      <c r="BX2" s="3">
        <f t="shared" si="0"/>
        <v>2073</v>
      </c>
      <c r="BY2" s="3">
        <f t="shared" si="0"/>
        <v>2074</v>
      </c>
      <c r="BZ2" s="3">
        <f t="shared" si="0"/>
        <v>2075</v>
      </c>
      <c r="CA2" s="3">
        <f t="shared" si="0"/>
        <v>2076</v>
      </c>
      <c r="CB2" s="3">
        <f t="shared" si="0"/>
        <v>2077</v>
      </c>
      <c r="CC2" s="3">
        <f t="shared" si="0"/>
        <v>2078</v>
      </c>
      <c r="CD2" s="3">
        <f t="shared" si="0"/>
        <v>2079</v>
      </c>
      <c r="CE2" s="3">
        <f t="shared" si="0"/>
        <v>2080</v>
      </c>
      <c r="CF2" s="3">
        <f t="shared" si="0"/>
        <v>2081</v>
      </c>
      <c r="CG2" s="3">
        <f t="shared" si="0"/>
        <v>2082</v>
      </c>
      <c r="CH2" s="3">
        <f t="shared" si="0"/>
        <v>2083</v>
      </c>
      <c r="CI2" s="3">
        <f t="shared" si="0"/>
        <v>2084</v>
      </c>
      <c r="CJ2" s="3">
        <f t="shared" si="0"/>
        <v>2085</v>
      </c>
      <c r="CK2" s="3">
        <f t="shared" si="0"/>
        <v>2086</v>
      </c>
      <c r="CL2" s="3">
        <f t="shared" si="0"/>
        <v>2087</v>
      </c>
      <c r="CM2" s="3">
        <f t="shared" si="0"/>
        <v>2088</v>
      </c>
      <c r="CN2" s="3">
        <f t="shared" si="0"/>
        <v>2089</v>
      </c>
      <c r="CO2" s="3">
        <f t="shared" si="0"/>
        <v>2090</v>
      </c>
      <c r="CP2" s="3">
        <f t="shared" si="0"/>
        <v>2091</v>
      </c>
      <c r="CQ2" s="3">
        <f t="shared" si="0"/>
        <v>2092</v>
      </c>
      <c r="CR2" s="3">
        <f t="shared" si="0"/>
        <v>2093</v>
      </c>
      <c r="CS2" s="3">
        <f t="shared" si="0"/>
        <v>2094</v>
      </c>
      <c r="CT2" s="3">
        <f t="shared" si="0"/>
        <v>2095</v>
      </c>
      <c r="CU2" s="3">
        <f t="shared" si="0"/>
        <v>2096</v>
      </c>
      <c r="CV2" s="3">
        <f t="shared" si="0"/>
        <v>2097</v>
      </c>
      <c r="CW2" s="3">
        <f t="shared" si="0"/>
        <v>2098</v>
      </c>
      <c r="CX2" s="3">
        <f t="shared" si="0"/>
        <v>2099</v>
      </c>
      <c r="CY2" s="3">
        <f t="shared" si="0"/>
        <v>2100</v>
      </c>
      <c r="CZ2" s="3">
        <f t="shared" si="0"/>
        <v>2101</v>
      </c>
      <c r="DA2" s="3">
        <f t="shared" si="1"/>
        <v>2102</v>
      </c>
      <c r="DB2" s="3">
        <f t="shared" si="1"/>
        <v>2103</v>
      </c>
      <c r="DC2" s="3">
        <f t="shared" si="1"/>
        <v>2104</v>
      </c>
      <c r="DD2" s="3">
        <f t="shared" si="1"/>
        <v>2105</v>
      </c>
      <c r="DE2" s="3">
        <f t="shared" si="1"/>
        <v>2106</v>
      </c>
      <c r="DF2" s="3">
        <f t="shared" si="1"/>
        <v>2107</v>
      </c>
      <c r="DG2" s="3">
        <f t="shared" si="1"/>
        <v>2108</v>
      </c>
      <c r="DH2" s="3">
        <f t="shared" si="1"/>
        <v>2109</v>
      </c>
      <c r="DI2" s="3">
        <f t="shared" si="1"/>
        <v>2110</v>
      </c>
      <c r="DJ2" s="3">
        <f t="shared" si="1"/>
        <v>2111</v>
      </c>
      <c r="DK2" s="3">
        <f t="shared" si="1"/>
        <v>2112</v>
      </c>
      <c r="DL2" s="3">
        <f t="shared" si="1"/>
        <v>2113</v>
      </c>
      <c r="DM2" s="3">
        <f t="shared" si="1"/>
        <v>2114</v>
      </c>
      <c r="DN2" s="3">
        <f t="shared" si="1"/>
        <v>2115</v>
      </c>
      <c r="DO2" s="3">
        <f t="shared" si="1"/>
        <v>2116</v>
      </c>
      <c r="DP2" s="3">
        <f t="shared" si="1"/>
        <v>2117</v>
      </c>
      <c r="DQ2" s="3">
        <f t="shared" si="1"/>
        <v>2118</v>
      </c>
      <c r="DR2" s="3">
        <f t="shared" si="1"/>
        <v>2119</v>
      </c>
      <c r="DS2" s="3">
        <f t="shared" si="1"/>
        <v>2120</v>
      </c>
      <c r="DT2" s="3">
        <f t="shared" si="1"/>
        <v>2121</v>
      </c>
      <c r="DU2" s="3">
        <f t="shared" si="1"/>
        <v>2122</v>
      </c>
      <c r="DV2" s="3">
        <f t="shared" si="1"/>
        <v>2123</v>
      </c>
      <c r="DW2" s="3">
        <f t="shared" si="1"/>
        <v>2124</v>
      </c>
      <c r="DX2" s="3">
        <f t="shared" si="1"/>
        <v>2125</v>
      </c>
      <c r="DY2" s="3">
        <f t="shared" si="1"/>
        <v>2126</v>
      </c>
      <c r="DZ2" s="3">
        <f t="shared" si="1"/>
        <v>2127</v>
      </c>
      <c r="EA2" s="3">
        <f t="shared" si="1"/>
        <v>2128</v>
      </c>
      <c r="EB2" s="3">
        <f t="shared" si="1"/>
        <v>2129</v>
      </c>
      <c r="EC2" s="3">
        <f t="shared" si="1"/>
        <v>2130</v>
      </c>
      <c r="ED2" s="3">
        <f t="shared" si="1"/>
        <v>2131</v>
      </c>
      <c r="EE2" s="3">
        <f t="shared" si="1"/>
        <v>2132</v>
      </c>
      <c r="EF2" s="3">
        <f t="shared" si="1"/>
        <v>2133</v>
      </c>
      <c r="EG2" s="3">
        <f t="shared" si="1"/>
        <v>2134</v>
      </c>
      <c r="EH2" s="3">
        <f t="shared" si="1"/>
        <v>2135</v>
      </c>
      <c r="EI2" s="3">
        <f t="shared" si="1"/>
        <v>2136</v>
      </c>
      <c r="EJ2" s="3">
        <f t="shared" si="1"/>
        <v>2137</v>
      </c>
      <c r="EK2" s="3">
        <f t="shared" si="1"/>
        <v>2138</v>
      </c>
      <c r="EL2" s="3">
        <f t="shared" si="1"/>
        <v>2139</v>
      </c>
      <c r="EM2" s="3">
        <f t="shared" ref="EM2:GH2" si="7">+EL2+1</f>
        <v>2140</v>
      </c>
      <c r="EN2" s="3">
        <f t="shared" si="7"/>
        <v>2141</v>
      </c>
      <c r="EO2" s="3">
        <f t="shared" si="7"/>
        <v>2142</v>
      </c>
      <c r="EP2" s="3">
        <f t="shared" si="7"/>
        <v>2143</v>
      </c>
      <c r="EQ2" s="3">
        <f t="shared" si="7"/>
        <v>2144</v>
      </c>
      <c r="ER2" s="3">
        <f t="shared" si="7"/>
        <v>2145</v>
      </c>
      <c r="ES2" s="3">
        <f t="shared" si="7"/>
        <v>2146</v>
      </c>
      <c r="ET2" s="3">
        <f t="shared" si="7"/>
        <v>2147</v>
      </c>
      <c r="EU2" s="3">
        <f t="shared" si="7"/>
        <v>2148</v>
      </c>
      <c r="EV2" s="3">
        <f t="shared" si="7"/>
        <v>2149</v>
      </c>
      <c r="EW2" s="3">
        <f t="shared" si="7"/>
        <v>2150</v>
      </c>
      <c r="EX2" s="3">
        <f t="shared" si="7"/>
        <v>2151</v>
      </c>
      <c r="EY2" s="3">
        <f t="shared" si="7"/>
        <v>2152</v>
      </c>
      <c r="EZ2" s="3">
        <f t="shared" si="7"/>
        <v>2153</v>
      </c>
      <c r="FA2" s="3">
        <f t="shared" si="7"/>
        <v>2154</v>
      </c>
      <c r="FB2" s="3">
        <f t="shared" si="7"/>
        <v>2155</v>
      </c>
      <c r="FC2" s="3">
        <f t="shared" si="7"/>
        <v>2156</v>
      </c>
      <c r="FD2" s="3">
        <f t="shared" si="7"/>
        <v>2157</v>
      </c>
      <c r="FE2" s="3">
        <f t="shared" si="7"/>
        <v>2158</v>
      </c>
      <c r="FF2" s="3">
        <f t="shared" si="7"/>
        <v>2159</v>
      </c>
      <c r="FG2" s="3">
        <f t="shared" si="7"/>
        <v>2160</v>
      </c>
      <c r="FH2" s="3">
        <f t="shared" si="7"/>
        <v>2161</v>
      </c>
      <c r="FI2" s="3">
        <f t="shared" si="7"/>
        <v>2162</v>
      </c>
      <c r="FJ2" s="3">
        <f t="shared" si="7"/>
        <v>2163</v>
      </c>
      <c r="FK2" s="3">
        <f t="shared" si="7"/>
        <v>2164</v>
      </c>
      <c r="FL2" s="3">
        <f t="shared" si="7"/>
        <v>2165</v>
      </c>
      <c r="FM2" s="3">
        <f t="shared" si="7"/>
        <v>2166</v>
      </c>
      <c r="FN2" s="3">
        <f t="shared" si="7"/>
        <v>2167</v>
      </c>
      <c r="FO2" s="3">
        <f t="shared" si="7"/>
        <v>2168</v>
      </c>
      <c r="FP2" s="3">
        <f t="shared" si="7"/>
        <v>2169</v>
      </c>
      <c r="FQ2" s="3">
        <f t="shared" si="7"/>
        <v>2170</v>
      </c>
      <c r="FR2" s="3">
        <f t="shared" si="7"/>
        <v>2171</v>
      </c>
      <c r="FS2" s="3">
        <f t="shared" si="7"/>
        <v>2172</v>
      </c>
      <c r="FT2" s="3">
        <f t="shared" si="7"/>
        <v>2173</v>
      </c>
      <c r="FU2" s="3">
        <f t="shared" si="7"/>
        <v>2174</v>
      </c>
      <c r="FV2" s="3">
        <f t="shared" si="7"/>
        <v>2175</v>
      </c>
      <c r="FW2" s="3">
        <f t="shared" si="7"/>
        <v>2176</v>
      </c>
      <c r="FX2" s="3">
        <f t="shared" si="7"/>
        <v>2177</v>
      </c>
      <c r="FY2" s="3">
        <f t="shared" si="7"/>
        <v>2178</v>
      </c>
      <c r="FZ2" s="3">
        <f t="shared" si="7"/>
        <v>2179</v>
      </c>
      <c r="GA2" s="3">
        <f t="shared" si="7"/>
        <v>2180</v>
      </c>
      <c r="GB2" s="3">
        <f t="shared" si="7"/>
        <v>2181</v>
      </c>
      <c r="GC2" s="3">
        <f t="shared" si="7"/>
        <v>2182</v>
      </c>
      <c r="GD2" s="3">
        <f t="shared" si="7"/>
        <v>2183</v>
      </c>
      <c r="GE2" s="3">
        <f t="shared" si="7"/>
        <v>2184</v>
      </c>
      <c r="GF2" s="3">
        <f t="shared" si="7"/>
        <v>2185</v>
      </c>
      <c r="GG2" s="3">
        <f t="shared" si="7"/>
        <v>2186</v>
      </c>
      <c r="GH2" s="3">
        <f t="shared" si="7"/>
        <v>2187</v>
      </c>
      <c r="GI2" s="3">
        <f t="shared" ref="GI2:HK2" si="8">+GH2+1</f>
        <v>2188</v>
      </c>
      <c r="GJ2" s="3">
        <f t="shared" si="8"/>
        <v>2189</v>
      </c>
      <c r="GK2" s="3">
        <f t="shared" si="8"/>
        <v>2190</v>
      </c>
      <c r="GL2" s="3">
        <f t="shared" si="8"/>
        <v>2191</v>
      </c>
      <c r="GM2" s="3">
        <f t="shared" si="8"/>
        <v>2192</v>
      </c>
      <c r="GN2" s="3">
        <f t="shared" si="8"/>
        <v>2193</v>
      </c>
      <c r="GO2" s="3">
        <f t="shared" si="8"/>
        <v>2194</v>
      </c>
      <c r="GP2" s="3">
        <f t="shared" si="8"/>
        <v>2195</v>
      </c>
      <c r="GQ2" s="3">
        <f t="shared" si="8"/>
        <v>2196</v>
      </c>
      <c r="GR2" s="3">
        <f t="shared" si="8"/>
        <v>2197</v>
      </c>
      <c r="GS2" s="3">
        <f t="shared" si="8"/>
        <v>2198</v>
      </c>
      <c r="GT2" s="3">
        <f t="shared" si="8"/>
        <v>2199</v>
      </c>
      <c r="GU2" s="3">
        <f t="shared" si="8"/>
        <v>2200</v>
      </c>
      <c r="GV2" s="3">
        <f t="shared" si="8"/>
        <v>2201</v>
      </c>
      <c r="GW2" s="3">
        <f t="shared" si="8"/>
        <v>2202</v>
      </c>
      <c r="GX2" s="3">
        <f t="shared" si="8"/>
        <v>2203</v>
      </c>
      <c r="GY2" s="3">
        <f t="shared" si="8"/>
        <v>2204</v>
      </c>
      <c r="GZ2" s="3">
        <f t="shared" si="8"/>
        <v>2205</v>
      </c>
      <c r="HA2" s="3">
        <f t="shared" si="8"/>
        <v>2206</v>
      </c>
      <c r="HB2" s="3">
        <f t="shared" si="8"/>
        <v>2207</v>
      </c>
      <c r="HC2" s="3">
        <f t="shared" si="8"/>
        <v>2208</v>
      </c>
      <c r="HD2" s="3">
        <f t="shared" si="8"/>
        <v>2209</v>
      </c>
      <c r="HE2" s="3">
        <f t="shared" si="8"/>
        <v>2210</v>
      </c>
      <c r="HF2" s="3">
        <f t="shared" si="8"/>
        <v>2211</v>
      </c>
      <c r="HG2" s="3">
        <f t="shared" si="8"/>
        <v>2212</v>
      </c>
      <c r="HH2" s="3">
        <f t="shared" si="8"/>
        <v>2213</v>
      </c>
      <c r="HI2" s="3">
        <f t="shared" si="8"/>
        <v>2214</v>
      </c>
      <c r="HJ2" s="3">
        <f t="shared" si="8"/>
        <v>2215</v>
      </c>
      <c r="HK2" s="3">
        <f t="shared" si="8"/>
        <v>2216</v>
      </c>
      <c r="HL2" s="3">
        <f t="shared" ref="HL2:IA2" si="9">+HK2+1</f>
        <v>2217</v>
      </c>
      <c r="HM2" s="3">
        <f t="shared" si="9"/>
        <v>2218</v>
      </c>
      <c r="HN2" s="3">
        <f t="shared" si="9"/>
        <v>2219</v>
      </c>
      <c r="HO2" s="3">
        <f t="shared" si="9"/>
        <v>2220</v>
      </c>
      <c r="HP2" s="3">
        <f t="shared" si="9"/>
        <v>2221</v>
      </c>
      <c r="HQ2" s="3">
        <f t="shared" si="9"/>
        <v>2222</v>
      </c>
      <c r="HR2" s="3">
        <f t="shared" si="9"/>
        <v>2223</v>
      </c>
      <c r="HS2" s="3">
        <f t="shared" si="9"/>
        <v>2224</v>
      </c>
      <c r="HT2" s="3">
        <f t="shared" si="9"/>
        <v>2225</v>
      </c>
      <c r="HU2" s="3">
        <f t="shared" si="9"/>
        <v>2226</v>
      </c>
      <c r="HV2" s="3">
        <f t="shared" si="9"/>
        <v>2227</v>
      </c>
      <c r="HW2" s="3">
        <f t="shared" si="9"/>
        <v>2228</v>
      </c>
      <c r="HX2" s="3">
        <f t="shared" si="9"/>
        <v>2229</v>
      </c>
      <c r="HY2" s="3">
        <f t="shared" si="9"/>
        <v>2230</v>
      </c>
      <c r="HZ2" s="3">
        <f t="shared" si="9"/>
        <v>2231</v>
      </c>
      <c r="IA2" s="3">
        <f t="shared" si="9"/>
        <v>2232</v>
      </c>
      <c r="IB2" s="3">
        <f t="shared" ref="IB2:ID2" si="10">+IA2+1</f>
        <v>2233</v>
      </c>
      <c r="IC2" s="3">
        <f t="shared" si="10"/>
        <v>2234</v>
      </c>
      <c r="ID2" s="3">
        <f t="shared" si="10"/>
        <v>2235</v>
      </c>
    </row>
    <row r="3" spans="2:238" x14ac:dyDescent="0.2">
      <c r="B3" s="1" t="s">
        <v>16</v>
      </c>
      <c r="C3" s="11">
        <v>1301.7</v>
      </c>
      <c r="D3" s="11">
        <v>1280.0999999999999</v>
      </c>
      <c r="E3" s="11">
        <v>995.2</v>
      </c>
      <c r="F3" s="11">
        <f>+AA3-SUM(C3:E3)</f>
        <v>695.39999999999964</v>
      </c>
      <c r="G3" s="11">
        <v>644.70000000000005</v>
      </c>
      <c r="H3" s="11">
        <v>594.6</v>
      </c>
      <c r="I3" s="11">
        <v>533.20000000000005</v>
      </c>
      <c r="J3" s="11">
        <f>+AB3-SUM(G3:I3)</f>
        <v>477.19999999999959</v>
      </c>
      <c r="K3" s="11">
        <v>532.6</v>
      </c>
      <c r="L3" s="11">
        <v>584.5</v>
      </c>
      <c r="M3" s="11">
        <v>586.5</v>
      </c>
      <c r="N3" s="11">
        <f>+N$6*(J3/J$6)</f>
        <v>619.54868624420408</v>
      </c>
      <c r="S3" s="1">
        <v>1345.499</v>
      </c>
      <c r="T3" s="1">
        <v>2147.3380000000002</v>
      </c>
      <c r="U3" s="1">
        <v>2619.1</v>
      </c>
      <c r="V3" s="1">
        <v>2921.9</v>
      </c>
      <c r="W3" s="1">
        <v>2817.9</v>
      </c>
      <c r="X3" s="1">
        <v>2961</v>
      </c>
      <c r="Y3" s="1">
        <v>3814.8</v>
      </c>
      <c r="Z3" s="1">
        <v>4755.7</v>
      </c>
      <c r="AA3" s="1">
        <v>4272.3999999999996</v>
      </c>
      <c r="AB3" s="1">
        <v>2249.6999999999998</v>
      </c>
      <c r="AC3" s="11">
        <f>SUM(K3:N3)</f>
        <v>2323.1486862442039</v>
      </c>
    </row>
    <row r="4" spans="2:238" x14ac:dyDescent="0.2">
      <c r="B4" s="1" t="s">
        <v>17</v>
      </c>
      <c r="C4" s="11">
        <v>633.6</v>
      </c>
      <c r="D4" s="11">
        <v>623</v>
      </c>
      <c r="E4" s="11">
        <v>430.6</v>
      </c>
      <c r="F4" s="11">
        <f t="shared" ref="F4:F16" si="11">+AA4-SUM(C4:E4)</f>
        <v>329.20000000000027</v>
      </c>
      <c r="G4" s="11">
        <v>330.6</v>
      </c>
      <c r="H4" s="11">
        <v>292.10000000000002</v>
      </c>
      <c r="I4" s="11">
        <v>272.7</v>
      </c>
      <c r="J4" s="11">
        <f t="shared" ref="J4:J16" si="12">+AB4-SUM(G4:I4)</f>
        <v>261.59999999999991</v>
      </c>
      <c r="K4" s="11">
        <v>316.2</v>
      </c>
      <c r="L4" s="11">
        <v>321.5</v>
      </c>
      <c r="M4" s="11">
        <v>322.89999999999998</v>
      </c>
      <c r="N4" s="11">
        <f>+N$6*(J4/J$6)</f>
        <v>339.63523956723355</v>
      </c>
      <c r="S4" s="1">
        <v>595.45500000000004</v>
      </c>
      <c r="T4" s="1">
        <v>888.87800000000004</v>
      </c>
      <c r="U4" s="1">
        <v>952</v>
      </c>
      <c r="V4" s="1">
        <v>1530.7</v>
      </c>
      <c r="W4" s="1">
        <v>1511.1</v>
      </c>
      <c r="X4" s="1">
        <v>1519.8</v>
      </c>
      <c r="Y4" s="1">
        <v>1939.1</v>
      </c>
      <c r="Z4" s="1">
        <v>2376.9</v>
      </c>
      <c r="AA4" s="1">
        <v>2016.4</v>
      </c>
      <c r="AB4" s="1">
        <v>1157</v>
      </c>
      <c r="AC4" s="11">
        <f>SUM(K4:N4)</f>
        <v>1300.2352395672335</v>
      </c>
    </row>
    <row r="5" spans="2:238" x14ac:dyDescent="0.2">
      <c r="B5" s="1" t="s">
        <v>18</v>
      </c>
      <c r="C5" s="11">
        <v>353.3</v>
      </c>
      <c r="D5" s="11">
        <v>351.2</v>
      </c>
      <c r="E5" s="11">
        <v>339.9</v>
      </c>
      <c r="F5" s="11">
        <f t="shared" si="11"/>
        <v>301.19999999999982</v>
      </c>
      <c r="G5" s="11">
        <v>266</v>
      </c>
      <c r="H5" s="11">
        <v>277.10000000000002</v>
      </c>
      <c r="I5" s="11">
        <v>220.1</v>
      </c>
      <c r="J5" s="11">
        <f t="shared" si="12"/>
        <v>231.69999999999993</v>
      </c>
      <c r="K5" s="11">
        <v>226.7</v>
      </c>
      <c r="L5" s="11">
        <v>234.4</v>
      </c>
      <c r="M5" s="11">
        <v>276.60000000000002</v>
      </c>
      <c r="N5" s="11">
        <f>+N$6*(J5/J$6)</f>
        <v>300.81607418856282</v>
      </c>
      <c r="S5" s="1">
        <f>116.945+89.124+26.311</f>
        <v>232.38</v>
      </c>
      <c r="T5" s="1">
        <f>184.107+91.156+96.328</f>
        <v>371.59100000000001</v>
      </c>
      <c r="U5" s="1">
        <f>199.7+104.8+105.2</f>
        <v>409.7</v>
      </c>
      <c r="V5" s="1">
        <f>303.8+593.1</f>
        <v>896.90000000000009</v>
      </c>
      <c r="W5" s="1">
        <v>945.2</v>
      </c>
      <c r="X5" s="1">
        <v>957.6</v>
      </c>
      <c r="Y5" s="1">
        <v>1067</v>
      </c>
      <c r="Z5" s="1">
        <v>1306.0999999999999</v>
      </c>
      <c r="AA5" s="1">
        <v>1345.6</v>
      </c>
      <c r="AB5" s="1">
        <v>994.9</v>
      </c>
      <c r="AC5" s="11">
        <f>SUM(K5:N5)</f>
        <v>1038.5160741885629</v>
      </c>
    </row>
    <row r="6" spans="2:238" s="2" customFormat="1" x14ac:dyDescent="0.2">
      <c r="B6" s="7" t="s">
        <v>19</v>
      </c>
      <c r="C6" s="13">
        <f>+SUM(C3:C5)</f>
        <v>2288.6000000000004</v>
      </c>
      <c r="D6" s="13">
        <f>+SUM(D3:D5)</f>
        <v>2254.2999999999997</v>
      </c>
      <c r="E6" s="13">
        <f>+SUM(E3:E5)</f>
        <v>1765.7000000000003</v>
      </c>
      <c r="F6" s="13">
        <f t="shared" si="11"/>
        <v>1325.7999999999993</v>
      </c>
      <c r="G6" s="13">
        <f>+SUM(G3:G5)</f>
        <v>1241.3000000000002</v>
      </c>
      <c r="H6" s="13">
        <f>+SUM(H3:H5)</f>
        <v>1163.8000000000002</v>
      </c>
      <c r="I6" s="13">
        <f>+SUM(I3:I5)</f>
        <v>1026</v>
      </c>
      <c r="J6" s="13">
        <f t="shared" si="12"/>
        <v>970.49999999999909</v>
      </c>
      <c r="K6" s="13">
        <f>+SUM(K3:K5)</f>
        <v>1075.5</v>
      </c>
      <c r="L6" s="13">
        <f>+SUM(L3:L5)</f>
        <v>1140.4000000000001</v>
      </c>
      <c r="M6" s="13">
        <f>+SUM(M3:M5)</f>
        <v>1186</v>
      </c>
      <c r="N6" s="13">
        <v>1260</v>
      </c>
      <c r="O6" s="7"/>
      <c r="P6" s="7"/>
      <c r="Q6" s="7"/>
      <c r="R6" s="7"/>
      <c r="S6" s="7">
        <f t="shared" ref="S6:AB6" si="13">+SUM(S3:S5)</f>
        <v>2173.3340000000003</v>
      </c>
      <c r="T6" s="7">
        <f t="shared" si="13"/>
        <v>3407.8070000000002</v>
      </c>
      <c r="U6" s="7">
        <f t="shared" si="13"/>
        <v>3980.7999999999997</v>
      </c>
      <c r="V6" s="7">
        <f t="shared" si="13"/>
        <v>5349.5</v>
      </c>
      <c r="W6" s="7">
        <f t="shared" si="13"/>
        <v>5274.2</v>
      </c>
      <c r="X6" s="7">
        <f t="shared" si="13"/>
        <v>5438.4000000000005</v>
      </c>
      <c r="Y6" s="7">
        <f t="shared" si="13"/>
        <v>6820.9</v>
      </c>
      <c r="Z6" s="7">
        <f t="shared" si="13"/>
        <v>8438.7000000000007</v>
      </c>
      <c r="AA6" s="7">
        <f t="shared" si="13"/>
        <v>7634.4</v>
      </c>
      <c r="AB6" s="7">
        <f t="shared" si="13"/>
        <v>4401.5999999999995</v>
      </c>
      <c r="AC6" s="13">
        <f>SUM(K6:N6)</f>
        <v>4661.8999999999996</v>
      </c>
      <c r="AD6" s="13">
        <f>+AC6*1.25</f>
        <v>5827.375</v>
      </c>
      <c r="AE6" s="13">
        <f t="shared" ref="AE6:AL6" si="14">+AD6*1.25</f>
        <v>7284.21875</v>
      </c>
      <c r="AF6" s="13">
        <f t="shared" si="14"/>
        <v>9105.2734375</v>
      </c>
      <c r="AG6" s="13">
        <f t="shared" si="14"/>
        <v>11381.591796875</v>
      </c>
      <c r="AH6" s="13">
        <f t="shared" si="14"/>
        <v>14226.98974609375</v>
      </c>
      <c r="AI6" s="13">
        <f t="shared" si="14"/>
        <v>17783.737182617188</v>
      </c>
      <c r="AJ6" s="13">
        <f t="shared" si="14"/>
        <v>22229.671478271484</v>
      </c>
      <c r="AK6" s="13">
        <f t="shared" si="14"/>
        <v>27787.089347839355</v>
      </c>
      <c r="AL6" s="13">
        <f t="shared" si="14"/>
        <v>34733.861684799194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</row>
    <row r="7" spans="2:238" ht="17" customHeight="1" x14ac:dyDescent="0.2">
      <c r="B7" s="1" t="s">
        <v>23</v>
      </c>
      <c r="C7" s="11">
        <v>730.2</v>
      </c>
      <c r="D7" s="11">
        <v>726.9</v>
      </c>
      <c r="E7" s="11">
        <v>645.70000000000005</v>
      </c>
      <c r="F7" s="11">
        <f t="shared" si="11"/>
        <v>535.89999999999964</v>
      </c>
      <c r="G7" s="11">
        <v>504.4</v>
      </c>
      <c r="H7" s="11">
        <v>495.3</v>
      </c>
      <c r="I7" s="11">
        <v>246.2</v>
      </c>
      <c r="J7" s="11">
        <f t="shared" si="12"/>
        <v>687.8</v>
      </c>
      <c r="K7" s="11">
        <v>498.8</v>
      </c>
      <c r="L7" s="11">
        <v>502.5</v>
      </c>
      <c r="M7" s="11">
        <v>479.1</v>
      </c>
      <c r="N7" s="11">
        <f>+N$6*(M7/M$6)</f>
        <v>508.99325463743679</v>
      </c>
      <c r="Z7" s="1">
        <v>2740.8</v>
      </c>
      <c r="AA7" s="1">
        <v>2638.7</v>
      </c>
      <c r="AB7" s="1">
        <v>1933.7</v>
      </c>
      <c r="AC7" s="11">
        <f>SUM(K7:N7)</f>
        <v>1989.3932546374369</v>
      </c>
      <c r="AD7" s="11">
        <f>+AD$6*(AC7/AC$6)</f>
        <v>2486.7415682967962</v>
      </c>
      <c r="AE7" s="11">
        <f t="shared" ref="AE7:AL7" si="15">+AE$6*(AD7/AD$6)</f>
        <v>3108.4269603709954</v>
      </c>
      <c r="AF7" s="11">
        <f t="shared" si="15"/>
        <v>3885.5337004637445</v>
      </c>
      <c r="AG7" s="11">
        <f t="shared" si="15"/>
        <v>4856.91712557968</v>
      </c>
      <c r="AH7" s="11">
        <f t="shared" si="15"/>
        <v>6071.1464069746007</v>
      </c>
      <c r="AI7" s="11">
        <f t="shared" si="15"/>
        <v>7588.9330087182507</v>
      </c>
      <c r="AJ7" s="11">
        <f t="shared" si="15"/>
        <v>9486.1662608978131</v>
      </c>
      <c r="AK7" s="11">
        <f t="shared" si="15"/>
        <v>11857.707826122267</v>
      </c>
      <c r="AL7" s="11">
        <f t="shared" si="15"/>
        <v>14822.134782652833</v>
      </c>
    </row>
    <row r="8" spans="2:238" x14ac:dyDescent="0.2">
      <c r="B8" s="1" t="s">
        <v>21</v>
      </c>
      <c r="C8" s="11">
        <v>298.5</v>
      </c>
      <c r="D8" s="11">
        <v>292.60000000000002</v>
      </c>
      <c r="E8" s="11">
        <v>266</v>
      </c>
      <c r="F8" s="11">
        <f t="shared" si="11"/>
        <v>240.30000000000007</v>
      </c>
      <c r="G8" s="11">
        <v>241.7</v>
      </c>
      <c r="H8" s="11">
        <v>240.7</v>
      </c>
      <c r="I8" s="11">
        <v>158.19999999999999</v>
      </c>
      <c r="J8" s="11">
        <f t="shared" si="12"/>
        <v>343.20000000000005</v>
      </c>
      <c r="K8" s="11">
        <v>255.5</v>
      </c>
      <c r="L8" s="11">
        <v>262.3</v>
      </c>
      <c r="M8" s="11">
        <v>274.3</v>
      </c>
      <c r="N8" s="11">
        <f>+N$6*(M8/M$6)</f>
        <v>291.4148397976391</v>
      </c>
      <c r="Z8" s="1">
        <v>1118.3</v>
      </c>
      <c r="AA8" s="1">
        <v>1097.4000000000001</v>
      </c>
      <c r="AB8" s="1">
        <v>983.8</v>
      </c>
      <c r="AC8" s="11">
        <f t="shared" ref="AC8:AC16" si="16">SUM(K8:N8)</f>
        <v>1083.5148397976391</v>
      </c>
      <c r="AD8" s="11">
        <f t="shared" ref="AD8:AL9" si="17">+AD$6*(AC8/AC$6)</f>
        <v>1354.3935497470488</v>
      </c>
      <c r="AE8" s="11">
        <f t="shared" si="17"/>
        <v>1692.9919371838112</v>
      </c>
      <c r="AF8" s="11">
        <f t="shared" si="17"/>
        <v>2116.2399214797638</v>
      </c>
      <c r="AG8" s="11">
        <f t="shared" si="17"/>
        <v>2645.2999018497044</v>
      </c>
      <c r="AH8" s="11">
        <f t="shared" si="17"/>
        <v>3306.6248773121301</v>
      </c>
      <c r="AI8" s="11">
        <f t="shared" si="17"/>
        <v>4133.2810966401621</v>
      </c>
      <c r="AJ8" s="11">
        <f t="shared" si="17"/>
        <v>5166.6013708002029</v>
      </c>
      <c r="AK8" s="11">
        <f t="shared" si="17"/>
        <v>6458.2517135002536</v>
      </c>
      <c r="AL8" s="11">
        <f t="shared" si="17"/>
        <v>8072.8146418753176</v>
      </c>
    </row>
    <row r="9" spans="2:238" x14ac:dyDescent="0.2">
      <c r="B9" s="1" t="s">
        <v>22</v>
      </c>
      <c r="C9" s="11">
        <v>206.3</v>
      </c>
      <c r="D9" s="11">
        <v>196.6</v>
      </c>
      <c r="E9" s="11">
        <v>172.2</v>
      </c>
      <c r="F9" s="11">
        <f t="shared" si="11"/>
        <v>159.10000000000014</v>
      </c>
      <c r="G9" s="11">
        <v>150.5</v>
      </c>
      <c r="H9" s="11">
        <v>157</v>
      </c>
      <c r="I9" s="11">
        <v>159.30000000000001</v>
      </c>
      <c r="J9" s="11">
        <f t="shared" si="12"/>
        <v>150.90000000000003</v>
      </c>
      <c r="K9" s="11">
        <v>159.30000000000001</v>
      </c>
      <c r="L9" s="11">
        <v>172.3</v>
      </c>
      <c r="M9" s="11">
        <v>168.5</v>
      </c>
      <c r="N9" s="11">
        <f>+N$6*(M9/M$6)</f>
        <v>179.01349072512647</v>
      </c>
      <c r="Z9" s="1">
        <v>797.7</v>
      </c>
      <c r="AA9" s="1">
        <v>734.2</v>
      </c>
      <c r="AB9" s="1">
        <v>617.70000000000005</v>
      </c>
      <c r="AC9" s="11">
        <f t="shared" si="16"/>
        <v>679.11349072512644</v>
      </c>
      <c r="AD9" s="11">
        <f t="shared" si="17"/>
        <v>848.89186340640811</v>
      </c>
      <c r="AE9" s="11">
        <f t="shared" si="17"/>
        <v>1061.1148292580101</v>
      </c>
      <c r="AF9" s="11">
        <f t="shared" si="17"/>
        <v>1326.3935365725126</v>
      </c>
      <c r="AG9" s="11">
        <f t="shared" si="17"/>
        <v>1657.9919207156408</v>
      </c>
      <c r="AH9" s="11">
        <f t="shared" si="17"/>
        <v>2072.4899008945508</v>
      </c>
      <c r="AI9" s="11">
        <f t="shared" si="17"/>
        <v>2590.6123761181889</v>
      </c>
      <c r="AJ9" s="11">
        <f t="shared" si="17"/>
        <v>3238.2654701477359</v>
      </c>
      <c r="AK9" s="11">
        <f t="shared" si="17"/>
        <v>4047.8318376846701</v>
      </c>
      <c r="AL9" s="11">
        <f t="shared" si="17"/>
        <v>5059.7897971058374</v>
      </c>
    </row>
    <row r="10" spans="2:238" x14ac:dyDescent="0.2">
      <c r="B10" s="1" t="s">
        <v>24</v>
      </c>
      <c r="C10" s="11">
        <f>+C6-SUM(C7:C9)</f>
        <v>1053.6000000000004</v>
      </c>
      <c r="D10" s="11">
        <f>+D6-SUM(D7:D9)</f>
        <v>1038.1999999999998</v>
      </c>
      <c r="E10" s="11">
        <f>+E6-SUM(E7:E9)</f>
        <v>681.80000000000018</v>
      </c>
      <c r="F10" s="11">
        <f t="shared" si="11"/>
        <v>390.49999999999909</v>
      </c>
      <c r="G10" s="11">
        <f>+G6-SUM(G7:G9)</f>
        <v>344.70000000000027</v>
      </c>
      <c r="H10" s="11">
        <f>+H6-SUM(H7:H9)</f>
        <v>270.80000000000018</v>
      </c>
      <c r="I10" s="11">
        <f>+I6-SUM(I7:I9)</f>
        <v>462.29999999999995</v>
      </c>
      <c r="J10" s="11">
        <f t="shared" si="12"/>
        <v>-211.40000000000077</v>
      </c>
      <c r="K10" s="11">
        <f>+K6-SUM(K7:K9)</f>
        <v>161.90000000000009</v>
      </c>
      <c r="L10" s="11">
        <f>+L6-SUM(L7:L9)</f>
        <v>203.30000000000018</v>
      </c>
      <c r="M10" s="11">
        <f>+M6-SUM(M7:M9)</f>
        <v>264.09999999999991</v>
      </c>
      <c r="N10" s="11">
        <f>+N6-SUM(N7:N9)</f>
        <v>280.57841483979769</v>
      </c>
      <c r="Z10" s="1">
        <f>+Z6-SUM(Z7:Z9)</f>
        <v>3781.9000000000005</v>
      </c>
      <c r="AA10" s="1">
        <f>+AA6-SUM(AA7:AA9)</f>
        <v>3164.0999999999995</v>
      </c>
      <c r="AB10" s="1">
        <f>+AB6-SUM(AB7:AB9)</f>
        <v>866.39999999999964</v>
      </c>
      <c r="AC10" s="11">
        <f t="shared" si="16"/>
        <v>909.87841483979787</v>
      </c>
      <c r="AD10" s="11">
        <f>+AD6-SUM(AD7:AD9)</f>
        <v>1137.3480185497465</v>
      </c>
      <c r="AE10" s="11">
        <f t="shared" ref="AE10:AL10" si="18">+AE6-SUM(AE7:AE9)</f>
        <v>1421.6850231871831</v>
      </c>
      <c r="AF10" s="11">
        <f t="shared" si="18"/>
        <v>1777.1062789839789</v>
      </c>
      <c r="AG10" s="11">
        <f t="shared" si="18"/>
        <v>2221.3828487299761</v>
      </c>
      <c r="AH10" s="11">
        <f t="shared" si="18"/>
        <v>2776.7285609124683</v>
      </c>
      <c r="AI10" s="11">
        <f t="shared" si="18"/>
        <v>3470.9107011405868</v>
      </c>
      <c r="AJ10" s="11">
        <f t="shared" si="18"/>
        <v>4338.6383764257334</v>
      </c>
      <c r="AK10" s="11">
        <f t="shared" si="18"/>
        <v>5423.2979705321668</v>
      </c>
      <c r="AL10" s="11">
        <f t="shared" si="18"/>
        <v>6779.1224631652076</v>
      </c>
    </row>
    <row r="11" spans="2:238" x14ac:dyDescent="0.2">
      <c r="B11" s="1" t="s">
        <v>26</v>
      </c>
      <c r="C11" s="11">
        <v>1.5</v>
      </c>
      <c r="D11" s="11">
        <v>1.6</v>
      </c>
      <c r="E11" s="11">
        <v>2</v>
      </c>
      <c r="F11" s="11">
        <f t="shared" si="11"/>
        <v>2.5</v>
      </c>
      <c r="G11" s="11">
        <v>2.8</v>
      </c>
      <c r="H11" s="11">
        <v>2</v>
      </c>
      <c r="I11" s="11">
        <v>1.7</v>
      </c>
      <c r="J11" s="11">
        <f t="shared" si="12"/>
        <v>2.6999999999999993</v>
      </c>
      <c r="K11" s="11">
        <v>4.9000000000000004</v>
      </c>
      <c r="L11" s="11">
        <v>3.6</v>
      </c>
      <c r="M11" s="11">
        <v>1.3</v>
      </c>
      <c r="N11" s="11">
        <f>+N$10*(M11/M$10)</f>
        <v>1.3811129848229349</v>
      </c>
      <c r="Z11" s="1">
        <v>2.1</v>
      </c>
      <c r="AA11" s="1">
        <v>7.6</v>
      </c>
      <c r="AB11" s="1">
        <v>9.1999999999999993</v>
      </c>
      <c r="AC11" s="11">
        <f t="shared" si="16"/>
        <v>11.181112984822935</v>
      </c>
      <c r="AD11" s="11">
        <f>+AD$10*(AC11/AC$10)</f>
        <v>13.976391231028659</v>
      </c>
      <c r="AE11" s="11">
        <f t="shared" ref="AE11:AL11" si="19">+AE$10*(AD11/AD$10)</f>
        <v>17.470489038785825</v>
      </c>
      <c r="AF11" s="11">
        <f t="shared" si="19"/>
        <v>21.838111298482282</v>
      </c>
      <c r="AG11" s="11">
        <f t="shared" si="19"/>
        <v>27.297639123102883</v>
      </c>
      <c r="AH11" s="11">
        <f t="shared" si="19"/>
        <v>34.122048903878579</v>
      </c>
      <c r="AI11" s="11">
        <f t="shared" si="19"/>
        <v>42.652561129848237</v>
      </c>
      <c r="AJ11" s="11">
        <f t="shared" si="19"/>
        <v>53.315701412310297</v>
      </c>
      <c r="AK11" s="11">
        <f t="shared" si="19"/>
        <v>66.644626765387869</v>
      </c>
      <c r="AL11" s="11">
        <f t="shared" si="19"/>
        <v>83.305783456734829</v>
      </c>
    </row>
    <row r="12" spans="2:238" x14ac:dyDescent="0.2">
      <c r="B12" s="1" t="s">
        <v>27</v>
      </c>
      <c r="C12" s="11">
        <v>-47.2</v>
      </c>
      <c r="D12" s="11">
        <v>-46.8</v>
      </c>
      <c r="E12" s="11">
        <v>-49.2</v>
      </c>
      <c r="F12" s="11">
        <f t="shared" si="11"/>
        <v>-55.100000000000023</v>
      </c>
      <c r="G12" s="11">
        <v>61.8</v>
      </c>
      <c r="H12" s="11">
        <v>-59.1</v>
      </c>
      <c r="I12" s="11">
        <v>-68.7</v>
      </c>
      <c r="J12" s="11">
        <f t="shared" si="12"/>
        <v>-193.2</v>
      </c>
      <c r="K12" s="11">
        <v>-57.4</v>
      </c>
      <c r="L12" s="11">
        <v>-56.3</v>
      </c>
      <c r="M12" s="11">
        <v>-55.9</v>
      </c>
      <c r="N12" s="11">
        <f>+N$10*(M12/M$10)</f>
        <v>-59.387858347386199</v>
      </c>
      <c r="Z12" s="1">
        <v>-203.9</v>
      </c>
      <c r="AA12" s="1">
        <v>-198.3</v>
      </c>
      <c r="AB12" s="1">
        <v>-259.2</v>
      </c>
      <c r="AC12" s="11">
        <f t="shared" si="16"/>
        <v>-228.98785834738618</v>
      </c>
      <c r="AD12" s="11">
        <f t="shared" ref="AD12:AL13" si="20">+AD$10*(AC12/AC$10)</f>
        <v>-286.23482293423251</v>
      </c>
      <c r="AE12" s="11">
        <f t="shared" si="20"/>
        <v>-357.79352866779061</v>
      </c>
      <c r="AF12" s="11">
        <f t="shared" si="20"/>
        <v>-447.24191083473829</v>
      </c>
      <c r="AG12" s="11">
        <f t="shared" si="20"/>
        <v>-559.05238854342349</v>
      </c>
      <c r="AH12" s="11">
        <f t="shared" si="20"/>
        <v>-698.81548567927882</v>
      </c>
      <c r="AI12" s="11">
        <f t="shared" si="20"/>
        <v>-873.5193570990989</v>
      </c>
      <c r="AJ12" s="11">
        <f t="shared" si="20"/>
        <v>-1091.8991963738736</v>
      </c>
      <c r="AK12" s="11">
        <f t="shared" si="20"/>
        <v>-1364.8739954673422</v>
      </c>
      <c r="AL12" s="11">
        <f t="shared" si="20"/>
        <v>-1706.0924943341774</v>
      </c>
    </row>
    <row r="13" spans="2:238" x14ac:dyDescent="0.2">
      <c r="B13" s="1" t="s">
        <v>28</v>
      </c>
      <c r="C13" s="11">
        <v>0</v>
      </c>
      <c r="D13" s="11">
        <v>-3.1</v>
      </c>
      <c r="E13" s="11">
        <v>2.1</v>
      </c>
      <c r="F13" s="11">
        <f t="shared" si="11"/>
        <v>-1.2000000000000002</v>
      </c>
      <c r="G13" s="11">
        <v>1.7</v>
      </c>
      <c r="H13" s="11">
        <v>2</v>
      </c>
      <c r="I13" s="11">
        <v>-9.6999999999999993</v>
      </c>
      <c r="J13" s="11">
        <f t="shared" si="12"/>
        <v>0.29999999999999893</v>
      </c>
      <c r="K13" s="11">
        <v>4.5999999999999996</v>
      </c>
      <c r="L13" s="11">
        <v>-4.4000000000000004</v>
      </c>
      <c r="M13" s="11">
        <v>-3.5</v>
      </c>
      <c r="N13" s="11">
        <f>+N$10*(M13/M$10)</f>
        <v>-3.718381112984825</v>
      </c>
      <c r="Z13" s="1">
        <v>3.8</v>
      </c>
      <c r="AA13" s="1">
        <v>-2.2000000000000002</v>
      </c>
      <c r="AB13" s="1">
        <v>-5.7</v>
      </c>
      <c r="AC13" s="11">
        <f t="shared" si="16"/>
        <v>-7.0183811129848257</v>
      </c>
      <c r="AD13" s="11">
        <f t="shared" si="20"/>
        <v>-8.7729763912310261</v>
      </c>
      <c r="AE13" s="11">
        <f t="shared" si="20"/>
        <v>-10.966220489038783</v>
      </c>
      <c r="AF13" s="11">
        <f t="shared" si="20"/>
        <v>-13.707775611298478</v>
      </c>
      <c r="AG13" s="11">
        <f t="shared" si="20"/>
        <v>-17.13471951412312</v>
      </c>
      <c r="AH13" s="11">
        <f t="shared" si="20"/>
        <v>-21.418399392653885</v>
      </c>
      <c r="AI13" s="11">
        <f t="shared" si="20"/>
        <v>-26.772999240817366</v>
      </c>
      <c r="AJ13" s="11">
        <f t="shared" si="20"/>
        <v>-33.466249051021713</v>
      </c>
      <c r="AK13" s="11">
        <f t="shared" si="20"/>
        <v>-41.832811313777142</v>
      </c>
      <c r="AL13" s="11">
        <f t="shared" si="20"/>
        <v>-52.291014142221421</v>
      </c>
    </row>
    <row r="14" spans="2:238" x14ac:dyDescent="0.2">
      <c r="B14" s="1" t="s">
        <v>29</v>
      </c>
      <c r="C14" s="11">
        <f>+SUM(C10:C13)</f>
        <v>1007.9000000000003</v>
      </c>
      <c r="D14" s="11">
        <f>+SUM(D10:D13)</f>
        <v>989.89999999999975</v>
      </c>
      <c r="E14" s="11">
        <f>+SUM(E10:E13)</f>
        <v>636.70000000000016</v>
      </c>
      <c r="F14" s="11">
        <f t="shared" si="11"/>
        <v>336.69999999999891</v>
      </c>
      <c r="G14" s="11">
        <f>+SUM(G10:G13)</f>
        <v>411.00000000000028</v>
      </c>
      <c r="H14" s="11">
        <f>+SUM(H10:H13)</f>
        <v>215.70000000000019</v>
      </c>
      <c r="I14" s="11">
        <f>+SUM(I10:I13)</f>
        <v>385.59999999999997</v>
      </c>
      <c r="J14" s="11">
        <f t="shared" si="12"/>
        <v>-401.60000000000082</v>
      </c>
      <c r="K14" s="11">
        <f>+SUM(K10:K13)</f>
        <v>114.00000000000009</v>
      </c>
      <c r="L14" s="11">
        <f>+SUM(L10:L13)</f>
        <v>146.20000000000019</v>
      </c>
      <c r="M14" s="11">
        <f>+SUM(M10:M13)</f>
        <v>205.99999999999991</v>
      </c>
      <c r="N14" s="11">
        <f>+SUM(N10:N13)</f>
        <v>218.85328836424961</v>
      </c>
      <c r="Z14" s="1">
        <f>+SUM(Z10:Z13)</f>
        <v>3583.9000000000005</v>
      </c>
      <c r="AA14" s="1">
        <f>+SUM(AA10:AA13)</f>
        <v>2971.1999999999994</v>
      </c>
      <c r="AB14" s="1">
        <f>+SUM(AB10:AB13)</f>
        <v>610.69999999999959</v>
      </c>
      <c r="AC14" s="11">
        <f t="shared" si="16"/>
        <v>685.05328836424974</v>
      </c>
      <c r="AD14" s="11">
        <f>+SUM(AD10:AD13)</f>
        <v>856.31661045531155</v>
      </c>
      <c r="AE14" s="11">
        <f t="shared" ref="AE14:AL14" si="21">+SUM(AE10:AE13)</f>
        <v>1070.3957630691398</v>
      </c>
      <c r="AF14" s="11">
        <f t="shared" si="21"/>
        <v>1337.9947038364244</v>
      </c>
      <c r="AG14" s="11">
        <f t="shared" si="21"/>
        <v>1672.4933797955321</v>
      </c>
      <c r="AH14" s="11">
        <f t="shared" si="21"/>
        <v>2090.6167247444141</v>
      </c>
      <c r="AI14" s="11">
        <f t="shared" si="21"/>
        <v>2613.2709059305193</v>
      </c>
      <c r="AJ14" s="11">
        <f t="shared" si="21"/>
        <v>3266.5886324131479</v>
      </c>
      <c r="AK14" s="11">
        <f t="shared" si="21"/>
        <v>4083.2357905164358</v>
      </c>
      <c r="AL14" s="11">
        <f t="shared" si="21"/>
        <v>5104.0447381455433</v>
      </c>
    </row>
    <row r="15" spans="2:238" x14ac:dyDescent="0.2">
      <c r="B15" s="1" t="s">
        <v>30</v>
      </c>
      <c r="C15" s="11">
        <v>181.9</v>
      </c>
      <c r="D15" s="11">
        <v>167</v>
      </c>
      <c r="E15" s="11">
        <v>65.099999999999994</v>
      </c>
      <c r="F15" s="11">
        <f t="shared" si="11"/>
        <v>45</v>
      </c>
      <c r="G15" s="11">
        <v>32.5</v>
      </c>
      <c r="H15" s="11">
        <v>13.1</v>
      </c>
      <c r="I15" s="11">
        <v>7.8</v>
      </c>
      <c r="J15" s="11">
        <f t="shared" si="12"/>
        <v>-14</v>
      </c>
      <c r="K15" s="11">
        <v>2.8</v>
      </c>
      <c r="L15" s="11">
        <v>-9.9</v>
      </c>
      <c r="M15" s="11">
        <v>30.9</v>
      </c>
      <c r="N15" s="11">
        <f>+N14*(M15/M14)</f>
        <v>32.827993254637455</v>
      </c>
      <c r="Z15" s="1">
        <v>672</v>
      </c>
      <c r="AA15" s="1">
        <v>459</v>
      </c>
      <c r="AB15" s="1">
        <v>39.4</v>
      </c>
      <c r="AC15" s="11">
        <f t="shared" si="16"/>
        <v>56.627993254637452</v>
      </c>
      <c r="AD15" s="11">
        <f>+AD14*(AC15/AC14)</f>
        <v>70.784991568296761</v>
      </c>
      <c r="AE15" s="11">
        <f t="shared" ref="AE15:AL15" si="22">+AE14*(AD15/AD14)</f>
        <v>88.481239460370972</v>
      </c>
      <c r="AF15" s="11">
        <f t="shared" si="22"/>
        <v>110.60154932546369</v>
      </c>
      <c r="AG15" s="11">
        <f t="shared" si="22"/>
        <v>138.25193665682974</v>
      </c>
      <c r="AH15" s="11">
        <f t="shared" si="22"/>
        <v>172.81492082103711</v>
      </c>
      <c r="AI15" s="11">
        <f t="shared" si="22"/>
        <v>216.01865102629654</v>
      </c>
      <c r="AJ15" s="11">
        <f t="shared" si="22"/>
        <v>270.02331378287056</v>
      </c>
      <c r="AK15" s="11">
        <f t="shared" si="22"/>
        <v>337.52914222858828</v>
      </c>
      <c r="AL15" s="11">
        <f t="shared" si="22"/>
        <v>421.91142778573521</v>
      </c>
    </row>
    <row r="16" spans="2:238" x14ac:dyDescent="0.2">
      <c r="B16" s="1" t="s">
        <v>31</v>
      </c>
      <c r="C16" s="11">
        <f>+C14-C15</f>
        <v>826.00000000000034</v>
      </c>
      <c r="D16" s="11">
        <f>+D14-D15</f>
        <v>822.89999999999975</v>
      </c>
      <c r="E16" s="11">
        <f>+E14-E15</f>
        <v>571.60000000000014</v>
      </c>
      <c r="F16" s="11">
        <f t="shared" si="11"/>
        <v>291.69999999999936</v>
      </c>
      <c r="G16" s="11">
        <f>+G14-G15</f>
        <v>378.50000000000028</v>
      </c>
      <c r="H16" s="11">
        <f>+H14-H15</f>
        <v>202.60000000000019</v>
      </c>
      <c r="I16" s="11">
        <f>+I14-I15</f>
        <v>377.79999999999995</v>
      </c>
      <c r="J16" s="11">
        <f t="shared" si="12"/>
        <v>-387.60000000000082</v>
      </c>
      <c r="K16" s="11">
        <f>+K14-K15</f>
        <v>111.20000000000009</v>
      </c>
      <c r="L16" s="11">
        <f>+L14-L15</f>
        <v>156.10000000000019</v>
      </c>
      <c r="M16" s="11">
        <f>+M14-M15</f>
        <v>175.09999999999991</v>
      </c>
      <c r="N16" s="11">
        <f>+N14-N15</f>
        <v>186.02529510961216</v>
      </c>
      <c r="Z16" s="1">
        <f>+Z14-Z15</f>
        <v>2911.9000000000005</v>
      </c>
      <c r="AA16" s="1">
        <f>+AA14-AA15</f>
        <v>2512.1999999999994</v>
      </c>
      <c r="AB16" s="1">
        <f>+AB14-AB15</f>
        <v>571.29999999999961</v>
      </c>
      <c r="AC16" s="11">
        <f t="shared" si="16"/>
        <v>628.42529510961231</v>
      </c>
      <c r="AD16" s="11">
        <f>+AD14-AD15</f>
        <v>785.53161888701482</v>
      </c>
      <c r="AE16" s="11">
        <f t="shared" ref="AE16:AL16" si="23">+AE14-AE15</f>
        <v>981.91452360876883</v>
      </c>
      <c r="AF16" s="11">
        <f t="shared" si="23"/>
        <v>1227.3931545109606</v>
      </c>
      <c r="AG16" s="11">
        <f t="shared" si="23"/>
        <v>1534.2414431387024</v>
      </c>
      <c r="AH16" s="11">
        <f t="shared" si="23"/>
        <v>1917.8018039233771</v>
      </c>
      <c r="AI16" s="11">
        <f t="shared" si="23"/>
        <v>2397.2522549042228</v>
      </c>
      <c r="AJ16" s="11">
        <f t="shared" si="23"/>
        <v>2996.5653186302775</v>
      </c>
      <c r="AK16" s="11">
        <f t="shared" si="23"/>
        <v>3745.7066482878477</v>
      </c>
      <c r="AL16" s="11">
        <f t="shared" si="23"/>
        <v>4682.1333103598081</v>
      </c>
      <c r="AM16" s="1">
        <f>+AL16*(1+$AP$20)</f>
        <v>4728.9546434634058</v>
      </c>
      <c r="AN16" s="1">
        <f>+AM16*(1+$AP$20)</f>
        <v>4776.2441898980396</v>
      </c>
      <c r="AO16" s="1">
        <f t="shared" ref="AO16:CZ16" si="24">+AN16*(1+$AP$20)</f>
        <v>4824.0066317970204</v>
      </c>
      <c r="AP16" s="1">
        <f t="shared" si="24"/>
        <v>4872.246698114991</v>
      </c>
      <c r="AQ16" s="1">
        <f t="shared" si="24"/>
        <v>4920.9691650961413</v>
      </c>
      <c r="AR16" s="1">
        <f t="shared" si="24"/>
        <v>4970.1788567471031</v>
      </c>
      <c r="AS16" s="1">
        <f t="shared" si="24"/>
        <v>5019.8806453145744</v>
      </c>
      <c r="AT16" s="1">
        <f t="shared" si="24"/>
        <v>5070.0794517677205</v>
      </c>
      <c r="AU16" s="1">
        <f t="shared" si="24"/>
        <v>5120.7802462853979</v>
      </c>
      <c r="AV16" s="1">
        <f t="shared" si="24"/>
        <v>5171.9880487482515</v>
      </c>
      <c r="AW16" s="1">
        <f t="shared" si="24"/>
        <v>5223.7079292357339</v>
      </c>
      <c r="AX16" s="1">
        <f t="shared" si="24"/>
        <v>5275.9450085280914</v>
      </c>
      <c r="AY16" s="1">
        <f t="shared" si="24"/>
        <v>5328.7044586133725</v>
      </c>
      <c r="AZ16" s="1">
        <f t="shared" si="24"/>
        <v>5381.991503199506</v>
      </c>
      <c r="BA16" s="1">
        <f t="shared" si="24"/>
        <v>5435.8114182315012</v>
      </c>
      <c r="BB16" s="1">
        <f t="shared" si="24"/>
        <v>5490.1695324138163</v>
      </c>
      <c r="BC16" s="1">
        <f t="shared" si="24"/>
        <v>5545.0712277379544</v>
      </c>
      <c r="BD16" s="1">
        <f t="shared" si="24"/>
        <v>5600.5219400153337</v>
      </c>
      <c r="BE16" s="1">
        <f t="shared" si="24"/>
        <v>5656.5271594154874</v>
      </c>
      <c r="BF16" s="1">
        <f t="shared" si="24"/>
        <v>5713.0924310096425</v>
      </c>
      <c r="BG16" s="1">
        <f t="shared" si="24"/>
        <v>5770.2233553197393</v>
      </c>
      <c r="BH16" s="1">
        <f t="shared" si="24"/>
        <v>5827.9255888729367</v>
      </c>
      <c r="BI16" s="1">
        <f t="shared" si="24"/>
        <v>5886.2048447616662</v>
      </c>
      <c r="BJ16" s="1">
        <f t="shared" si="24"/>
        <v>5945.0668932092831</v>
      </c>
      <c r="BK16" s="1">
        <f t="shared" si="24"/>
        <v>6004.5175621413764</v>
      </c>
      <c r="BL16" s="1">
        <f t="shared" si="24"/>
        <v>6064.5627377627898</v>
      </c>
      <c r="BM16" s="1">
        <f t="shared" si="24"/>
        <v>6125.2083651404173</v>
      </c>
      <c r="BN16" s="1">
        <f t="shared" si="24"/>
        <v>6186.4604487918214</v>
      </c>
      <c r="BO16" s="1">
        <f t="shared" si="24"/>
        <v>6248.3250532797392</v>
      </c>
      <c r="BP16" s="1">
        <f t="shared" si="24"/>
        <v>6310.8083038125369</v>
      </c>
      <c r="BQ16" s="1">
        <f t="shared" si="24"/>
        <v>6373.9163868506621</v>
      </c>
      <c r="BR16" s="1">
        <f t="shared" si="24"/>
        <v>6437.6555507191688</v>
      </c>
      <c r="BS16" s="1">
        <f t="shared" si="24"/>
        <v>6502.0321062263602</v>
      </c>
      <c r="BT16" s="1">
        <f t="shared" si="24"/>
        <v>6567.0524272886241</v>
      </c>
      <c r="BU16" s="1">
        <f t="shared" si="24"/>
        <v>6632.7229515615109</v>
      </c>
      <c r="BV16" s="1">
        <f t="shared" si="24"/>
        <v>6699.0501810771257</v>
      </c>
      <c r="BW16" s="1">
        <f t="shared" si="24"/>
        <v>6766.0406828878968</v>
      </c>
      <c r="BX16" s="1">
        <f t="shared" si="24"/>
        <v>6833.7010897167756</v>
      </c>
      <c r="BY16" s="1">
        <f t="shared" si="24"/>
        <v>6902.0381006139432</v>
      </c>
      <c r="BZ16" s="1">
        <f t="shared" si="24"/>
        <v>6971.0584816200826</v>
      </c>
      <c r="CA16" s="1">
        <f t="shared" si="24"/>
        <v>7040.7690664362835</v>
      </c>
      <c r="CB16" s="1">
        <f t="shared" si="24"/>
        <v>7111.1767571006467</v>
      </c>
      <c r="CC16" s="1">
        <f t="shared" si="24"/>
        <v>7182.2885246716532</v>
      </c>
      <c r="CD16" s="1">
        <f t="shared" si="24"/>
        <v>7254.1114099183696</v>
      </c>
      <c r="CE16" s="1">
        <f t="shared" si="24"/>
        <v>7326.6525240175533</v>
      </c>
      <c r="CF16" s="1">
        <f t="shared" si="24"/>
        <v>7399.9190492577291</v>
      </c>
      <c r="CG16" s="1">
        <f t="shared" si="24"/>
        <v>7473.9182397503064</v>
      </c>
      <c r="CH16" s="1">
        <f t="shared" si="24"/>
        <v>7548.6574221478095</v>
      </c>
      <c r="CI16" s="1">
        <f t="shared" si="24"/>
        <v>7624.1439963692874</v>
      </c>
      <c r="CJ16" s="1">
        <f t="shared" si="24"/>
        <v>7700.3854363329801</v>
      </c>
      <c r="CK16" s="1">
        <f t="shared" si="24"/>
        <v>7777.3892906963101</v>
      </c>
      <c r="CL16" s="1">
        <f t="shared" si="24"/>
        <v>7855.163183603273</v>
      </c>
      <c r="CM16" s="1">
        <f t="shared" si="24"/>
        <v>7933.7148154393053</v>
      </c>
      <c r="CN16" s="1">
        <f t="shared" si="24"/>
        <v>8013.051963593698</v>
      </c>
      <c r="CO16" s="1">
        <f t="shared" si="24"/>
        <v>8093.1824832296352</v>
      </c>
      <c r="CP16" s="1">
        <f t="shared" si="24"/>
        <v>8174.1143080619313</v>
      </c>
      <c r="CQ16" s="1">
        <f t="shared" si="24"/>
        <v>8255.85545114255</v>
      </c>
      <c r="CR16" s="1">
        <f t="shared" si="24"/>
        <v>8338.4140056539763</v>
      </c>
      <c r="CS16" s="1">
        <f t="shared" si="24"/>
        <v>8421.7981457105161</v>
      </c>
      <c r="CT16" s="1">
        <f t="shared" si="24"/>
        <v>8506.0161271676207</v>
      </c>
      <c r="CU16" s="1">
        <f t="shared" si="24"/>
        <v>8591.0762884392971</v>
      </c>
      <c r="CV16" s="1">
        <f t="shared" si="24"/>
        <v>8676.9870513236892</v>
      </c>
      <c r="CW16" s="1">
        <f t="shared" si="24"/>
        <v>8763.7569218369263</v>
      </c>
      <c r="CX16" s="1">
        <f t="shared" si="24"/>
        <v>8851.3944910552964</v>
      </c>
      <c r="CY16" s="1">
        <f t="shared" si="24"/>
        <v>8939.90843596585</v>
      </c>
      <c r="CZ16" s="1">
        <f t="shared" si="24"/>
        <v>9029.3075203255084</v>
      </c>
      <c r="DA16" s="1">
        <f t="shared" ref="DA16:EL16" si="25">+CZ16*(1+$AP$20)</f>
        <v>9119.6005955287637</v>
      </c>
      <c r="DB16" s="1">
        <f t="shared" si="25"/>
        <v>9210.7966014840513</v>
      </c>
      <c r="DC16" s="1">
        <f t="shared" si="25"/>
        <v>9302.904567498892</v>
      </c>
      <c r="DD16" s="1">
        <f t="shared" si="25"/>
        <v>9395.9336131738819</v>
      </c>
      <c r="DE16" s="1">
        <f t="shared" si="25"/>
        <v>9489.8929493056203</v>
      </c>
      <c r="DF16" s="1">
        <f t="shared" si="25"/>
        <v>9584.7918787986764</v>
      </c>
      <c r="DG16" s="1">
        <f t="shared" si="25"/>
        <v>9680.6397975866639</v>
      </c>
      <c r="DH16" s="1">
        <f t="shared" si="25"/>
        <v>9777.4461955625302</v>
      </c>
      <c r="DI16" s="1">
        <f t="shared" si="25"/>
        <v>9875.2206575181553</v>
      </c>
      <c r="DJ16" s="1">
        <f t="shared" si="25"/>
        <v>9973.9728640933372</v>
      </c>
      <c r="DK16" s="1">
        <f t="shared" si="25"/>
        <v>10073.712592734271</v>
      </c>
      <c r="DL16" s="1">
        <f t="shared" si="25"/>
        <v>10174.449718661614</v>
      </c>
      <c r="DM16" s="1">
        <f t="shared" si="25"/>
        <v>10276.194215848231</v>
      </c>
      <c r="DN16" s="1">
        <f t="shared" si="25"/>
        <v>10378.956158006713</v>
      </c>
      <c r="DO16" s="1">
        <f t="shared" si="25"/>
        <v>10482.745719586781</v>
      </c>
      <c r="DP16" s="1">
        <f t="shared" si="25"/>
        <v>10587.573176782649</v>
      </c>
      <c r="DQ16" s="1">
        <f t="shared" si="25"/>
        <v>10693.448908550476</v>
      </c>
      <c r="DR16" s="1">
        <f t="shared" si="25"/>
        <v>10800.38339763598</v>
      </c>
      <c r="DS16" s="1">
        <f t="shared" si="25"/>
        <v>10908.38723161234</v>
      </c>
      <c r="DT16" s="1">
        <f t="shared" si="25"/>
        <v>11017.471103928463</v>
      </c>
      <c r="DU16" s="1">
        <f t="shared" si="25"/>
        <v>11127.645814967747</v>
      </c>
      <c r="DV16" s="1">
        <f t="shared" si="25"/>
        <v>11238.922273117425</v>
      </c>
      <c r="DW16" s="1">
        <f t="shared" si="25"/>
        <v>11351.311495848598</v>
      </c>
      <c r="DX16" s="1">
        <f t="shared" si="25"/>
        <v>11464.824610807085</v>
      </c>
      <c r="DY16" s="1">
        <f t="shared" si="25"/>
        <v>11579.472856915156</v>
      </c>
      <c r="DZ16" s="1">
        <f t="shared" si="25"/>
        <v>11695.267585484307</v>
      </c>
      <c r="EA16" s="1">
        <f t="shared" si="25"/>
        <v>11812.220261339151</v>
      </c>
      <c r="EB16" s="1">
        <f t="shared" si="25"/>
        <v>11930.342463952542</v>
      </c>
      <c r="EC16" s="1">
        <f t="shared" si="25"/>
        <v>12049.645888592067</v>
      </c>
      <c r="ED16" s="1">
        <f t="shared" si="25"/>
        <v>12170.142347477988</v>
      </c>
      <c r="EE16" s="1">
        <f t="shared" si="25"/>
        <v>12291.843770952768</v>
      </c>
      <c r="EF16" s="1">
        <f t="shared" si="25"/>
        <v>12414.762208662296</v>
      </c>
      <c r="EG16" s="1">
        <f t="shared" si="25"/>
        <v>12538.909830748918</v>
      </c>
      <c r="EH16" s="1">
        <f t="shared" si="25"/>
        <v>12664.298929056407</v>
      </c>
      <c r="EI16" s="1">
        <f t="shared" si="25"/>
        <v>12790.941918346971</v>
      </c>
      <c r="EJ16" s="1">
        <f t="shared" si="25"/>
        <v>12918.851337530441</v>
      </c>
      <c r="EK16" s="1">
        <f t="shared" si="25"/>
        <v>13048.039850905745</v>
      </c>
      <c r="EL16" s="1">
        <f t="shared" si="25"/>
        <v>13178.520249414803</v>
      </c>
      <c r="EM16" s="1">
        <f t="shared" ref="EM16:GH16" si="26">+EL16*(1+$AP$20)</f>
        <v>13310.305451908951</v>
      </c>
      <c r="EN16" s="1">
        <f t="shared" si="26"/>
        <v>13443.408506428041</v>
      </c>
      <c r="EO16" s="1">
        <f t="shared" si="26"/>
        <v>13577.842591492321</v>
      </c>
      <c r="EP16" s="1">
        <f t="shared" si="26"/>
        <v>13713.621017407244</v>
      </c>
      <c r="EQ16" s="1">
        <f t="shared" si="26"/>
        <v>13850.757227581316</v>
      </c>
      <c r="ER16" s="1">
        <f t="shared" si="26"/>
        <v>13989.26479985713</v>
      </c>
      <c r="ES16" s="1">
        <f t="shared" si="26"/>
        <v>14129.157447855701</v>
      </c>
      <c r="ET16" s="1">
        <f t="shared" si="26"/>
        <v>14270.449022334258</v>
      </c>
      <c r="EU16" s="1">
        <f t="shared" si="26"/>
        <v>14413.153512557601</v>
      </c>
      <c r="EV16" s="1">
        <f t="shared" si="26"/>
        <v>14557.285047683177</v>
      </c>
      <c r="EW16" s="1">
        <f t="shared" si="26"/>
        <v>14702.857898160009</v>
      </c>
      <c r="EX16" s="1">
        <f t="shared" si="26"/>
        <v>14849.88647714161</v>
      </c>
      <c r="EY16" s="1">
        <f t="shared" si="26"/>
        <v>14998.385341913026</v>
      </c>
      <c r="EZ16" s="1">
        <f t="shared" si="26"/>
        <v>15148.369195332158</v>
      </c>
      <c r="FA16" s="1">
        <f t="shared" si="26"/>
        <v>15299.852887285479</v>
      </c>
      <c r="FB16" s="1">
        <f t="shared" si="26"/>
        <v>15452.851416158333</v>
      </c>
      <c r="FC16" s="1">
        <f t="shared" si="26"/>
        <v>15607.379930319918</v>
      </c>
      <c r="FD16" s="1">
        <f t="shared" si="26"/>
        <v>15763.453729623117</v>
      </c>
      <c r="FE16" s="1">
        <f t="shared" si="26"/>
        <v>15921.088266919349</v>
      </c>
      <c r="FF16" s="1">
        <f t="shared" si="26"/>
        <v>16080.299149588542</v>
      </c>
      <c r="FG16" s="1">
        <f t="shared" si="26"/>
        <v>16241.102141084428</v>
      </c>
      <c r="FH16" s="1">
        <f t="shared" si="26"/>
        <v>16403.513162495274</v>
      </c>
      <c r="FI16" s="1">
        <f t="shared" si="26"/>
        <v>16567.548294120228</v>
      </c>
      <c r="FJ16" s="1">
        <f t="shared" si="26"/>
        <v>16733.22377706143</v>
      </c>
      <c r="FK16" s="1">
        <f t="shared" si="26"/>
        <v>16900.556014832044</v>
      </c>
      <c r="FL16" s="1">
        <f t="shared" si="26"/>
        <v>17069.561574980366</v>
      </c>
      <c r="FM16" s="1">
        <f t="shared" si="26"/>
        <v>17240.257190730168</v>
      </c>
      <c r="FN16" s="1">
        <f t="shared" si="26"/>
        <v>17412.659762637471</v>
      </c>
      <c r="FO16" s="1">
        <f t="shared" si="26"/>
        <v>17586.786360263846</v>
      </c>
      <c r="FP16" s="1">
        <f t="shared" si="26"/>
        <v>17762.654223866484</v>
      </c>
      <c r="FQ16" s="1">
        <f t="shared" si="26"/>
        <v>17940.280766105148</v>
      </c>
      <c r="FR16" s="1">
        <f t="shared" si="26"/>
        <v>18119.6835737662</v>
      </c>
      <c r="FS16" s="1">
        <f t="shared" si="26"/>
        <v>18300.880409503861</v>
      </c>
      <c r="FT16" s="1">
        <f t="shared" si="26"/>
        <v>18483.889213598901</v>
      </c>
      <c r="FU16" s="1">
        <f t="shared" si="26"/>
        <v>18668.728105734888</v>
      </c>
      <c r="FV16" s="1">
        <f t="shared" si="26"/>
        <v>18855.415386792236</v>
      </c>
      <c r="FW16" s="1">
        <f t="shared" si="26"/>
        <v>19043.969540660157</v>
      </c>
      <c r="FX16" s="1">
        <f t="shared" si="26"/>
        <v>19234.40923606676</v>
      </c>
      <c r="FY16" s="1">
        <f t="shared" si="26"/>
        <v>19426.753328427429</v>
      </c>
      <c r="FZ16" s="1">
        <f t="shared" si="26"/>
        <v>19621.020861711702</v>
      </c>
      <c r="GA16" s="1">
        <f t="shared" si="26"/>
        <v>19817.23107032882</v>
      </c>
      <c r="GB16" s="1">
        <f t="shared" si="26"/>
        <v>20015.403381032109</v>
      </c>
      <c r="GC16" s="1">
        <f t="shared" si="26"/>
        <v>20215.557414842431</v>
      </c>
      <c r="GD16" s="1">
        <f t="shared" si="26"/>
        <v>20417.712988990857</v>
      </c>
      <c r="GE16" s="1">
        <f t="shared" si="26"/>
        <v>20621.890118880765</v>
      </c>
      <c r="GF16" s="1">
        <f t="shared" si="26"/>
        <v>20828.109020069573</v>
      </c>
      <c r="GG16" s="1">
        <f t="shared" si="26"/>
        <v>21036.390110270269</v>
      </c>
      <c r="GH16" s="1">
        <f t="shared" si="26"/>
        <v>21246.754011372974</v>
      </c>
      <c r="GI16" s="1">
        <f t="shared" ref="GI16:HK16" si="27">+GH16*(1+$AP$20)</f>
        <v>21459.221551486702</v>
      </c>
      <c r="GJ16" s="1">
        <f t="shared" si="27"/>
        <v>21673.813767001568</v>
      </c>
      <c r="GK16" s="1">
        <f t="shared" si="27"/>
        <v>21890.551904671582</v>
      </c>
      <c r="GL16" s="1">
        <f t="shared" si="27"/>
        <v>22109.457423718297</v>
      </c>
      <c r="GM16" s="1">
        <f t="shared" si="27"/>
        <v>22330.551997955481</v>
      </c>
      <c r="GN16" s="1">
        <f t="shared" si="27"/>
        <v>22553.857517935037</v>
      </c>
      <c r="GO16" s="1">
        <f t="shared" si="27"/>
        <v>22779.396093114388</v>
      </c>
      <c r="GP16" s="1">
        <f t="shared" si="27"/>
        <v>23007.190054045532</v>
      </c>
      <c r="GQ16" s="1">
        <f t="shared" si="27"/>
        <v>23237.261954585989</v>
      </c>
      <c r="GR16" s="1">
        <f t="shared" si="27"/>
        <v>23469.634574131847</v>
      </c>
      <c r="GS16" s="1">
        <f t="shared" si="27"/>
        <v>23704.330919873166</v>
      </c>
      <c r="GT16" s="1">
        <f t="shared" si="27"/>
        <v>23941.374229071898</v>
      </c>
      <c r="GU16" s="1">
        <f t="shared" si="27"/>
        <v>24180.787971362617</v>
      </c>
      <c r="GV16" s="1">
        <f t="shared" si="27"/>
        <v>24422.595851076243</v>
      </c>
      <c r="GW16" s="1">
        <f t="shared" si="27"/>
        <v>24666.821809587007</v>
      </c>
      <c r="GX16" s="1">
        <f t="shared" si="27"/>
        <v>24913.490027682878</v>
      </c>
      <c r="GY16" s="1">
        <f t="shared" si="27"/>
        <v>25162.624927959707</v>
      </c>
      <c r="GZ16" s="1">
        <f t="shared" si="27"/>
        <v>25414.251177239305</v>
      </c>
      <c r="HA16" s="1">
        <f t="shared" si="27"/>
        <v>25668.393689011697</v>
      </c>
      <c r="HB16" s="1">
        <f t="shared" si="27"/>
        <v>25925.077625901813</v>
      </c>
      <c r="HC16" s="1">
        <f t="shared" si="27"/>
        <v>26184.328402160831</v>
      </c>
      <c r="HD16" s="1">
        <f t="shared" si="27"/>
        <v>26446.171686182439</v>
      </c>
      <c r="HE16" s="1">
        <f t="shared" si="27"/>
        <v>26710.633403044263</v>
      </c>
      <c r="HF16" s="1">
        <f t="shared" si="27"/>
        <v>26977.739737074706</v>
      </c>
      <c r="HG16" s="1">
        <f t="shared" si="27"/>
        <v>27247.517134445454</v>
      </c>
      <c r="HH16" s="1">
        <f t="shared" si="27"/>
        <v>27519.992305789907</v>
      </c>
      <c r="HI16" s="1">
        <f t="shared" si="27"/>
        <v>27795.192228847805</v>
      </c>
      <c r="HJ16" s="1">
        <f t="shared" si="27"/>
        <v>28073.144151136283</v>
      </c>
      <c r="HK16" s="1">
        <f t="shared" si="27"/>
        <v>28353.875592647644</v>
      </c>
      <c r="HL16" s="1">
        <f t="shared" ref="HL16:IA16" si="28">+HK16*(1+$AP$20)</f>
        <v>28637.414348574122</v>
      </c>
      <c r="HM16" s="1">
        <f t="shared" si="28"/>
        <v>28923.788492059863</v>
      </c>
      <c r="HN16" s="1">
        <f t="shared" si="28"/>
        <v>29213.026376980462</v>
      </c>
      <c r="HO16" s="1">
        <f t="shared" si="28"/>
        <v>29505.156640750269</v>
      </c>
      <c r="HP16" s="1">
        <f t="shared" si="28"/>
        <v>29800.208207157772</v>
      </c>
      <c r="HQ16" s="1">
        <f t="shared" si="28"/>
        <v>30098.210289229348</v>
      </c>
      <c r="HR16" s="1">
        <f t="shared" si="28"/>
        <v>30399.19239212164</v>
      </c>
      <c r="HS16" s="1">
        <f t="shared" si="28"/>
        <v>30703.184316042858</v>
      </c>
      <c r="HT16" s="1">
        <f t="shared" si="28"/>
        <v>31010.216159203286</v>
      </c>
      <c r="HU16" s="1">
        <f t="shared" si="28"/>
        <v>31320.318320795319</v>
      </c>
      <c r="HV16" s="1">
        <f t="shared" si="28"/>
        <v>31633.521504003271</v>
      </c>
      <c r="HW16" s="1">
        <f t="shared" si="28"/>
        <v>31949.856719043302</v>
      </c>
      <c r="HX16" s="1">
        <f t="shared" si="28"/>
        <v>32269.355286233735</v>
      </c>
      <c r="HY16" s="1">
        <f t="shared" si="28"/>
        <v>32592.048839096071</v>
      </c>
      <c r="HZ16" s="1">
        <f t="shared" si="28"/>
        <v>32917.96932748703</v>
      </c>
      <c r="IA16" s="1">
        <f t="shared" si="28"/>
        <v>33247.149020761899</v>
      </c>
      <c r="IB16" s="1">
        <f t="shared" ref="IB16:ID16" si="29">+IA16*(1+$AP$20)</f>
        <v>33579.620510969515</v>
      </c>
      <c r="IC16" s="1">
        <f t="shared" si="29"/>
        <v>33915.416716079213</v>
      </c>
      <c r="ID16" s="1">
        <f t="shared" si="29"/>
        <v>34254.570883240005</v>
      </c>
    </row>
    <row r="18" spans="2:42" s="4" customFormat="1" x14ac:dyDescent="0.2">
      <c r="B18" s="4" t="s">
        <v>25</v>
      </c>
      <c r="C18" s="14">
        <f t="shared" ref="C18:K18" si="30">(C6-C7)/C6</f>
        <v>0.68094031285502055</v>
      </c>
      <c r="D18" s="14">
        <f t="shared" si="30"/>
        <v>0.67754957192920184</v>
      </c>
      <c r="E18" s="14">
        <f t="shared" si="30"/>
        <v>0.63430933907232268</v>
      </c>
      <c r="F18" s="14">
        <f t="shared" si="30"/>
        <v>0.59579122039523313</v>
      </c>
      <c r="G18" s="14">
        <f t="shared" si="30"/>
        <v>0.59365181664384126</v>
      </c>
      <c r="H18" s="14">
        <f t="shared" si="30"/>
        <v>0.57441141089534298</v>
      </c>
      <c r="I18" s="14">
        <f t="shared" si="30"/>
        <v>0.76003898635477574</v>
      </c>
      <c r="J18" s="14">
        <f t="shared" si="30"/>
        <v>0.29129314786192623</v>
      </c>
      <c r="K18" s="14">
        <f t="shared" si="30"/>
        <v>0.53621571362157139</v>
      </c>
      <c r="L18" s="14">
        <f t="shared" ref="L18:M18" si="31">(L6-L7)/L6</f>
        <v>0.5593651350403368</v>
      </c>
      <c r="M18" s="14">
        <f t="shared" si="31"/>
        <v>0.59603709949409778</v>
      </c>
      <c r="N18" s="14">
        <f t="shared" ref="N18" si="32">(N6-N7)/N6</f>
        <v>0.59603709949409778</v>
      </c>
      <c r="Z18" s="4">
        <f>(Z6-Z7)/Z6</f>
        <v>0.67521063670944581</v>
      </c>
      <c r="AA18" s="4">
        <f>(AA6-AA7)/AA6</f>
        <v>0.6543670753431835</v>
      </c>
      <c r="AB18" s="4">
        <f>(AB6-AB7)/AB6</f>
        <v>0.56068247909850966</v>
      </c>
      <c r="AC18" s="14">
        <f>(AC6-AC7)/AC6</f>
        <v>0.57326556669224193</v>
      </c>
      <c r="AD18" s="14">
        <f t="shared" ref="AD18:AL18" si="33">(AD6-AD7)/AD6</f>
        <v>0.57326556669224205</v>
      </c>
      <c r="AE18" s="14">
        <f t="shared" si="33"/>
        <v>0.57326556669224205</v>
      </c>
      <c r="AF18" s="14">
        <f t="shared" si="33"/>
        <v>0.57326556669224205</v>
      </c>
      <c r="AG18" s="14">
        <f t="shared" si="33"/>
        <v>0.57326556669224205</v>
      </c>
      <c r="AH18" s="14">
        <f t="shared" si="33"/>
        <v>0.57326556669224193</v>
      </c>
      <c r="AI18" s="14">
        <f t="shared" si="33"/>
        <v>0.57326556669224205</v>
      </c>
      <c r="AJ18" s="14">
        <f t="shared" si="33"/>
        <v>0.57326556669224205</v>
      </c>
      <c r="AK18" s="14">
        <f t="shared" si="33"/>
        <v>0.57326556669224193</v>
      </c>
      <c r="AL18" s="14">
        <f t="shared" si="33"/>
        <v>0.57326556669224205</v>
      </c>
    </row>
    <row r="19" spans="2:42" s="4" customFormat="1" x14ac:dyDescent="0.2">
      <c r="B19" s="4" t="s">
        <v>32</v>
      </c>
      <c r="C19" s="14">
        <f t="shared" ref="C19:K19" si="34">+C10/C6</f>
        <v>0.46036878440968287</v>
      </c>
      <c r="D19" s="14">
        <f t="shared" si="34"/>
        <v>0.4605420751452779</v>
      </c>
      <c r="E19" s="14">
        <f t="shared" si="34"/>
        <v>0.38613581016027643</v>
      </c>
      <c r="F19" s="14">
        <f t="shared" si="34"/>
        <v>0.29453914617589327</v>
      </c>
      <c r="G19" s="14">
        <f t="shared" si="34"/>
        <v>0.27769274148070588</v>
      </c>
      <c r="H19" s="14">
        <f t="shared" si="34"/>
        <v>0.23268602852723846</v>
      </c>
      <c r="I19" s="14">
        <f t="shared" si="34"/>
        <v>0.45058479532163737</v>
      </c>
      <c r="J19" s="14">
        <f t="shared" si="34"/>
        <v>-0.21782586295723955</v>
      </c>
      <c r="K19" s="14">
        <f t="shared" si="34"/>
        <v>0.15053463505346359</v>
      </c>
      <c r="L19" s="14">
        <f t="shared" ref="L19:M19" si="35">+L10/L6</f>
        <v>0.17827078218169079</v>
      </c>
      <c r="M19" s="14">
        <f t="shared" si="35"/>
        <v>0.22268128161888695</v>
      </c>
      <c r="N19" s="14">
        <f t="shared" ref="N19" si="36">+N10/N6</f>
        <v>0.22268128161888706</v>
      </c>
      <c r="Z19" s="4">
        <f>+Z10/Z6</f>
        <v>0.44816144666832569</v>
      </c>
      <c r="AA19" s="4">
        <f>+AA10/AA6</f>
        <v>0.4144530022005658</v>
      </c>
      <c r="AB19" s="4">
        <f>+AB10/AB6</f>
        <v>0.1968375136314067</v>
      </c>
      <c r="AC19" s="14">
        <f>+AC10/AC6</f>
        <v>0.19517330162375812</v>
      </c>
      <c r="AD19" s="14">
        <f t="shared" ref="AD19:AL19" si="37">+AD10/AD6</f>
        <v>0.19517330162375796</v>
      </c>
      <c r="AE19" s="14">
        <f t="shared" si="37"/>
        <v>0.19517330162375796</v>
      </c>
      <c r="AF19" s="14">
        <f t="shared" si="37"/>
        <v>0.19517330162375796</v>
      </c>
      <c r="AG19" s="14">
        <f t="shared" si="37"/>
        <v>0.19517330162375818</v>
      </c>
      <c r="AH19" s="14">
        <f t="shared" si="37"/>
        <v>0.19517330162375804</v>
      </c>
      <c r="AI19" s="14">
        <f t="shared" si="37"/>
        <v>0.19517330162375812</v>
      </c>
      <c r="AJ19" s="14">
        <f t="shared" si="37"/>
        <v>0.19517330162375812</v>
      </c>
      <c r="AK19" s="14">
        <f t="shared" si="37"/>
        <v>0.19517330162375812</v>
      </c>
      <c r="AL19" s="14">
        <f t="shared" si="37"/>
        <v>0.19517330162375809</v>
      </c>
    </row>
    <row r="20" spans="2:42" x14ac:dyDescent="0.2">
      <c r="AO20" s="1" t="s">
        <v>41</v>
      </c>
      <c r="AP20" s="9">
        <v>0.01</v>
      </c>
    </row>
    <row r="21" spans="2:42" x14ac:dyDescent="0.2">
      <c r="B21" s="6" t="s">
        <v>20</v>
      </c>
      <c r="G21" s="14"/>
      <c r="H21" s="14"/>
      <c r="I21" s="14"/>
      <c r="J21" s="14"/>
      <c r="K21" s="14"/>
      <c r="AO21" s="1" t="s">
        <v>42</v>
      </c>
      <c r="AP21" s="9">
        <v>0.08</v>
      </c>
    </row>
    <row r="22" spans="2:42" s="4" customFormat="1" x14ac:dyDescent="0.2">
      <c r="B22" s="4" t="s">
        <v>16</v>
      </c>
      <c r="C22" s="14"/>
      <c r="D22" s="14"/>
      <c r="E22" s="14"/>
      <c r="F22" s="14"/>
      <c r="G22" s="14">
        <f>+G3/C3-1</f>
        <v>-0.50472459091956678</v>
      </c>
      <c r="H22" s="14">
        <f>+H3/D3-1</f>
        <v>-0.53550503866885402</v>
      </c>
      <c r="I22" s="14">
        <f>+I3/E3-1</f>
        <v>-0.46422829581993563</v>
      </c>
      <c r="J22" s="14">
        <f>+J3/F3-1</f>
        <v>-0.31377624388840974</v>
      </c>
      <c r="K22" s="14">
        <f>+K3/G3-1</f>
        <v>-0.17387932371645731</v>
      </c>
      <c r="L22" s="14">
        <f>+L3/H3-1</f>
        <v>-1.6986209216279913E-2</v>
      </c>
      <c r="M22" s="14">
        <f>+M3/I3-1</f>
        <v>9.9962490622655498E-2</v>
      </c>
      <c r="N22" s="14">
        <f>+N3/J3-1</f>
        <v>0.29829984544049593</v>
      </c>
      <c r="T22" s="4">
        <f t="shared" ref="T22:AC22" si="38">+T3/S3-1</f>
        <v>0.59594172868207274</v>
      </c>
      <c r="U22" s="4">
        <f t="shared" si="38"/>
        <v>0.21969620059813577</v>
      </c>
      <c r="V22" s="4">
        <f t="shared" si="38"/>
        <v>0.11561223320988123</v>
      </c>
      <c r="W22" s="4">
        <f t="shared" si="38"/>
        <v>-3.5593278346281565E-2</v>
      </c>
      <c r="X22" s="4">
        <f t="shared" si="38"/>
        <v>5.0782497604599186E-2</v>
      </c>
      <c r="Y22" s="4">
        <f t="shared" si="38"/>
        <v>0.28834853090172241</v>
      </c>
      <c r="Z22" s="4">
        <f t="shared" si="38"/>
        <v>0.24664464716367829</v>
      </c>
      <c r="AA22" s="4">
        <f t="shared" si="38"/>
        <v>-0.10162541791954927</v>
      </c>
      <c r="AB22" s="4">
        <f t="shared" si="38"/>
        <v>-0.47343413538058232</v>
      </c>
      <c r="AC22" s="14">
        <f t="shared" si="38"/>
        <v>3.2648213648132751E-2</v>
      </c>
      <c r="AD22" s="14"/>
      <c r="AE22" s="14"/>
      <c r="AF22" s="14"/>
      <c r="AG22" s="14"/>
      <c r="AH22" s="14"/>
      <c r="AI22" s="14"/>
      <c r="AJ22" s="14"/>
      <c r="AK22" s="14"/>
      <c r="AL22" s="14"/>
      <c r="AO22" s="4" t="s">
        <v>43</v>
      </c>
      <c r="AP22" s="10">
        <f>NPV(AP21,AC16:ID16)</f>
        <v>43541.632852774259</v>
      </c>
    </row>
    <row r="23" spans="2:42" s="4" customFormat="1" x14ac:dyDescent="0.2">
      <c r="B23" s="4" t="s">
        <v>17</v>
      </c>
      <c r="C23" s="14"/>
      <c r="D23" s="14"/>
      <c r="E23" s="14"/>
      <c r="F23" s="14"/>
      <c r="G23" s="14">
        <f t="shared" ref="G23:N25" si="39">+G4/C4-1</f>
        <v>-0.47821969696969691</v>
      </c>
      <c r="H23" s="14">
        <f t="shared" si="39"/>
        <v>-0.53113964686998394</v>
      </c>
      <c r="I23" s="14">
        <f t="shared" si="39"/>
        <v>-0.36669763121226207</v>
      </c>
      <c r="J23" s="14">
        <f t="shared" si="39"/>
        <v>-0.20534629404617344</v>
      </c>
      <c r="K23" s="14">
        <f t="shared" si="39"/>
        <v>-4.3557168784029154E-2</v>
      </c>
      <c r="L23" s="14">
        <f t="shared" si="39"/>
        <v>0.10065046217048956</v>
      </c>
      <c r="M23" s="14">
        <f t="shared" si="39"/>
        <v>0.18408507517418404</v>
      </c>
      <c r="N23" s="14">
        <f t="shared" si="39"/>
        <v>0.2982998454404957</v>
      </c>
      <c r="T23" s="4">
        <f t="shared" ref="T23:AC23" si="40">+T4/S4-1</f>
        <v>0.492771074220554</v>
      </c>
      <c r="U23" s="4">
        <f t="shared" si="40"/>
        <v>7.1013119910718903E-2</v>
      </c>
      <c r="V23" s="4">
        <f t="shared" si="40"/>
        <v>0.60787815126050426</v>
      </c>
      <c r="W23" s="4">
        <f t="shared" si="40"/>
        <v>-1.2804599202979161E-2</v>
      </c>
      <c r="X23" s="4">
        <f t="shared" si="40"/>
        <v>5.7573952749652157E-3</v>
      </c>
      <c r="Y23" s="4">
        <f t="shared" si="40"/>
        <v>0.275891564679563</v>
      </c>
      <c r="Z23" s="4">
        <f t="shared" si="40"/>
        <v>0.22577484399979375</v>
      </c>
      <c r="AA23" s="4">
        <f t="shared" si="40"/>
        <v>-0.15166813917287225</v>
      </c>
      <c r="AB23" s="4">
        <f t="shared" si="40"/>
        <v>-0.42620511803213645</v>
      </c>
      <c r="AC23" s="14">
        <f t="shared" si="40"/>
        <v>0.12379882417219834</v>
      </c>
      <c r="AD23" s="14"/>
      <c r="AE23" s="14"/>
      <c r="AF23" s="14"/>
      <c r="AG23" s="14"/>
      <c r="AH23" s="14"/>
      <c r="AI23" s="14"/>
      <c r="AJ23" s="14"/>
      <c r="AK23" s="14"/>
      <c r="AL23" s="14"/>
      <c r="AO23" s="4" t="s">
        <v>44</v>
      </c>
      <c r="AP23" s="3">
        <f>+Main!K4</f>
        <v>541.13545799999997</v>
      </c>
    </row>
    <row r="24" spans="2:42" s="4" customFormat="1" x14ac:dyDescent="0.2">
      <c r="B24" s="4" t="s">
        <v>18</v>
      </c>
      <c r="C24" s="14"/>
      <c r="D24" s="14"/>
      <c r="E24" s="14"/>
      <c r="F24" s="14"/>
      <c r="G24" s="14">
        <f t="shared" si="39"/>
        <v>-0.24709878290404763</v>
      </c>
      <c r="H24" s="14">
        <f t="shared" si="39"/>
        <v>-0.21099088838268787</v>
      </c>
      <c r="I24" s="14">
        <f t="shared" si="39"/>
        <v>-0.35245660488378927</v>
      </c>
      <c r="J24" s="14">
        <f t="shared" si="39"/>
        <v>-0.23074369189907018</v>
      </c>
      <c r="K24" s="14">
        <f t="shared" si="39"/>
        <v>-0.14774436090225573</v>
      </c>
      <c r="L24" s="14">
        <f t="shared" si="39"/>
        <v>-0.15409599422591125</v>
      </c>
      <c r="M24" s="14">
        <f t="shared" si="39"/>
        <v>0.25670149931849173</v>
      </c>
      <c r="N24" s="14">
        <f t="shared" si="39"/>
        <v>0.29829984544049593</v>
      </c>
      <c r="T24" s="4">
        <f t="shared" ref="T24:AC24" si="41">+T5/S5-1</f>
        <v>0.5990661846974783</v>
      </c>
      <c r="U24" s="4">
        <f t="shared" si="41"/>
        <v>0.10255630518500181</v>
      </c>
      <c r="V24" s="4">
        <f t="shared" si="41"/>
        <v>1.1891628020502809</v>
      </c>
      <c r="W24" s="4">
        <f t="shared" si="41"/>
        <v>5.3852157431151682E-2</v>
      </c>
      <c r="X24" s="4">
        <f t="shared" si="41"/>
        <v>1.3118916631400745E-2</v>
      </c>
      <c r="Y24" s="4">
        <f t="shared" si="41"/>
        <v>0.11424394319131159</v>
      </c>
      <c r="Z24" s="4">
        <f t="shared" si="41"/>
        <v>0.22408622305529513</v>
      </c>
      <c r="AA24" s="4">
        <f t="shared" si="41"/>
        <v>3.0242707296531668E-2</v>
      </c>
      <c r="AB24" s="4">
        <f t="shared" si="41"/>
        <v>-0.26062722948870387</v>
      </c>
      <c r="AC24" s="14">
        <f t="shared" si="41"/>
        <v>4.3839656436388541E-2</v>
      </c>
      <c r="AD24" s="14"/>
      <c r="AE24" s="14"/>
      <c r="AF24" s="14"/>
      <c r="AG24" s="14"/>
      <c r="AH24" s="14"/>
      <c r="AI24" s="14"/>
      <c r="AJ24" s="14"/>
      <c r="AK24" s="14"/>
      <c r="AL24" s="14"/>
      <c r="AO24" s="4" t="s">
        <v>45</v>
      </c>
      <c r="AP24" s="3">
        <f>+AP22/AP23</f>
        <v>80.463462907607621</v>
      </c>
    </row>
    <row r="25" spans="2:42" s="4" customFormat="1" x14ac:dyDescent="0.2">
      <c r="B25" s="5" t="s">
        <v>19</v>
      </c>
      <c r="C25" s="14"/>
      <c r="D25" s="14"/>
      <c r="E25" s="14"/>
      <c r="F25" s="14"/>
      <c r="G25" s="14">
        <f t="shared" si="39"/>
        <v>-0.45761600978764305</v>
      </c>
      <c r="H25" s="14">
        <f t="shared" si="39"/>
        <v>-0.48374218160848148</v>
      </c>
      <c r="I25" s="14">
        <f t="shared" si="39"/>
        <v>-0.41892733759981882</v>
      </c>
      <c r="J25" s="14">
        <f t="shared" si="39"/>
        <v>-0.26798913863327833</v>
      </c>
      <c r="K25" s="14">
        <f t="shared" si="39"/>
        <v>-0.13356964472730215</v>
      </c>
      <c r="L25" s="14">
        <f t="shared" si="39"/>
        <v>-2.0106547516755557E-2</v>
      </c>
      <c r="M25" s="14">
        <f t="shared" si="39"/>
        <v>0.15594541910331383</v>
      </c>
      <c r="N25" s="14">
        <f t="shared" si="39"/>
        <v>0.2982998454404957</v>
      </c>
      <c r="T25" s="4">
        <f t="shared" ref="T25:AC25" si="42">+T6/S6-1</f>
        <v>0.56800887484390339</v>
      </c>
      <c r="U25" s="4">
        <f t="shared" si="42"/>
        <v>0.16814127091117537</v>
      </c>
      <c r="V25" s="4">
        <f t="shared" si="42"/>
        <v>0.34382536173633449</v>
      </c>
      <c r="W25" s="4">
        <f t="shared" si="42"/>
        <v>-1.4076081876810975E-2</v>
      </c>
      <c r="X25" s="4">
        <f t="shared" si="42"/>
        <v>3.1132683629744973E-2</v>
      </c>
      <c r="Y25" s="4">
        <f t="shared" si="42"/>
        <v>0.25421079729332141</v>
      </c>
      <c r="Z25" s="4">
        <f t="shared" si="42"/>
        <v>0.23718277646644892</v>
      </c>
      <c r="AA25" s="4">
        <f t="shared" si="42"/>
        <v>-9.5310889117992237E-2</v>
      </c>
      <c r="AB25" s="4">
        <f t="shared" si="42"/>
        <v>-0.42345174473436031</v>
      </c>
      <c r="AC25" s="14">
        <f t="shared" si="42"/>
        <v>5.9137586332242975E-2</v>
      </c>
      <c r="AD25" s="14">
        <f t="shared" ref="AD25" si="43">+AD6/AC6-1</f>
        <v>0.25</v>
      </c>
      <c r="AE25" s="14">
        <f t="shared" ref="AE25" si="44">+AE6/AD6-1</f>
        <v>0.25</v>
      </c>
      <c r="AF25" s="14">
        <f t="shared" ref="AF25" si="45">+AF6/AE6-1</f>
        <v>0.25</v>
      </c>
      <c r="AG25" s="14">
        <f t="shared" ref="AG25" si="46">+AG6/AF6-1</f>
        <v>0.25</v>
      </c>
      <c r="AH25" s="14">
        <f t="shared" ref="AH25" si="47">+AH6/AG6-1</f>
        <v>0.25</v>
      </c>
      <c r="AI25" s="14">
        <f t="shared" ref="AI25" si="48">+AI6/AH6-1</f>
        <v>0.25</v>
      </c>
      <c r="AJ25" s="14">
        <f t="shared" ref="AJ25" si="49">+AJ6/AI6-1</f>
        <v>0.25</v>
      </c>
      <c r="AK25" s="14">
        <f t="shared" ref="AK25" si="50">+AK6/AJ6-1</f>
        <v>0.25</v>
      </c>
      <c r="AL25" s="14">
        <f t="shared" ref="AL25" si="51">+AL6/AK6-1</f>
        <v>0.25</v>
      </c>
      <c r="AO25" s="4" t="s">
        <v>46</v>
      </c>
      <c r="AP25" s="3">
        <f>+Main!K3</f>
        <v>82</v>
      </c>
    </row>
    <row r="26" spans="2:42" x14ac:dyDescent="0.2">
      <c r="AP26" s="4">
        <f>+AP24/AP25-1</f>
        <v>-1.8738257224297339E-2</v>
      </c>
    </row>
    <row r="29" spans="2:42" x14ac:dyDescent="0.2">
      <c r="B29" s="1" t="s">
        <v>39</v>
      </c>
      <c r="J29" s="11">
        <v>771.7</v>
      </c>
      <c r="K29" s="11">
        <v>566.5</v>
      </c>
      <c r="L29" s="11">
        <v>236.8</v>
      </c>
      <c r="M29" s="11">
        <v>250.7</v>
      </c>
    </row>
    <row r="30" spans="2:42" x14ac:dyDescent="0.2">
      <c r="B30" s="1" t="s">
        <v>55</v>
      </c>
      <c r="J30" s="11">
        <v>689.7</v>
      </c>
      <c r="K30" s="11">
        <v>765.5</v>
      </c>
      <c r="L30" s="11">
        <v>746.2</v>
      </c>
      <c r="M30" s="11">
        <v>731.2</v>
      </c>
    </row>
    <row r="31" spans="2:42" x14ac:dyDescent="0.2">
      <c r="B31" s="1" t="s">
        <v>56</v>
      </c>
      <c r="J31" s="11">
        <v>1293.5</v>
      </c>
      <c r="K31" s="11">
        <v>1169.0999999999999</v>
      </c>
      <c r="L31" s="11">
        <v>1095.3</v>
      </c>
      <c r="M31" s="11">
        <v>1057.7</v>
      </c>
    </row>
    <row r="32" spans="2:42" x14ac:dyDescent="0.2">
      <c r="B32" s="1" t="s">
        <v>57</v>
      </c>
      <c r="J32" s="11">
        <v>236.4</v>
      </c>
      <c r="K32" s="11">
        <v>252.7</v>
      </c>
      <c r="L32" s="11">
        <v>272</v>
      </c>
      <c r="M32" s="11">
        <v>251</v>
      </c>
    </row>
    <row r="33" spans="2:13" x14ac:dyDescent="0.2">
      <c r="B33" s="1" t="s">
        <v>58</v>
      </c>
      <c r="J33" s="11">
        <v>1183.7</v>
      </c>
      <c r="K33" s="11">
        <v>1153.9000000000001</v>
      </c>
      <c r="L33" s="11">
        <v>1153.5</v>
      </c>
      <c r="M33" s="11">
        <v>1130</v>
      </c>
    </row>
    <row r="34" spans="2:13" x14ac:dyDescent="0.2">
      <c r="B34" s="1" t="s">
        <v>59</v>
      </c>
      <c r="J34" s="11">
        <v>11199.6</v>
      </c>
      <c r="K34" s="11">
        <v>11071.8</v>
      </c>
      <c r="L34" s="11">
        <v>10965.9</v>
      </c>
      <c r="M34" s="11">
        <v>10904.9</v>
      </c>
    </row>
    <row r="35" spans="2:13" x14ac:dyDescent="0.2">
      <c r="B35" s="1" t="s">
        <v>54</v>
      </c>
      <c r="J35" s="11">
        <f>+SUM(J29:J34)</f>
        <v>15374.6</v>
      </c>
      <c r="K35" s="11">
        <f>+SUM(K29:K34)</f>
        <v>14979.5</v>
      </c>
      <c r="L35" s="11">
        <f>+SUM(L29:L34)</f>
        <v>14469.7</v>
      </c>
      <c r="M35" s="11">
        <f>+SUM(M29:M34)</f>
        <v>14325.5</v>
      </c>
    </row>
    <row r="37" spans="2:13" x14ac:dyDescent="0.2">
      <c r="B37" s="1" t="s">
        <v>49</v>
      </c>
      <c r="J37" s="11">
        <v>1155.0999999999999</v>
      </c>
      <c r="K37" s="11">
        <v>1190.4000000000001</v>
      </c>
      <c r="L37" s="11">
        <v>1043.8</v>
      </c>
      <c r="M37" s="11">
        <v>1059.3</v>
      </c>
    </row>
    <row r="38" spans="2:13" x14ac:dyDescent="0.2">
      <c r="B38" s="1" t="s">
        <v>50</v>
      </c>
      <c r="J38" s="11">
        <v>5630.4</v>
      </c>
      <c r="K38" s="11">
        <v>5458.1</v>
      </c>
      <c r="L38" s="11">
        <v>5375.9</v>
      </c>
      <c r="M38" s="11">
        <v>5366</v>
      </c>
    </row>
    <row r="39" spans="2:13" x14ac:dyDescent="0.2">
      <c r="B39" s="1" t="s">
        <v>51</v>
      </c>
      <c r="J39" s="11">
        <v>633.4</v>
      </c>
      <c r="K39" s="11">
        <v>640.20000000000005</v>
      </c>
      <c r="L39" s="11">
        <v>561.1</v>
      </c>
      <c r="M39" s="11">
        <v>572.70000000000005</v>
      </c>
    </row>
    <row r="40" spans="2:13" x14ac:dyDescent="0.2">
      <c r="B40" s="1" t="s">
        <v>52</v>
      </c>
      <c r="J40" s="11">
        <v>33.799999999999997</v>
      </c>
      <c r="K40" s="11">
        <v>36.299999999999997</v>
      </c>
      <c r="L40" s="11">
        <v>35.200000000000003</v>
      </c>
      <c r="M40" s="11">
        <v>29.6</v>
      </c>
    </row>
    <row r="41" spans="2:13" x14ac:dyDescent="0.2">
      <c r="B41" s="1" t="s">
        <v>53</v>
      </c>
      <c r="J41" s="11">
        <v>843.6</v>
      </c>
      <c r="K41" s="11">
        <v>797.4</v>
      </c>
      <c r="L41" s="11">
        <v>758.2</v>
      </c>
      <c r="M41" s="11">
        <v>737.5</v>
      </c>
    </row>
    <row r="42" spans="2:13" x14ac:dyDescent="0.2">
      <c r="B42" s="1" t="s">
        <v>48</v>
      </c>
      <c r="J42" s="11">
        <v>7078.3</v>
      </c>
      <c r="K42" s="11">
        <v>6857.1</v>
      </c>
      <c r="L42" s="11">
        <v>6695.5</v>
      </c>
      <c r="M42" s="11">
        <v>6560.4</v>
      </c>
    </row>
    <row r="43" spans="2:13" x14ac:dyDescent="0.2">
      <c r="B43" s="1" t="s">
        <v>47</v>
      </c>
      <c r="J43" s="11">
        <f>+SUM(J37:J42)</f>
        <v>15374.599999999999</v>
      </c>
      <c r="K43" s="11">
        <f>+SUM(K37:K42)</f>
        <v>14979.5</v>
      </c>
      <c r="L43" s="11">
        <f>+SUM(L37:L42)</f>
        <v>14469.7</v>
      </c>
      <c r="M43" s="11">
        <f>+SUM(M37:M42)</f>
        <v>14325.5</v>
      </c>
    </row>
    <row r="45" spans="2:13" x14ac:dyDescent="0.2">
      <c r="B45" s="1" t="s">
        <v>60</v>
      </c>
      <c r="J45" s="11">
        <f>+J38</f>
        <v>5630.4</v>
      </c>
      <c r="K45" s="11">
        <f>+K38</f>
        <v>5458.1</v>
      </c>
      <c r="L45" s="11">
        <f>+L38</f>
        <v>5375.9</v>
      </c>
      <c r="M45" s="11">
        <f>+M38</f>
        <v>5366</v>
      </c>
    </row>
    <row r="46" spans="2:13" x14ac:dyDescent="0.2">
      <c r="B46" s="1" t="s">
        <v>61</v>
      </c>
      <c r="J46" s="11">
        <f>+J29</f>
        <v>771.7</v>
      </c>
      <c r="K46" s="11">
        <f>+K29</f>
        <v>566.5</v>
      </c>
      <c r="L46" s="11">
        <f>+L29</f>
        <v>236.8</v>
      </c>
      <c r="M46" s="11">
        <f>+M29</f>
        <v>250.7</v>
      </c>
    </row>
    <row r="47" spans="2:13" x14ac:dyDescent="0.2">
      <c r="B47" s="1" t="s">
        <v>62</v>
      </c>
      <c r="J47" s="11">
        <f>+J45-J46</f>
        <v>4858.7</v>
      </c>
      <c r="K47" s="11">
        <f>+K45-K46</f>
        <v>4891.6000000000004</v>
      </c>
      <c r="L47" s="11">
        <f>+L45-L46</f>
        <v>5139.0999999999995</v>
      </c>
      <c r="M47" s="11">
        <f>+M45-M46</f>
        <v>5115.3</v>
      </c>
    </row>
    <row r="49" spans="2:28" x14ac:dyDescent="0.2">
      <c r="B49" s="1" t="s">
        <v>63</v>
      </c>
      <c r="J49" s="11">
        <f>+(J30/SUM(G6:J6)) * 365</f>
        <v>57.192952562704484</v>
      </c>
      <c r="K49" s="11">
        <f>+(K30/SUM(H6:K6)) * 365</f>
        <v>65.963336323716902</v>
      </c>
      <c r="L49" s="11">
        <f>+(L30/SUM(I6:L6)) * 365</f>
        <v>64.657439939227061</v>
      </c>
      <c r="M49" s="11">
        <f>+(M30/SUM(J6:M6)) * 365</f>
        <v>61.039246180587334</v>
      </c>
    </row>
    <row r="50" spans="2:28" x14ac:dyDescent="0.2">
      <c r="B50" s="1" t="s">
        <v>64</v>
      </c>
      <c r="J50" s="11">
        <f>(J31/SUM(G7:J7)*365)</f>
        <v>244.15757356363449</v>
      </c>
      <c r="K50" s="11">
        <f>(K31/SUM(H7:K7)*365)</f>
        <v>221.3170997354909</v>
      </c>
      <c r="L50" s="11">
        <f>(L31/SUM(I7:L7)*365)</f>
        <v>206.57494962021391</v>
      </c>
      <c r="M50" s="11">
        <f>(M31/SUM(J7:M7)*365)</f>
        <v>178.05576053869572</v>
      </c>
    </row>
    <row r="51" spans="2:28" x14ac:dyDescent="0.2">
      <c r="B51" s="1" t="s">
        <v>65</v>
      </c>
      <c r="J51" s="11">
        <f>(J37/SUM(G7:J7)*365)</f>
        <v>218.03356260019649</v>
      </c>
      <c r="K51" s="11">
        <f>(K37/SUM(H7:K7)*365)</f>
        <v>225.34930760852654</v>
      </c>
      <c r="L51" s="11">
        <f>(L37/SUM(I7:L7)*365)</f>
        <v>196.86198522192942</v>
      </c>
      <c r="M51" s="11">
        <f>(M37/SUM(J7:M7)*365)</f>
        <v>178.32510838483537</v>
      </c>
    </row>
    <row r="52" spans="2:28" x14ac:dyDescent="0.2">
      <c r="B52" s="1" t="s">
        <v>66</v>
      </c>
      <c r="J52" s="11">
        <f>+J49+J50-J51</f>
        <v>83.316963526142501</v>
      </c>
      <c r="K52" s="11">
        <f>+K49+K50-K51</f>
        <v>61.931128450681229</v>
      </c>
      <c r="L52" s="11">
        <f>+L49+L50-L51</f>
        <v>74.370404337511587</v>
      </c>
      <c r="M52" s="11">
        <f>+M49+M50-M51</f>
        <v>60.769898334447674</v>
      </c>
    </row>
    <row r="55" spans="2:28" x14ac:dyDescent="0.2">
      <c r="B55" s="1" t="s">
        <v>67</v>
      </c>
      <c r="G55" s="11">
        <v>377.1</v>
      </c>
      <c r="H55" s="11">
        <v>43.6</v>
      </c>
      <c r="I55" s="11">
        <v>271.5</v>
      </c>
      <c r="J55" s="11">
        <v>205.9</v>
      </c>
      <c r="K55" s="11">
        <v>275.60000000000002</v>
      </c>
      <c r="L55" s="11">
        <v>88.1</v>
      </c>
      <c r="M55" s="11">
        <v>341.4</v>
      </c>
    </row>
    <row r="56" spans="2:28" x14ac:dyDescent="0.2">
      <c r="B56" s="1" t="s">
        <v>68</v>
      </c>
      <c r="G56" s="11">
        <v>-72.900000000000006</v>
      </c>
      <c r="H56" s="11">
        <v>-20.8</v>
      </c>
      <c r="I56" s="11">
        <v>-18.100000000000001</v>
      </c>
      <c r="J56" s="11">
        <v>-14.2</v>
      </c>
      <c r="K56" s="11">
        <v>-17.899999999999999</v>
      </c>
      <c r="L56" s="11">
        <v>-36.5</v>
      </c>
      <c r="M56" s="11">
        <v>-22.5</v>
      </c>
    </row>
    <row r="57" spans="2:28" x14ac:dyDescent="0.2">
      <c r="B57" s="1" t="s">
        <v>69</v>
      </c>
      <c r="G57" s="11">
        <f>+G55+G56</f>
        <v>304.20000000000005</v>
      </c>
      <c r="H57" s="11">
        <f>+H55+H56</f>
        <v>22.8</v>
      </c>
      <c r="I57" s="11">
        <f>+I55+I56</f>
        <v>253.4</v>
      </c>
      <c r="J57" s="11">
        <f>+J55+J56</f>
        <v>191.70000000000002</v>
      </c>
      <c r="K57" s="11">
        <f>+K55+K56</f>
        <v>257.70000000000005</v>
      </c>
      <c r="L57" s="11">
        <f>+L55+L56</f>
        <v>51.599999999999994</v>
      </c>
      <c r="M57" s="11">
        <f>+M55+M56</f>
        <v>318.89999999999998</v>
      </c>
      <c r="AB57" s="1">
        <f>+SUM(G57:J57)</f>
        <v>772.10000000000014</v>
      </c>
    </row>
    <row r="58" spans="2:28" x14ac:dyDescent="0.2">
      <c r="B58" s="1" t="s">
        <v>70</v>
      </c>
      <c r="G58" s="11">
        <f>+G16</f>
        <v>378.50000000000028</v>
      </c>
      <c r="H58" s="11">
        <f t="shared" ref="H58:M58" si="52">+H16</f>
        <v>202.60000000000019</v>
      </c>
      <c r="I58" s="11">
        <f t="shared" si="52"/>
        <v>377.79999999999995</v>
      </c>
      <c r="J58" s="11">
        <f t="shared" si="52"/>
        <v>-387.60000000000082</v>
      </c>
      <c r="K58" s="11">
        <f t="shared" si="52"/>
        <v>111.20000000000009</v>
      </c>
      <c r="L58" s="11">
        <f t="shared" si="52"/>
        <v>156.10000000000019</v>
      </c>
      <c r="M58" s="11">
        <f t="shared" si="52"/>
        <v>175.09999999999991</v>
      </c>
      <c r="AB58" s="1">
        <f>+AB16</f>
        <v>571.29999999999961</v>
      </c>
    </row>
    <row r="60" spans="2:28" x14ac:dyDescent="0.2">
      <c r="B60" s="1" t="s">
        <v>71</v>
      </c>
      <c r="J60" s="11">
        <f>SUM(G57:J57)</f>
        <v>772.10000000000014</v>
      </c>
      <c r="K60" s="11">
        <f>SUM(H57:K57)</f>
        <v>725.6</v>
      </c>
      <c r="L60" s="11">
        <f>SUM(I57:L57)</f>
        <v>754.40000000000009</v>
      </c>
      <c r="M60" s="11">
        <f>SUM(J57:M57)</f>
        <v>819.90000000000009</v>
      </c>
    </row>
    <row r="61" spans="2:28" x14ac:dyDescent="0.2">
      <c r="B61" s="1" t="s">
        <v>72</v>
      </c>
      <c r="J61" s="11">
        <f>SUM(G58:J58)</f>
        <v>571.29999999999961</v>
      </c>
      <c r="K61" s="11">
        <f>SUM(H58:K58)</f>
        <v>303.99999999999937</v>
      </c>
      <c r="L61" s="11">
        <f>SUM(I58:L58)</f>
        <v>257.49999999999943</v>
      </c>
      <c r="M61" s="11">
        <f>SUM(J58:M58)</f>
        <v>54.799999999999386</v>
      </c>
    </row>
  </sheetData>
  <pageMargins left="0.7" right="0.7" top="0.75" bottom="0.75" header="0.3" footer="0.3"/>
  <ignoredErrors>
    <ignoredError sqref="D6:E16 G6:J1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2025-08-17T01:59:16Z</dcterms:created>
  <dcterms:modified xsi:type="dcterms:W3CDTF">2026-02-12T06:34:46Z</dcterms:modified>
</cp:coreProperties>
</file>