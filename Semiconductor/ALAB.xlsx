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DE81F28-2D45-1F47-B34F-9FA9E82DD3E9}" xr6:coauthVersionLast="47" xr6:coauthVersionMax="47" xr10:uidLastSave="{00000000-0000-0000-0000-000000000000}"/>
  <bookViews>
    <workbookView xWindow="27660" yWindow="4900" windowWidth="25900" windowHeight="22240" xr2:uid="{E0DF3C9E-B225-044F-BF68-06538CBBA60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H15" i="2"/>
  <c r="G15" i="2"/>
  <c r="J15" i="2"/>
  <c r="C9" i="2"/>
  <c r="C11" i="2" s="1"/>
  <c r="C13" i="2" s="1"/>
  <c r="D9" i="2"/>
  <c r="D11" i="2" s="1"/>
  <c r="D13" i="2" s="1"/>
  <c r="G9" i="2"/>
  <c r="G11" i="2" s="1"/>
  <c r="G13" i="2" s="1"/>
  <c r="E9" i="2"/>
  <c r="E11" i="2" s="1"/>
  <c r="E13" i="2" s="1"/>
  <c r="H9" i="2"/>
  <c r="H11" i="2" s="1"/>
  <c r="H13" i="2" s="1"/>
  <c r="I9" i="2"/>
  <c r="I11" i="2" s="1"/>
  <c r="I13" i="2" s="1"/>
  <c r="J9" i="2"/>
  <c r="J11" i="2" s="1"/>
  <c r="J13" i="2" s="1"/>
  <c r="F9" i="2"/>
  <c r="F11" i="2" s="1"/>
  <c r="F13" i="2" s="1"/>
  <c r="N3" i="2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I6" i="1"/>
  <c r="I7" i="1" s="1"/>
  <c r="H6" i="1"/>
  <c r="H5" i="1"/>
  <c r="H8" i="1" s="1"/>
</calcChain>
</file>

<file path=xl/sharedStrings.xml><?xml version="1.0" encoding="utf-8"?>
<sst xmlns="http://schemas.openxmlformats.org/spreadsheetml/2006/main" count="28" uniqueCount="26">
  <si>
    <t>P</t>
  </si>
  <si>
    <t>S</t>
  </si>
  <si>
    <t>MC</t>
  </si>
  <si>
    <t>C</t>
  </si>
  <si>
    <t>D</t>
  </si>
  <si>
    <t>EV</t>
  </si>
  <si>
    <t>Q425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</si>
  <si>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</si>
  <si>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</si>
  <si>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</si>
  <si>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</si>
  <si>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</si>
  <si>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</si>
  <si>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</si>
  <si>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</si>
  <si>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Q325</t>
  </si>
  <si>
    <t xml:space="preserve">Revenue </t>
  </si>
  <si>
    <t>R&amp;D</t>
  </si>
  <si>
    <t>S&amp;M</t>
  </si>
  <si>
    <t>G&amp;A</t>
  </si>
  <si>
    <t>Op Income</t>
  </si>
  <si>
    <t>Interest Income</t>
  </si>
  <si>
    <t xml:space="preserve">EBT </t>
  </si>
  <si>
    <t>Taxes</t>
  </si>
  <si>
    <t>Net Income</t>
  </si>
  <si>
    <t xml:space="preserve">JITENDRA MOHAN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</si>
</sst>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868D-1427-9543-8D18-E08664B8BB8A}">
  <dimension ref="B3:I8"/>
  <sheetViews>
    <sheetView tabSelected="1" topLeftCell="A2" zoomScale="240" workbookViewId="0">
      <selection activeCell="C4" sqref="C4"/>
    </sheetView>
  </sheetViews>
  <sheetFormatPr baseColWidth="10" defaultRowHeight="16" x14ac:dyDescent="0.2"/>
  <cols>
    <col min="1" max="6" width="10.83203125" style="1"/>
    <col min="7" max="7" width="4" style="1" bestFit="1" customWidth="1"/>
    <col min="8" max="8" width="6.6640625" style="1" bestFit="1" customWidth="1"/>
    <col min="9" max="9" width="5.5" style="1" bestFit="1" customWidth="1"/>
    <col min="10" max="16384" width="10.83203125" style="1"/>
  </cols>
  <sheetData>
    <row r="3" spans="2:9" x14ac:dyDescent="0.2">
      <c r="B3" s="1" t="s">
        <v>7</v>
      </c>
      <c r="C3" s="1" t="s">
        <v>25</v>
      </c>
      <c r="G3" s="1" t="s">
        <v>0</v>
      </c>
      <c r="H3" s="1">
        <v>129.32</v>
      </c>
    </row>
    <row r="4" spans="2:9" x14ac:dyDescent="0.2">
      <c r="B4" s="1" t="s">
        <v>8</v>
      </c>
      <c r="G4" s="1" t="s">
        <v>1</v>
      </c>
      <c r="H4" s="1">
        <v>181.18100000000001</v>
      </c>
      <c r="I4" s="1" t="s">
        <v>6</v>
      </c>
    </row>
    <row r="5" spans="2:9" x14ac:dyDescent="0.2">
      <c r="G5" s="1" t="s">
        <v>2</v>
      </c>
      <c r="H5" s="1">
        <f>+H3*H4</f>
        <v>23430.32692</v>
      </c>
    </row>
    <row r="6" spans="2:9" x14ac:dyDescent="0.2">
      <c r="G6" s="1" t="s">
        <v>3</v>
      </c>
      <c r="H6" s="1">
        <f>167.611+1021.205</f>
        <v>1188.816</v>
      </c>
      <c r="I6" s="1" t="str">
        <f>+I4</f>
        <v>Q425</v>
      </c>
    </row>
    <row r="7" spans="2:9" x14ac:dyDescent="0.2">
      <c r="G7" s="1" t="s">
        <v>4</v>
      </c>
      <c r="H7" s="1">
        <v>0</v>
      </c>
      <c r="I7" s="1" t="str">
        <f>+I6</f>
        <v>Q425</v>
      </c>
    </row>
    <row r="8" spans="2:9" x14ac:dyDescent="0.2">
      <c r="G8" s="1" t="s">
        <v>5</v>
      </c>
      <c r="H8" s="1">
        <f>+H5-H6+H7</f>
        <v>22241.510920000001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3C0B-364A-224B-8798-F809BC4C2621}">
  <dimension ref="B2:AA15"/>
  <sheetViews>
    <sheetView showGridLines="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baseColWidth="10" defaultRowHeight="16" x14ac:dyDescent="0.2"/>
  <cols>
    <col min="1" max="1" width="2.33203125" style="1" customWidth="1"/>
    <col min="2" max="2" width="10.83203125" style="1"/>
    <col min="3" max="5" width="5.5" style="4" bestFit="1" customWidth="1"/>
    <col min="6" max="6" width="5.83203125" style="4" bestFit="1" customWidth="1"/>
    <col min="7" max="9" width="5.5" style="4" bestFit="1" customWidth="1"/>
    <col min="10" max="10" width="5.83203125" style="4" bestFit="1" customWidth="1"/>
    <col min="11" max="12" width="10.83203125" style="1"/>
    <col min="13" max="27" width="5.1640625" style="1" bestFit="1" customWidth="1"/>
    <col min="28" max="16384" width="10.83203125" style="1"/>
  </cols>
  <sheetData>
    <row r="2" spans="2:27" s="5" customFormat="1" x14ac:dyDescent="0.2">
      <c r="C2" s="6">
        <v>45382</v>
      </c>
      <c r="D2" s="6">
        <v>45473</v>
      </c>
      <c r="E2" s="6">
        <v>45565</v>
      </c>
      <c r="F2" s="6">
        <v>45657</v>
      </c>
      <c r="G2" s="6">
        <v>45747</v>
      </c>
      <c r="H2" s="6">
        <v>45838</v>
      </c>
      <c r="I2" s="6">
        <v>45930</v>
      </c>
      <c r="J2" s="6">
        <v>46022</v>
      </c>
    </row>
    <row r="3" spans="2:27" s="2" customFormat="1" x14ac:dyDescent="0.2"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6</v>
      </c>
      <c r="M3" s="2">
        <v>2019</v>
      </c>
      <c r="N3" s="2">
        <f>+M3+1</f>
        <v>2020</v>
      </c>
      <c r="O3" s="2">
        <f t="shared" ref="O3:AA3" si="0">+N3+1</f>
        <v>2021</v>
      </c>
      <c r="P3" s="2">
        <f t="shared" si="0"/>
        <v>2022</v>
      </c>
      <c r="Q3" s="2">
        <f t="shared" si="0"/>
        <v>2023</v>
      </c>
      <c r="R3" s="2">
        <f t="shared" si="0"/>
        <v>2024</v>
      </c>
      <c r="S3" s="2">
        <f t="shared" si="0"/>
        <v>2025</v>
      </c>
      <c r="T3" s="2">
        <f t="shared" si="0"/>
        <v>2026</v>
      </c>
      <c r="U3" s="2">
        <f t="shared" si="0"/>
        <v>2027</v>
      </c>
      <c r="V3" s="2">
        <f t="shared" si="0"/>
        <v>2028</v>
      </c>
      <c r="W3" s="2">
        <f t="shared" si="0"/>
        <v>2029</v>
      </c>
      <c r="X3" s="2">
        <f t="shared" si="0"/>
        <v>2030</v>
      </c>
      <c r="Y3" s="2">
        <f t="shared" si="0"/>
        <v>2031</v>
      </c>
      <c r="Z3" s="2">
        <f t="shared" si="0"/>
        <v>2032</v>
      </c>
      <c r="AA3" s="2">
        <f t="shared" si="0"/>
        <v>2033</v>
      </c>
    </row>
    <row r="4" spans="2:27" x14ac:dyDescent="0.2">
      <c r="B4" s="1" t="s">
        <v>16</v>
      </c>
      <c r="C4" s="4">
        <v>65.257999999999996</v>
      </c>
      <c r="D4" s="4">
        <v>76.849999999999994</v>
      </c>
      <c r="E4" s="4">
        <v>113.086</v>
      </c>
      <c r="F4" s="4">
        <v>141.096</v>
      </c>
      <c r="G4" s="4">
        <v>159.44200000000001</v>
      </c>
      <c r="H4" s="4">
        <v>191.92500000000001</v>
      </c>
      <c r="I4" s="4">
        <v>230.57499999999999</v>
      </c>
      <c r="J4" s="4">
        <v>270.58300000000003</v>
      </c>
    </row>
    <row r="5" spans="2:27" x14ac:dyDescent="0.2">
      <c r="B5" s="1" t="s">
        <v>3</v>
      </c>
      <c r="C5" s="4">
        <v>14.738</v>
      </c>
      <c r="D5" s="4">
        <v>16.995999999999999</v>
      </c>
      <c r="E5" s="4">
        <v>25.209</v>
      </c>
      <c r="F5" s="4">
        <v>36.648000000000003</v>
      </c>
      <c r="G5" s="4">
        <v>40.030999999999999</v>
      </c>
      <c r="H5" s="4">
        <v>46.362000000000002</v>
      </c>
      <c r="I5" s="4">
        <v>54.762999999999998</v>
      </c>
      <c r="J5" s="4">
        <v>66.108000000000004</v>
      </c>
    </row>
    <row r="6" spans="2:27" x14ac:dyDescent="0.2">
      <c r="B6" s="1" t="s">
        <v>17</v>
      </c>
      <c r="C6" s="4">
        <v>53.558</v>
      </c>
      <c r="D6" s="4">
        <v>40.088999999999999</v>
      </c>
      <c r="E6" s="4">
        <v>50.658999999999999</v>
      </c>
      <c r="F6" s="4">
        <v>56.524000000000001</v>
      </c>
      <c r="G6" s="4">
        <v>64.554000000000002</v>
      </c>
      <c r="H6" s="4">
        <v>66.724000000000004</v>
      </c>
      <c r="I6" s="4">
        <v>78.927999999999997</v>
      </c>
      <c r="J6" s="4">
        <v>93.792000000000002</v>
      </c>
    </row>
    <row r="7" spans="2:27" x14ac:dyDescent="0.2">
      <c r="B7" s="1" t="s">
        <v>18</v>
      </c>
      <c r="C7" s="4">
        <v>55.51</v>
      </c>
      <c r="D7" s="4">
        <v>22.076000000000001</v>
      </c>
      <c r="E7" s="4">
        <v>23.248000000000001</v>
      </c>
      <c r="F7" s="4">
        <v>22.818000000000001</v>
      </c>
      <c r="G7" s="4">
        <v>21.702000000000002</v>
      </c>
      <c r="H7" s="4">
        <v>18.609000000000002</v>
      </c>
      <c r="I7" s="4">
        <v>19.359000000000002</v>
      </c>
      <c r="J7" s="4">
        <v>20.103999999999999</v>
      </c>
    </row>
    <row r="8" spans="2:27" x14ac:dyDescent="0.2">
      <c r="B8" s="1" t="s">
        <v>19</v>
      </c>
      <c r="C8" s="4">
        <v>24.419</v>
      </c>
      <c r="D8" s="4">
        <v>22.036000000000001</v>
      </c>
      <c r="E8" s="4">
        <v>22.866</v>
      </c>
      <c r="F8" s="4">
        <v>24.962</v>
      </c>
      <c r="G8" s="4">
        <v>21.87</v>
      </c>
      <c r="H8" s="4">
        <v>20.456</v>
      </c>
      <c r="I8" s="4">
        <v>22.119</v>
      </c>
      <c r="J8" s="4">
        <v>23.620999999999999</v>
      </c>
    </row>
    <row r="9" spans="2:27" x14ac:dyDescent="0.2">
      <c r="B9" s="1" t="s">
        <v>20</v>
      </c>
      <c r="C9" s="4">
        <f>+C4-SUM(C5:C8)</f>
        <v>-82.966999999999999</v>
      </c>
      <c r="D9" s="4">
        <f>+D4-SUM(D5:D8)</f>
        <v>-24.347000000000008</v>
      </c>
      <c r="E9" s="4">
        <f>+E4-SUM(E5:E8)</f>
        <v>-8.8960000000000008</v>
      </c>
      <c r="F9" s="4">
        <f>+F4-SUM(F5:F8)</f>
        <v>0.14400000000000546</v>
      </c>
      <c r="G9" s="4">
        <f>+G4-SUM(G5:G8)</f>
        <v>11.284999999999997</v>
      </c>
      <c r="H9" s="4">
        <f>+H4-SUM(H5:H8)</f>
        <v>39.774000000000001</v>
      </c>
      <c r="I9" s="4">
        <f>+I4-SUM(I5:I8)</f>
        <v>55.405999999999977</v>
      </c>
      <c r="J9" s="4">
        <f>+J4-SUM(J5:J8)</f>
        <v>66.957999999999998</v>
      </c>
    </row>
    <row r="10" spans="2:27" x14ac:dyDescent="0.2">
      <c r="B10" s="1" t="s">
        <v>21</v>
      </c>
      <c r="C10" s="4">
        <v>2.5539999999999998</v>
      </c>
      <c r="D10" s="4">
        <v>10.263999999999999</v>
      </c>
      <c r="E10" s="4">
        <v>10.912000000000001</v>
      </c>
      <c r="F10" s="4">
        <v>10.558</v>
      </c>
      <c r="G10" s="4">
        <v>10.432</v>
      </c>
      <c r="H10" s="4">
        <v>10.885</v>
      </c>
      <c r="I10" s="4">
        <v>11.456</v>
      </c>
      <c r="J10" s="4">
        <v>11.957000000000001</v>
      </c>
    </row>
    <row r="11" spans="2:27" x14ac:dyDescent="0.2">
      <c r="B11" s="1" t="s">
        <v>22</v>
      </c>
      <c r="C11" s="4">
        <f>+C9+C10</f>
        <v>-80.412999999999997</v>
      </c>
      <c r="D11" s="4">
        <f>+D9+D10</f>
        <v>-14.083000000000009</v>
      </c>
      <c r="E11" s="4">
        <f>+E9+E10</f>
        <v>2.016</v>
      </c>
      <c r="F11" s="4">
        <f>+F9+F10</f>
        <v>10.702000000000005</v>
      </c>
      <c r="G11" s="4">
        <f>+G9+G10</f>
        <v>21.716999999999999</v>
      </c>
      <c r="H11" s="4">
        <f>+H9+H10</f>
        <v>50.658999999999999</v>
      </c>
      <c r="I11" s="4">
        <f>+I9+I10</f>
        <v>66.861999999999981</v>
      </c>
      <c r="J11" s="4">
        <f>+J9+J10</f>
        <v>78.914999999999992</v>
      </c>
    </row>
    <row r="12" spans="2:27" x14ac:dyDescent="0.2">
      <c r="B12" s="1" t="s">
        <v>23</v>
      </c>
      <c r="C12" s="4">
        <v>12.585000000000001</v>
      </c>
      <c r="D12" s="4">
        <v>-6.5369999999999999</v>
      </c>
      <c r="E12" s="4">
        <v>9.609</v>
      </c>
      <c r="F12" s="4">
        <v>-14.010999999999999</v>
      </c>
      <c r="G12" s="4">
        <v>-10.102</v>
      </c>
      <c r="H12" s="4">
        <v>-0.56000000000000005</v>
      </c>
      <c r="I12" s="4">
        <v>-24.251999999999999</v>
      </c>
      <c r="J12" s="4">
        <v>33.933</v>
      </c>
    </row>
    <row r="13" spans="2:27" x14ac:dyDescent="0.2">
      <c r="B13" s="1" t="s">
        <v>24</v>
      </c>
      <c r="C13" s="4">
        <f>+C11-C12</f>
        <v>-92.99799999999999</v>
      </c>
      <c r="D13" s="4">
        <f>+D11-D12</f>
        <v>-7.5460000000000091</v>
      </c>
      <c r="E13" s="4">
        <f>+E11-E12</f>
        <v>-7.593</v>
      </c>
      <c r="F13" s="4">
        <f>+F11-F12</f>
        <v>24.713000000000005</v>
      </c>
      <c r="G13" s="4">
        <f>+G11-G12</f>
        <v>31.818999999999999</v>
      </c>
      <c r="H13" s="4">
        <f>+H11-H12</f>
        <v>51.219000000000001</v>
      </c>
      <c r="I13" s="4">
        <f>+I11-I12</f>
        <v>91.113999999999976</v>
      </c>
      <c r="J13" s="4">
        <f>+J11-J12</f>
        <v>44.981999999999992</v>
      </c>
    </row>
    <row r="15" spans="2:27" x14ac:dyDescent="0.2">
      <c r="G15" s="7">
        <f t="shared" ref="G15:I15" si="1">+G4/C4-1</f>
        <v>1.4432559992644585</v>
      </c>
      <c r="H15" s="7">
        <f t="shared" si="1"/>
        <v>1.4973975276512692</v>
      </c>
      <c r="I15" s="7">
        <f t="shared" si="1"/>
        <v>1.038934969845958</v>
      </c>
      <c r="J15" s="7">
        <f>+J4/F4-1</f>
        <v>0.91772268526393397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2026-02-15T21:15:08Z</dcterms:created>
  <dcterms:modified xsi:type="dcterms:W3CDTF">2026-02-15T22:15:37Z</dcterms:modified>
</cp:coreProperties>
</file>