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214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jameelbrannon/Library/CloudStorage/Dropbox/models/"/>
    </mc:Choice>
  </mc:AlternateContent>
  <xr:revisionPtr revIDLastSave="0" documentId="13_ncr:1_{0EF9E5E0-C281-5E41-805B-F6B798657A89}" xr6:coauthVersionLast="47" xr6:coauthVersionMax="47" xr10:uidLastSave="{00000000-0000-0000-0000-000000000000}"/>
  <bookViews>
    <workbookView xWindow="12700" yWindow="1320" windowWidth="34220" windowHeight="24700" activeTab="1" xr2:uid="{CED5AF02-4096-2C42-A814-858C071FF889}"/>
  </bookViews>
  <sheets>
    <sheet name="Main" sheetId="1" r:id="rId1"/>
    <sheet name="Model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7" i="1" l="1"/>
  <c r="M4" i="2"/>
  <c r="V5" i="2"/>
  <c r="V33" i="2"/>
  <c r="V28" i="2"/>
  <c r="V26" i="2"/>
  <c r="V25" i="2"/>
  <c r="N3" i="2"/>
  <c r="U19" i="2"/>
  <c r="J13" i="2"/>
  <c r="J11" i="2"/>
  <c r="J10" i="2"/>
  <c r="J8" i="2"/>
  <c r="J7" i="2"/>
  <c r="J6" i="2"/>
  <c r="J5" i="2"/>
  <c r="J19" i="2" s="1"/>
  <c r="U9" i="2"/>
  <c r="U12" i="2" s="1"/>
  <c r="U14" i="2" s="1"/>
  <c r="U16" i="2" s="1"/>
  <c r="G9" i="2"/>
  <c r="G12" i="2" s="1"/>
  <c r="G14" i="2" s="1"/>
  <c r="J14" i="2" s="1"/>
  <c r="K20" i="2"/>
  <c r="K19" i="2"/>
  <c r="K9" i="2"/>
  <c r="K12" i="2" s="1"/>
  <c r="K14" i="2" s="1"/>
  <c r="L20" i="2"/>
  <c r="L19" i="2"/>
  <c r="L9" i="2"/>
  <c r="L12" i="2" s="1"/>
  <c r="L14" i="2" s="1"/>
  <c r="I23" i="2"/>
  <c r="F23" i="2"/>
  <c r="F49" i="2"/>
  <c r="F51" i="2" s="1"/>
  <c r="F38" i="2"/>
  <c r="I49" i="2"/>
  <c r="I51" i="2" s="1"/>
  <c r="I38" i="2"/>
  <c r="I5" i="2"/>
  <c r="I20" i="2" s="1"/>
  <c r="T20" i="2"/>
  <c r="S20" i="2"/>
  <c r="R20" i="2"/>
  <c r="H20" i="2"/>
  <c r="G20" i="2"/>
  <c r="E20" i="2"/>
  <c r="D20" i="2"/>
  <c r="C20" i="2"/>
  <c r="F13" i="2"/>
  <c r="F11" i="2"/>
  <c r="F10" i="2"/>
  <c r="F8" i="2"/>
  <c r="F7" i="2"/>
  <c r="F6" i="2"/>
  <c r="F5" i="2"/>
  <c r="S19" i="2"/>
  <c r="R9" i="2"/>
  <c r="R12" i="2" s="1"/>
  <c r="R14" i="2" s="1"/>
  <c r="R16" i="2" s="1"/>
  <c r="T19" i="2"/>
  <c r="S9" i="2"/>
  <c r="S12" i="2" s="1"/>
  <c r="S14" i="2" s="1"/>
  <c r="S16" i="2" s="1"/>
  <c r="T9" i="2"/>
  <c r="T12" i="2" s="1"/>
  <c r="T14" i="2" s="1"/>
  <c r="T16" i="2" s="1"/>
  <c r="G19" i="2"/>
  <c r="C9" i="2"/>
  <c r="C12" i="2" s="1"/>
  <c r="C14" i="2" s="1"/>
  <c r="H19" i="2"/>
  <c r="D9" i="2"/>
  <c r="D12" i="2" s="1"/>
  <c r="D14" i="2" s="1"/>
  <c r="H9" i="2"/>
  <c r="H12" i="2" s="1"/>
  <c r="H14" i="2" s="1"/>
  <c r="E9" i="2"/>
  <c r="E12" i="2" s="1"/>
  <c r="E14" i="2" s="1"/>
  <c r="I9" i="2"/>
  <c r="I12" i="2" s="1"/>
  <c r="I14" i="2" s="1"/>
  <c r="I6" i="1"/>
  <c r="I7" i="1" s="1"/>
  <c r="H5" i="1"/>
  <c r="H8" i="1" s="1"/>
  <c r="V22" i="2" s="1"/>
  <c r="V23" i="2" s="1"/>
  <c r="V24" i="2" l="1"/>
  <c r="V27" i="2" s="1"/>
  <c r="V29" i="2" s="1"/>
  <c r="V30" i="2" s="1"/>
  <c r="J9" i="2"/>
  <c r="J20" i="2"/>
  <c r="J12" i="2"/>
  <c r="F20" i="2"/>
  <c r="I19" i="2"/>
  <c r="F9" i="2"/>
  <c r="F14" i="2"/>
  <c r="F12" i="2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jameel</author>
  </authors>
  <commentList>
    <comment ref="B3" authorId="0" shapeId="0" xr:uid="{817D3DA6-24C6-B947-8E49-725931CFDCD7}">
      <text>
        <r>
          <rPr>
            <b/>
            <sz val="10"/>
            <color rgb="FF000000"/>
            <rFont val="Tahoma"/>
            <family val="2"/>
          </rPr>
          <t>jameel: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ArialMT"/>
          </rPr>
          <t>ew products include hardware products and related revenues manufactured on 180 nanometer or smaller semiconductor processes, intellectual property license, professional services, QuickAI and SensiML AI software as a service (SaaS) revenue</t>
        </r>
      </text>
    </comment>
    <comment ref="B4" authorId="0" shapeId="0" xr:uid="{F7725AA7-D066-3A42-B702-B689667096A7}">
      <text>
        <r>
          <rPr>
            <b/>
            <sz val="10"/>
            <color rgb="FF000000"/>
            <rFont val="Tahoma"/>
            <family val="2"/>
          </rPr>
          <t>jameel: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ArialMT"/>
          </rPr>
          <t>Mature products include all products produced on semiconductor processes larger than 180 nanometer.</t>
        </r>
      </text>
    </comment>
  </commentList>
</comments>
</file>

<file path=xl/sharedStrings.xml><?xml version="1.0" encoding="utf-8"?>
<sst xmlns="http://schemas.openxmlformats.org/spreadsheetml/2006/main" count="95" uniqueCount="89">
  <si>
    <t>P</t>
  </si>
  <si>
    <t>S</t>
  </si>
  <si>
    <t>MC</t>
  </si>
  <si>
    <t>C</t>
  </si>
  <si>
    <t>D</t>
  </si>
  <si>
    <t>EV</t>
  </si>
  <si>
    <t>Q324</t>
  </si>
  <si>
    <t>Q123</t>
  </si>
  <si>
    <t>Q223</t>
  </si>
  <si>
    <t>Q323</t>
  </si>
  <si>
    <t>Q423</t>
  </si>
  <si>
    <t>Q124</t>
  </si>
  <si>
    <t>Q224</t>
  </si>
  <si>
    <t>Q424</t>
  </si>
  <si>
    <t>Founded</t>
  </si>
  <si>
    <t>Embedded FPGA (eFGPA) IP</t>
  </si>
  <si>
    <t>System on Chip (SoC): integrated semiconductor containing multiple components. processor, memory input/output interfaces, and hardware accelerators</t>
  </si>
  <si>
    <t>designed to execute pre-defined tasks efficiently by integrating everything needed onto a single chip</t>
  </si>
  <si>
    <t>optimized for specific applications, like smartphones, wearables, IoT devices, and AI processing</t>
  </si>
  <si>
    <t xml:space="preserve">cannot be reprogrammed after manufacturing </t>
  </si>
  <si>
    <t>Use Cases</t>
  </si>
  <si>
    <t>smartphones</t>
  </si>
  <si>
    <t>AI powered voice assistants</t>
  </si>
  <si>
    <t>Industrial automation</t>
  </si>
  <si>
    <t>Field Programmable Gate Array: semiconductor that conisst of programmable logic blocks and interconnects that can be reconfigured after manufacturing.  Allows for customization</t>
  </si>
  <si>
    <t xml:space="preserve">reconfigurable chip that allows users to modify the logic after manufacturing </t>
  </si>
  <si>
    <t>EOS S3 SOC</t>
  </si>
  <si>
    <t>designed for AI/ML, voice processing, and ulta low power IoT apps</t>
  </si>
  <si>
    <t>ARTICLINK III SoC</t>
  </si>
  <si>
    <t>used for sensor fusion in wearables, industrial IoT, and smart devices</t>
  </si>
  <si>
    <t>Traditional FPGA</t>
  </si>
  <si>
    <t>Adjacent to CPU/GPU: typically connected via Pcle, memory buses, or high speed interconnects</t>
  </si>
  <si>
    <t>Placement: Motherboard or Pcle Card: the fgpa sits as a standalone chip on a circuit board</t>
  </si>
  <si>
    <t>fpga's act as accelerators for specific tasks, offloading computational work for the CPU or GPU</t>
  </si>
  <si>
    <t xml:space="preserve">Embedded FPGA </t>
  </si>
  <si>
    <t>eFPGA is not a sperate chip.  Is is integrated inside another chip, such as an AISC or SoC</t>
  </si>
  <si>
    <t>Placement: Inside a custom ASIC or SoC, instead fo sitting next to the CPU or GPU, the eFPGA logic is embdedded inside a large semiconductor device</t>
  </si>
  <si>
    <t>R Y/Y</t>
  </si>
  <si>
    <t xml:space="preserve">R </t>
  </si>
  <si>
    <t>R&amp;D</t>
  </si>
  <si>
    <t>SG&amp;A</t>
  </si>
  <si>
    <t>Operating Income</t>
  </si>
  <si>
    <t>Interest Expense</t>
  </si>
  <si>
    <t xml:space="preserve">Interest Income </t>
  </si>
  <si>
    <t xml:space="preserve">EBT </t>
  </si>
  <si>
    <t>Taxes</t>
  </si>
  <si>
    <t xml:space="preserve">Net Income </t>
  </si>
  <si>
    <t>Diluted</t>
  </si>
  <si>
    <t>EPS</t>
  </si>
  <si>
    <t>GM %</t>
  </si>
  <si>
    <t>New products</t>
  </si>
  <si>
    <t xml:space="preserve">Mature Products </t>
  </si>
  <si>
    <t xml:space="preserve">Total Assets </t>
  </si>
  <si>
    <t xml:space="preserve">Cash </t>
  </si>
  <si>
    <t>A/R</t>
  </si>
  <si>
    <t>Contract assets</t>
  </si>
  <si>
    <t>Note Recievable</t>
  </si>
  <si>
    <t>Inventories</t>
  </si>
  <si>
    <t>Prepaid Exp</t>
  </si>
  <si>
    <t>PPE</t>
  </si>
  <si>
    <t>Capitalized software</t>
  </si>
  <si>
    <t>Right of use</t>
  </si>
  <si>
    <t>Intangibles</t>
  </si>
  <si>
    <t>Non marketable equity</t>
  </si>
  <si>
    <t>Goodwill</t>
  </si>
  <si>
    <t xml:space="preserve">Note recievable </t>
  </si>
  <si>
    <t xml:space="preserve">Other Assets </t>
  </si>
  <si>
    <t xml:space="preserve">Equity </t>
  </si>
  <si>
    <t>Revolving Crediy</t>
  </si>
  <si>
    <t>Trade payables</t>
  </si>
  <si>
    <t xml:space="preserve">Accrued liabilities </t>
  </si>
  <si>
    <t>Deferred revenue</t>
  </si>
  <si>
    <t>Note payable</t>
  </si>
  <si>
    <t>Lease Liabilities</t>
  </si>
  <si>
    <t>Notes payable</t>
  </si>
  <si>
    <t>OL</t>
  </si>
  <si>
    <t xml:space="preserve">Total Liabilities </t>
  </si>
  <si>
    <t xml:space="preserve">TL + Equity </t>
  </si>
  <si>
    <t xml:space="preserve">Net Cash </t>
  </si>
  <si>
    <t>Q225</t>
  </si>
  <si>
    <t>Q125</t>
  </si>
  <si>
    <t>Q325</t>
  </si>
  <si>
    <t>Q425</t>
  </si>
  <si>
    <t>Debt</t>
  </si>
  <si>
    <t>Shares</t>
  </si>
  <si>
    <t>Price</t>
  </si>
  <si>
    <t>Updie</t>
  </si>
  <si>
    <t>current</t>
  </si>
  <si>
    <t>Implied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</si>
</sst>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#,##0.0"/>
    <numFmt numFmtId="165" formatCode="#,##0.000"/>
  </numFmts>
  <fonts count="7">
    <font>
      <sz val="10"/>
      <color theme="1"/>
      <name val="ArialMT"/>
      <family val="2"/>
    </font>
    <font>
      <u/>
      <sz val="10"/>
      <color theme="1"/>
      <name val="ArialMT"/>
      <family val="2"/>
    </font>
    <font>
      <b/>
      <sz val="10"/>
      <color theme="1"/>
      <name val="ArialMT"/>
    </font>
    <font>
      <sz val="10"/>
      <color rgb="FF000000"/>
      <name val="Tahoma"/>
      <family val="2"/>
    </font>
    <font>
      <b/>
      <sz val="10"/>
      <color rgb="FF000000"/>
      <name val="Tahoma"/>
      <family val="2"/>
    </font>
    <font>
      <sz val="10"/>
      <color rgb="FF000000"/>
      <name val="ArialMT"/>
    </font>
    <font>
      <sz val="10"/>
      <color theme="1"/>
      <name val="ArialMT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7">
    <xf numFmtId="0" fontId="0" fillId="0" borderId="0" xfId="0"/>
    <xf numFmtId="3" fontId="0" fillId="0" borderId="0" xfId="0" applyNumberFormat="1"/>
    <xf numFmtId="4" fontId="0" fillId="0" borderId="0" xfId="0" applyNumberFormat="1"/>
    <xf numFmtId="1" fontId="0" fillId="0" borderId="0" xfId="0" applyNumberFormat="1"/>
    <xf numFmtId="3" fontId="0" fillId="0" borderId="0" xfId="0" applyNumberFormat="1" applyAlignment="1">
      <alignment horizontal="left" indent="1"/>
    </xf>
    <xf numFmtId="3" fontId="1" fillId="0" borderId="0" xfId="0" applyNumberFormat="1" applyFont="1"/>
    <xf numFmtId="3" fontId="2" fillId="0" borderId="0" xfId="0" applyNumberFormat="1" applyFont="1"/>
    <xf numFmtId="9" fontId="0" fillId="0" borderId="0" xfId="0" applyNumberFormat="1"/>
    <xf numFmtId="9" fontId="2" fillId="0" borderId="0" xfId="0" applyNumberFormat="1" applyFont="1"/>
    <xf numFmtId="2" fontId="0" fillId="0" borderId="0" xfId="0" applyNumberFormat="1"/>
    <xf numFmtId="1" fontId="2" fillId="0" borderId="0" xfId="0" applyNumberFormat="1" applyFont="1"/>
    <xf numFmtId="3" fontId="6" fillId="0" borderId="0" xfId="0" applyNumberFormat="1" applyFont="1"/>
    <xf numFmtId="164" fontId="2" fillId="0" borderId="0" xfId="0" applyNumberFormat="1" applyFont="1"/>
    <xf numFmtId="4" fontId="2" fillId="0" borderId="0" xfId="0" applyNumberFormat="1" applyFont="1"/>
    <xf numFmtId="165" fontId="2" fillId="0" borderId="0" xfId="0" applyNumberFormat="1" applyFont="1"/>
    <xf numFmtId="164" fontId="0" fillId="0" borderId="0" xfId="0" applyNumberFormat="1"/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11</xdr:col>
      <xdr:colOff>645525</xdr:colOff>
      <xdr:row>0</xdr:row>
      <xdr:rowOff>0</xdr:rowOff>
    </xdr:from>
    <xdr:to>
      <xdr:col>12</xdr:col>
      <xdr:colOff>0</xdr:colOff>
      <xdr:row>46</xdr:row>
      <xdr:rowOff>21049</xdr:rowOff>
    </xdr:to>
    <xdr:cxnSp macro="">
      <xdr:nvCxnSpPr>
        <xdr:cNvPr id="3" name="Straight Connector 2">
          <a:extLst>
            <a:ext uri="{FF2B5EF4-FFF2-40B4-BE49-F238E27FC236}">
              <a16:creationId xmlns:a16="http://schemas.microsoft.com/office/drawing/2014/main" id="{9267A10F-36FE-1066-B079-0259E45076C7}"/>
            </a:ext>
          </a:extLst>
        </xdr:cNvPr>
        <xdr:cNvCxnSpPr/>
      </xdr:nvCxnSpPr>
      <xdr:spPr>
        <a:xfrm>
          <a:off x="6216685" y="0"/>
          <a:ext cx="14033" cy="7767347"/>
        </a:xfrm>
        <a:prstGeom prst="line">
          <a:avLst/>
        </a:prstGeom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0BC14E-7DB0-724B-ABE0-1286975FE278}">
  <dimension ref="B2:I40"/>
  <sheetViews>
    <sheetView zoomScale="161" workbookViewId="0">
      <selection activeCell="H7" sqref="H7"/>
    </sheetView>
  </sheetViews>
  <sheetFormatPr baseColWidth="10" defaultRowHeight="13"/>
  <cols>
    <col min="1" max="1" width="3" style="1" customWidth="1"/>
    <col min="2" max="2" width="24.5" style="1" bestFit="1" customWidth="1"/>
    <col min="3" max="3" width="5.1640625" style="1" bestFit="1" customWidth="1"/>
    <col min="4" max="6" width="10.83203125" style="1"/>
    <col min="7" max="7" width="3.6640625" style="1" bestFit="1" customWidth="1"/>
    <col min="8" max="8" width="4.6640625" style="1" bestFit="1" customWidth="1"/>
    <col min="9" max="9" width="5.5" style="1" bestFit="1" customWidth="1"/>
    <col min="10" max="16384" width="10.83203125" style="1"/>
  </cols>
  <sheetData>
    <row r="2" spans="2:9">
      <c r="B2" s="1" t="s">
        <v>14</v>
      </c>
      <c r="C2" s="3">
        <v>1988</v>
      </c>
    </row>
    <row r="3" spans="2:9">
      <c r="G3" s="1" t="s">
        <v>0</v>
      </c>
      <c r="H3" s="2">
        <v>6.84</v>
      </c>
    </row>
    <row r="4" spans="2:9">
      <c r="G4" s="1" t="s">
        <v>1</v>
      </c>
      <c r="H4" s="1">
        <v>17.090253000000001</v>
      </c>
      <c r="I4" s="1" t="s">
        <v>81</v>
      </c>
    </row>
    <row r="5" spans="2:9">
      <c r="G5" s="1" t="s">
        <v>2</v>
      </c>
      <c r="H5" s="1">
        <f>+H3*H4</f>
        <v>116.89733052</v>
      </c>
    </row>
    <row r="6" spans="2:9">
      <c r="G6" s="1" t="s">
        <v>3</v>
      </c>
      <c r="H6" s="1">
        <v>17.343</v>
      </c>
      <c r="I6" s="1" t="str">
        <f>+I4</f>
        <v>Q325</v>
      </c>
    </row>
    <row r="7" spans="2:9">
      <c r="G7" s="1" t="s">
        <v>4</v>
      </c>
      <c r="H7" s="1">
        <f>15+1.234</f>
        <v>16.234000000000002</v>
      </c>
      <c r="I7" s="1" t="str">
        <f>+I6</f>
        <v>Q325</v>
      </c>
    </row>
    <row r="8" spans="2:9">
      <c r="B8" s="1" t="s">
        <v>15</v>
      </c>
      <c r="G8" s="1" t="s">
        <v>5</v>
      </c>
      <c r="H8" s="1">
        <f>+H5-H6+H7</f>
        <v>115.78833051999999</v>
      </c>
    </row>
    <row r="10" spans="2:9">
      <c r="B10" s="1" t="s">
        <v>24</v>
      </c>
    </row>
    <row r="11" spans="2:9">
      <c r="B11" s="4" t="s">
        <v>25</v>
      </c>
    </row>
    <row r="14" spans="2:9">
      <c r="B14" s="1" t="s">
        <v>16</v>
      </c>
    </row>
    <row r="15" spans="2:9">
      <c r="B15" s="4" t="s">
        <v>17</v>
      </c>
    </row>
    <row r="16" spans="2:9">
      <c r="B16" s="4" t="s">
        <v>18</v>
      </c>
    </row>
    <row r="17" spans="2:4">
      <c r="B17" s="4" t="s">
        <v>19</v>
      </c>
    </row>
    <row r="18" spans="2:4">
      <c r="B18" s="5" t="s">
        <v>20</v>
      </c>
    </row>
    <row r="19" spans="2:4">
      <c r="B19" s="1" t="s">
        <v>21</v>
      </c>
    </row>
    <row r="20" spans="2:4">
      <c r="B20" s="1" t="s">
        <v>22</v>
      </c>
    </row>
    <row r="21" spans="2:4">
      <c r="B21" s="1" t="s">
        <v>23</v>
      </c>
      <c r="D21" s="1">
        <v>0</v>
      </c>
    </row>
    <row r="24" spans="2:4">
      <c r="B24" s="6" t="s">
        <v>30</v>
      </c>
    </row>
    <row r="25" spans="2:4">
      <c r="B25" s="1" t="s">
        <v>32</v>
      </c>
    </row>
    <row r="26" spans="2:4">
      <c r="B26" s="1" t="s">
        <v>31</v>
      </c>
    </row>
    <row r="28" spans="2:4">
      <c r="B28" s="1" t="s">
        <v>33</v>
      </c>
    </row>
    <row r="30" spans="2:4">
      <c r="B30" s="1" t="s">
        <v>34</v>
      </c>
    </row>
    <row r="31" spans="2:4">
      <c r="B31" s="1" t="s">
        <v>35</v>
      </c>
    </row>
    <row r="32" spans="2:4">
      <c r="B32" s="1" t="s">
        <v>36</v>
      </c>
    </row>
    <row r="39" spans="2:3">
      <c r="B39" s="1" t="s">
        <v>26</v>
      </c>
      <c r="C39" s="1" t="s">
        <v>27</v>
      </c>
    </row>
    <row r="40" spans="2:3">
      <c r="B40" s="1" t="s">
        <v>28</v>
      </c>
      <c r="C40" s="1" t="s">
        <v>29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AA20AB-C989-7E43-BC65-C1F967F8FF84}">
  <dimension ref="B2:V51"/>
  <sheetViews>
    <sheetView tabSelected="1" zoomScale="150" workbookViewId="0">
      <pane xSplit="2" ySplit="2" topLeftCell="C3" activePane="bottomRight" state="frozen"/>
      <selection pane="topRight" activeCell="C1" sqref="C1"/>
      <selection pane="bottomLeft" activeCell="A3" sqref="A3"/>
      <selection pane="bottomRight" activeCell="V30" sqref="V30"/>
    </sheetView>
  </sheetViews>
  <sheetFormatPr baseColWidth="10" defaultRowHeight="13"/>
  <cols>
    <col min="1" max="1" width="0.6640625" style="1" customWidth="1"/>
    <col min="2" max="2" width="15" style="1" bestFit="1" customWidth="1"/>
    <col min="3" max="7" width="6.6640625" style="1" bestFit="1" customWidth="1"/>
    <col min="8" max="8" width="7.6640625" style="1" bestFit="1" customWidth="1"/>
    <col min="9" max="10" width="6.6640625" style="1" bestFit="1" customWidth="1"/>
    <col min="11" max="11" width="5.5" style="1" customWidth="1"/>
    <col min="12" max="12" width="6.6640625" style="1" bestFit="1" customWidth="1"/>
    <col min="13" max="16" width="5.5" style="1" customWidth="1"/>
    <col min="17" max="17" width="10.83203125" style="1"/>
    <col min="18" max="21" width="6.6640625" style="1" bestFit="1" customWidth="1"/>
    <col min="22" max="16384" width="10.83203125" style="1"/>
  </cols>
  <sheetData>
    <row r="2" spans="2:22" s="10" customFormat="1">
      <c r="C2" s="10" t="s">
        <v>7</v>
      </c>
      <c r="D2" s="10" t="s">
        <v>8</v>
      </c>
      <c r="E2" s="10" t="s">
        <v>9</v>
      </c>
      <c r="F2" s="10" t="s">
        <v>10</v>
      </c>
      <c r="G2" s="10" t="s">
        <v>11</v>
      </c>
      <c r="H2" s="10" t="s">
        <v>12</v>
      </c>
      <c r="I2" s="10" t="s">
        <v>6</v>
      </c>
      <c r="J2" s="10" t="s">
        <v>13</v>
      </c>
      <c r="K2" s="10" t="s">
        <v>80</v>
      </c>
      <c r="L2" s="10" t="s">
        <v>79</v>
      </c>
      <c r="M2" s="10" t="s">
        <v>81</v>
      </c>
      <c r="N2" s="10" t="s">
        <v>82</v>
      </c>
      <c r="R2" s="10">
        <v>2021</v>
      </c>
      <c r="S2" s="10">
        <v>2022</v>
      </c>
      <c r="T2" s="10">
        <v>2023</v>
      </c>
      <c r="U2" s="10">
        <v>2024</v>
      </c>
    </row>
    <row r="3" spans="2:22" s="11" customFormat="1">
      <c r="B3" s="11" t="s">
        <v>50</v>
      </c>
      <c r="G3" s="11">
        <v>4538</v>
      </c>
      <c r="I3" s="11">
        <v>3537</v>
      </c>
      <c r="K3" s="11">
        <v>3748</v>
      </c>
      <c r="L3" s="11">
        <v>2918</v>
      </c>
      <c r="M3" s="11">
        <v>1100</v>
      </c>
      <c r="N3" s="11">
        <f>+L3*3</f>
        <v>8754</v>
      </c>
    </row>
    <row r="4" spans="2:22" s="11" customFormat="1">
      <c r="B4" s="11" t="s">
        <v>51</v>
      </c>
      <c r="G4" s="11">
        <v>1131</v>
      </c>
      <c r="I4" s="11">
        <v>736</v>
      </c>
      <c r="K4" s="11">
        <v>578</v>
      </c>
      <c r="L4" s="11">
        <v>769</v>
      </c>
      <c r="M4" s="11">
        <f>+M5-M3</f>
        <v>929</v>
      </c>
    </row>
    <row r="5" spans="2:22" s="11" customFormat="1">
      <c r="B5" s="11" t="s">
        <v>38</v>
      </c>
      <c r="C5" s="11">
        <v>4133</v>
      </c>
      <c r="D5" s="11">
        <v>2921</v>
      </c>
      <c r="E5" s="11">
        <v>6665</v>
      </c>
      <c r="F5" s="11">
        <f>+T5-SUM(C5:E5)</f>
        <v>7479</v>
      </c>
      <c r="G5" s="11">
        <v>5669</v>
      </c>
      <c r="H5" s="11">
        <v>4127</v>
      </c>
      <c r="I5" s="11">
        <f>SUM(I3:I4)</f>
        <v>4273</v>
      </c>
      <c r="J5" s="11">
        <f>+U5-SUM(G5:I5)</f>
        <v>6043</v>
      </c>
      <c r="K5" s="11">
        <v>4325</v>
      </c>
      <c r="L5" s="11">
        <v>3687</v>
      </c>
      <c r="M5" s="11">
        <v>2029</v>
      </c>
      <c r="N5" s="11">
        <v>6000</v>
      </c>
      <c r="R5" s="11">
        <v>12685</v>
      </c>
      <c r="S5" s="11">
        <v>16180</v>
      </c>
      <c r="T5" s="11">
        <v>21198</v>
      </c>
      <c r="U5" s="11">
        <v>20112</v>
      </c>
      <c r="V5" s="11">
        <f>SUM(K5:N5)</f>
        <v>16041</v>
      </c>
    </row>
    <row r="6" spans="2:22">
      <c r="B6" s="1" t="s">
        <v>3</v>
      </c>
      <c r="C6" s="1">
        <v>1743</v>
      </c>
      <c r="D6" s="1">
        <v>1718</v>
      </c>
      <c r="E6" s="1">
        <v>1537</v>
      </c>
      <c r="F6" s="1">
        <f t="shared" ref="F6:F14" si="0">+T6-SUM(C6:E6)</f>
        <v>1713</v>
      </c>
      <c r="G6" s="1">
        <v>1321</v>
      </c>
      <c r="H6" s="1">
        <v>2022</v>
      </c>
      <c r="I6" s="1">
        <v>1888</v>
      </c>
      <c r="J6" s="1">
        <f t="shared" ref="J6:J14" si="1">+U6-SUM(G6:I6)</f>
        <v>2995</v>
      </c>
      <c r="K6" s="1">
        <v>2448</v>
      </c>
      <c r="L6" s="1">
        <v>2733</v>
      </c>
      <c r="R6" s="1">
        <v>5266</v>
      </c>
      <c r="S6" s="1">
        <v>7378</v>
      </c>
      <c r="T6" s="1">
        <v>6711</v>
      </c>
      <c r="U6" s="1">
        <v>8226</v>
      </c>
    </row>
    <row r="7" spans="2:22">
      <c r="B7" s="1" t="s">
        <v>39</v>
      </c>
      <c r="C7" s="1">
        <v>1629</v>
      </c>
      <c r="D7" s="1">
        <v>1505</v>
      </c>
      <c r="E7" s="1">
        <v>1933</v>
      </c>
      <c r="F7" s="1">
        <f t="shared" si="0"/>
        <v>1381</v>
      </c>
      <c r="G7" s="1">
        <v>2351</v>
      </c>
      <c r="H7" s="1">
        <v>1527</v>
      </c>
      <c r="I7" s="1">
        <v>1954</v>
      </c>
      <c r="J7" s="1">
        <f t="shared" si="1"/>
        <v>712</v>
      </c>
      <c r="K7" s="1">
        <v>1268</v>
      </c>
      <c r="L7" s="1">
        <v>1193</v>
      </c>
      <c r="R7" s="1">
        <v>6927</v>
      </c>
      <c r="S7" s="1">
        <v>5001</v>
      </c>
      <c r="T7" s="1">
        <v>6448</v>
      </c>
      <c r="U7" s="1">
        <v>6544</v>
      </c>
    </row>
    <row r="8" spans="2:22">
      <c r="B8" s="1" t="s">
        <v>40</v>
      </c>
      <c r="C8" s="1">
        <v>1861</v>
      </c>
      <c r="D8" s="1">
        <v>1924</v>
      </c>
      <c r="E8" s="1">
        <v>1915</v>
      </c>
      <c r="F8" s="1">
        <f t="shared" si="0"/>
        <v>2269</v>
      </c>
      <c r="G8" s="1">
        <v>2095</v>
      </c>
      <c r="H8" s="1">
        <v>2095</v>
      </c>
      <c r="I8" s="1">
        <v>2292</v>
      </c>
      <c r="J8" s="1">
        <f t="shared" si="1"/>
        <v>2291</v>
      </c>
      <c r="K8" s="1">
        <v>2536</v>
      </c>
      <c r="L8" s="1">
        <v>1962</v>
      </c>
      <c r="R8" s="1">
        <v>8008</v>
      </c>
      <c r="S8" s="1">
        <v>7601</v>
      </c>
      <c r="T8" s="1">
        <v>7969</v>
      </c>
      <c r="U8" s="1">
        <v>8773</v>
      </c>
    </row>
    <row r="9" spans="2:22">
      <c r="B9" s="1" t="s">
        <v>41</v>
      </c>
      <c r="C9" s="1">
        <f>+C5-SUM(C6:C8)</f>
        <v>-1100</v>
      </c>
      <c r="D9" s="1">
        <f>+D5-SUM(D6:D8)</f>
        <v>-2226</v>
      </c>
      <c r="E9" s="1">
        <f>+E5-SUM(E6:E8)</f>
        <v>1280</v>
      </c>
      <c r="F9" s="1">
        <f t="shared" si="0"/>
        <v>2116</v>
      </c>
      <c r="G9" s="1">
        <f>+G5-SUM(G6:G8)</f>
        <v>-98</v>
      </c>
      <c r="H9" s="1">
        <f>+H5-SUM(H6:H8)</f>
        <v>-1517</v>
      </c>
      <c r="I9" s="1">
        <f>+I5-SUM(I6:I8)</f>
        <v>-1861</v>
      </c>
      <c r="J9" s="1">
        <f t="shared" si="1"/>
        <v>45</v>
      </c>
      <c r="K9" s="1">
        <f>+K5-SUM(K6:K8)</f>
        <v>-1927</v>
      </c>
      <c r="L9" s="1">
        <f>+L5-SUM(L6:L8)</f>
        <v>-2201</v>
      </c>
      <c r="R9" s="1">
        <f>+R5-SUM(R6:R8)</f>
        <v>-7516</v>
      </c>
      <c r="S9" s="1">
        <f>+S5-SUM(S6:S8)</f>
        <v>-3800</v>
      </c>
      <c r="T9" s="1">
        <f>+T5-SUM(T6:T8)</f>
        <v>70</v>
      </c>
      <c r="U9" s="1">
        <f>+U5-SUM(U6:U8)</f>
        <v>-3431</v>
      </c>
    </row>
    <row r="10" spans="2:22">
      <c r="B10" s="1" t="s">
        <v>42</v>
      </c>
      <c r="C10" s="1">
        <v>-58</v>
      </c>
      <c r="D10" s="1">
        <v>-50</v>
      </c>
      <c r="E10" s="1">
        <v>-48</v>
      </c>
      <c r="F10" s="1">
        <f t="shared" si="0"/>
        <v>-59</v>
      </c>
      <c r="G10" s="1">
        <v>-69</v>
      </c>
      <c r="H10" s="1">
        <v>-40</v>
      </c>
      <c r="I10" s="1">
        <v>-186</v>
      </c>
      <c r="J10" s="1">
        <f t="shared" si="1"/>
        <v>-111</v>
      </c>
      <c r="K10" s="1">
        <v>-97</v>
      </c>
      <c r="L10" s="1">
        <v>-108</v>
      </c>
      <c r="R10" s="1">
        <v>-130</v>
      </c>
      <c r="S10" s="1">
        <v>-148</v>
      </c>
      <c r="T10" s="1">
        <v>-215</v>
      </c>
      <c r="U10" s="1">
        <v>-406</v>
      </c>
    </row>
    <row r="11" spans="2:22">
      <c r="B11" s="1" t="s">
        <v>43</v>
      </c>
      <c r="C11" s="1">
        <v>-63</v>
      </c>
      <c r="D11" s="1">
        <v>0</v>
      </c>
      <c r="E11" s="1">
        <v>-36</v>
      </c>
      <c r="F11" s="1">
        <f t="shared" si="0"/>
        <v>-17</v>
      </c>
      <c r="G11" s="1">
        <v>17</v>
      </c>
      <c r="H11" s="1">
        <v>1</v>
      </c>
      <c r="I11" s="1">
        <v>-34</v>
      </c>
      <c r="J11" s="1">
        <f t="shared" si="1"/>
        <v>15</v>
      </c>
      <c r="K11" s="1">
        <v>-7</v>
      </c>
      <c r="L11" s="1">
        <v>-30</v>
      </c>
      <c r="R11" s="1">
        <v>-43</v>
      </c>
      <c r="S11" s="1">
        <v>-221</v>
      </c>
      <c r="T11" s="1">
        <v>-116</v>
      </c>
      <c r="U11" s="1">
        <v>-1</v>
      </c>
    </row>
    <row r="12" spans="2:22">
      <c r="B12" s="1" t="s">
        <v>44</v>
      </c>
      <c r="C12" s="1">
        <f>+SUM(C9:C11)</f>
        <v>-1221</v>
      </c>
      <c r="D12" s="1">
        <f>+SUM(D9:D11)</f>
        <v>-2276</v>
      </c>
      <c r="E12" s="1">
        <f>+SUM(E9:E11)</f>
        <v>1196</v>
      </c>
      <c r="F12" s="1">
        <f t="shared" si="0"/>
        <v>2040</v>
      </c>
      <c r="G12" s="1">
        <f>+SUM(G9:G11)</f>
        <v>-150</v>
      </c>
      <c r="H12" s="1">
        <f>+SUM(H9:H11)</f>
        <v>-1556</v>
      </c>
      <c r="I12" s="1">
        <f>+SUM(I9:I11)</f>
        <v>-2081</v>
      </c>
      <c r="J12" s="1">
        <f t="shared" si="1"/>
        <v>-51</v>
      </c>
      <c r="K12" s="1">
        <f>+SUM(K9:K11)</f>
        <v>-2031</v>
      </c>
      <c r="L12" s="1">
        <f>+SUM(L9:L11)</f>
        <v>-2339</v>
      </c>
      <c r="R12" s="1">
        <f>+SUM(R9:R11)</f>
        <v>-7689</v>
      </c>
      <c r="S12" s="1">
        <f>+SUM(S9:S11)</f>
        <v>-4169</v>
      </c>
      <c r="T12" s="1">
        <f>+SUM(T9:T11)</f>
        <v>-261</v>
      </c>
      <c r="U12" s="1">
        <f>+SUM(U9:U11)</f>
        <v>-3838</v>
      </c>
    </row>
    <row r="13" spans="2:22">
      <c r="B13" s="1" t="s">
        <v>45</v>
      </c>
      <c r="C13" s="1">
        <v>7</v>
      </c>
      <c r="D13" s="1">
        <v>-7</v>
      </c>
      <c r="E13" s="1">
        <v>4</v>
      </c>
      <c r="F13" s="1">
        <f t="shared" si="0"/>
        <v>-2</v>
      </c>
      <c r="G13" s="1">
        <v>7</v>
      </c>
      <c r="H13" s="1">
        <v>-6</v>
      </c>
      <c r="I13" s="1">
        <v>13</v>
      </c>
      <c r="J13" s="1">
        <f t="shared" si="1"/>
        <v>-11</v>
      </c>
      <c r="K13" s="1">
        <v>5</v>
      </c>
      <c r="L13" s="1">
        <v>1</v>
      </c>
      <c r="R13" s="1">
        <v>119</v>
      </c>
      <c r="S13" s="1">
        <v>98</v>
      </c>
      <c r="T13" s="1">
        <v>2</v>
      </c>
      <c r="U13" s="1">
        <v>3</v>
      </c>
    </row>
    <row r="14" spans="2:22">
      <c r="B14" s="1" t="s">
        <v>46</v>
      </c>
      <c r="C14" s="1">
        <f>+C12-C13</f>
        <v>-1228</v>
      </c>
      <c r="D14" s="1">
        <f>+D12-D13</f>
        <v>-2269</v>
      </c>
      <c r="E14" s="1">
        <f>+E12-E13</f>
        <v>1192</v>
      </c>
      <c r="F14" s="1">
        <f t="shared" si="0"/>
        <v>2042</v>
      </c>
      <c r="G14" s="1">
        <f>+G12-G13</f>
        <v>-157</v>
      </c>
      <c r="H14" s="1">
        <f>+H12-H13</f>
        <v>-1550</v>
      </c>
      <c r="I14" s="1">
        <f>+I12-I13</f>
        <v>-2094</v>
      </c>
      <c r="J14" s="1">
        <f t="shared" si="1"/>
        <v>-40</v>
      </c>
      <c r="K14" s="1">
        <f>+K12-K13</f>
        <v>-2036</v>
      </c>
      <c r="L14" s="1">
        <f>+L12-L13</f>
        <v>-2340</v>
      </c>
      <c r="R14" s="1">
        <f>+R12-R13</f>
        <v>-7808</v>
      </c>
      <c r="S14" s="1">
        <f>+S12-S13</f>
        <v>-4267</v>
      </c>
      <c r="T14" s="1">
        <f>+T12-T13</f>
        <v>-263</v>
      </c>
      <c r="U14" s="1">
        <f>+U12-U13</f>
        <v>-3841</v>
      </c>
    </row>
    <row r="15" spans="2:22">
      <c r="B15" s="1" t="s">
        <v>47</v>
      </c>
      <c r="R15" s="1">
        <v>11535</v>
      </c>
      <c r="S15" s="1">
        <v>12588</v>
      </c>
      <c r="T15" s="1">
        <v>13453</v>
      </c>
      <c r="U15" s="1">
        <v>14510</v>
      </c>
    </row>
    <row r="16" spans="2:22" s="9" customFormat="1">
      <c r="B16" s="9" t="s">
        <v>48</v>
      </c>
      <c r="R16" s="9">
        <f>+R14/R15</f>
        <v>-0.67689640225400949</v>
      </c>
      <c r="S16" s="9">
        <f>+S14/S15</f>
        <v>-0.33897362567524625</v>
      </c>
      <c r="T16" s="9">
        <f>+T14/T15</f>
        <v>-1.9549542852895264E-2</v>
      </c>
      <c r="U16" s="9">
        <f>+U14/U15</f>
        <v>-0.26471399035148174</v>
      </c>
    </row>
    <row r="17" spans="2:22">
      <c r="H17" s="7"/>
    </row>
    <row r="19" spans="2:22" s="8" customFormat="1">
      <c r="B19" s="8" t="s">
        <v>37</v>
      </c>
      <c r="G19" s="8">
        <f t="shared" ref="G19:L19" si="2">+G5/C5-1</f>
        <v>0.37164287442535682</v>
      </c>
      <c r="H19" s="8">
        <f t="shared" si="2"/>
        <v>0.41287230400547759</v>
      </c>
      <c r="I19" s="8">
        <f t="shared" si="2"/>
        <v>-0.35888972243060768</v>
      </c>
      <c r="J19" s="8">
        <f t="shared" si="2"/>
        <v>-0.19200427864687797</v>
      </c>
      <c r="K19" s="8">
        <f t="shared" si="2"/>
        <v>-0.23707884988534134</v>
      </c>
      <c r="L19" s="8">
        <f t="shared" si="2"/>
        <v>-0.10661497455779012</v>
      </c>
      <c r="S19" s="8">
        <f>+S5/R5-1</f>
        <v>0.27552227039810795</v>
      </c>
      <c r="T19" s="8">
        <f>+T5/S5-1</f>
        <v>0.3101359703337454</v>
      </c>
      <c r="U19" s="8">
        <f>+U5/T5-1</f>
        <v>-5.1231248230965143E-2</v>
      </c>
    </row>
    <row r="20" spans="2:22" s="7" customFormat="1">
      <c r="B20" s="7" t="s">
        <v>49</v>
      </c>
      <c r="C20" s="7">
        <f>(C5-C6) / C5</f>
        <v>0.57827244132591338</v>
      </c>
      <c r="D20" s="7">
        <f t="shared" ref="D20:I20" si="3">(D5-D6) / D5</f>
        <v>0.41184525847312564</v>
      </c>
      <c r="E20" s="7">
        <f t="shared" si="3"/>
        <v>0.76939234808702173</v>
      </c>
      <c r="F20" s="7">
        <f t="shared" si="3"/>
        <v>0.77095868431608505</v>
      </c>
      <c r="G20" s="7">
        <f t="shared" si="3"/>
        <v>0.76697830305168457</v>
      </c>
      <c r="H20" s="7">
        <f t="shared" si="3"/>
        <v>0.51005573055488251</v>
      </c>
      <c r="I20" s="7">
        <f t="shared" si="3"/>
        <v>0.55815586239176218</v>
      </c>
      <c r="J20" s="7">
        <f>(J5-J6) / J5</f>
        <v>0.50438523911964261</v>
      </c>
      <c r="K20" s="7">
        <f t="shared" ref="K20:L20" si="4">(K5-K6) / K5</f>
        <v>0.43398843930635839</v>
      </c>
      <c r="L20" s="7">
        <f t="shared" si="4"/>
        <v>0.25874694873881204</v>
      </c>
      <c r="R20" s="7">
        <f t="shared" ref="R20:T20" si="5">(R5-R6) / R5</f>
        <v>0.58486401261332277</v>
      </c>
      <c r="S20" s="7">
        <f t="shared" si="5"/>
        <v>0.54400494437577251</v>
      </c>
      <c r="T20" s="7">
        <f t="shared" si="5"/>
        <v>0.68341352957826207</v>
      </c>
    </row>
    <row r="22" spans="2:22">
      <c r="U22" s="1" t="s">
        <v>5</v>
      </c>
      <c r="V22" s="1">
        <f>+Main!H8</f>
        <v>115.78833051999999</v>
      </c>
    </row>
    <row r="23" spans="2:22" s="6" customFormat="1">
      <c r="B23" s="6" t="s">
        <v>78</v>
      </c>
      <c r="F23" s="6">
        <f>+F24-F40-F44-F47</f>
        <v>3199</v>
      </c>
      <c r="I23" s="6">
        <f>+I24-I40-I44-I47</f>
        <v>-748</v>
      </c>
      <c r="V23" s="13">
        <f>+$V$22/(20.112)</f>
        <v>5.757176338504375</v>
      </c>
    </row>
    <row r="24" spans="2:22">
      <c r="B24" s="1" t="s">
        <v>53</v>
      </c>
      <c r="F24" s="1">
        <v>24606</v>
      </c>
      <c r="I24" s="1">
        <v>22364</v>
      </c>
      <c r="J24" s="1">
        <v>21859</v>
      </c>
      <c r="L24" s="1">
        <v>19191</v>
      </c>
      <c r="U24" s="1" t="s">
        <v>88</v>
      </c>
      <c r="V24" s="14">
        <f>(SUM(K5:N5)*V23)/10^3</f>
        <v>92.350865645948687</v>
      </c>
    </row>
    <row r="25" spans="2:22">
      <c r="B25" s="1" t="s">
        <v>54</v>
      </c>
      <c r="F25" s="1">
        <v>1625</v>
      </c>
      <c r="I25" s="1">
        <v>657</v>
      </c>
      <c r="U25" s="1" t="s">
        <v>53</v>
      </c>
      <c r="V25" s="3">
        <f>+Main!H6</f>
        <v>17.343</v>
      </c>
    </row>
    <row r="26" spans="2:22">
      <c r="B26" s="1" t="s">
        <v>55</v>
      </c>
      <c r="F26" s="1">
        <v>3609</v>
      </c>
      <c r="I26" s="1">
        <v>2331</v>
      </c>
      <c r="U26" s="1" t="s">
        <v>83</v>
      </c>
      <c r="V26" s="1">
        <f>+Main!H7</f>
        <v>16.234000000000002</v>
      </c>
    </row>
    <row r="27" spans="2:22">
      <c r="B27" s="1" t="s">
        <v>56</v>
      </c>
      <c r="F27" s="1">
        <v>1200</v>
      </c>
      <c r="U27" s="1" t="s">
        <v>2</v>
      </c>
      <c r="V27" s="16">
        <f>+V24+V25-V26</f>
        <v>93.459865645948696</v>
      </c>
    </row>
    <row r="28" spans="2:22">
      <c r="B28" s="1" t="s">
        <v>57</v>
      </c>
      <c r="F28" s="1">
        <v>2029</v>
      </c>
      <c r="I28" s="1">
        <v>1780</v>
      </c>
      <c r="U28" s="1" t="s">
        <v>84</v>
      </c>
      <c r="V28" s="1">
        <f>+Main!H4</f>
        <v>17.090253000000001</v>
      </c>
    </row>
    <row r="29" spans="2:22">
      <c r="B29" s="1" t="s">
        <v>58</v>
      </c>
      <c r="F29" s="1">
        <v>1561</v>
      </c>
      <c r="I29" s="1">
        <v>2919</v>
      </c>
      <c r="U29" s="12" t="s">
        <v>85</v>
      </c>
      <c r="V29" s="12">
        <f>+V27/V28</f>
        <v>5.4686063246663865</v>
      </c>
    </row>
    <row r="30" spans="2:22">
      <c r="B30" s="1" t="s">
        <v>59</v>
      </c>
      <c r="F30" s="1">
        <v>8948</v>
      </c>
      <c r="I30" s="1">
        <v>14137</v>
      </c>
      <c r="U30" s="1" t="s">
        <v>86</v>
      </c>
      <c r="V30" s="7">
        <f>+V29/V33-1</f>
        <v>-0.20049615136456334</v>
      </c>
    </row>
    <row r="31" spans="2:22">
      <c r="B31" s="1" t="s">
        <v>60</v>
      </c>
      <c r="F31" s="1">
        <v>2069</v>
      </c>
      <c r="I31" s="1">
        <v>2352</v>
      </c>
    </row>
    <row r="32" spans="2:22">
      <c r="B32" s="1" t="s">
        <v>61</v>
      </c>
      <c r="F32" s="1">
        <v>981</v>
      </c>
      <c r="I32" s="1">
        <v>828</v>
      </c>
    </row>
    <row r="33" spans="2:22">
      <c r="B33" s="1" t="s">
        <v>62</v>
      </c>
      <c r="F33" s="1">
        <v>537</v>
      </c>
      <c r="I33" s="1">
        <v>457</v>
      </c>
      <c r="U33" s="1" t="s">
        <v>87</v>
      </c>
      <c r="V33" s="15">
        <f>+Main!H3</f>
        <v>6.84</v>
      </c>
    </row>
    <row r="34" spans="2:22">
      <c r="B34" s="1" t="s">
        <v>63</v>
      </c>
      <c r="F34" s="1">
        <v>300</v>
      </c>
      <c r="I34" s="1">
        <v>300</v>
      </c>
    </row>
    <row r="35" spans="2:22">
      <c r="B35" s="1" t="s">
        <v>64</v>
      </c>
      <c r="F35" s="1">
        <v>185</v>
      </c>
      <c r="I35" s="1">
        <v>185</v>
      </c>
    </row>
    <row r="36" spans="2:22">
      <c r="B36" s="1" t="s">
        <v>65</v>
      </c>
      <c r="F36" s="1">
        <v>0</v>
      </c>
      <c r="I36" s="1">
        <v>1260</v>
      </c>
    </row>
    <row r="37" spans="2:22" s="11" customFormat="1">
      <c r="B37" s="11" t="s">
        <v>66</v>
      </c>
      <c r="F37" s="11">
        <v>142</v>
      </c>
      <c r="I37" s="11">
        <v>143</v>
      </c>
    </row>
    <row r="38" spans="2:22">
      <c r="B38" s="6" t="s">
        <v>52</v>
      </c>
      <c r="F38" s="6">
        <f>+SUM(F24:F37)</f>
        <v>47792</v>
      </c>
      <c r="I38" s="6">
        <f>+SUM(I24:I37)</f>
        <v>49713</v>
      </c>
    </row>
    <row r="40" spans="2:22">
      <c r="B40" s="1" t="s">
        <v>68</v>
      </c>
      <c r="F40" s="1">
        <v>20000</v>
      </c>
      <c r="I40" s="1">
        <v>20000</v>
      </c>
    </row>
    <row r="41" spans="2:22">
      <c r="B41" s="1" t="s">
        <v>69</v>
      </c>
      <c r="F41" s="1">
        <v>4657</v>
      </c>
      <c r="I41" s="1">
        <v>2877</v>
      </c>
    </row>
    <row r="42" spans="2:22">
      <c r="B42" s="1" t="s">
        <v>70</v>
      </c>
      <c r="F42" s="1">
        <v>2673</v>
      </c>
      <c r="I42" s="1">
        <v>1457</v>
      </c>
    </row>
    <row r="43" spans="2:22">
      <c r="B43" s="1" t="s">
        <v>71</v>
      </c>
      <c r="F43" s="1">
        <v>1052</v>
      </c>
      <c r="I43" s="1">
        <v>449</v>
      </c>
    </row>
    <row r="44" spans="2:22">
      <c r="B44" s="1" t="s">
        <v>72</v>
      </c>
      <c r="F44" s="1">
        <v>946</v>
      </c>
      <c r="I44" s="1">
        <v>1798</v>
      </c>
    </row>
    <row r="45" spans="2:22">
      <c r="B45" s="1" t="s">
        <v>73</v>
      </c>
      <c r="F45" s="1">
        <v>302</v>
      </c>
      <c r="I45" s="1">
        <v>275</v>
      </c>
    </row>
    <row r="46" spans="2:22">
      <c r="B46" s="1" t="s">
        <v>73</v>
      </c>
      <c r="F46" s="1">
        <v>681</v>
      </c>
      <c r="I46" s="1">
        <v>529</v>
      </c>
    </row>
    <row r="47" spans="2:22">
      <c r="B47" s="1" t="s">
        <v>74</v>
      </c>
      <c r="F47" s="1">
        <v>461</v>
      </c>
      <c r="I47" s="1">
        <v>1314</v>
      </c>
    </row>
    <row r="48" spans="2:22">
      <c r="B48" s="1" t="s">
        <v>75</v>
      </c>
      <c r="F48" s="1">
        <v>125</v>
      </c>
      <c r="I48" s="1">
        <v>125</v>
      </c>
    </row>
    <row r="49" spans="2:9">
      <c r="B49" s="1" t="s">
        <v>76</v>
      </c>
      <c r="F49" s="1">
        <f>+SUM(F40:F48)</f>
        <v>30897</v>
      </c>
      <c r="I49" s="1">
        <f>+SUM(I40:I48)</f>
        <v>28824</v>
      </c>
    </row>
    <row r="50" spans="2:9">
      <c r="B50" s="1" t="s">
        <v>67</v>
      </c>
      <c r="F50" s="1">
        <v>16895</v>
      </c>
      <c r="I50" s="1">
        <v>20889</v>
      </c>
    </row>
    <row r="51" spans="2:9" s="6" customFormat="1">
      <c r="B51" s="6" t="s">
        <v>77</v>
      </c>
      <c r="F51" s="6">
        <f>+SUM(F40:F50)</f>
        <v>78689</v>
      </c>
      <c r="I51" s="6">
        <f>+SUM(I40:I50)</f>
        <v>78537</v>
      </c>
    </row>
  </sheetData>
  <pageMargins left="0.7" right="0.7" top="0.75" bottom="0.75" header="0.3" footer="0.3"/>
  <ignoredErrors>
    <ignoredError sqref="E9:F14" formula="1"/>
  </ignoredErrors>
  <drawing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Main</vt:lpstr>
      <vt:lpstr>Model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jameel</dc:creator>
  <cp:lastModifiedBy>Jameel Brannon</cp:lastModifiedBy>
  <dcterms:created xsi:type="dcterms:W3CDTF">2025-02-03T02:56:49Z</dcterms:created>
  <dcterms:modified xsi:type="dcterms:W3CDTF">2026-02-14T05:42:06Z</dcterms:modified>
</cp:coreProperties>
</file>