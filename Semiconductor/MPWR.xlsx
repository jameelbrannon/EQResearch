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C18D0845-A2F2-F64C-98B1-BA601B98D889}" xr6:coauthVersionLast="47" xr6:coauthVersionMax="47" xr10:uidLastSave="{00000000-0000-0000-0000-000000000000}"/>
  <bookViews>
    <workbookView xWindow="18960" yWindow="600" windowWidth="32780" windowHeight="28200" xr2:uid="{7FD0232F-D1FE-474C-90C4-1FF1FD12A716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1" i="2" l="1"/>
  <c r="M111" i="2"/>
  <c r="L111" i="2"/>
  <c r="K111" i="2"/>
  <c r="J111" i="2"/>
  <c r="I111" i="2"/>
  <c r="H111" i="2"/>
  <c r="G111" i="2"/>
  <c r="F111" i="2"/>
  <c r="E111" i="2"/>
  <c r="D111" i="2"/>
  <c r="C111" i="2"/>
  <c r="J108" i="2"/>
  <c r="K108" i="2"/>
  <c r="L108" i="2"/>
  <c r="M108" i="2"/>
  <c r="N108" i="2"/>
  <c r="J109" i="2"/>
  <c r="K109" i="2"/>
  <c r="L109" i="2"/>
  <c r="M109" i="2"/>
  <c r="N109" i="2"/>
  <c r="J110" i="2"/>
  <c r="K110" i="2"/>
  <c r="L110" i="2"/>
  <c r="M110" i="2"/>
  <c r="N110" i="2"/>
  <c r="J104" i="2"/>
  <c r="K103" i="2" s="1"/>
  <c r="K104" i="2" s="1"/>
  <c r="J103" i="2"/>
  <c r="N102" i="2"/>
  <c r="M102" i="2"/>
  <c r="L102" i="2"/>
  <c r="K102" i="2"/>
  <c r="N99" i="2"/>
  <c r="M99" i="2"/>
  <c r="L99" i="2"/>
  <c r="K99" i="2"/>
  <c r="N93" i="2"/>
  <c r="M93" i="2"/>
  <c r="L93" i="2"/>
  <c r="K93" i="2"/>
  <c r="N85" i="2"/>
  <c r="M85" i="2"/>
  <c r="L85" i="2"/>
  <c r="K85" i="2"/>
  <c r="J85" i="2"/>
  <c r="N84" i="2"/>
  <c r="N83" i="2"/>
  <c r="N82" i="2"/>
  <c r="M84" i="2"/>
  <c r="M83" i="2"/>
  <c r="M82" i="2"/>
  <c r="L84" i="2"/>
  <c r="L83" i="2"/>
  <c r="L82" i="2"/>
  <c r="K84" i="2"/>
  <c r="K83" i="2"/>
  <c r="K82" i="2"/>
  <c r="N81" i="2"/>
  <c r="M81" i="2"/>
  <c r="L81" i="2"/>
  <c r="K81" i="2"/>
  <c r="N79" i="2"/>
  <c r="M79" i="2"/>
  <c r="L79" i="2"/>
  <c r="K44" i="2"/>
  <c r="N65" i="2"/>
  <c r="M65" i="2"/>
  <c r="L65" i="2"/>
  <c r="K65" i="2"/>
  <c r="J65" i="2"/>
  <c r="I65" i="2"/>
  <c r="H65" i="2"/>
  <c r="G65" i="2"/>
  <c r="F65" i="2"/>
  <c r="E65" i="2"/>
  <c r="D65" i="2"/>
  <c r="C65" i="2"/>
  <c r="K46" i="2"/>
  <c r="K79" i="2" s="1"/>
  <c r="K45" i="2"/>
  <c r="K77" i="2"/>
  <c r="K76" i="2"/>
  <c r="K75" i="2"/>
  <c r="K74" i="2"/>
  <c r="K73" i="2"/>
  <c r="K72" i="2"/>
  <c r="K71" i="2"/>
  <c r="N21" i="2"/>
  <c r="N70" i="2" s="1"/>
  <c r="M21" i="2"/>
  <c r="M70" i="2" s="1"/>
  <c r="L21" i="2"/>
  <c r="L70" i="2" s="1"/>
  <c r="K21" i="2"/>
  <c r="K70" i="2" s="1"/>
  <c r="N62" i="2"/>
  <c r="M62" i="2"/>
  <c r="L62" i="2"/>
  <c r="K62" i="2"/>
  <c r="N61" i="2"/>
  <c r="M61" i="2"/>
  <c r="L61" i="2"/>
  <c r="K61" i="2"/>
  <c r="N60" i="2"/>
  <c r="M60" i="2"/>
  <c r="L60" i="2"/>
  <c r="K60" i="2"/>
  <c r="K59" i="2"/>
  <c r="K58" i="2"/>
  <c r="K57" i="2"/>
  <c r="K56" i="2"/>
  <c r="N55" i="2"/>
  <c r="N66" i="2" s="1"/>
  <c r="M55" i="2"/>
  <c r="M66" i="2" s="1"/>
  <c r="L55" i="2"/>
  <c r="L66" i="2" s="1"/>
  <c r="K55" i="2"/>
  <c r="K52" i="2"/>
  <c r="K51" i="2"/>
  <c r="K50" i="2"/>
  <c r="K49" i="2"/>
  <c r="K48" i="2"/>
  <c r="N47" i="2"/>
  <c r="M47" i="2"/>
  <c r="L47" i="2"/>
  <c r="K47" i="2"/>
  <c r="K66" i="2"/>
  <c r="L46" i="2"/>
  <c r="K64" i="2"/>
  <c r="L45" i="2"/>
  <c r="N20" i="2"/>
  <c r="N40" i="2" s="1"/>
  <c r="M20" i="2"/>
  <c r="M40" i="2" s="1"/>
  <c r="L20" i="2"/>
  <c r="L40" i="2" s="1"/>
  <c r="K20" i="2"/>
  <c r="AE40" i="2"/>
  <c r="AD40" i="2"/>
  <c r="AC40" i="2"/>
  <c r="AB40" i="2"/>
  <c r="AA40" i="2"/>
  <c r="Z40" i="2"/>
  <c r="Y40" i="2"/>
  <c r="X40" i="2"/>
  <c r="W40" i="2"/>
  <c r="V40" i="2"/>
  <c r="U40" i="2"/>
  <c r="I40" i="2"/>
  <c r="H40" i="2"/>
  <c r="G40" i="2"/>
  <c r="F40" i="2"/>
  <c r="E40" i="2"/>
  <c r="D40" i="2"/>
  <c r="C40" i="2"/>
  <c r="J40" i="2"/>
  <c r="K40" i="2"/>
  <c r="N22" i="2"/>
  <c r="N19" i="2"/>
  <c r="N18" i="2"/>
  <c r="M22" i="2"/>
  <c r="M19" i="2"/>
  <c r="M18" i="2"/>
  <c r="L22" i="2"/>
  <c r="L19" i="2"/>
  <c r="L18" i="2"/>
  <c r="K22" i="2"/>
  <c r="K19" i="2"/>
  <c r="K39" i="2" s="1"/>
  <c r="K18" i="2"/>
  <c r="N38" i="2"/>
  <c r="N37" i="2"/>
  <c r="N36" i="2"/>
  <c r="M38" i="2"/>
  <c r="M37" i="2"/>
  <c r="M36" i="2"/>
  <c r="L38" i="2"/>
  <c r="L37" i="2"/>
  <c r="L36" i="2"/>
  <c r="K38" i="2"/>
  <c r="K37" i="2"/>
  <c r="K36" i="2"/>
  <c r="N17" i="2"/>
  <c r="M17" i="2"/>
  <c r="L17" i="2"/>
  <c r="K17" i="2"/>
  <c r="N16" i="2"/>
  <c r="M16" i="2"/>
  <c r="L16" i="2"/>
  <c r="K16" i="2"/>
  <c r="N15" i="2"/>
  <c r="M15" i="2"/>
  <c r="L15" i="2"/>
  <c r="K15" i="2"/>
  <c r="N14" i="2"/>
  <c r="N35" i="2" s="1"/>
  <c r="M14" i="2"/>
  <c r="M35" i="2" s="1"/>
  <c r="L14" i="2"/>
  <c r="L35" i="2" s="1"/>
  <c r="V9" i="2"/>
  <c r="V8" i="2"/>
  <c r="V7" i="2"/>
  <c r="V6" i="2"/>
  <c r="V5" i="2"/>
  <c r="V4" i="2"/>
  <c r="N9" i="2"/>
  <c r="N8" i="2"/>
  <c r="N7" i="2"/>
  <c r="N6" i="2"/>
  <c r="N5" i="2"/>
  <c r="N4" i="2"/>
  <c r="M9" i="2"/>
  <c r="M8" i="2"/>
  <c r="M7" i="2"/>
  <c r="M6" i="2"/>
  <c r="M5" i="2"/>
  <c r="M4" i="2"/>
  <c r="L9" i="2"/>
  <c r="L8" i="2"/>
  <c r="L7" i="2"/>
  <c r="L6" i="2"/>
  <c r="L5" i="2"/>
  <c r="L4" i="2"/>
  <c r="K4" i="2"/>
  <c r="N10" i="2"/>
  <c r="N32" i="2" s="1"/>
  <c r="M10" i="2"/>
  <c r="M32" i="2" s="1"/>
  <c r="L10" i="2"/>
  <c r="L32" i="2" s="1"/>
  <c r="K9" i="2"/>
  <c r="K8" i="2"/>
  <c r="K30" i="2" s="1"/>
  <c r="K7" i="2"/>
  <c r="K6" i="2"/>
  <c r="K5" i="2"/>
  <c r="N31" i="2"/>
  <c r="N30" i="2"/>
  <c r="N29" i="2"/>
  <c r="N28" i="2"/>
  <c r="N27" i="2"/>
  <c r="N26" i="2"/>
  <c r="M31" i="2"/>
  <c r="M30" i="2"/>
  <c r="M29" i="2"/>
  <c r="M28" i="2"/>
  <c r="M27" i="2"/>
  <c r="M26" i="2"/>
  <c r="L31" i="2"/>
  <c r="L30" i="2"/>
  <c r="L29" i="2"/>
  <c r="L28" i="2"/>
  <c r="L27" i="2"/>
  <c r="L26" i="2"/>
  <c r="K32" i="2"/>
  <c r="K31" i="2"/>
  <c r="K29" i="2"/>
  <c r="K28" i="2"/>
  <c r="K27" i="2"/>
  <c r="K26" i="2"/>
  <c r="I66" i="2"/>
  <c r="H66" i="2"/>
  <c r="H67" i="2" s="1"/>
  <c r="G66" i="2"/>
  <c r="G67" i="2" s="1"/>
  <c r="F66" i="2"/>
  <c r="F67" i="2" s="1"/>
  <c r="E66" i="2"/>
  <c r="E67" i="2" s="1"/>
  <c r="D66" i="2"/>
  <c r="D67" i="2" s="1"/>
  <c r="C66" i="2"/>
  <c r="C67" i="2" s="1"/>
  <c r="I64" i="2"/>
  <c r="H64" i="2"/>
  <c r="G64" i="2"/>
  <c r="F64" i="2"/>
  <c r="E64" i="2"/>
  <c r="D64" i="2"/>
  <c r="C64" i="2"/>
  <c r="J67" i="2"/>
  <c r="J66" i="2"/>
  <c r="J64" i="2"/>
  <c r="G103" i="2"/>
  <c r="I109" i="2"/>
  <c r="H109" i="2"/>
  <c r="G109" i="2"/>
  <c r="G99" i="2"/>
  <c r="G93" i="2"/>
  <c r="G85" i="2"/>
  <c r="H99" i="2"/>
  <c r="J70" i="2"/>
  <c r="J42" i="2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I42" i="2"/>
  <c r="H42" i="2"/>
  <c r="G42" i="2"/>
  <c r="F42" i="2"/>
  <c r="E42" i="2"/>
  <c r="D42" i="2"/>
  <c r="C42" i="2"/>
  <c r="J60" i="2"/>
  <c r="J62" i="2" s="1"/>
  <c r="J53" i="2"/>
  <c r="I60" i="2"/>
  <c r="I62" i="2" s="1"/>
  <c r="I53" i="2"/>
  <c r="C60" i="2"/>
  <c r="C62" i="2" s="1"/>
  <c r="C53" i="2"/>
  <c r="D60" i="2"/>
  <c r="D62" i="2" s="1"/>
  <c r="D53" i="2"/>
  <c r="E60" i="2"/>
  <c r="E62" i="2" s="1"/>
  <c r="E53" i="2"/>
  <c r="G60" i="2"/>
  <c r="G62" i="2" s="1"/>
  <c r="G53" i="2"/>
  <c r="F60" i="2"/>
  <c r="F62" i="2" s="1"/>
  <c r="F53" i="2"/>
  <c r="H60" i="2"/>
  <c r="H62" i="2" s="1"/>
  <c r="H53" i="2"/>
  <c r="T2" i="2"/>
  <c r="S10" i="2"/>
  <c r="AH30" i="2"/>
  <c r="C110" i="2"/>
  <c r="D109" i="2"/>
  <c r="E109" i="2" s="1"/>
  <c r="D108" i="2"/>
  <c r="E108" i="2" s="1"/>
  <c r="AH28" i="2"/>
  <c r="AG2" i="2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DC2" i="2" s="1"/>
  <c r="DD2" i="2" s="1"/>
  <c r="DE2" i="2" s="1"/>
  <c r="DF2" i="2" s="1"/>
  <c r="DG2" i="2" s="1"/>
  <c r="DH2" i="2" s="1"/>
  <c r="DI2" i="2" s="1"/>
  <c r="DJ2" i="2" s="1"/>
  <c r="DK2" i="2" s="1"/>
  <c r="DL2" i="2" s="1"/>
  <c r="DM2" i="2" s="1"/>
  <c r="DN2" i="2" s="1"/>
  <c r="DO2" i="2" s="1"/>
  <c r="DP2" i="2" s="1"/>
  <c r="DQ2" i="2" s="1"/>
  <c r="DR2" i="2" s="1"/>
  <c r="DS2" i="2" s="1"/>
  <c r="DT2" i="2" s="1"/>
  <c r="DU2" i="2" s="1"/>
  <c r="DV2" i="2" s="1"/>
  <c r="DW2" i="2" s="1"/>
  <c r="DX2" i="2" s="1"/>
  <c r="DY2" i="2" s="1"/>
  <c r="DZ2" i="2" s="1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D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J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HN2" i="2" s="1"/>
  <c r="HO2" i="2" s="1"/>
  <c r="HP2" i="2" s="1"/>
  <c r="HQ2" i="2" s="1"/>
  <c r="HR2" i="2" s="1"/>
  <c r="HS2" i="2" s="1"/>
  <c r="HT2" i="2" s="1"/>
  <c r="HU2" i="2" s="1"/>
  <c r="HV2" i="2" s="1"/>
  <c r="HW2" i="2" s="1"/>
  <c r="U31" i="2"/>
  <c r="U30" i="2"/>
  <c r="U29" i="2"/>
  <c r="U28" i="2"/>
  <c r="U27" i="2"/>
  <c r="U26" i="2"/>
  <c r="V3" i="2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J18" i="2"/>
  <c r="U18" i="2" s="1"/>
  <c r="G31" i="2"/>
  <c r="G30" i="2"/>
  <c r="G29" i="2"/>
  <c r="G28" i="2"/>
  <c r="G27" i="2"/>
  <c r="G26" i="2"/>
  <c r="H31" i="2"/>
  <c r="H30" i="2"/>
  <c r="H29" i="2"/>
  <c r="H28" i="2"/>
  <c r="H27" i="2"/>
  <c r="H26" i="2"/>
  <c r="I31" i="2"/>
  <c r="I30" i="2"/>
  <c r="I29" i="2"/>
  <c r="I28" i="2"/>
  <c r="I27" i="2"/>
  <c r="I26" i="2"/>
  <c r="J31" i="2"/>
  <c r="J30" i="2"/>
  <c r="J29" i="2"/>
  <c r="J28" i="2"/>
  <c r="J27" i="2"/>
  <c r="J26" i="2"/>
  <c r="K10" i="2"/>
  <c r="J6" i="1"/>
  <c r="J7" i="1" s="1"/>
  <c r="F20" i="2"/>
  <c r="F18" i="2"/>
  <c r="F16" i="2"/>
  <c r="F15" i="2"/>
  <c r="F14" i="2"/>
  <c r="E10" i="2"/>
  <c r="F10" i="2"/>
  <c r="I10" i="2"/>
  <c r="C10" i="2"/>
  <c r="D10" i="2"/>
  <c r="G10" i="2"/>
  <c r="H10" i="2"/>
  <c r="I5" i="1"/>
  <c r="J10" i="2"/>
  <c r="T10" i="2"/>
  <c r="U10" i="2"/>
  <c r="L103" i="2" l="1"/>
  <c r="L104" i="2" s="1"/>
  <c r="K43" i="2"/>
  <c r="K53" i="2"/>
  <c r="K42" i="2"/>
  <c r="L44" i="2"/>
  <c r="M44" i="2"/>
  <c r="I67" i="2"/>
  <c r="L78" i="2"/>
  <c r="K78" i="2"/>
  <c r="L64" i="2"/>
  <c r="M45" i="2" s="1"/>
  <c r="M78" i="2" s="1"/>
  <c r="L77" i="2"/>
  <c r="L76" i="2"/>
  <c r="L75" i="2"/>
  <c r="L74" i="2"/>
  <c r="L73" i="2"/>
  <c r="L72" i="2"/>
  <c r="L71" i="2"/>
  <c r="L59" i="2"/>
  <c r="M59" i="2" s="1"/>
  <c r="N59" i="2" s="1"/>
  <c r="L58" i="2"/>
  <c r="L57" i="2"/>
  <c r="L56" i="2"/>
  <c r="L52" i="2"/>
  <c r="M52" i="2" s="1"/>
  <c r="N52" i="2" s="1"/>
  <c r="L51" i="2"/>
  <c r="L50" i="2"/>
  <c r="L49" i="2"/>
  <c r="L48" i="2"/>
  <c r="K67" i="2"/>
  <c r="N39" i="2"/>
  <c r="M39" i="2"/>
  <c r="L39" i="2"/>
  <c r="G102" i="2"/>
  <c r="G104" i="2" s="1"/>
  <c r="H103" i="2" s="1"/>
  <c r="G108" i="2"/>
  <c r="G110" i="2" s="1"/>
  <c r="H93" i="2"/>
  <c r="H85" i="2"/>
  <c r="H108" i="2" s="1"/>
  <c r="I99" i="2"/>
  <c r="I93" i="2"/>
  <c r="I85" i="2"/>
  <c r="I108" i="2" s="1"/>
  <c r="I110" i="2" s="1"/>
  <c r="T37" i="2"/>
  <c r="T36" i="2"/>
  <c r="T35" i="2"/>
  <c r="F11" i="2"/>
  <c r="T17" i="2"/>
  <c r="T12" i="2"/>
  <c r="V10" i="2"/>
  <c r="U12" i="2"/>
  <c r="F36" i="2"/>
  <c r="F37" i="2"/>
  <c r="E37" i="2"/>
  <c r="E36" i="2"/>
  <c r="I37" i="2"/>
  <c r="I36" i="2"/>
  <c r="C37" i="2"/>
  <c r="C36" i="2"/>
  <c r="D37" i="2"/>
  <c r="D36" i="2"/>
  <c r="G37" i="2"/>
  <c r="G36" i="2"/>
  <c r="H37" i="2"/>
  <c r="H36" i="2"/>
  <c r="D11" i="2"/>
  <c r="E11" i="2"/>
  <c r="I12" i="2"/>
  <c r="I11" i="2"/>
  <c r="G12" i="2"/>
  <c r="G11" i="2"/>
  <c r="H12" i="2"/>
  <c r="H11" i="2"/>
  <c r="J12" i="2"/>
  <c r="J11" i="2"/>
  <c r="F35" i="2"/>
  <c r="U32" i="2"/>
  <c r="I35" i="2"/>
  <c r="I32" i="2"/>
  <c r="C35" i="2"/>
  <c r="C17" i="2"/>
  <c r="D35" i="2"/>
  <c r="D17" i="2"/>
  <c r="G35" i="2"/>
  <c r="G32" i="2"/>
  <c r="G17" i="2"/>
  <c r="H35" i="2"/>
  <c r="H32" i="2"/>
  <c r="H17" i="2"/>
  <c r="J15" i="2"/>
  <c r="J17" i="2"/>
  <c r="J32" i="2"/>
  <c r="J14" i="2"/>
  <c r="J16" i="2"/>
  <c r="E110" i="2"/>
  <c r="K14" i="2"/>
  <c r="K35" i="2" s="1"/>
  <c r="E17" i="2"/>
  <c r="E35" i="2"/>
  <c r="I17" i="2"/>
  <c r="M103" i="2" l="1"/>
  <c r="M104" i="2" s="1"/>
  <c r="L43" i="2"/>
  <c r="L53" i="2" s="1"/>
  <c r="L42" i="2"/>
  <c r="N44" i="2"/>
  <c r="M46" i="2"/>
  <c r="L67" i="2"/>
  <c r="M64" i="2"/>
  <c r="N45" i="2" s="1"/>
  <c r="M77" i="2"/>
  <c r="N77" i="2" s="1"/>
  <c r="M76" i="2"/>
  <c r="N76" i="2"/>
  <c r="M75" i="2"/>
  <c r="N75" i="2" s="1"/>
  <c r="M74" i="2"/>
  <c r="N74" i="2"/>
  <c r="N73" i="2"/>
  <c r="M73" i="2"/>
  <c r="M72" i="2"/>
  <c r="N72" i="2" s="1"/>
  <c r="M71" i="2"/>
  <c r="N71" i="2"/>
  <c r="M58" i="2"/>
  <c r="N58" i="2" s="1"/>
  <c r="M57" i="2"/>
  <c r="N57" i="2"/>
  <c r="M56" i="2"/>
  <c r="N56" i="2" s="1"/>
  <c r="M51" i="2"/>
  <c r="N51" i="2" s="1"/>
  <c r="M50" i="2"/>
  <c r="N50" i="2" s="1"/>
  <c r="M49" i="2"/>
  <c r="N49" i="2" s="1"/>
  <c r="N48" i="2"/>
  <c r="M48" i="2"/>
  <c r="H102" i="2"/>
  <c r="H104" i="2" s="1"/>
  <c r="I103" i="2" s="1"/>
  <c r="I102" i="2"/>
  <c r="V15" i="2"/>
  <c r="T19" i="2"/>
  <c r="T38" i="2"/>
  <c r="V12" i="2"/>
  <c r="W10" i="2"/>
  <c r="U15" i="2"/>
  <c r="J36" i="2"/>
  <c r="U16" i="2"/>
  <c r="J37" i="2"/>
  <c r="G38" i="2"/>
  <c r="G19" i="2"/>
  <c r="H19" i="2"/>
  <c r="H38" i="2"/>
  <c r="J35" i="2"/>
  <c r="U14" i="2"/>
  <c r="C38" i="2"/>
  <c r="C19" i="2"/>
  <c r="D19" i="2"/>
  <c r="D38" i="2"/>
  <c r="J38" i="2"/>
  <c r="J19" i="2"/>
  <c r="E19" i="2"/>
  <c r="E39" i="2" s="1"/>
  <c r="F17" i="2"/>
  <c r="F38" i="2" s="1"/>
  <c r="E38" i="2"/>
  <c r="V32" i="2"/>
  <c r="I19" i="2"/>
  <c r="I39" i="2" s="1"/>
  <c r="I38" i="2"/>
  <c r="U17" i="2"/>
  <c r="U38" i="2" s="1"/>
  <c r="N103" i="2" l="1"/>
  <c r="N104" i="2" s="1"/>
  <c r="N43" i="2" s="1"/>
  <c r="M43" i="2"/>
  <c r="N46" i="2"/>
  <c r="N67" i="2" s="1"/>
  <c r="M67" i="2"/>
  <c r="N64" i="2"/>
  <c r="N78" i="2"/>
  <c r="I104" i="2"/>
  <c r="T39" i="2"/>
  <c r="T21" i="2"/>
  <c r="W14" i="2"/>
  <c r="W35" i="2" s="1"/>
  <c r="V36" i="2"/>
  <c r="U36" i="2"/>
  <c r="V16" i="2"/>
  <c r="V37" i="2" s="1"/>
  <c r="U37" i="2"/>
  <c r="V14" i="2"/>
  <c r="U35" i="2"/>
  <c r="W12" i="2"/>
  <c r="X10" i="2"/>
  <c r="G21" i="2"/>
  <c r="G70" i="2" s="1"/>
  <c r="G39" i="2"/>
  <c r="C21" i="2"/>
  <c r="C70" i="2" s="1"/>
  <c r="C39" i="2"/>
  <c r="D21" i="2"/>
  <c r="D70" i="2" s="1"/>
  <c r="D39" i="2"/>
  <c r="J20" i="2"/>
  <c r="J39" i="2"/>
  <c r="H21" i="2"/>
  <c r="H70" i="2" s="1"/>
  <c r="H39" i="2"/>
  <c r="E21" i="2"/>
  <c r="E70" i="2" s="1"/>
  <c r="F19" i="2"/>
  <c r="F39" i="2" s="1"/>
  <c r="I21" i="2"/>
  <c r="I70" i="2" s="1"/>
  <c r="V19" i="2"/>
  <c r="V39" i="2" s="1"/>
  <c r="U19" i="2"/>
  <c r="U39" i="2" s="1"/>
  <c r="W4" i="2"/>
  <c r="V26" i="2"/>
  <c r="W5" i="2"/>
  <c r="V27" i="2"/>
  <c r="W6" i="2"/>
  <c r="V28" i="2"/>
  <c r="V29" i="2"/>
  <c r="W7" i="2"/>
  <c r="V30" i="2"/>
  <c r="W8" i="2"/>
  <c r="W9" i="2"/>
  <c r="V31" i="2"/>
  <c r="M53" i="2" l="1"/>
  <c r="M42" i="2"/>
  <c r="N42" i="2"/>
  <c r="N53" i="2"/>
  <c r="V35" i="2"/>
  <c r="V17" i="2"/>
  <c r="X12" i="2"/>
  <c r="Y10" i="2"/>
  <c r="F21" i="2"/>
  <c r="F70" i="2" s="1"/>
  <c r="U20" i="2"/>
  <c r="V21" i="2"/>
  <c r="U21" i="2"/>
  <c r="X4" i="2"/>
  <c r="W26" i="2"/>
  <c r="X5" i="2"/>
  <c r="W27" i="2"/>
  <c r="X6" i="2"/>
  <c r="W28" i="2"/>
  <c r="X7" i="2"/>
  <c r="W29" i="2"/>
  <c r="W30" i="2"/>
  <c r="X8" i="2"/>
  <c r="W31" i="2"/>
  <c r="X9" i="2"/>
  <c r="V18" i="2" l="1"/>
  <c r="V38" i="2"/>
  <c r="V20" i="2"/>
  <c r="Y12" i="2"/>
  <c r="Z10" i="2"/>
  <c r="W16" i="2"/>
  <c r="W37" i="2" s="1"/>
  <c r="W15" i="2"/>
  <c r="W32" i="2"/>
  <c r="X26" i="2"/>
  <c r="Y4" i="2"/>
  <c r="X27" i="2"/>
  <c r="Y5" i="2"/>
  <c r="Y6" i="2"/>
  <c r="X28" i="2"/>
  <c r="X29" i="2"/>
  <c r="Y7" i="2"/>
  <c r="Y8" i="2"/>
  <c r="X30" i="2"/>
  <c r="X31" i="2"/>
  <c r="Y9" i="2"/>
  <c r="W36" i="2" l="1"/>
  <c r="W17" i="2"/>
  <c r="Z12" i="2"/>
  <c r="AA10" i="2"/>
  <c r="X15" i="2"/>
  <c r="X36" i="2" s="1"/>
  <c r="X14" i="2"/>
  <c r="X35" i="2" s="1"/>
  <c r="X16" i="2"/>
  <c r="X37" i="2" s="1"/>
  <c r="X32" i="2"/>
  <c r="Y26" i="2"/>
  <c r="Z4" i="2"/>
  <c r="Y27" i="2"/>
  <c r="Z5" i="2"/>
  <c r="Z6" i="2"/>
  <c r="Y28" i="2"/>
  <c r="Y29" i="2"/>
  <c r="Z7" i="2"/>
  <c r="Y30" i="2"/>
  <c r="Z8" i="2"/>
  <c r="Y31" i="2"/>
  <c r="Z9" i="2"/>
  <c r="W18" i="2" l="1"/>
  <c r="W19" i="2" s="1"/>
  <c r="W38" i="2"/>
  <c r="AA12" i="2"/>
  <c r="AB10" i="2"/>
  <c r="X17" i="2"/>
  <c r="Y14" i="2"/>
  <c r="Y35" i="2" s="1"/>
  <c r="Y32" i="2"/>
  <c r="Z26" i="2"/>
  <c r="AA4" i="2"/>
  <c r="Z27" i="2"/>
  <c r="AA5" i="2"/>
  <c r="AA6" i="2"/>
  <c r="Z28" i="2"/>
  <c r="Z29" i="2"/>
  <c r="AA7" i="2"/>
  <c r="Z30" i="2"/>
  <c r="AA8" i="2"/>
  <c r="Z31" i="2"/>
  <c r="AA9" i="2"/>
  <c r="Y15" i="2"/>
  <c r="Y36" i="2" s="1"/>
  <c r="Y16" i="2"/>
  <c r="Y37" i="2" s="1"/>
  <c r="W39" i="2" l="1"/>
  <c r="W20" i="2"/>
  <c r="X18" i="2"/>
  <c r="X19" i="2" s="1"/>
  <c r="X38" i="2"/>
  <c r="AB12" i="2"/>
  <c r="AC10" i="2"/>
  <c r="Y17" i="2"/>
  <c r="Z15" i="2"/>
  <c r="Z36" i="2" s="1"/>
  <c r="Z14" i="2"/>
  <c r="Z35" i="2" s="1"/>
  <c r="Z32" i="2"/>
  <c r="AA26" i="2"/>
  <c r="AB4" i="2"/>
  <c r="AA27" i="2"/>
  <c r="AB5" i="2"/>
  <c r="AB6" i="2"/>
  <c r="AA28" i="2"/>
  <c r="AA29" i="2"/>
  <c r="AB7" i="2"/>
  <c r="AA30" i="2"/>
  <c r="AB8" i="2"/>
  <c r="AA31" i="2"/>
  <c r="AB9" i="2"/>
  <c r="Z16" i="2"/>
  <c r="Z37" i="2" s="1"/>
  <c r="X39" i="2" l="1"/>
  <c r="X20" i="2"/>
  <c r="W21" i="2"/>
  <c r="Y18" i="2"/>
  <c r="Y19" i="2" s="1"/>
  <c r="Y38" i="2"/>
  <c r="AC12" i="2"/>
  <c r="AD10" i="2"/>
  <c r="Z17" i="2"/>
  <c r="AA15" i="2"/>
  <c r="AA36" i="2" s="1"/>
  <c r="AA14" i="2"/>
  <c r="AA35" i="2" s="1"/>
  <c r="AA32" i="2"/>
  <c r="AB26" i="2"/>
  <c r="AC4" i="2"/>
  <c r="AB27" i="2"/>
  <c r="AC5" i="2"/>
  <c r="AC6" i="2"/>
  <c r="AB28" i="2"/>
  <c r="AB29" i="2"/>
  <c r="AC7" i="2"/>
  <c r="AB30" i="2"/>
  <c r="AC8" i="2"/>
  <c r="AB31" i="2"/>
  <c r="AC9" i="2"/>
  <c r="AA16" i="2"/>
  <c r="AA37" i="2" s="1"/>
  <c r="X21" i="2" l="1"/>
  <c r="Y39" i="2"/>
  <c r="Y20" i="2"/>
  <c r="Z18" i="2"/>
  <c r="Z19" i="2" s="1"/>
  <c r="Z38" i="2"/>
  <c r="AD12" i="2"/>
  <c r="AE10" i="2"/>
  <c r="AE12" i="2" s="1"/>
  <c r="AA17" i="2"/>
  <c r="AB14" i="2"/>
  <c r="AB35" i="2" s="1"/>
  <c r="AB32" i="2"/>
  <c r="AC26" i="2"/>
  <c r="AD4" i="2"/>
  <c r="AC27" i="2"/>
  <c r="AD5" i="2"/>
  <c r="AD6" i="2"/>
  <c r="AC28" i="2"/>
  <c r="AC29" i="2"/>
  <c r="AD7" i="2"/>
  <c r="AC30" i="2"/>
  <c r="AD8" i="2"/>
  <c r="AC31" i="2"/>
  <c r="AD9" i="2"/>
  <c r="AB16" i="2"/>
  <c r="AB37" i="2" s="1"/>
  <c r="AB15" i="2"/>
  <c r="AB36" i="2" s="1"/>
  <c r="Y21" i="2" l="1"/>
  <c r="Z39" i="2"/>
  <c r="Z20" i="2"/>
  <c r="AA18" i="2"/>
  <c r="AA19" i="2" s="1"/>
  <c r="AA38" i="2"/>
  <c r="AB17" i="2"/>
  <c r="AC16" i="2"/>
  <c r="AC37" i="2" s="1"/>
  <c r="AC15" i="2"/>
  <c r="AC36" i="2" s="1"/>
  <c r="AC14" i="2"/>
  <c r="AC35" i="2" s="1"/>
  <c r="AC32" i="2"/>
  <c r="AD26" i="2"/>
  <c r="AE4" i="2"/>
  <c r="AE26" i="2" s="1"/>
  <c r="AD27" i="2"/>
  <c r="AE5" i="2"/>
  <c r="AE27" i="2" s="1"/>
  <c r="AE6" i="2"/>
  <c r="AD28" i="2"/>
  <c r="AD29" i="2"/>
  <c r="AE7" i="2"/>
  <c r="AE29" i="2" s="1"/>
  <c r="AD30" i="2"/>
  <c r="AE8" i="2"/>
  <c r="AE30" i="2" s="1"/>
  <c r="AD31" i="2"/>
  <c r="AE9" i="2"/>
  <c r="AE31" i="2" s="1"/>
  <c r="Z21" i="2" l="1"/>
  <c r="AB18" i="2"/>
  <c r="AB19" i="2" s="1"/>
  <c r="AB38" i="2"/>
  <c r="AA20" i="2"/>
  <c r="AA39" i="2"/>
  <c r="AC17" i="2"/>
  <c r="AD15" i="2"/>
  <c r="AD36" i="2" s="1"/>
  <c r="AD16" i="2"/>
  <c r="AD37" i="2" s="1"/>
  <c r="AD14" i="2"/>
  <c r="AD35" i="2" s="1"/>
  <c r="AD32" i="2"/>
  <c r="AE28" i="2"/>
  <c r="AB39" i="2" l="1"/>
  <c r="AB20" i="2"/>
  <c r="AA21" i="2"/>
  <c r="AC18" i="2"/>
  <c r="AC19" i="2" s="1"/>
  <c r="AC38" i="2"/>
  <c r="AD17" i="2"/>
  <c r="AE15" i="2"/>
  <c r="AE36" i="2" s="1"/>
  <c r="AE16" i="2"/>
  <c r="AE37" i="2" s="1"/>
  <c r="AE14" i="2"/>
  <c r="AE35" i="2" s="1"/>
  <c r="AE32" i="2"/>
  <c r="AB21" i="2" l="1"/>
  <c r="AC39" i="2"/>
  <c r="AC20" i="2"/>
  <c r="AD18" i="2"/>
  <c r="AD19" i="2" s="1"/>
  <c r="AD39" i="2" s="1"/>
  <c r="AD38" i="2"/>
  <c r="AE17" i="2"/>
  <c r="AC21" i="2" l="1"/>
  <c r="AE18" i="2"/>
  <c r="AE19" i="2" s="1"/>
  <c r="AE39" i="2" s="1"/>
  <c r="AE38" i="2"/>
  <c r="AD20" i="2"/>
  <c r="AE20" i="2" l="1"/>
  <c r="AD21" i="2"/>
  <c r="AE21" i="2" l="1"/>
  <c r="AF21" i="2" l="1"/>
  <c r="AG21" i="2" s="1"/>
  <c r="H110" i="2"/>
  <c r="D110" i="2"/>
  <c r="AH21" i="2" l="1"/>
  <c r="AI21" i="2" s="1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l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EX21" i="2" s="1"/>
  <c r="EY21" i="2" s="1"/>
  <c r="EZ21" i="2" s="1"/>
  <c r="FA21" i="2" s="1"/>
  <c r="FB21" i="2" s="1"/>
  <c r="FC21" i="2" s="1"/>
  <c r="FD21" i="2" s="1"/>
  <c r="FE21" i="2" s="1"/>
  <c r="FF21" i="2" s="1"/>
  <c r="FG21" i="2" s="1"/>
  <c r="FH21" i="2" s="1"/>
  <c r="FI21" i="2" s="1"/>
  <c r="FJ21" i="2" s="1"/>
  <c r="FK21" i="2" s="1"/>
  <c r="FL21" i="2" s="1"/>
  <c r="FM21" i="2" s="1"/>
  <c r="FN21" i="2" s="1"/>
  <c r="FO21" i="2" s="1"/>
  <c r="FP21" i="2" s="1"/>
  <c r="FQ21" i="2" l="1"/>
  <c r="FR21" i="2" l="1"/>
  <c r="FS21" i="2" s="1"/>
  <c r="FT21" i="2" s="1"/>
  <c r="FU21" i="2" s="1"/>
  <c r="FV21" i="2" s="1"/>
  <c r="FW21" i="2" s="1"/>
  <c r="FX21" i="2" s="1"/>
  <c r="FY21" i="2" s="1"/>
  <c r="FZ21" i="2" s="1"/>
  <c r="GA21" i="2" s="1"/>
  <c r="GB21" i="2" s="1"/>
  <c r="GC21" i="2" s="1"/>
  <c r="GD21" i="2" s="1"/>
  <c r="GE21" i="2" s="1"/>
  <c r="GF21" i="2" s="1"/>
  <c r="GG21" i="2" s="1"/>
  <c r="GH21" i="2" s="1"/>
  <c r="GI21" i="2" s="1"/>
  <c r="GJ21" i="2" s="1"/>
  <c r="GK21" i="2" s="1"/>
  <c r="GL21" i="2" s="1"/>
  <c r="GM21" i="2" s="1"/>
  <c r="GN21" i="2" s="1"/>
  <c r="GO21" i="2" s="1"/>
  <c r="GP21" i="2" s="1"/>
  <c r="GQ21" i="2" s="1"/>
  <c r="GR21" i="2" s="1"/>
  <c r="GS21" i="2" s="1"/>
  <c r="GT21" i="2" s="1"/>
  <c r="GU21" i="2" s="1"/>
  <c r="GV21" i="2" s="1"/>
  <c r="GW21" i="2" s="1"/>
  <c r="GX21" i="2" s="1"/>
  <c r="GY21" i="2" s="1"/>
  <c r="GZ21" i="2" s="1"/>
  <c r="HA21" i="2" s="1"/>
  <c r="HB21" i="2" s="1"/>
  <c r="HC21" i="2" s="1"/>
  <c r="HD21" i="2" s="1"/>
  <c r="HE21" i="2" s="1"/>
  <c r="HF21" i="2" s="1"/>
  <c r="HG21" i="2" s="1"/>
  <c r="HH21" i="2" s="1"/>
  <c r="HI21" i="2" s="1"/>
  <c r="HJ21" i="2" s="1"/>
  <c r="HK21" i="2" s="1"/>
  <c r="HL21" i="2" s="1"/>
  <c r="HM21" i="2" s="1"/>
  <c r="HN21" i="2" s="1"/>
  <c r="HO21" i="2" s="1"/>
  <c r="HP21" i="2" s="1"/>
  <c r="HQ21" i="2" s="1"/>
  <c r="HR21" i="2" s="1"/>
  <c r="HS21" i="2" s="1"/>
  <c r="HT21" i="2" s="1"/>
  <c r="HU21" i="2" s="1"/>
  <c r="HV21" i="2" l="1"/>
  <c r="HW21" i="2" l="1"/>
  <c r="AH27" i="2" s="1"/>
  <c r="AH29" i="2" s="1"/>
  <c r="AH31" i="2" s="1"/>
</calcChain>
</file>

<file path=xl/sharedStrings.xml><?xml version="1.0" encoding="utf-8"?>
<sst xmlns="http://schemas.openxmlformats.org/spreadsheetml/2006/main" count="166" uniqueCount="150">
  <si>
    <t>Price</t>
  </si>
  <si>
    <t>Shares</t>
  </si>
  <si>
    <t>Market Cap</t>
  </si>
  <si>
    <t xml:space="preserve">Cash </t>
  </si>
  <si>
    <t xml:space="preserve">Debt </t>
  </si>
  <si>
    <t xml:space="preserve">Enterprise Value </t>
  </si>
  <si>
    <t xml:space="preserve">Enterprise Data </t>
  </si>
  <si>
    <t xml:space="preserve">Storage &amp; compute </t>
  </si>
  <si>
    <t>Automotive</t>
  </si>
  <si>
    <t>Comms</t>
  </si>
  <si>
    <t xml:space="preserve">Consumer </t>
  </si>
  <si>
    <t xml:space="preserve">Industrial </t>
  </si>
  <si>
    <t xml:space="preserve">Total Revenue </t>
  </si>
  <si>
    <t>Q125</t>
  </si>
  <si>
    <t>Q225</t>
  </si>
  <si>
    <t>Q325</t>
  </si>
  <si>
    <t>Q425</t>
  </si>
  <si>
    <t>Q126</t>
  </si>
  <si>
    <t>Q226</t>
  </si>
  <si>
    <t>Q326</t>
  </si>
  <si>
    <t>Q426</t>
  </si>
  <si>
    <t>Q124</t>
  </si>
  <si>
    <t>Q224</t>
  </si>
  <si>
    <t>Q324</t>
  </si>
  <si>
    <t>Q424</t>
  </si>
  <si>
    <t xml:space="preserve">Growth YY </t>
  </si>
  <si>
    <t>Costs</t>
  </si>
  <si>
    <t>R&amp;D</t>
  </si>
  <si>
    <t>SG&amp;A</t>
  </si>
  <si>
    <t xml:space="preserve">Operating Income </t>
  </si>
  <si>
    <t xml:space="preserve">Other Income </t>
  </si>
  <si>
    <t xml:space="preserve">EBT </t>
  </si>
  <si>
    <t>Taxes</t>
  </si>
  <si>
    <t xml:space="preserve">Net Income </t>
  </si>
  <si>
    <t xml:space="preserve">Terminal </t>
  </si>
  <si>
    <t xml:space="preserve">Discount </t>
  </si>
  <si>
    <t>NPV</t>
  </si>
  <si>
    <t>Shrs</t>
  </si>
  <si>
    <t>$M</t>
  </si>
  <si>
    <t xml:space="preserve">CFFO </t>
  </si>
  <si>
    <t xml:space="preserve">Capex </t>
  </si>
  <si>
    <t xml:space="preserve">FCF </t>
  </si>
  <si>
    <t xml:space="preserve">HQ: Washington </t>
  </si>
  <si>
    <t xml:space="preserve">Bernie Blegen </t>
  </si>
  <si>
    <t>CFO</t>
  </si>
  <si>
    <t xml:space="preserve">Sells power mgmt chips that control how electricity is delivered to CPUs, GPUs, memory, and other components </t>
  </si>
  <si>
    <t xml:space="preserve">Estimate </t>
  </si>
  <si>
    <t>Current</t>
  </si>
  <si>
    <t>Earnings Calls</t>
  </si>
  <si>
    <t xml:space="preserve">CEO / Founder </t>
  </si>
  <si>
    <t>Notes</t>
  </si>
  <si>
    <t xml:space="preserve">800-volt power solution for data center </t>
  </si>
  <si>
    <t>automotive</t>
  </si>
  <si>
    <t>48-volt</t>
  </si>
  <si>
    <t>Michael Hsing  / 65</t>
  </si>
  <si>
    <t>Transcript</t>
  </si>
  <si>
    <t xml:space="preserve">Link </t>
  </si>
  <si>
    <t xml:space="preserve">Voltage Regulators </t>
  </si>
  <si>
    <t xml:space="preserve">convert 48V --&gt; 12V --&gt; 1V ; fast and waste very little energy </t>
  </si>
  <si>
    <t xml:space="preserve">Enterprise &amp; Data Segment </t>
  </si>
  <si>
    <t xml:space="preserve">In  AI racks hyperscalers mving to 48V rack architecture </t>
  </si>
  <si>
    <t>Why?</t>
  </si>
  <si>
    <t xml:space="preserve">Higher voltage = less current </t>
  </si>
  <si>
    <t xml:space="preserve">less current = less heat </t>
  </si>
  <si>
    <t xml:space="preserve">less heat = better efficiency </t>
  </si>
  <si>
    <t xml:space="preserve">Issue? </t>
  </si>
  <si>
    <t>GPUs don't run on 48V, they run on ~0.8-1.2V</t>
  </si>
  <si>
    <t>So you need multi-phase DC-DC converters</t>
  </si>
  <si>
    <t>MPWR builds:</t>
  </si>
  <si>
    <t>DrMOS</t>
  </si>
  <si>
    <t>Digital multiphase controllers</t>
  </si>
  <si>
    <t>Power modules</t>
  </si>
  <si>
    <t xml:space="preserve">These convert 48V --&gt; 12V intermediate busy --&gt; sub-1V core voltage </t>
  </si>
  <si>
    <t xml:space="preserve">Core Enterprise &amp; Data Products </t>
  </si>
  <si>
    <t>DrMOS power stages</t>
  </si>
  <si>
    <t>Multiphase controllers</t>
  </si>
  <si>
    <t>PMICS</t>
  </si>
  <si>
    <t>Power modules for GPUs &amp; CPUs</t>
  </si>
  <si>
    <t>NIC power management</t>
  </si>
  <si>
    <t xml:space="preserve">Accelerator board power </t>
  </si>
  <si>
    <t>Power Equation</t>
  </si>
  <si>
    <t>I = P / V</t>
  </si>
  <si>
    <t xml:space="preserve">Power (Watts) = Voltage * Current ---&gt; P = V * I </t>
  </si>
  <si>
    <t>• Why higher GPU wattage increases MPWR content</t>
  </si>
  <si>
    <t>• Why transient speed matters</t>
  </si>
  <si>
    <t>• Why multiphase is required</t>
  </si>
  <si>
    <t>• Why 48V architecture benefits them</t>
  </si>
  <si>
    <t>• Why silicon integration gives them margin advantage</t>
  </si>
  <si>
    <t>Why a 1500W GPU structurally increases power stage count</t>
  </si>
  <si>
    <t>YoY Chg</t>
  </si>
  <si>
    <t>QoQ Chg</t>
  </si>
  <si>
    <t xml:space="preserve">Margin Data </t>
  </si>
  <si>
    <t>OM</t>
  </si>
  <si>
    <t>GM</t>
  </si>
  <si>
    <t>Pre-Tax</t>
  </si>
  <si>
    <t xml:space="preserve">Tax Rate </t>
  </si>
  <si>
    <t>Diluted Shrs Oust</t>
  </si>
  <si>
    <t>Upside</t>
  </si>
  <si>
    <t>Investments</t>
  </si>
  <si>
    <t>A/R</t>
  </si>
  <si>
    <t>Inventories</t>
  </si>
  <si>
    <t>OCA</t>
  </si>
  <si>
    <t>PPE</t>
  </si>
  <si>
    <t xml:space="preserve">Intangibles </t>
  </si>
  <si>
    <t>Goodwill</t>
  </si>
  <si>
    <t>Deferred Tax Assets</t>
  </si>
  <si>
    <t>OLTA</t>
  </si>
  <si>
    <t xml:space="preserve">Total Assets </t>
  </si>
  <si>
    <t xml:space="preserve">Total Liabilities + Equity </t>
  </si>
  <si>
    <t xml:space="preserve">Equity </t>
  </si>
  <si>
    <t>A/P</t>
  </si>
  <si>
    <t>Accrued Comp</t>
  </si>
  <si>
    <t xml:space="preserve">Other accrued </t>
  </si>
  <si>
    <t>Income Tx Liab</t>
  </si>
  <si>
    <t>OLTL</t>
  </si>
  <si>
    <t xml:space="preserve">Total Liabilities </t>
  </si>
  <si>
    <t>Net Cash</t>
  </si>
  <si>
    <t>Net Income</t>
  </si>
  <si>
    <t>Model Net Income</t>
  </si>
  <si>
    <t>D&amp;A</t>
  </si>
  <si>
    <t>Amortization</t>
  </si>
  <si>
    <t>Gain  on deferred compplan invest</t>
  </si>
  <si>
    <t>Deferred taxes</t>
  </si>
  <si>
    <t>SBC</t>
  </si>
  <si>
    <t>Other</t>
  </si>
  <si>
    <t>Other assets</t>
  </si>
  <si>
    <t xml:space="preserve">Accrued comp </t>
  </si>
  <si>
    <t xml:space="preserve">Income tax liabilities </t>
  </si>
  <si>
    <t>Other accrued liabilities</t>
  </si>
  <si>
    <t>CFFO</t>
  </si>
  <si>
    <t>Capex</t>
  </si>
  <si>
    <t xml:space="preserve">Purchase of intangible assets </t>
  </si>
  <si>
    <t>Purchases of investments</t>
  </si>
  <si>
    <t>Maturities and sales of investments</t>
  </si>
  <si>
    <t>Cash paid for acquisition, net of cash acquired</t>
  </si>
  <si>
    <t>Contributions to deferred comp plan</t>
  </si>
  <si>
    <t xml:space="preserve">CFFI </t>
  </si>
  <si>
    <t>Property and equipment on extended payment terms</t>
  </si>
  <si>
    <t>Proceeds from common stok issued under ESP</t>
  </si>
  <si>
    <t xml:space="preserve">Repurchases of common stock </t>
  </si>
  <si>
    <t>CFFF</t>
  </si>
  <si>
    <t>Fx</t>
  </si>
  <si>
    <t xml:space="preserve">Dividends and dividend equivalents paid </t>
  </si>
  <si>
    <t>Net Cash Increase</t>
  </si>
  <si>
    <t xml:space="preserve">Cash @ Begin </t>
  </si>
  <si>
    <t>Ending Cash Position</t>
  </si>
  <si>
    <t>DSO</t>
  </si>
  <si>
    <t>DPO</t>
  </si>
  <si>
    <t>DIO</t>
  </si>
  <si>
    <t>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</si>
</sst>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%"/>
  </numFmts>
  <fonts count="1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name val="-webkit-standard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432FF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51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2" fillId="0" borderId="0" xfId="1" applyNumberFormat="1"/>
    <xf numFmtId="3" fontId="0" fillId="0" borderId="0" xfId="0" applyNumberFormat="1" applyAlignment="1">
      <alignment horizontal="left" indent="2"/>
    </xf>
    <xf numFmtId="3" fontId="0" fillId="0" borderId="0" xfId="0" applyNumberFormat="1" applyAlignment="1">
      <alignment horizontal="left" indent="3"/>
    </xf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right"/>
    </xf>
    <xf numFmtId="0" fontId="6" fillId="2" borderId="0" xfId="0" applyFont="1" applyFill="1"/>
    <xf numFmtId="3" fontId="6" fillId="2" borderId="0" xfId="0" applyNumberFormat="1" applyFont="1" applyFill="1"/>
    <xf numFmtId="0" fontId="7" fillId="0" borderId="0" xfId="0" applyFont="1"/>
    <xf numFmtId="0" fontId="8" fillId="2" borderId="0" xfId="0" applyFont="1" applyFill="1" applyAlignment="1">
      <alignment horizontal="right"/>
    </xf>
    <xf numFmtId="0" fontId="8" fillId="2" borderId="0" xfId="0" applyFont="1" applyFill="1"/>
    <xf numFmtId="3" fontId="5" fillId="0" borderId="0" xfId="0" applyNumberFormat="1" applyFont="1"/>
    <xf numFmtId="3" fontId="9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  <xf numFmtId="3" fontId="9" fillId="0" borderId="0" xfId="0" applyNumberFormat="1" applyFont="1"/>
    <xf numFmtId="3" fontId="7" fillId="0" borderId="1" xfId="0" applyNumberFormat="1" applyFont="1" applyBorder="1"/>
    <xf numFmtId="3" fontId="7" fillId="0" borderId="1" xfId="0" applyNumberFormat="1" applyFont="1" applyBorder="1" applyAlignment="1">
      <alignment horizontal="right"/>
    </xf>
    <xf numFmtId="3" fontId="7" fillId="0" borderId="0" xfId="0" applyNumberFormat="1" applyFont="1"/>
    <xf numFmtId="9" fontId="5" fillId="0" borderId="0" xfId="0" applyNumberFormat="1" applyFont="1" applyAlignment="1">
      <alignment horizontal="right"/>
    </xf>
    <xf numFmtId="9" fontId="5" fillId="0" borderId="0" xfId="0" applyNumberFormat="1" applyFont="1"/>
    <xf numFmtId="3" fontId="7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/>
    <xf numFmtId="9" fontId="5" fillId="0" borderId="3" xfId="0" applyNumberFormat="1" applyFont="1" applyBorder="1"/>
    <xf numFmtId="0" fontId="5" fillId="0" borderId="0" xfId="0" applyFont="1" applyAlignment="1">
      <alignment horizontal="left" indent="1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9" fontId="10" fillId="0" borderId="0" xfId="0" applyNumberFormat="1" applyFont="1"/>
    <xf numFmtId="0" fontId="5" fillId="0" borderId="4" xfId="0" applyFont="1" applyBorder="1"/>
    <xf numFmtId="9" fontId="5" fillId="0" borderId="5" xfId="0" applyNumberFormat="1" applyFont="1" applyBorder="1"/>
    <xf numFmtId="0" fontId="5" fillId="0" borderId="8" xfId="0" applyFont="1" applyBorder="1"/>
    <xf numFmtId="8" fontId="5" fillId="0" borderId="9" xfId="0" applyNumberFormat="1" applyFont="1" applyBorder="1"/>
    <xf numFmtId="3" fontId="5" fillId="0" borderId="5" xfId="0" applyNumberFormat="1" applyFont="1" applyBorder="1"/>
    <xf numFmtId="0" fontId="7" fillId="0" borderId="8" xfId="0" applyFont="1" applyBorder="1"/>
    <xf numFmtId="3" fontId="7" fillId="0" borderId="9" xfId="0" applyNumberFormat="1" applyFont="1" applyBorder="1"/>
    <xf numFmtId="0" fontId="7" fillId="0" borderId="6" xfId="0" applyFont="1" applyBorder="1"/>
    <xf numFmtId="9" fontId="7" fillId="0" borderId="7" xfId="0" applyNumberFormat="1" applyFont="1" applyBorder="1"/>
    <xf numFmtId="0" fontId="7" fillId="0" borderId="0" xfId="0" applyFont="1" applyAlignment="1">
      <alignment horizontal="left" indent="1"/>
    </xf>
    <xf numFmtId="3" fontId="5" fillId="0" borderId="0" xfId="0" applyNumberFormat="1" applyFont="1" applyAlignment="1">
      <alignment horizontal="left" indent="1"/>
    </xf>
    <xf numFmtId="3" fontId="7" fillId="0" borderId="0" xfId="0" applyNumberFormat="1" applyFont="1" applyAlignment="1">
      <alignment horizontal="left" indent="1"/>
    </xf>
    <xf numFmtId="164" fontId="10" fillId="0" borderId="0" xfId="2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0" fontId="5" fillId="0" borderId="0" xfId="0" applyFont="1" applyBorder="1"/>
    <xf numFmtId="0" fontId="7" fillId="0" borderId="0" xfId="0" applyFont="1" applyBorder="1"/>
    <xf numFmtId="3" fontId="5" fillId="0" borderId="0" xfId="0" applyNumberFormat="1" applyFont="1" applyBorder="1"/>
    <xf numFmtId="3" fontId="7" fillId="0" borderId="0" xfId="0" applyNumberFormat="1" applyFont="1" applyBorder="1"/>
    <xf numFmtId="0" fontId="10" fillId="0" borderId="0" xfId="0" applyFont="1" applyBorder="1"/>
    <xf numFmtId="3" fontId="5" fillId="0" borderId="0" xfId="0" applyNumberFormat="1" applyFont="1" applyBorder="1" applyAlignment="1">
      <alignment horizontal="right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1</xdr:row>
      <xdr:rowOff>63500</xdr:rowOff>
    </xdr:from>
    <xdr:to>
      <xdr:col>10</xdr:col>
      <xdr:colOff>50800</xdr:colOff>
      <xdr:row>125</xdr:row>
      <xdr:rowOff>139700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067371A-6318-71E3-7344-EB414CDFE290}"/>
            </a:ext>
          </a:extLst>
        </xdr:cNvPr>
        <xdr:cNvCxnSpPr/>
      </xdr:nvCxnSpPr>
      <xdr:spPr>
        <a:xfrm>
          <a:off x="4914900" y="63500"/>
          <a:ext cx="25400" cy="102362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</xdr:row>
      <xdr:rowOff>50800</xdr:rowOff>
    </xdr:from>
    <xdr:to>
      <xdr:col>21</xdr:col>
      <xdr:colOff>25400</xdr:colOff>
      <xdr:row>125</xdr:row>
      <xdr:rowOff>127000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8422F22-576C-E14E-AD89-2D23E94A64F0}"/>
            </a:ext>
          </a:extLst>
        </xdr:cNvPr>
        <xdr:cNvCxnSpPr/>
      </xdr:nvCxnSpPr>
      <xdr:spPr>
        <a:xfrm>
          <a:off x="12915900" y="50800"/>
          <a:ext cx="25400" cy="102362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nance.yahoo.com/quote/MPWR/earnings/MPWR-Q4-2025-earnings_call-403188.html" TargetMode="External"/><Relationship Id="rId1" Type="http://schemas.openxmlformats.org/officeDocument/2006/relationships/hyperlink" Target="https://www.monolithicpower.com/en/about-mps/investor-relations/events-presentations/monolithic-power-systems-fourth-quarter-and-full-year-2025-earnings-webinar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D42CF-32AB-8C45-BACA-4CE76258F864}">
  <dimension ref="B2:L64"/>
  <sheetViews>
    <sheetView showGridLines="0" tabSelected="1" workbookViewId="0">
      <selection activeCell="B6" sqref="B6"/>
    </sheetView>
  </sheetViews>
  <sheetFormatPr baseColWidth="10" defaultRowHeight="16"/>
  <cols>
    <col min="1" max="1" width="10.83203125" style="1"/>
    <col min="2" max="2" width="5.1640625" style="1" bestFit="1" customWidth="1"/>
    <col min="3" max="7" width="10.83203125" style="1"/>
    <col min="8" max="8" width="14.6640625" style="1" bestFit="1" customWidth="1"/>
    <col min="9" max="9" width="6.6640625" style="1" bestFit="1" customWidth="1"/>
    <col min="10" max="16384" width="10.83203125" style="1"/>
  </cols>
  <sheetData>
    <row r="2" spans="2:12">
      <c r="B2" s="1" t="s">
        <v>42</v>
      </c>
    </row>
    <row r="3" spans="2:12">
      <c r="B3" s="1" t="s">
        <v>49</v>
      </c>
      <c r="C3" s="1" t="s">
        <v>54</v>
      </c>
      <c r="H3" s="1" t="s">
        <v>0</v>
      </c>
      <c r="I3" s="1">
        <v>1157.6099999999999</v>
      </c>
    </row>
    <row r="4" spans="2:12">
      <c r="B4" s="1" t="s">
        <v>44</v>
      </c>
      <c r="C4" s="1" t="s">
        <v>43</v>
      </c>
      <c r="H4" s="1" t="s">
        <v>1</v>
      </c>
      <c r="I4" s="1">
        <v>49.167999999999999</v>
      </c>
      <c r="J4" s="1" t="s">
        <v>16</v>
      </c>
    </row>
    <row r="5" spans="2:12">
      <c r="H5" s="1" t="s">
        <v>2</v>
      </c>
      <c r="I5" s="1">
        <f>+I3*I4</f>
        <v>56917.368479999997</v>
      </c>
    </row>
    <row r="6" spans="2:12">
      <c r="H6" s="1" t="s">
        <v>3</v>
      </c>
      <c r="I6" s="1">
        <v>1256.5</v>
      </c>
      <c r="J6" s="1" t="str">
        <f>+J4</f>
        <v>Q425</v>
      </c>
    </row>
    <row r="7" spans="2:12">
      <c r="H7" s="1" t="s">
        <v>4</v>
      </c>
      <c r="J7" s="1" t="str">
        <f>+J6</f>
        <v>Q425</v>
      </c>
    </row>
    <row r="8" spans="2:12">
      <c r="H8" s="1" t="s">
        <v>5</v>
      </c>
    </row>
    <row r="10" spans="2:12">
      <c r="B10" s="1" t="s">
        <v>45</v>
      </c>
    </row>
    <row r="14" spans="2:12">
      <c r="B14" s="1" t="s">
        <v>50</v>
      </c>
      <c r="K14" s="1" t="s">
        <v>48</v>
      </c>
      <c r="L14" s="1" t="s">
        <v>55</v>
      </c>
    </row>
    <row r="15" spans="2:12">
      <c r="B15" s="1" t="s">
        <v>51</v>
      </c>
      <c r="K15" s="3" t="s">
        <v>16</v>
      </c>
      <c r="L15" s="3" t="s">
        <v>56</v>
      </c>
    </row>
    <row r="17" spans="2:2">
      <c r="B17" s="1" t="s">
        <v>52</v>
      </c>
    </row>
    <row r="18" spans="2:2">
      <c r="B18" s="1" t="s">
        <v>53</v>
      </c>
    </row>
    <row r="21" spans="2:2">
      <c r="B21" s="1" t="s">
        <v>80</v>
      </c>
    </row>
    <row r="22" spans="2:2">
      <c r="B22" s="1" t="s">
        <v>82</v>
      </c>
    </row>
    <row r="23" spans="2:2">
      <c r="B23" s="1" t="s">
        <v>81</v>
      </c>
    </row>
    <row r="33" spans="2:3">
      <c r="B33" s="2" t="s">
        <v>59</v>
      </c>
      <c r="C33" s="2"/>
    </row>
    <row r="34" spans="2:3">
      <c r="B34" s="4" t="s">
        <v>57</v>
      </c>
    </row>
    <row r="35" spans="2:3">
      <c r="B35" s="5" t="s">
        <v>58</v>
      </c>
    </row>
    <row r="36" spans="2:3">
      <c r="B36" s="4" t="s">
        <v>60</v>
      </c>
    </row>
    <row r="37" spans="2:3">
      <c r="B37" s="4" t="s">
        <v>61</v>
      </c>
    </row>
    <row r="38" spans="2:3">
      <c r="B38" s="5" t="s">
        <v>62</v>
      </c>
    </row>
    <row r="39" spans="2:3">
      <c r="B39" s="5" t="s">
        <v>63</v>
      </c>
    </row>
    <row r="40" spans="2:3">
      <c r="B40" s="5" t="s">
        <v>64</v>
      </c>
    </row>
    <row r="41" spans="2:3">
      <c r="B41" s="4" t="s">
        <v>65</v>
      </c>
    </row>
    <row r="42" spans="2:3">
      <c r="B42" s="4" t="s">
        <v>66</v>
      </c>
    </row>
    <row r="43" spans="2:3">
      <c r="B43" s="4" t="s">
        <v>67</v>
      </c>
    </row>
    <row r="44" spans="2:3">
      <c r="B44" s="4" t="s">
        <v>68</v>
      </c>
    </row>
    <row r="45" spans="2:3">
      <c r="B45" s="5" t="s">
        <v>69</v>
      </c>
    </row>
    <row r="46" spans="2:3">
      <c r="B46" s="5" t="s">
        <v>70</v>
      </c>
    </row>
    <row r="47" spans="2:3">
      <c r="B47" s="5" t="s">
        <v>71</v>
      </c>
    </row>
    <row r="48" spans="2:3">
      <c r="B48" s="4" t="s">
        <v>72</v>
      </c>
    </row>
    <row r="49" spans="2:2">
      <c r="B49" s="4" t="s">
        <v>73</v>
      </c>
    </row>
    <row r="50" spans="2:2">
      <c r="B50" s="5" t="s">
        <v>74</v>
      </c>
    </row>
    <row r="51" spans="2:2">
      <c r="B51" s="5" t="s">
        <v>75</v>
      </c>
    </row>
    <row r="52" spans="2:2">
      <c r="B52" s="5" t="s">
        <v>76</v>
      </c>
    </row>
    <row r="53" spans="2:2">
      <c r="B53" s="5" t="s">
        <v>77</v>
      </c>
    </row>
    <row r="54" spans="2:2">
      <c r="B54" s="5" t="s">
        <v>78</v>
      </c>
    </row>
    <row r="55" spans="2:2">
      <c r="B55" s="5" t="s">
        <v>79</v>
      </c>
    </row>
    <row r="56" spans="2:2">
      <c r="B56" s="4"/>
    </row>
    <row r="59" spans="2:2" ht="18">
      <c r="B59" s="6" t="s">
        <v>83</v>
      </c>
    </row>
    <row r="60" spans="2:2" ht="18">
      <c r="B60" s="6" t="s">
        <v>84</v>
      </c>
    </row>
    <row r="61" spans="2:2" ht="18">
      <c r="B61" s="6" t="s">
        <v>85</v>
      </c>
    </row>
    <row r="62" spans="2:2" ht="18">
      <c r="B62" s="6" t="s">
        <v>86</v>
      </c>
    </row>
    <row r="63" spans="2:2" ht="18">
      <c r="B63" s="6" t="s">
        <v>87</v>
      </c>
    </row>
    <row r="64" spans="2:2" ht="18">
      <c r="B64" s="6" t="s">
        <v>88</v>
      </c>
    </row>
  </sheetData>
  <hyperlinks>
    <hyperlink ref="K15" r:id="rId1" xr:uid="{5C65CE06-6E28-C54D-A6AF-45388392B783}"/>
    <hyperlink ref="L15" r:id="rId2" xr:uid="{7AD43E44-C5F4-7D44-9EF0-9324C80E51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B906-706A-014B-B7AD-4EC8AB714044}">
  <dimension ref="B2:HW111"/>
  <sheetViews>
    <sheetView showGridLines="0" zoomScale="140" zoomScaleNormal="14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C111" sqref="C111:N111"/>
    </sheetView>
  </sheetViews>
  <sheetFormatPr baseColWidth="10" defaultColWidth="16.6640625" defaultRowHeight="13"/>
  <cols>
    <col min="1" max="1" width="2.1640625" style="7" customWidth="1"/>
    <col min="2" max="2" width="44" style="7" bestFit="1" customWidth="1"/>
    <col min="3" max="5" width="6.5" style="24" bestFit="1" customWidth="1"/>
    <col min="6" max="6" width="8" style="24" bestFit="1" customWidth="1"/>
    <col min="7" max="14" width="6.5" style="24" bestFit="1" customWidth="1"/>
    <col min="15" max="15" width="7.1640625" style="45" customWidth="1"/>
    <col min="16" max="18" width="4.83203125" style="45" customWidth="1"/>
    <col min="19" max="19" width="6.33203125" style="7" bestFit="1" customWidth="1"/>
    <col min="20" max="20" width="7" style="7" bestFit="1" customWidth="1"/>
    <col min="21" max="26" width="6.33203125" style="7" bestFit="1" customWidth="1"/>
    <col min="27" max="31" width="7.5" style="7" bestFit="1" customWidth="1"/>
    <col min="32" max="32" width="6.33203125" style="7" bestFit="1" customWidth="1"/>
    <col min="33" max="33" width="9" style="7" bestFit="1" customWidth="1"/>
    <col min="34" max="34" width="12.1640625" style="7" bestFit="1" customWidth="1"/>
    <col min="35" max="86" width="6.33203125" style="7" bestFit="1" customWidth="1"/>
    <col min="87" max="231" width="7.5" style="7" bestFit="1" customWidth="1"/>
    <col min="232" max="16384" width="16.6640625" style="7"/>
  </cols>
  <sheetData>
    <row r="2" spans="2:231">
      <c r="B2" s="7" t="s">
        <v>38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S2" s="9"/>
      <c r="T2" s="10">
        <f>+T4-S4</f>
        <v>178.62</v>
      </c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7">
        <v>1</v>
      </c>
      <c r="AG2" s="7">
        <f>+AF2+1</f>
        <v>2</v>
      </c>
      <c r="AH2" s="7">
        <f t="shared" ref="AH2:CS2" si="0">+AG2+1</f>
        <v>3</v>
      </c>
      <c r="AI2" s="7">
        <f t="shared" si="0"/>
        <v>4</v>
      </c>
      <c r="AJ2" s="7">
        <f t="shared" si="0"/>
        <v>5</v>
      </c>
      <c r="AK2" s="7">
        <f t="shared" si="0"/>
        <v>6</v>
      </c>
      <c r="AL2" s="7">
        <f t="shared" si="0"/>
        <v>7</v>
      </c>
      <c r="AM2" s="7">
        <f t="shared" si="0"/>
        <v>8</v>
      </c>
      <c r="AN2" s="7">
        <f t="shared" si="0"/>
        <v>9</v>
      </c>
      <c r="AO2" s="7">
        <f t="shared" si="0"/>
        <v>10</v>
      </c>
      <c r="AP2" s="7">
        <f t="shared" si="0"/>
        <v>11</v>
      </c>
      <c r="AQ2" s="7">
        <f t="shared" si="0"/>
        <v>12</v>
      </c>
      <c r="AR2" s="7">
        <f t="shared" si="0"/>
        <v>13</v>
      </c>
      <c r="AS2" s="7">
        <f t="shared" si="0"/>
        <v>14</v>
      </c>
      <c r="AT2" s="7">
        <f t="shared" si="0"/>
        <v>15</v>
      </c>
      <c r="AU2" s="7">
        <f t="shared" si="0"/>
        <v>16</v>
      </c>
      <c r="AV2" s="7">
        <f t="shared" si="0"/>
        <v>17</v>
      </c>
      <c r="AW2" s="7">
        <f t="shared" si="0"/>
        <v>18</v>
      </c>
      <c r="AX2" s="7">
        <f t="shared" si="0"/>
        <v>19</v>
      </c>
      <c r="AY2" s="7">
        <f t="shared" si="0"/>
        <v>20</v>
      </c>
      <c r="AZ2" s="7">
        <f t="shared" si="0"/>
        <v>21</v>
      </c>
      <c r="BA2" s="7">
        <f t="shared" si="0"/>
        <v>22</v>
      </c>
      <c r="BB2" s="7">
        <f t="shared" si="0"/>
        <v>23</v>
      </c>
      <c r="BC2" s="7">
        <f t="shared" si="0"/>
        <v>24</v>
      </c>
      <c r="BD2" s="7">
        <f t="shared" si="0"/>
        <v>25</v>
      </c>
      <c r="BE2" s="7">
        <f t="shared" si="0"/>
        <v>26</v>
      </c>
      <c r="BF2" s="7">
        <f t="shared" si="0"/>
        <v>27</v>
      </c>
      <c r="BG2" s="7">
        <f t="shared" si="0"/>
        <v>28</v>
      </c>
      <c r="BH2" s="7">
        <f t="shared" si="0"/>
        <v>29</v>
      </c>
      <c r="BI2" s="7">
        <f t="shared" si="0"/>
        <v>30</v>
      </c>
      <c r="BJ2" s="7">
        <f t="shared" si="0"/>
        <v>31</v>
      </c>
      <c r="BK2" s="7">
        <f t="shared" si="0"/>
        <v>32</v>
      </c>
      <c r="BL2" s="7">
        <f t="shared" si="0"/>
        <v>33</v>
      </c>
      <c r="BM2" s="7">
        <f t="shared" si="0"/>
        <v>34</v>
      </c>
      <c r="BN2" s="7">
        <f t="shared" si="0"/>
        <v>35</v>
      </c>
      <c r="BO2" s="7">
        <f t="shared" si="0"/>
        <v>36</v>
      </c>
      <c r="BP2" s="7">
        <f t="shared" si="0"/>
        <v>37</v>
      </c>
      <c r="BQ2" s="7">
        <f t="shared" si="0"/>
        <v>38</v>
      </c>
      <c r="BR2" s="7">
        <f t="shared" si="0"/>
        <v>39</v>
      </c>
      <c r="BS2" s="7">
        <f t="shared" si="0"/>
        <v>40</v>
      </c>
      <c r="BT2" s="7">
        <f t="shared" si="0"/>
        <v>41</v>
      </c>
      <c r="BU2" s="7">
        <f t="shared" si="0"/>
        <v>42</v>
      </c>
      <c r="BV2" s="7">
        <f t="shared" si="0"/>
        <v>43</v>
      </c>
      <c r="BW2" s="7">
        <f t="shared" si="0"/>
        <v>44</v>
      </c>
      <c r="BX2" s="7">
        <f t="shared" si="0"/>
        <v>45</v>
      </c>
      <c r="BY2" s="7">
        <f t="shared" si="0"/>
        <v>46</v>
      </c>
      <c r="BZ2" s="7">
        <f t="shared" si="0"/>
        <v>47</v>
      </c>
      <c r="CA2" s="7">
        <f t="shared" si="0"/>
        <v>48</v>
      </c>
      <c r="CB2" s="7">
        <f t="shared" si="0"/>
        <v>49</v>
      </c>
      <c r="CC2" s="7">
        <f t="shared" si="0"/>
        <v>50</v>
      </c>
      <c r="CD2" s="7">
        <f t="shared" si="0"/>
        <v>51</v>
      </c>
      <c r="CE2" s="7">
        <f t="shared" si="0"/>
        <v>52</v>
      </c>
      <c r="CF2" s="7">
        <f t="shared" si="0"/>
        <v>53</v>
      </c>
      <c r="CG2" s="7">
        <f t="shared" si="0"/>
        <v>54</v>
      </c>
      <c r="CH2" s="7">
        <f t="shared" si="0"/>
        <v>55</v>
      </c>
      <c r="CI2" s="7">
        <f t="shared" si="0"/>
        <v>56</v>
      </c>
      <c r="CJ2" s="7">
        <f t="shared" si="0"/>
        <v>57</v>
      </c>
      <c r="CK2" s="7">
        <f t="shared" si="0"/>
        <v>58</v>
      </c>
      <c r="CL2" s="7">
        <f t="shared" si="0"/>
        <v>59</v>
      </c>
      <c r="CM2" s="7">
        <f t="shared" si="0"/>
        <v>60</v>
      </c>
      <c r="CN2" s="7">
        <f t="shared" si="0"/>
        <v>61</v>
      </c>
      <c r="CO2" s="7">
        <f t="shared" si="0"/>
        <v>62</v>
      </c>
      <c r="CP2" s="7">
        <f t="shared" si="0"/>
        <v>63</v>
      </c>
      <c r="CQ2" s="7">
        <f t="shared" si="0"/>
        <v>64</v>
      </c>
      <c r="CR2" s="7">
        <f t="shared" si="0"/>
        <v>65</v>
      </c>
      <c r="CS2" s="7">
        <f t="shared" si="0"/>
        <v>66</v>
      </c>
      <c r="CT2" s="7">
        <f t="shared" ref="CT2:FE2" si="1">+CS2+1</f>
        <v>67</v>
      </c>
      <c r="CU2" s="7">
        <f t="shared" si="1"/>
        <v>68</v>
      </c>
      <c r="CV2" s="7">
        <f t="shared" si="1"/>
        <v>69</v>
      </c>
      <c r="CW2" s="7">
        <f t="shared" si="1"/>
        <v>70</v>
      </c>
      <c r="CX2" s="7">
        <f t="shared" si="1"/>
        <v>71</v>
      </c>
      <c r="CY2" s="7">
        <f t="shared" si="1"/>
        <v>72</v>
      </c>
      <c r="CZ2" s="7">
        <f t="shared" si="1"/>
        <v>73</v>
      </c>
      <c r="DA2" s="7">
        <f t="shared" si="1"/>
        <v>74</v>
      </c>
      <c r="DB2" s="7">
        <f t="shared" si="1"/>
        <v>75</v>
      </c>
      <c r="DC2" s="7">
        <f t="shared" si="1"/>
        <v>76</v>
      </c>
      <c r="DD2" s="7">
        <f t="shared" si="1"/>
        <v>77</v>
      </c>
      <c r="DE2" s="7">
        <f t="shared" si="1"/>
        <v>78</v>
      </c>
      <c r="DF2" s="7">
        <f t="shared" si="1"/>
        <v>79</v>
      </c>
      <c r="DG2" s="7">
        <f t="shared" si="1"/>
        <v>80</v>
      </c>
      <c r="DH2" s="7">
        <f t="shared" si="1"/>
        <v>81</v>
      </c>
      <c r="DI2" s="7">
        <f t="shared" si="1"/>
        <v>82</v>
      </c>
      <c r="DJ2" s="7">
        <f t="shared" si="1"/>
        <v>83</v>
      </c>
      <c r="DK2" s="7">
        <f t="shared" si="1"/>
        <v>84</v>
      </c>
      <c r="DL2" s="7">
        <f t="shared" si="1"/>
        <v>85</v>
      </c>
      <c r="DM2" s="7">
        <f t="shared" si="1"/>
        <v>86</v>
      </c>
      <c r="DN2" s="7">
        <f t="shared" si="1"/>
        <v>87</v>
      </c>
      <c r="DO2" s="7">
        <f t="shared" si="1"/>
        <v>88</v>
      </c>
      <c r="DP2" s="7">
        <f t="shared" si="1"/>
        <v>89</v>
      </c>
      <c r="DQ2" s="7">
        <f t="shared" si="1"/>
        <v>90</v>
      </c>
      <c r="DR2" s="7">
        <f t="shared" si="1"/>
        <v>91</v>
      </c>
      <c r="DS2" s="7">
        <f t="shared" si="1"/>
        <v>92</v>
      </c>
      <c r="DT2" s="7">
        <f t="shared" si="1"/>
        <v>93</v>
      </c>
      <c r="DU2" s="7">
        <f t="shared" si="1"/>
        <v>94</v>
      </c>
      <c r="DV2" s="7">
        <f t="shared" si="1"/>
        <v>95</v>
      </c>
      <c r="DW2" s="7">
        <f t="shared" si="1"/>
        <v>96</v>
      </c>
      <c r="DX2" s="7">
        <f t="shared" si="1"/>
        <v>97</v>
      </c>
      <c r="DY2" s="7">
        <f t="shared" si="1"/>
        <v>98</v>
      </c>
      <c r="DZ2" s="7">
        <f t="shared" si="1"/>
        <v>99</v>
      </c>
      <c r="EA2" s="7">
        <f t="shared" si="1"/>
        <v>100</v>
      </c>
      <c r="EB2" s="7">
        <f t="shared" si="1"/>
        <v>101</v>
      </c>
      <c r="EC2" s="7">
        <f t="shared" si="1"/>
        <v>102</v>
      </c>
      <c r="ED2" s="7">
        <f t="shared" si="1"/>
        <v>103</v>
      </c>
      <c r="EE2" s="7">
        <f t="shared" si="1"/>
        <v>104</v>
      </c>
      <c r="EF2" s="7">
        <f t="shared" si="1"/>
        <v>105</v>
      </c>
      <c r="EG2" s="7">
        <f t="shared" si="1"/>
        <v>106</v>
      </c>
      <c r="EH2" s="7">
        <f t="shared" si="1"/>
        <v>107</v>
      </c>
      <c r="EI2" s="7">
        <f t="shared" si="1"/>
        <v>108</v>
      </c>
      <c r="EJ2" s="7">
        <f t="shared" si="1"/>
        <v>109</v>
      </c>
      <c r="EK2" s="7">
        <f t="shared" si="1"/>
        <v>110</v>
      </c>
      <c r="EL2" s="7">
        <f t="shared" si="1"/>
        <v>111</v>
      </c>
      <c r="EM2" s="7">
        <f t="shared" si="1"/>
        <v>112</v>
      </c>
      <c r="EN2" s="7">
        <f t="shared" si="1"/>
        <v>113</v>
      </c>
      <c r="EO2" s="7">
        <f t="shared" si="1"/>
        <v>114</v>
      </c>
      <c r="EP2" s="7">
        <f t="shared" si="1"/>
        <v>115</v>
      </c>
      <c r="EQ2" s="7">
        <f t="shared" si="1"/>
        <v>116</v>
      </c>
      <c r="ER2" s="7">
        <f t="shared" si="1"/>
        <v>117</v>
      </c>
      <c r="ES2" s="7">
        <f t="shared" si="1"/>
        <v>118</v>
      </c>
      <c r="ET2" s="7">
        <f t="shared" si="1"/>
        <v>119</v>
      </c>
      <c r="EU2" s="7">
        <f t="shared" si="1"/>
        <v>120</v>
      </c>
      <c r="EV2" s="7">
        <f t="shared" si="1"/>
        <v>121</v>
      </c>
      <c r="EW2" s="7">
        <f t="shared" si="1"/>
        <v>122</v>
      </c>
      <c r="EX2" s="7">
        <f t="shared" si="1"/>
        <v>123</v>
      </c>
      <c r="EY2" s="7">
        <f t="shared" si="1"/>
        <v>124</v>
      </c>
      <c r="EZ2" s="7">
        <f t="shared" si="1"/>
        <v>125</v>
      </c>
      <c r="FA2" s="7">
        <f t="shared" si="1"/>
        <v>126</v>
      </c>
      <c r="FB2" s="7">
        <f t="shared" si="1"/>
        <v>127</v>
      </c>
      <c r="FC2" s="7">
        <f t="shared" si="1"/>
        <v>128</v>
      </c>
      <c r="FD2" s="7">
        <f t="shared" si="1"/>
        <v>129</v>
      </c>
      <c r="FE2" s="7">
        <f t="shared" si="1"/>
        <v>130</v>
      </c>
      <c r="FF2" s="7">
        <f t="shared" ref="FF2:GC2" si="2">+FE2+1</f>
        <v>131</v>
      </c>
      <c r="FG2" s="7">
        <f t="shared" si="2"/>
        <v>132</v>
      </c>
      <c r="FH2" s="7">
        <f t="shared" si="2"/>
        <v>133</v>
      </c>
      <c r="FI2" s="7">
        <f t="shared" si="2"/>
        <v>134</v>
      </c>
      <c r="FJ2" s="7">
        <f t="shared" si="2"/>
        <v>135</v>
      </c>
      <c r="FK2" s="7">
        <f t="shared" si="2"/>
        <v>136</v>
      </c>
      <c r="FL2" s="7">
        <f t="shared" si="2"/>
        <v>137</v>
      </c>
      <c r="FM2" s="7">
        <f t="shared" si="2"/>
        <v>138</v>
      </c>
      <c r="FN2" s="7">
        <f t="shared" si="2"/>
        <v>139</v>
      </c>
      <c r="FO2" s="7">
        <f t="shared" si="2"/>
        <v>140</v>
      </c>
      <c r="FP2" s="7">
        <f t="shared" si="2"/>
        <v>141</v>
      </c>
      <c r="FQ2" s="7">
        <f t="shared" si="2"/>
        <v>142</v>
      </c>
      <c r="FR2" s="7">
        <f t="shared" si="2"/>
        <v>143</v>
      </c>
      <c r="FS2" s="7">
        <f t="shared" si="2"/>
        <v>144</v>
      </c>
      <c r="FT2" s="7">
        <f t="shared" si="2"/>
        <v>145</v>
      </c>
      <c r="FU2" s="7">
        <f t="shared" si="2"/>
        <v>146</v>
      </c>
      <c r="FV2" s="7">
        <f t="shared" si="2"/>
        <v>147</v>
      </c>
      <c r="FW2" s="7">
        <f t="shared" si="2"/>
        <v>148</v>
      </c>
      <c r="FX2" s="7">
        <f t="shared" si="2"/>
        <v>149</v>
      </c>
      <c r="FY2" s="7">
        <f t="shared" si="2"/>
        <v>150</v>
      </c>
      <c r="FZ2" s="7">
        <f t="shared" si="2"/>
        <v>151</v>
      </c>
      <c r="GA2" s="7">
        <f t="shared" si="2"/>
        <v>152</v>
      </c>
      <c r="GB2" s="7">
        <f t="shared" si="2"/>
        <v>153</v>
      </c>
      <c r="GC2" s="7">
        <f t="shared" si="2"/>
        <v>154</v>
      </c>
      <c r="GD2" s="7">
        <f t="shared" ref="GD2:HM2" si="3">+GC2+1</f>
        <v>155</v>
      </c>
      <c r="GE2" s="7">
        <f t="shared" si="3"/>
        <v>156</v>
      </c>
      <c r="GF2" s="7">
        <f t="shared" si="3"/>
        <v>157</v>
      </c>
      <c r="GG2" s="7">
        <f t="shared" si="3"/>
        <v>158</v>
      </c>
      <c r="GH2" s="7">
        <f t="shared" si="3"/>
        <v>159</v>
      </c>
      <c r="GI2" s="7">
        <f t="shared" si="3"/>
        <v>160</v>
      </c>
      <c r="GJ2" s="7">
        <f t="shared" si="3"/>
        <v>161</v>
      </c>
      <c r="GK2" s="7">
        <f t="shared" si="3"/>
        <v>162</v>
      </c>
      <c r="GL2" s="7">
        <f t="shared" si="3"/>
        <v>163</v>
      </c>
      <c r="GM2" s="7">
        <f t="shared" si="3"/>
        <v>164</v>
      </c>
      <c r="GN2" s="7">
        <f t="shared" si="3"/>
        <v>165</v>
      </c>
      <c r="GO2" s="7">
        <f t="shared" si="3"/>
        <v>166</v>
      </c>
      <c r="GP2" s="7">
        <f t="shared" si="3"/>
        <v>167</v>
      </c>
      <c r="GQ2" s="7">
        <f t="shared" si="3"/>
        <v>168</v>
      </c>
      <c r="GR2" s="7">
        <f t="shared" si="3"/>
        <v>169</v>
      </c>
      <c r="GS2" s="7">
        <f t="shared" si="3"/>
        <v>170</v>
      </c>
      <c r="GT2" s="7">
        <f t="shared" si="3"/>
        <v>171</v>
      </c>
      <c r="GU2" s="7">
        <f t="shared" si="3"/>
        <v>172</v>
      </c>
      <c r="GV2" s="7">
        <f t="shared" si="3"/>
        <v>173</v>
      </c>
      <c r="GW2" s="7">
        <f t="shared" si="3"/>
        <v>174</v>
      </c>
      <c r="GX2" s="7">
        <f t="shared" si="3"/>
        <v>175</v>
      </c>
      <c r="GY2" s="7">
        <f t="shared" si="3"/>
        <v>176</v>
      </c>
      <c r="GZ2" s="7">
        <f t="shared" si="3"/>
        <v>177</v>
      </c>
      <c r="HA2" s="7">
        <f t="shared" si="3"/>
        <v>178</v>
      </c>
      <c r="HB2" s="7">
        <f t="shared" si="3"/>
        <v>179</v>
      </c>
      <c r="HC2" s="7">
        <f t="shared" si="3"/>
        <v>180</v>
      </c>
      <c r="HD2" s="7">
        <f t="shared" si="3"/>
        <v>181</v>
      </c>
      <c r="HE2" s="7">
        <f t="shared" si="3"/>
        <v>182</v>
      </c>
      <c r="HF2" s="7">
        <f t="shared" si="3"/>
        <v>183</v>
      </c>
      <c r="HG2" s="7">
        <f t="shared" si="3"/>
        <v>184</v>
      </c>
      <c r="HH2" s="7">
        <f t="shared" si="3"/>
        <v>185</v>
      </c>
      <c r="HI2" s="7">
        <f t="shared" si="3"/>
        <v>186</v>
      </c>
      <c r="HJ2" s="7">
        <f t="shared" si="3"/>
        <v>187</v>
      </c>
      <c r="HK2" s="7">
        <f t="shared" si="3"/>
        <v>188</v>
      </c>
      <c r="HL2" s="7">
        <f t="shared" si="3"/>
        <v>189</v>
      </c>
      <c r="HM2" s="7">
        <f t="shared" si="3"/>
        <v>190</v>
      </c>
      <c r="HN2" s="7">
        <f t="shared" ref="HN2:HW2" si="4">+HM2+1</f>
        <v>191</v>
      </c>
      <c r="HO2" s="7">
        <f t="shared" si="4"/>
        <v>192</v>
      </c>
      <c r="HP2" s="7">
        <f t="shared" si="4"/>
        <v>193</v>
      </c>
      <c r="HQ2" s="7">
        <f t="shared" si="4"/>
        <v>194</v>
      </c>
      <c r="HR2" s="7">
        <f t="shared" si="4"/>
        <v>195</v>
      </c>
      <c r="HS2" s="7">
        <f t="shared" si="4"/>
        <v>196</v>
      </c>
      <c r="HT2" s="7">
        <f t="shared" si="4"/>
        <v>197</v>
      </c>
      <c r="HU2" s="7">
        <f t="shared" si="4"/>
        <v>198</v>
      </c>
      <c r="HV2" s="7">
        <f t="shared" si="4"/>
        <v>199</v>
      </c>
      <c r="HW2" s="7">
        <f t="shared" si="4"/>
        <v>200</v>
      </c>
    </row>
    <row r="3" spans="2:231" s="11" customFormat="1">
      <c r="C3" s="12" t="s">
        <v>21</v>
      </c>
      <c r="D3" s="12" t="s">
        <v>22</v>
      </c>
      <c r="E3" s="12" t="s">
        <v>23</v>
      </c>
      <c r="F3" s="12" t="s">
        <v>24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 t="s">
        <v>19</v>
      </c>
      <c r="N3" s="12" t="s">
        <v>20</v>
      </c>
      <c r="O3" s="46"/>
      <c r="P3" s="46"/>
      <c r="Q3" s="46"/>
      <c r="R3" s="46"/>
      <c r="S3" s="13">
        <v>2023</v>
      </c>
      <c r="T3" s="13">
        <v>2024</v>
      </c>
      <c r="U3" s="13">
        <v>2025</v>
      </c>
      <c r="V3" s="13">
        <f>+U3+1</f>
        <v>2026</v>
      </c>
      <c r="W3" s="13">
        <f t="shared" ref="W3:AE3" si="5">+V3+1</f>
        <v>2027</v>
      </c>
      <c r="X3" s="13">
        <f t="shared" si="5"/>
        <v>2028</v>
      </c>
      <c r="Y3" s="13">
        <f t="shared" si="5"/>
        <v>2029</v>
      </c>
      <c r="Z3" s="13">
        <f t="shared" si="5"/>
        <v>2030</v>
      </c>
      <c r="AA3" s="13">
        <f t="shared" si="5"/>
        <v>2031</v>
      </c>
      <c r="AB3" s="13">
        <f t="shared" si="5"/>
        <v>2032</v>
      </c>
      <c r="AC3" s="13">
        <f t="shared" si="5"/>
        <v>2033</v>
      </c>
      <c r="AD3" s="13">
        <f t="shared" si="5"/>
        <v>2034</v>
      </c>
      <c r="AE3" s="13">
        <f t="shared" si="5"/>
        <v>2035</v>
      </c>
      <c r="AF3" s="11">
        <f>+AE3+1</f>
        <v>2036</v>
      </c>
      <c r="AG3" s="11">
        <f>+AF3+1</f>
        <v>2037</v>
      </c>
      <c r="AH3" s="11">
        <f t="shared" ref="AH3:CS3" si="6">+AG3+1</f>
        <v>2038</v>
      </c>
      <c r="AI3" s="11">
        <f t="shared" si="6"/>
        <v>2039</v>
      </c>
      <c r="AJ3" s="11">
        <f t="shared" si="6"/>
        <v>2040</v>
      </c>
      <c r="AK3" s="11">
        <f t="shared" si="6"/>
        <v>2041</v>
      </c>
      <c r="AL3" s="11">
        <f t="shared" si="6"/>
        <v>2042</v>
      </c>
      <c r="AM3" s="11">
        <f t="shared" si="6"/>
        <v>2043</v>
      </c>
      <c r="AN3" s="11">
        <f t="shared" si="6"/>
        <v>2044</v>
      </c>
      <c r="AO3" s="11">
        <f t="shared" si="6"/>
        <v>2045</v>
      </c>
      <c r="AP3" s="11">
        <f t="shared" si="6"/>
        <v>2046</v>
      </c>
      <c r="AQ3" s="11">
        <f t="shared" si="6"/>
        <v>2047</v>
      </c>
      <c r="AR3" s="11">
        <f t="shared" si="6"/>
        <v>2048</v>
      </c>
      <c r="AS3" s="11">
        <f t="shared" si="6"/>
        <v>2049</v>
      </c>
      <c r="AT3" s="11">
        <f t="shared" si="6"/>
        <v>2050</v>
      </c>
      <c r="AU3" s="11">
        <f t="shared" si="6"/>
        <v>2051</v>
      </c>
      <c r="AV3" s="11">
        <f t="shared" si="6"/>
        <v>2052</v>
      </c>
      <c r="AW3" s="11">
        <f t="shared" si="6"/>
        <v>2053</v>
      </c>
      <c r="AX3" s="11">
        <f t="shared" si="6"/>
        <v>2054</v>
      </c>
      <c r="AY3" s="11">
        <f t="shared" si="6"/>
        <v>2055</v>
      </c>
      <c r="AZ3" s="11">
        <f t="shared" si="6"/>
        <v>2056</v>
      </c>
      <c r="BA3" s="11">
        <f t="shared" si="6"/>
        <v>2057</v>
      </c>
      <c r="BB3" s="11">
        <f t="shared" si="6"/>
        <v>2058</v>
      </c>
      <c r="BC3" s="11">
        <f t="shared" si="6"/>
        <v>2059</v>
      </c>
      <c r="BD3" s="11">
        <f t="shared" si="6"/>
        <v>2060</v>
      </c>
      <c r="BE3" s="11">
        <f t="shared" si="6"/>
        <v>2061</v>
      </c>
      <c r="BF3" s="11">
        <f t="shared" si="6"/>
        <v>2062</v>
      </c>
      <c r="BG3" s="11">
        <f t="shared" si="6"/>
        <v>2063</v>
      </c>
      <c r="BH3" s="11">
        <f t="shared" si="6"/>
        <v>2064</v>
      </c>
      <c r="BI3" s="11">
        <f t="shared" si="6"/>
        <v>2065</v>
      </c>
      <c r="BJ3" s="11">
        <f t="shared" si="6"/>
        <v>2066</v>
      </c>
      <c r="BK3" s="11">
        <f t="shared" si="6"/>
        <v>2067</v>
      </c>
      <c r="BL3" s="11">
        <f t="shared" si="6"/>
        <v>2068</v>
      </c>
      <c r="BM3" s="11">
        <f t="shared" si="6"/>
        <v>2069</v>
      </c>
      <c r="BN3" s="11">
        <f t="shared" si="6"/>
        <v>2070</v>
      </c>
      <c r="BO3" s="11">
        <f t="shared" si="6"/>
        <v>2071</v>
      </c>
      <c r="BP3" s="11">
        <f t="shared" si="6"/>
        <v>2072</v>
      </c>
      <c r="BQ3" s="11">
        <f t="shared" si="6"/>
        <v>2073</v>
      </c>
      <c r="BR3" s="11">
        <f t="shared" si="6"/>
        <v>2074</v>
      </c>
      <c r="BS3" s="11">
        <f t="shared" si="6"/>
        <v>2075</v>
      </c>
      <c r="BT3" s="11">
        <f t="shared" si="6"/>
        <v>2076</v>
      </c>
      <c r="BU3" s="11">
        <f t="shared" si="6"/>
        <v>2077</v>
      </c>
      <c r="BV3" s="11">
        <f t="shared" si="6"/>
        <v>2078</v>
      </c>
      <c r="BW3" s="11">
        <f t="shared" si="6"/>
        <v>2079</v>
      </c>
      <c r="BX3" s="11">
        <f t="shared" si="6"/>
        <v>2080</v>
      </c>
      <c r="BY3" s="11">
        <f t="shared" si="6"/>
        <v>2081</v>
      </c>
      <c r="BZ3" s="11">
        <f t="shared" si="6"/>
        <v>2082</v>
      </c>
      <c r="CA3" s="11">
        <f t="shared" si="6"/>
        <v>2083</v>
      </c>
      <c r="CB3" s="11">
        <f t="shared" si="6"/>
        <v>2084</v>
      </c>
      <c r="CC3" s="11">
        <f t="shared" si="6"/>
        <v>2085</v>
      </c>
      <c r="CD3" s="11">
        <f t="shared" si="6"/>
        <v>2086</v>
      </c>
      <c r="CE3" s="11">
        <f t="shared" si="6"/>
        <v>2087</v>
      </c>
      <c r="CF3" s="11">
        <f t="shared" si="6"/>
        <v>2088</v>
      </c>
      <c r="CG3" s="11">
        <f t="shared" si="6"/>
        <v>2089</v>
      </c>
      <c r="CH3" s="11">
        <f t="shared" si="6"/>
        <v>2090</v>
      </c>
      <c r="CI3" s="11">
        <f t="shared" si="6"/>
        <v>2091</v>
      </c>
      <c r="CJ3" s="11">
        <f t="shared" si="6"/>
        <v>2092</v>
      </c>
      <c r="CK3" s="11">
        <f t="shared" si="6"/>
        <v>2093</v>
      </c>
      <c r="CL3" s="11">
        <f t="shared" si="6"/>
        <v>2094</v>
      </c>
      <c r="CM3" s="11">
        <f t="shared" si="6"/>
        <v>2095</v>
      </c>
      <c r="CN3" s="11">
        <f t="shared" si="6"/>
        <v>2096</v>
      </c>
      <c r="CO3" s="11">
        <f t="shared" si="6"/>
        <v>2097</v>
      </c>
      <c r="CP3" s="11">
        <f t="shared" si="6"/>
        <v>2098</v>
      </c>
      <c r="CQ3" s="11">
        <f t="shared" si="6"/>
        <v>2099</v>
      </c>
      <c r="CR3" s="11">
        <f t="shared" si="6"/>
        <v>2100</v>
      </c>
      <c r="CS3" s="11">
        <f t="shared" si="6"/>
        <v>2101</v>
      </c>
      <c r="CT3" s="11">
        <f t="shared" ref="CT3:FE3" si="7">+CS3+1</f>
        <v>2102</v>
      </c>
      <c r="CU3" s="11">
        <f t="shared" si="7"/>
        <v>2103</v>
      </c>
      <c r="CV3" s="11">
        <f t="shared" si="7"/>
        <v>2104</v>
      </c>
      <c r="CW3" s="11">
        <f t="shared" si="7"/>
        <v>2105</v>
      </c>
      <c r="CX3" s="11">
        <f t="shared" si="7"/>
        <v>2106</v>
      </c>
      <c r="CY3" s="11">
        <f t="shared" si="7"/>
        <v>2107</v>
      </c>
      <c r="CZ3" s="11">
        <f t="shared" si="7"/>
        <v>2108</v>
      </c>
      <c r="DA3" s="11">
        <f t="shared" si="7"/>
        <v>2109</v>
      </c>
      <c r="DB3" s="11">
        <f t="shared" si="7"/>
        <v>2110</v>
      </c>
      <c r="DC3" s="11">
        <f t="shared" si="7"/>
        <v>2111</v>
      </c>
      <c r="DD3" s="11">
        <f t="shared" si="7"/>
        <v>2112</v>
      </c>
      <c r="DE3" s="11">
        <f t="shared" si="7"/>
        <v>2113</v>
      </c>
      <c r="DF3" s="11">
        <f t="shared" si="7"/>
        <v>2114</v>
      </c>
      <c r="DG3" s="11">
        <f t="shared" si="7"/>
        <v>2115</v>
      </c>
      <c r="DH3" s="11">
        <f t="shared" si="7"/>
        <v>2116</v>
      </c>
      <c r="DI3" s="11">
        <f t="shared" si="7"/>
        <v>2117</v>
      </c>
      <c r="DJ3" s="11">
        <f t="shared" si="7"/>
        <v>2118</v>
      </c>
      <c r="DK3" s="11">
        <f t="shared" si="7"/>
        <v>2119</v>
      </c>
      <c r="DL3" s="11">
        <f t="shared" si="7"/>
        <v>2120</v>
      </c>
      <c r="DM3" s="11">
        <f t="shared" si="7"/>
        <v>2121</v>
      </c>
      <c r="DN3" s="11">
        <f t="shared" si="7"/>
        <v>2122</v>
      </c>
      <c r="DO3" s="11">
        <f t="shared" si="7"/>
        <v>2123</v>
      </c>
      <c r="DP3" s="11">
        <f t="shared" si="7"/>
        <v>2124</v>
      </c>
      <c r="DQ3" s="11">
        <f t="shared" si="7"/>
        <v>2125</v>
      </c>
      <c r="DR3" s="11">
        <f t="shared" si="7"/>
        <v>2126</v>
      </c>
      <c r="DS3" s="11">
        <f t="shared" si="7"/>
        <v>2127</v>
      </c>
      <c r="DT3" s="11">
        <f t="shared" si="7"/>
        <v>2128</v>
      </c>
      <c r="DU3" s="11">
        <f t="shared" si="7"/>
        <v>2129</v>
      </c>
      <c r="DV3" s="11">
        <f t="shared" si="7"/>
        <v>2130</v>
      </c>
      <c r="DW3" s="11">
        <f t="shared" si="7"/>
        <v>2131</v>
      </c>
      <c r="DX3" s="11">
        <f t="shared" si="7"/>
        <v>2132</v>
      </c>
      <c r="DY3" s="11">
        <f t="shared" si="7"/>
        <v>2133</v>
      </c>
      <c r="DZ3" s="11">
        <f t="shared" si="7"/>
        <v>2134</v>
      </c>
      <c r="EA3" s="11">
        <f t="shared" si="7"/>
        <v>2135</v>
      </c>
      <c r="EB3" s="11">
        <f t="shared" si="7"/>
        <v>2136</v>
      </c>
      <c r="EC3" s="11">
        <f t="shared" si="7"/>
        <v>2137</v>
      </c>
      <c r="ED3" s="11">
        <f t="shared" si="7"/>
        <v>2138</v>
      </c>
      <c r="EE3" s="11">
        <f t="shared" si="7"/>
        <v>2139</v>
      </c>
      <c r="EF3" s="11">
        <f t="shared" si="7"/>
        <v>2140</v>
      </c>
      <c r="EG3" s="11">
        <f t="shared" si="7"/>
        <v>2141</v>
      </c>
      <c r="EH3" s="11">
        <f t="shared" si="7"/>
        <v>2142</v>
      </c>
      <c r="EI3" s="11">
        <f t="shared" si="7"/>
        <v>2143</v>
      </c>
      <c r="EJ3" s="11">
        <f t="shared" si="7"/>
        <v>2144</v>
      </c>
      <c r="EK3" s="11">
        <f t="shared" si="7"/>
        <v>2145</v>
      </c>
      <c r="EL3" s="11">
        <f t="shared" si="7"/>
        <v>2146</v>
      </c>
      <c r="EM3" s="11">
        <f t="shared" si="7"/>
        <v>2147</v>
      </c>
      <c r="EN3" s="11">
        <f t="shared" si="7"/>
        <v>2148</v>
      </c>
      <c r="EO3" s="11">
        <f t="shared" si="7"/>
        <v>2149</v>
      </c>
      <c r="EP3" s="11">
        <f t="shared" si="7"/>
        <v>2150</v>
      </c>
      <c r="EQ3" s="11">
        <f t="shared" si="7"/>
        <v>2151</v>
      </c>
      <c r="ER3" s="11">
        <f t="shared" si="7"/>
        <v>2152</v>
      </c>
      <c r="ES3" s="11">
        <f t="shared" si="7"/>
        <v>2153</v>
      </c>
      <c r="ET3" s="11">
        <f t="shared" si="7"/>
        <v>2154</v>
      </c>
      <c r="EU3" s="11">
        <f t="shared" si="7"/>
        <v>2155</v>
      </c>
      <c r="EV3" s="11">
        <f t="shared" si="7"/>
        <v>2156</v>
      </c>
      <c r="EW3" s="11">
        <f t="shared" si="7"/>
        <v>2157</v>
      </c>
      <c r="EX3" s="11">
        <f t="shared" si="7"/>
        <v>2158</v>
      </c>
      <c r="EY3" s="11">
        <f t="shared" si="7"/>
        <v>2159</v>
      </c>
      <c r="EZ3" s="11">
        <f t="shared" si="7"/>
        <v>2160</v>
      </c>
      <c r="FA3" s="11">
        <f t="shared" si="7"/>
        <v>2161</v>
      </c>
      <c r="FB3" s="11">
        <f t="shared" si="7"/>
        <v>2162</v>
      </c>
      <c r="FC3" s="11">
        <f t="shared" si="7"/>
        <v>2163</v>
      </c>
      <c r="FD3" s="11">
        <f t="shared" si="7"/>
        <v>2164</v>
      </c>
      <c r="FE3" s="11">
        <f t="shared" si="7"/>
        <v>2165</v>
      </c>
      <c r="FF3" s="11">
        <f t="shared" ref="FF3:GC3" si="8">+FE3+1</f>
        <v>2166</v>
      </c>
      <c r="FG3" s="11">
        <f t="shared" si="8"/>
        <v>2167</v>
      </c>
      <c r="FH3" s="11">
        <f t="shared" si="8"/>
        <v>2168</v>
      </c>
      <c r="FI3" s="11">
        <f t="shared" si="8"/>
        <v>2169</v>
      </c>
      <c r="FJ3" s="11">
        <f t="shared" si="8"/>
        <v>2170</v>
      </c>
      <c r="FK3" s="11">
        <f t="shared" si="8"/>
        <v>2171</v>
      </c>
      <c r="FL3" s="11">
        <f t="shared" si="8"/>
        <v>2172</v>
      </c>
      <c r="FM3" s="11">
        <f t="shared" si="8"/>
        <v>2173</v>
      </c>
      <c r="FN3" s="11">
        <f t="shared" si="8"/>
        <v>2174</v>
      </c>
      <c r="FO3" s="11">
        <f t="shared" si="8"/>
        <v>2175</v>
      </c>
      <c r="FP3" s="11">
        <f t="shared" si="8"/>
        <v>2176</v>
      </c>
      <c r="FQ3" s="11">
        <f t="shared" si="8"/>
        <v>2177</v>
      </c>
      <c r="FR3" s="11">
        <f t="shared" si="8"/>
        <v>2178</v>
      </c>
      <c r="FS3" s="11">
        <f t="shared" si="8"/>
        <v>2179</v>
      </c>
      <c r="FT3" s="11">
        <f t="shared" si="8"/>
        <v>2180</v>
      </c>
      <c r="FU3" s="11">
        <f t="shared" si="8"/>
        <v>2181</v>
      </c>
      <c r="FV3" s="11">
        <f t="shared" si="8"/>
        <v>2182</v>
      </c>
      <c r="FW3" s="11">
        <f t="shared" si="8"/>
        <v>2183</v>
      </c>
      <c r="FX3" s="11">
        <f t="shared" si="8"/>
        <v>2184</v>
      </c>
      <c r="FY3" s="11">
        <f t="shared" si="8"/>
        <v>2185</v>
      </c>
      <c r="FZ3" s="11">
        <f t="shared" si="8"/>
        <v>2186</v>
      </c>
      <c r="GA3" s="11">
        <f t="shared" si="8"/>
        <v>2187</v>
      </c>
      <c r="GB3" s="11">
        <f t="shared" si="8"/>
        <v>2188</v>
      </c>
      <c r="GC3" s="11">
        <f t="shared" si="8"/>
        <v>2189</v>
      </c>
      <c r="GD3" s="11">
        <f t="shared" ref="GD3:HM3" si="9">+GC3+1</f>
        <v>2190</v>
      </c>
      <c r="GE3" s="11">
        <f t="shared" si="9"/>
        <v>2191</v>
      </c>
      <c r="GF3" s="11">
        <f t="shared" si="9"/>
        <v>2192</v>
      </c>
      <c r="GG3" s="11">
        <f t="shared" si="9"/>
        <v>2193</v>
      </c>
      <c r="GH3" s="11">
        <f t="shared" si="9"/>
        <v>2194</v>
      </c>
      <c r="GI3" s="11">
        <f t="shared" si="9"/>
        <v>2195</v>
      </c>
      <c r="GJ3" s="11">
        <f t="shared" si="9"/>
        <v>2196</v>
      </c>
      <c r="GK3" s="11">
        <f t="shared" si="9"/>
        <v>2197</v>
      </c>
      <c r="GL3" s="11">
        <f t="shared" si="9"/>
        <v>2198</v>
      </c>
      <c r="GM3" s="11">
        <f t="shared" si="9"/>
        <v>2199</v>
      </c>
      <c r="GN3" s="11">
        <f t="shared" si="9"/>
        <v>2200</v>
      </c>
      <c r="GO3" s="11">
        <f t="shared" si="9"/>
        <v>2201</v>
      </c>
      <c r="GP3" s="11">
        <f t="shared" si="9"/>
        <v>2202</v>
      </c>
      <c r="GQ3" s="11">
        <f t="shared" si="9"/>
        <v>2203</v>
      </c>
      <c r="GR3" s="11">
        <f t="shared" si="9"/>
        <v>2204</v>
      </c>
      <c r="GS3" s="11">
        <f t="shared" si="9"/>
        <v>2205</v>
      </c>
      <c r="GT3" s="11">
        <f t="shared" si="9"/>
        <v>2206</v>
      </c>
      <c r="GU3" s="11">
        <f t="shared" si="9"/>
        <v>2207</v>
      </c>
      <c r="GV3" s="11">
        <f t="shared" si="9"/>
        <v>2208</v>
      </c>
      <c r="GW3" s="11">
        <f t="shared" si="9"/>
        <v>2209</v>
      </c>
      <c r="GX3" s="11">
        <f t="shared" si="9"/>
        <v>2210</v>
      </c>
      <c r="GY3" s="11">
        <f t="shared" si="9"/>
        <v>2211</v>
      </c>
      <c r="GZ3" s="11">
        <f t="shared" si="9"/>
        <v>2212</v>
      </c>
      <c r="HA3" s="11">
        <f t="shared" si="9"/>
        <v>2213</v>
      </c>
      <c r="HB3" s="11">
        <f t="shared" si="9"/>
        <v>2214</v>
      </c>
      <c r="HC3" s="11">
        <f t="shared" si="9"/>
        <v>2215</v>
      </c>
      <c r="HD3" s="11">
        <f t="shared" si="9"/>
        <v>2216</v>
      </c>
      <c r="HE3" s="11">
        <f t="shared" si="9"/>
        <v>2217</v>
      </c>
      <c r="HF3" s="11">
        <f t="shared" si="9"/>
        <v>2218</v>
      </c>
      <c r="HG3" s="11">
        <f t="shared" si="9"/>
        <v>2219</v>
      </c>
      <c r="HH3" s="11">
        <f t="shared" si="9"/>
        <v>2220</v>
      </c>
      <c r="HI3" s="11">
        <f t="shared" si="9"/>
        <v>2221</v>
      </c>
      <c r="HJ3" s="11">
        <f t="shared" si="9"/>
        <v>2222</v>
      </c>
      <c r="HK3" s="11">
        <f t="shared" si="9"/>
        <v>2223</v>
      </c>
      <c r="HL3" s="11">
        <f t="shared" si="9"/>
        <v>2224</v>
      </c>
      <c r="HM3" s="11">
        <f t="shared" si="9"/>
        <v>2225</v>
      </c>
      <c r="HN3" s="11">
        <f t="shared" ref="HN3:HW3" si="10">+HM3+1</f>
        <v>2226</v>
      </c>
      <c r="HO3" s="11">
        <f t="shared" si="10"/>
        <v>2227</v>
      </c>
      <c r="HP3" s="11">
        <f t="shared" si="10"/>
        <v>2228</v>
      </c>
      <c r="HQ3" s="11">
        <f t="shared" si="10"/>
        <v>2229</v>
      </c>
      <c r="HR3" s="11">
        <f t="shared" si="10"/>
        <v>2230</v>
      </c>
      <c r="HS3" s="11">
        <f t="shared" si="10"/>
        <v>2231</v>
      </c>
      <c r="HT3" s="11">
        <f t="shared" si="10"/>
        <v>2232</v>
      </c>
      <c r="HU3" s="11">
        <f t="shared" si="10"/>
        <v>2233</v>
      </c>
      <c r="HV3" s="11">
        <f t="shared" si="10"/>
        <v>2234</v>
      </c>
      <c r="HW3" s="11">
        <f t="shared" si="10"/>
        <v>2235</v>
      </c>
    </row>
    <row r="4" spans="2:231" s="14" customFormat="1">
      <c r="B4" s="14" t="s">
        <v>6</v>
      </c>
      <c r="C4" s="15">
        <v>106.121</v>
      </c>
      <c r="D4" s="15">
        <v>114.955</v>
      </c>
      <c r="E4" s="15">
        <v>143.99299999999999</v>
      </c>
      <c r="F4" s="15">
        <v>194.9</v>
      </c>
      <c r="G4" s="15">
        <v>188.511</v>
      </c>
      <c r="H4" s="15">
        <v>195.32</v>
      </c>
      <c r="I4" s="15">
        <v>186.572</v>
      </c>
      <c r="J4" s="15">
        <v>233.5</v>
      </c>
      <c r="K4" s="16">
        <f>+G4*1.45</f>
        <v>273.34094999999996</v>
      </c>
      <c r="L4" s="16">
        <f>+H4*1.45</f>
        <v>283.214</v>
      </c>
      <c r="M4" s="16">
        <f>+I4*1.45</f>
        <v>270.52940000000001</v>
      </c>
      <c r="N4" s="16">
        <f>+J4*1.45</f>
        <v>338.57499999999999</v>
      </c>
      <c r="O4" s="47"/>
      <c r="P4" s="47"/>
      <c r="Q4" s="47"/>
      <c r="R4" s="47"/>
      <c r="S4" s="17">
        <v>322.98</v>
      </c>
      <c r="T4" s="17">
        <v>501.6</v>
      </c>
      <c r="U4" s="17">
        <v>732.5</v>
      </c>
      <c r="V4" s="17">
        <f>SUM(K4:N4)</f>
        <v>1165.6593499999999</v>
      </c>
      <c r="W4" s="17">
        <f>+V4*1.06</f>
        <v>1235.598911</v>
      </c>
      <c r="X4" s="17">
        <f t="shared" ref="X4:AE4" si="11">+W4*1.06</f>
        <v>1309.73484566</v>
      </c>
      <c r="Y4" s="17">
        <f t="shared" si="11"/>
        <v>1388.3189363996</v>
      </c>
      <c r="Z4" s="17">
        <f t="shared" si="11"/>
        <v>1471.6180725835761</v>
      </c>
      <c r="AA4" s="17">
        <f t="shared" si="11"/>
        <v>1559.9151569385908</v>
      </c>
      <c r="AB4" s="17">
        <f t="shared" si="11"/>
        <v>1653.5100663549063</v>
      </c>
      <c r="AC4" s="17">
        <f t="shared" si="11"/>
        <v>1752.7206703362008</v>
      </c>
      <c r="AD4" s="17">
        <f t="shared" si="11"/>
        <v>1857.8839105563729</v>
      </c>
      <c r="AE4" s="17">
        <f t="shared" si="11"/>
        <v>1969.3569451897554</v>
      </c>
    </row>
    <row r="5" spans="2:231" s="14" customFormat="1">
      <c r="B5" s="14" t="s">
        <v>7</v>
      </c>
      <c r="C5" s="15">
        <v>87.091999999999999</v>
      </c>
      <c r="D5" s="15">
        <v>87.192999999999998</v>
      </c>
      <c r="E5" s="15">
        <v>184.459</v>
      </c>
      <c r="F5" s="15">
        <v>136.5</v>
      </c>
      <c r="G5" s="15">
        <v>144.904</v>
      </c>
      <c r="H5" s="15">
        <v>145.13200000000001</v>
      </c>
      <c r="I5" s="15">
        <v>191.482</v>
      </c>
      <c r="J5" s="15">
        <v>162.1</v>
      </c>
      <c r="K5" s="16">
        <f>+G5*1.1</f>
        <v>159.39440000000002</v>
      </c>
      <c r="L5" s="16">
        <f>+H5*1.1</f>
        <v>159.64520000000002</v>
      </c>
      <c r="M5" s="16">
        <f>+I5*1.1</f>
        <v>210.6302</v>
      </c>
      <c r="N5" s="16">
        <f>+J5*1.1</f>
        <v>178.31</v>
      </c>
      <c r="O5" s="47"/>
      <c r="P5" s="47"/>
      <c r="Q5" s="47"/>
      <c r="R5" s="47"/>
      <c r="S5" s="17">
        <v>491.13900000000001</v>
      </c>
      <c r="T5" s="17">
        <v>716.2</v>
      </c>
      <c r="U5" s="17">
        <v>701.8</v>
      </c>
      <c r="V5" s="17">
        <f>SUM(K5:N5)</f>
        <v>707.97980000000007</v>
      </c>
      <c r="W5" s="17">
        <f>+V5*1.05</f>
        <v>743.37879000000009</v>
      </c>
      <c r="X5" s="17">
        <f t="shared" ref="X5:AE5" si="12">+W5*1.05</f>
        <v>780.54772950000017</v>
      </c>
      <c r="Y5" s="17">
        <f t="shared" si="12"/>
        <v>819.57511597500024</v>
      </c>
      <c r="Z5" s="17">
        <f t="shared" si="12"/>
        <v>860.5538717737503</v>
      </c>
      <c r="AA5" s="17">
        <f t="shared" si="12"/>
        <v>903.5815653624378</v>
      </c>
      <c r="AB5" s="17">
        <f t="shared" si="12"/>
        <v>948.76064363055968</v>
      </c>
      <c r="AC5" s="17">
        <f t="shared" si="12"/>
        <v>996.19867581208769</v>
      </c>
      <c r="AD5" s="17">
        <f t="shared" si="12"/>
        <v>1046.0086096026921</v>
      </c>
      <c r="AE5" s="17">
        <f t="shared" si="12"/>
        <v>1098.3090400828269</v>
      </c>
    </row>
    <row r="6" spans="2:231" s="14" customFormat="1">
      <c r="B6" s="14" t="s">
        <v>8</v>
      </c>
      <c r="C6" s="15">
        <v>149.727</v>
      </c>
      <c r="D6" s="15">
        <v>187.21100000000001</v>
      </c>
      <c r="E6" s="15">
        <v>111.34399999999999</v>
      </c>
      <c r="F6" s="15">
        <v>128.4</v>
      </c>
      <c r="G6" s="15">
        <v>132.92400000000001</v>
      </c>
      <c r="H6" s="15">
        <v>143.964</v>
      </c>
      <c r="I6" s="15">
        <v>151.54</v>
      </c>
      <c r="J6" s="15">
        <v>151</v>
      </c>
      <c r="K6" s="16">
        <f>+G6*1.15</f>
        <v>152.86259999999999</v>
      </c>
      <c r="L6" s="16">
        <f>+H6*1.15</f>
        <v>165.55859999999998</v>
      </c>
      <c r="M6" s="16">
        <f>+I6*1.15</f>
        <v>174.27099999999999</v>
      </c>
      <c r="N6" s="16">
        <f>+J6*1.15</f>
        <v>173.64999999999998</v>
      </c>
      <c r="O6" s="47"/>
      <c r="P6" s="47"/>
      <c r="Q6" s="47"/>
      <c r="R6" s="47"/>
      <c r="S6" s="17">
        <v>394.66500000000002</v>
      </c>
      <c r="T6" s="17">
        <v>414</v>
      </c>
      <c r="U6" s="17">
        <v>592.5</v>
      </c>
      <c r="V6" s="17">
        <f>SUM(K6:N6)</f>
        <v>666.34219999999993</v>
      </c>
      <c r="W6" s="17">
        <f>+V6*1.05</f>
        <v>699.65931</v>
      </c>
      <c r="X6" s="17">
        <f t="shared" ref="X6:AE6" si="13">+W6*1.05</f>
        <v>734.64227549999998</v>
      </c>
      <c r="Y6" s="17">
        <f t="shared" si="13"/>
        <v>771.374389275</v>
      </c>
      <c r="Z6" s="17">
        <f t="shared" si="13"/>
        <v>809.94310873875008</v>
      </c>
      <c r="AA6" s="17">
        <f t="shared" si="13"/>
        <v>850.44026417568762</v>
      </c>
      <c r="AB6" s="17">
        <f t="shared" si="13"/>
        <v>892.96227738447203</v>
      </c>
      <c r="AC6" s="17">
        <f t="shared" si="13"/>
        <v>937.61039125369564</v>
      </c>
      <c r="AD6" s="17">
        <f t="shared" si="13"/>
        <v>984.49091081638051</v>
      </c>
      <c r="AE6" s="17">
        <f t="shared" si="13"/>
        <v>1033.7154563571996</v>
      </c>
    </row>
    <row r="7" spans="2:231" s="14" customFormat="1">
      <c r="B7" s="14" t="s">
        <v>9</v>
      </c>
      <c r="C7" s="15">
        <v>46.645000000000003</v>
      </c>
      <c r="D7" s="15">
        <v>43.566000000000003</v>
      </c>
      <c r="E7" s="15">
        <v>71.884</v>
      </c>
      <c r="F7" s="15">
        <v>63.8</v>
      </c>
      <c r="G7" s="15">
        <v>71.671000000000006</v>
      </c>
      <c r="H7" s="15">
        <v>73.783000000000001</v>
      </c>
      <c r="I7" s="15">
        <v>79.867999999999995</v>
      </c>
      <c r="J7" s="15">
        <v>83.7</v>
      </c>
      <c r="K7" s="16">
        <f>+G7*1.2</f>
        <v>86.005200000000002</v>
      </c>
      <c r="L7" s="16">
        <f>+H7*1.2</f>
        <v>88.539599999999993</v>
      </c>
      <c r="M7" s="16">
        <f>+I7*1.2</f>
        <v>95.841599999999985</v>
      </c>
      <c r="N7" s="16">
        <f>+J7*1.2</f>
        <v>100.44</v>
      </c>
      <c r="O7" s="47"/>
      <c r="P7" s="47"/>
      <c r="Q7" s="47"/>
      <c r="R7" s="47"/>
      <c r="S7" s="17">
        <v>204.911</v>
      </c>
      <c r="T7" s="17">
        <v>225.9</v>
      </c>
      <c r="U7" s="17">
        <v>309.10000000000002</v>
      </c>
      <c r="V7" s="17">
        <f>SUM(K7:N7)</f>
        <v>370.82639999999998</v>
      </c>
      <c r="W7" s="17">
        <f>+V7*1.05</f>
        <v>389.36772000000002</v>
      </c>
      <c r="X7" s="17">
        <f t="shared" ref="X7:AE7" si="14">+W7*1.05</f>
        <v>408.83610600000003</v>
      </c>
      <c r="Y7" s="17">
        <f t="shared" si="14"/>
        <v>429.27791130000003</v>
      </c>
      <c r="Z7" s="17">
        <f t="shared" si="14"/>
        <v>450.74180686500006</v>
      </c>
      <c r="AA7" s="17">
        <f t="shared" si="14"/>
        <v>473.2788972082501</v>
      </c>
      <c r="AB7" s="17">
        <f t="shared" si="14"/>
        <v>496.94284206866263</v>
      </c>
      <c r="AC7" s="17">
        <f t="shared" si="14"/>
        <v>521.78998417209573</v>
      </c>
      <c r="AD7" s="17">
        <f t="shared" si="14"/>
        <v>547.87948338070055</v>
      </c>
      <c r="AE7" s="17">
        <f t="shared" si="14"/>
        <v>575.27345754973555</v>
      </c>
    </row>
    <row r="8" spans="2:231" s="14" customFormat="1">
      <c r="B8" s="14" t="s">
        <v>10</v>
      </c>
      <c r="C8" s="15">
        <v>38.073999999999998</v>
      </c>
      <c r="D8" s="15">
        <v>42.228999999999999</v>
      </c>
      <c r="E8" s="15">
        <v>64.400999999999996</v>
      </c>
      <c r="F8" s="15">
        <v>57.3</v>
      </c>
      <c r="G8" s="15">
        <v>56.947000000000003</v>
      </c>
      <c r="H8" s="15">
        <v>59.662999999999997</v>
      </c>
      <c r="I8" s="15">
        <v>72.399000000000001</v>
      </c>
      <c r="J8" s="15">
        <v>66.2</v>
      </c>
      <c r="K8" s="16">
        <f>+G8*1.12</f>
        <v>63.780640000000012</v>
      </c>
      <c r="L8" s="16">
        <f>+H8*1.12</f>
        <v>66.822559999999996</v>
      </c>
      <c r="M8" s="16">
        <f>+I8*1.12</f>
        <v>81.086880000000008</v>
      </c>
      <c r="N8" s="16">
        <f>+J8*1.12</f>
        <v>74.144000000000005</v>
      </c>
      <c r="O8" s="47"/>
      <c r="P8" s="47"/>
      <c r="Q8" s="47"/>
      <c r="R8" s="47"/>
      <c r="S8" s="17">
        <v>234.66</v>
      </c>
      <c r="T8" s="17">
        <v>202</v>
      </c>
      <c r="U8" s="17">
        <v>255.2</v>
      </c>
      <c r="V8" s="17">
        <f>SUM(K8:N8)</f>
        <v>285.83408000000003</v>
      </c>
      <c r="W8" s="17">
        <f>+V8*1.05</f>
        <v>300.12578400000007</v>
      </c>
      <c r="X8" s="17">
        <f t="shared" ref="X8:AE8" si="15">+W8*1.05</f>
        <v>315.13207320000009</v>
      </c>
      <c r="Y8" s="17">
        <f t="shared" si="15"/>
        <v>330.88867686000009</v>
      </c>
      <c r="Z8" s="17">
        <f t="shared" si="15"/>
        <v>347.43311070300012</v>
      </c>
      <c r="AA8" s="17">
        <f t="shared" si="15"/>
        <v>364.80476623815014</v>
      </c>
      <c r="AB8" s="17">
        <f t="shared" si="15"/>
        <v>383.04500455005768</v>
      </c>
      <c r="AC8" s="17">
        <f t="shared" si="15"/>
        <v>402.1972547775606</v>
      </c>
      <c r="AD8" s="17">
        <f t="shared" si="15"/>
        <v>422.30711751643867</v>
      </c>
      <c r="AE8" s="17">
        <f t="shared" si="15"/>
        <v>443.4224733922606</v>
      </c>
    </row>
    <row r="9" spans="2:231" s="14" customFormat="1">
      <c r="B9" s="14" t="s">
        <v>11</v>
      </c>
      <c r="C9" s="15">
        <v>30.225999999999999</v>
      </c>
      <c r="D9" s="15">
        <v>32.277000000000001</v>
      </c>
      <c r="E9" s="15">
        <v>44.037999999999997</v>
      </c>
      <c r="F9" s="15">
        <v>40.799999999999997</v>
      </c>
      <c r="G9" s="15">
        <v>42.597000000000001</v>
      </c>
      <c r="H9" s="15">
        <v>46.712000000000003</v>
      </c>
      <c r="I9" s="15">
        <v>55.314999999999998</v>
      </c>
      <c r="J9" s="15">
        <v>54.7</v>
      </c>
      <c r="K9" s="16">
        <f>+G9*1.2</f>
        <v>51.116399999999999</v>
      </c>
      <c r="L9" s="16">
        <f>+H9*1.2</f>
        <v>56.054400000000001</v>
      </c>
      <c r="M9" s="16">
        <f>+I9*1.2</f>
        <v>66.378</v>
      </c>
      <c r="N9" s="16">
        <f>+J9*1.2</f>
        <v>65.64</v>
      </c>
      <c r="O9" s="47"/>
      <c r="P9" s="47"/>
      <c r="Q9" s="47"/>
      <c r="R9" s="47"/>
      <c r="S9" s="17">
        <v>172.71700000000001</v>
      </c>
      <c r="T9" s="17">
        <v>147.4</v>
      </c>
      <c r="U9" s="17">
        <v>199.4</v>
      </c>
      <c r="V9" s="17">
        <f>SUM(K9:N9)</f>
        <v>239.18880000000001</v>
      </c>
      <c r="W9" s="17">
        <f>+V9*1.05</f>
        <v>251.14824000000002</v>
      </c>
      <c r="X9" s="17">
        <f t="shared" ref="X9:AE9" si="16">+W9*1.05</f>
        <v>263.70565200000004</v>
      </c>
      <c r="Y9" s="17">
        <f t="shared" si="16"/>
        <v>276.89093460000004</v>
      </c>
      <c r="Z9" s="17">
        <f t="shared" si="16"/>
        <v>290.73548133000003</v>
      </c>
      <c r="AA9" s="17">
        <f t="shared" si="16"/>
        <v>305.27225539650004</v>
      </c>
      <c r="AB9" s="17">
        <f t="shared" si="16"/>
        <v>320.53586816632503</v>
      </c>
      <c r="AC9" s="17">
        <f t="shared" si="16"/>
        <v>336.56266157464131</v>
      </c>
      <c r="AD9" s="17">
        <f t="shared" si="16"/>
        <v>353.3907946533734</v>
      </c>
      <c r="AE9" s="17">
        <f t="shared" si="16"/>
        <v>371.06033438604209</v>
      </c>
    </row>
    <row r="10" spans="2:231" s="20" customFormat="1">
      <c r="B10" s="18" t="s">
        <v>12</v>
      </c>
      <c r="C10" s="19">
        <f t="shared" ref="C10:J10" si="17">SUM(C4:C9)</f>
        <v>457.88499999999999</v>
      </c>
      <c r="D10" s="19">
        <f t="shared" si="17"/>
        <v>507.43100000000004</v>
      </c>
      <c r="E10" s="19">
        <f t="shared" si="17"/>
        <v>620.11900000000003</v>
      </c>
      <c r="F10" s="19">
        <f t="shared" si="17"/>
        <v>621.69999999999982</v>
      </c>
      <c r="G10" s="19">
        <f t="shared" si="17"/>
        <v>637.55399999999997</v>
      </c>
      <c r="H10" s="19">
        <f t="shared" si="17"/>
        <v>664.57399999999996</v>
      </c>
      <c r="I10" s="19">
        <f t="shared" si="17"/>
        <v>737.17599999999993</v>
      </c>
      <c r="J10" s="19">
        <f t="shared" si="17"/>
        <v>751.20000000000016</v>
      </c>
      <c r="K10" s="19">
        <f>AVERAGE(770,790)</f>
        <v>780</v>
      </c>
      <c r="L10" s="19">
        <f>SUM(L4:L9)</f>
        <v>819.83435999999983</v>
      </c>
      <c r="M10" s="19">
        <f>SUM(M4:M9)</f>
        <v>898.73707999999999</v>
      </c>
      <c r="N10" s="19">
        <f>SUM(N4:N9)</f>
        <v>930.7589999999999</v>
      </c>
      <c r="O10" s="48"/>
      <c r="P10" s="48"/>
      <c r="Q10" s="48"/>
      <c r="R10" s="48"/>
      <c r="S10" s="18">
        <f>SUM(S4:S9)</f>
        <v>1821.0720000000003</v>
      </c>
      <c r="T10" s="18">
        <f>SUM(T4:T9)</f>
        <v>2207.1000000000004</v>
      </c>
      <c r="U10" s="18">
        <f>SUM(U4:U9)</f>
        <v>2790.5</v>
      </c>
      <c r="V10" s="18">
        <f>+U10*1.25</f>
        <v>3488.125</v>
      </c>
      <c r="W10" s="18">
        <f t="shared" ref="W10:AE10" si="18">+V10*1.25</f>
        <v>4360.15625</v>
      </c>
      <c r="X10" s="18">
        <f t="shared" si="18"/>
        <v>5450.1953125</v>
      </c>
      <c r="Y10" s="18">
        <f t="shared" si="18"/>
        <v>6812.744140625</v>
      </c>
      <c r="Z10" s="18">
        <f t="shared" si="18"/>
        <v>8515.93017578125</v>
      </c>
      <c r="AA10" s="18">
        <f t="shared" si="18"/>
        <v>10644.912719726562</v>
      </c>
      <c r="AB10" s="18">
        <f t="shared" si="18"/>
        <v>13306.140899658203</v>
      </c>
      <c r="AC10" s="18">
        <f t="shared" si="18"/>
        <v>16632.676124572754</v>
      </c>
      <c r="AD10" s="18">
        <f t="shared" si="18"/>
        <v>20790.845155715942</v>
      </c>
      <c r="AE10" s="18">
        <f t="shared" si="18"/>
        <v>25988.556444644928</v>
      </c>
    </row>
    <row r="11" spans="2:231" s="14" customFormat="1">
      <c r="B11" s="14" t="s">
        <v>90</v>
      </c>
      <c r="C11" s="16"/>
      <c r="D11" s="21">
        <f t="shared" ref="D11:I11" si="19">+D10/C10-1</f>
        <v>0.1082062089826048</v>
      </c>
      <c r="E11" s="21">
        <f t="shared" si="19"/>
        <v>0.2220755137151651</v>
      </c>
      <c r="F11" s="21">
        <f t="shared" si="19"/>
        <v>2.5495106584378924E-3</v>
      </c>
      <c r="G11" s="21">
        <f t="shared" si="19"/>
        <v>2.5501045520347709E-2</v>
      </c>
      <c r="H11" s="21">
        <f t="shared" si="19"/>
        <v>4.2380723828883582E-2</v>
      </c>
      <c r="I11" s="21">
        <f t="shared" si="19"/>
        <v>0.10924592295214675</v>
      </c>
      <c r="J11" s="21">
        <f>+J10/I10-1</f>
        <v>1.9023950861124295E-2</v>
      </c>
      <c r="K11" s="16"/>
      <c r="L11" s="16"/>
      <c r="M11" s="16"/>
      <c r="N11" s="16"/>
      <c r="O11" s="47"/>
      <c r="P11" s="47"/>
      <c r="Q11" s="47"/>
      <c r="R11" s="47"/>
    </row>
    <row r="12" spans="2:231" s="14" customFormat="1">
      <c r="B12" s="14" t="s">
        <v>89</v>
      </c>
      <c r="C12" s="16"/>
      <c r="D12" s="16"/>
      <c r="E12" s="16"/>
      <c r="F12" s="16"/>
      <c r="G12" s="21">
        <f t="shared" ref="G12:I12" si="20">+G10/C10-1</f>
        <v>0.39238891861493608</v>
      </c>
      <c r="H12" s="21">
        <f t="shared" si="20"/>
        <v>0.30968348405990165</v>
      </c>
      <c r="I12" s="21">
        <f t="shared" si="20"/>
        <v>0.18876538212826866</v>
      </c>
      <c r="J12" s="21">
        <f>+J10/F10-1</f>
        <v>0.20829982306578798</v>
      </c>
      <c r="K12" s="16"/>
      <c r="L12" s="16"/>
      <c r="M12" s="16"/>
      <c r="N12" s="16"/>
      <c r="O12" s="47"/>
      <c r="P12" s="47"/>
      <c r="Q12" s="47"/>
      <c r="R12" s="47"/>
      <c r="T12" s="22">
        <f>+T10/S10-1</f>
        <v>0.21197843907324909</v>
      </c>
      <c r="U12" s="22">
        <f>+U10/T10-1</f>
        <v>0.264328757192696</v>
      </c>
      <c r="V12" s="22">
        <f t="shared" ref="V12:AE12" si="21">+V10/U10-1</f>
        <v>0.25</v>
      </c>
      <c r="W12" s="22">
        <f t="shared" si="21"/>
        <v>0.25</v>
      </c>
      <c r="X12" s="22">
        <f t="shared" si="21"/>
        <v>0.25</v>
      </c>
      <c r="Y12" s="22">
        <f t="shared" si="21"/>
        <v>0.25</v>
      </c>
      <c r="Z12" s="22">
        <f t="shared" si="21"/>
        <v>0.25</v>
      </c>
      <c r="AA12" s="22">
        <f t="shared" si="21"/>
        <v>0.25</v>
      </c>
      <c r="AB12" s="22">
        <f t="shared" si="21"/>
        <v>0.25</v>
      </c>
      <c r="AC12" s="22">
        <f t="shared" si="21"/>
        <v>0.25</v>
      </c>
      <c r="AD12" s="22">
        <f t="shared" si="21"/>
        <v>0.25</v>
      </c>
      <c r="AE12" s="22">
        <f t="shared" si="21"/>
        <v>0.25</v>
      </c>
    </row>
    <row r="13" spans="2:231" s="14" customFormat="1"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47"/>
      <c r="P13" s="47"/>
      <c r="Q13" s="47"/>
      <c r="R13" s="47"/>
    </row>
    <row r="14" spans="2:231" s="14" customFormat="1">
      <c r="B14" s="14" t="s">
        <v>26</v>
      </c>
      <c r="C14" s="15">
        <v>205.44399999999999</v>
      </c>
      <c r="D14" s="15">
        <v>226.85300000000001</v>
      </c>
      <c r="E14" s="15">
        <v>276.67599999999999</v>
      </c>
      <c r="F14" s="15">
        <f>+T14-SUM(C14:E14)</f>
        <v>277.25700000000006</v>
      </c>
      <c r="G14" s="15">
        <v>284.32400000000001</v>
      </c>
      <c r="H14" s="15">
        <v>298.55799999999999</v>
      </c>
      <c r="I14" s="15">
        <v>330.94799999999998</v>
      </c>
      <c r="J14" s="15">
        <f>+J10*(1-0.552)</f>
        <v>336.53760000000005</v>
      </c>
      <c r="K14" s="16">
        <f>AVERAGE(1-0.549,1-0.555) * K10</f>
        <v>349.43999999999994</v>
      </c>
      <c r="L14" s="16">
        <f>+L10*(H14/H10)</f>
        <v>368.3082799701462</v>
      </c>
      <c r="M14" s="16">
        <f>+M10*(I14/I10)</f>
        <v>403.47927652533451</v>
      </c>
      <c r="N14" s="16">
        <f>+N10*(J14/J10)</f>
        <v>416.98003199999994</v>
      </c>
      <c r="O14" s="47"/>
      <c r="P14" s="47"/>
      <c r="Q14" s="47"/>
      <c r="R14" s="47"/>
      <c r="T14" s="17">
        <v>986.23</v>
      </c>
      <c r="U14" s="17">
        <f t="shared" ref="U14:U21" si="22">SUM(G14:J14)</f>
        <v>1250.3676</v>
      </c>
      <c r="V14" s="17">
        <f t="shared" ref="V14:W16" si="23">+V$10*(U14/U$10)</f>
        <v>1562.9595000000002</v>
      </c>
      <c r="W14" s="17">
        <f>+W10*0.445</f>
        <v>1940.26953125</v>
      </c>
      <c r="X14" s="17">
        <f t="shared" ref="X14:AE14" si="24">+X$10*(W14/W$10)</f>
        <v>2425.3369140625</v>
      </c>
      <c r="Y14" s="17">
        <f t="shared" si="24"/>
        <v>3031.671142578125</v>
      </c>
      <c r="Z14" s="17">
        <f t="shared" si="24"/>
        <v>3789.5889282226562</v>
      </c>
      <c r="AA14" s="17">
        <f t="shared" si="24"/>
        <v>4736.9861602783203</v>
      </c>
      <c r="AB14" s="17">
        <f t="shared" si="24"/>
        <v>5921.2327003479004</v>
      </c>
      <c r="AC14" s="17">
        <f t="shared" si="24"/>
        <v>7401.5408754348755</v>
      </c>
      <c r="AD14" s="17">
        <f t="shared" si="24"/>
        <v>9251.9260942935944</v>
      </c>
      <c r="AE14" s="17">
        <f t="shared" si="24"/>
        <v>11564.907617866993</v>
      </c>
    </row>
    <row r="15" spans="2:231" s="14" customFormat="1">
      <c r="B15" s="14" t="s">
        <v>27</v>
      </c>
      <c r="C15" s="15">
        <v>75.989999999999995</v>
      </c>
      <c r="D15" s="15">
        <v>77.944999999999993</v>
      </c>
      <c r="E15" s="15">
        <v>85.051000000000002</v>
      </c>
      <c r="F15" s="15">
        <f t="shared" ref="F15:F21" si="25">+T15-SUM(C15:E15)</f>
        <v>85.762</v>
      </c>
      <c r="G15" s="15">
        <v>92.227000000000004</v>
      </c>
      <c r="H15" s="15">
        <v>96.266000000000005</v>
      </c>
      <c r="I15" s="15">
        <v>98.173000000000002</v>
      </c>
      <c r="J15" s="15">
        <f>+J10*(I15/I10)</f>
        <v>100.04063832788917</v>
      </c>
      <c r="K15" s="16">
        <f>+K10*0.133</f>
        <v>103.74000000000001</v>
      </c>
      <c r="L15" s="16">
        <f t="shared" ref="L15:N15" si="26">+L10*0.133</f>
        <v>109.03796987999998</v>
      </c>
      <c r="M15" s="16">
        <f t="shared" si="26"/>
        <v>119.53203164</v>
      </c>
      <c r="N15" s="16">
        <f t="shared" si="26"/>
        <v>123.79094699999999</v>
      </c>
      <c r="O15" s="47"/>
      <c r="P15" s="47"/>
      <c r="Q15" s="47"/>
      <c r="R15" s="47"/>
      <c r="T15" s="17">
        <v>324.74799999999999</v>
      </c>
      <c r="U15" s="17">
        <f t="shared" si="22"/>
        <v>386.70663832788915</v>
      </c>
      <c r="V15" s="17">
        <f>+V10*0.133</f>
        <v>463.92062500000003</v>
      </c>
      <c r="W15" s="17">
        <f t="shared" si="23"/>
        <v>579.90078125000002</v>
      </c>
      <c r="X15" s="17">
        <f t="shared" ref="X15:AE15" si="27">+X$10*(W15/W$10)</f>
        <v>724.8759765625</v>
      </c>
      <c r="Y15" s="17">
        <f t="shared" si="27"/>
        <v>906.094970703125</v>
      </c>
      <c r="Z15" s="17">
        <f t="shared" si="27"/>
        <v>1132.6187133789062</v>
      </c>
      <c r="AA15" s="17">
        <f t="shared" si="27"/>
        <v>1415.7733917236328</v>
      </c>
      <c r="AB15" s="17">
        <f t="shared" si="27"/>
        <v>1769.716739654541</v>
      </c>
      <c r="AC15" s="17">
        <f t="shared" si="27"/>
        <v>2212.1459245681763</v>
      </c>
      <c r="AD15" s="17">
        <f t="shared" si="27"/>
        <v>2765.1824057102203</v>
      </c>
      <c r="AE15" s="17">
        <f t="shared" si="27"/>
        <v>3456.4780071377754</v>
      </c>
    </row>
    <row r="16" spans="2:231" s="14" customFormat="1">
      <c r="B16" s="14" t="s">
        <v>28</v>
      </c>
      <c r="C16" s="15">
        <v>80.963999999999999</v>
      </c>
      <c r="D16" s="15">
        <v>86.096999999999994</v>
      </c>
      <c r="E16" s="15">
        <v>94.364000000000004</v>
      </c>
      <c r="F16" s="15">
        <f t="shared" si="25"/>
        <v>95.339000000000055</v>
      </c>
      <c r="G16" s="15">
        <v>92.244</v>
      </c>
      <c r="H16" s="15">
        <v>104.992</v>
      </c>
      <c r="I16" s="15">
        <v>112.872</v>
      </c>
      <c r="J16" s="15">
        <f>+J10*(I16/I10)</f>
        <v>115.01927138159682</v>
      </c>
      <c r="K16" s="16">
        <f>+K10*0.153</f>
        <v>119.34</v>
      </c>
      <c r="L16" s="16">
        <f>+L10*0.153</f>
        <v>125.43465707999997</v>
      </c>
      <c r="M16" s="16">
        <f>+M10*0.153</f>
        <v>137.50677324</v>
      </c>
      <c r="N16" s="16">
        <f>+N10*0.153</f>
        <v>142.40612699999997</v>
      </c>
      <c r="O16" s="47"/>
      <c r="P16" s="47"/>
      <c r="Q16" s="47"/>
      <c r="R16" s="47"/>
      <c r="T16" s="17">
        <v>356.76400000000001</v>
      </c>
      <c r="U16" s="17">
        <f t="shared" si="22"/>
        <v>425.12727138159681</v>
      </c>
      <c r="V16" s="17">
        <f t="shared" si="23"/>
        <v>531.409089226996</v>
      </c>
      <c r="W16" s="17">
        <f t="shared" si="23"/>
        <v>664.26136153374512</v>
      </c>
      <c r="X16" s="17">
        <f t="shared" ref="X16:AE16" si="28">+X$10*(W16/W$10)</f>
        <v>830.32670191718137</v>
      </c>
      <c r="Y16" s="17">
        <f t="shared" si="28"/>
        <v>1037.9083773964767</v>
      </c>
      <c r="Z16" s="17">
        <f t="shared" si="28"/>
        <v>1297.3854717455959</v>
      </c>
      <c r="AA16" s="17">
        <f t="shared" si="28"/>
        <v>1621.7318396819949</v>
      </c>
      <c r="AB16" s="17">
        <f t="shared" si="28"/>
        <v>2027.1647996024935</v>
      </c>
      <c r="AC16" s="17">
        <f t="shared" si="28"/>
        <v>2533.9559995031168</v>
      </c>
      <c r="AD16" s="17">
        <f t="shared" si="28"/>
        <v>3167.4449993788962</v>
      </c>
      <c r="AE16" s="17">
        <f t="shared" si="28"/>
        <v>3959.3062492236199</v>
      </c>
    </row>
    <row r="17" spans="2:231" s="20" customFormat="1">
      <c r="B17" s="20" t="s">
        <v>29</v>
      </c>
      <c r="C17" s="23">
        <f>+C10-SUM(C14:C16)</f>
        <v>95.487000000000023</v>
      </c>
      <c r="D17" s="23">
        <f>+D10-SUM(D14:D16)</f>
        <v>116.53600000000006</v>
      </c>
      <c r="E17" s="23">
        <f>+E10-SUM(E14:E16)</f>
        <v>164.02800000000002</v>
      </c>
      <c r="F17" s="23">
        <f t="shared" si="25"/>
        <v>163.30700000000007</v>
      </c>
      <c r="G17" s="23">
        <f>+G10-SUM(G14:G16)</f>
        <v>168.7589999999999</v>
      </c>
      <c r="H17" s="23">
        <f>+H10-SUM(H14:H16)</f>
        <v>164.75799999999992</v>
      </c>
      <c r="I17" s="23">
        <f>+I10-SUM(I14:I16)</f>
        <v>195.18299999999999</v>
      </c>
      <c r="J17" s="23">
        <f>+J10*0.266</f>
        <v>199.81920000000005</v>
      </c>
      <c r="K17" s="23">
        <f>+K10-SUM(K14:K16)</f>
        <v>207.48000000000002</v>
      </c>
      <c r="L17" s="23">
        <f>+L10-SUM(L14:L16)</f>
        <v>217.05345306985373</v>
      </c>
      <c r="M17" s="23">
        <f>+M10-SUM(M14:M16)</f>
        <v>238.21899859466544</v>
      </c>
      <c r="N17" s="23">
        <f>+N10-SUM(N14:N16)</f>
        <v>247.58189400000003</v>
      </c>
      <c r="O17" s="48"/>
      <c r="P17" s="48"/>
      <c r="Q17" s="48"/>
      <c r="R17" s="48"/>
      <c r="T17" s="23">
        <f>+T10-SUM(T14:T16)</f>
        <v>539.35800000000017</v>
      </c>
      <c r="U17" s="20">
        <f t="shared" si="22"/>
        <v>728.51919999999984</v>
      </c>
      <c r="V17" s="23">
        <f t="shared" ref="V17:AE17" si="29">+V10-SUM(V14:V16)</f>
        <v>929.83578577300386</v>
      </c>
      <c r="W17" s="23">
        <f t="shared" si="29"/>
        <v>1175.7245759662551</v>
      </c>
      <c r="X17" s="23">
        <f t="shared" si="29"/>
        <v>1469.6557199578187</v>
      </c>
      <c r="Y17" s="23">
        <f t="shared" si="29"/>
        <v>1837.0696499472733</v>
      </c>
      <c r="Z17" s="23">
        <f t="shared" si="29"/>
        <v>2296.3370624340914</v>
      </c>
      <c r="AA17" s="23">
        <f t="shared" si="29"/>
        <v>2870.4213280426147</v>
      </c>
      <c r="AB17" s="23">
        <f t="shared" si="29"/>
        <v>3588.0266600532686</v>
      </c>
      <c r="AC17" s="23">
        <f t="shared" si="29"/>
        <v>4485.0333250665863</v>
      </c>
      <c r="AD17" s="23">
        <f t="shared" si="29"/>
        <v>5606.291656333231</v>
      </c>
      <c r="AE17" s="23">
        <f t="shared" si="29"/>
        <v>7007.8645704165392</v>
      </c>
    </row>
    <row r="18" spans="2:231" s="14" customFormat="1">
      <c r="B18" s="14" t="s">
        <v>30</v>
      </c>
      <c r="C18" s="15">
        <v>9.5399999999999991</v>
      </c>
      <c r="D18" s="15">
        <v>7.5119999999999996</v>
      </c>
      <c r="E18" s="15">
        <v>10.278</v>
      </c>
      <c r="F18" s="15">
        <f t="shared" si="25"/>
        <v>6.2240000000000038</v>
      </c>
      <c r="G18" s="15">
        <v>5.1310000000000002</v>
      </c>
      <c r="H18" s="15">
        <v>12.22</v>
      </c>
      <c r="I18" s="15">
        <v>10.391999999999999</v>
      </c>
      <c r="J18" s="15">
        <f>+I18</f>
        <v>10.391999999999999</v>
      </c>
      <c r="K18" s="16">
        <f>+J18</f>
        <v>10.391999999999999</v>
      </c>
      <c r="L18" s="16">
        <f>+K18</f>
        <v>10.391999999999999</v>
      </c>
      <c r="M18" s="16">
        <f>+L18</f>
        <v>10.391999999999999</v>
      </c>
      <c r="N18" s="16">
        <f>+M18</f>
        <v>10.391999999999999</v>
      </c>
      <c r="O18" s="47"/>
      <c r="P18" s="47"/>
      <c r="Q18" s="47"/>
      <c r="R18" s="47"/>
      <c r="T18" s="15">
        <v>33.554000000000002</v>
      </c>
      <c r="U18" s="17">
        <f t="shared" si="22"/>
        <v>38.134999999999998</v>
      </c>
      <c r="V18" s="17">
        <f>+V17*(U18/U17)</f>
        <v>48.67309974871425</v>
      </c>
      <c r="W18" s="17">
        <f>+W17*(V18/V17)</f>
        <v>61.544372069360897</v>
      </c>
      <c r="X18" s="17">
        <f t="shared" ref="X18:AE18" si="30">+X17*(W18/W17)</f>
        <v>76.930465086701119</v>
      </c>
      <c r="Y18" s="17">
        <f t="shared" si="30"/>
        <v>96.163081358376388</v>
      </c>
      <c r="Z18" s="17">
        <f t="shared" si="30"/>
        <v>120.20385169797048</v>
      </c>
      <c r="AA18" s="17">
        <f t="shared" si="30"/>
        <v>150.25481462246313</v>
      </c>
      <c r="AB18" s="17">
        <f t="shared" si="30"/>
        <v>187.81851827807893</v>
      </c>
      <c r="AC18" s="17">
        <f t="shared" si="30"/>
        <v>234.77314784759869</v>
      </c>
      <c r="AD18" s="17">
        <f t="shared" si="30"/>
        <v>293.46643480949825</v>
      </c>
      <c r="AE18" s="17">
        <f t="shared" si="30"/>
        <v>366.83304351187286</v>
      </c>
    </row>
    <row r="19" spans="2:231" s="20" customFormat="1">
      <c r="B19" s="20" t="s">
        <v>31</v>
      </c>
      <c r="C19" s="23">
        <f>+SUM(C17:C18)</f>
        <v>105.02700000000002</v>
      </c>
      <c r="D19" s="23">
        <f>+SUM(D17:D18)</f>
        <v>124.04800000000006</v>
      </c>
      <c r="E19" s="23">
        <f>+SUM(E17:E18)</f>
        <v>174.30600000000001</v>
      </c>
      <c r="F19" s="23">
        <f t="shared" si="25"/>
        <v>169.53100000000006</v>
      </c>
      <c r="G19" s="23">
        <f>+SUM(G17:G18)</f>
        <v>173.8899999999999</v>
      </c>
      <c r="H19" s="23">
        <f>+SUM(H17:H18)</f>
        <v>176.97799999999992</v>
      </c>
      <c r="I19" s="23">
        <f>+SUM(I17:I18)</f>
        <v>205.57499999999999</v>
      </c>
      <c r="J19" s="23">
        <f>+SUM(J17:J18)</f>
        <v>210.21120000000005</v>
      </c>
      <c r="K19" s="23">
        <f>+SUM(K17:K18)</f>
        <v>217.87200000000001</v>
      </c>
      <c r="L19" s="23">
        <f>+SUM(L17:L18)</f>
        <v>227.44545306985373</v>
      </c>
      <c r="M19" s="23">
        <f>+SUM(M17:M18)</f>
        <v>248.61099859466543</v>
      </c>
      <c r="N19" s="23">
        <f>+SUM(N17:N18)</f>
        <v>257.97389400000003</v>
      </c>
      <c r="O19" s="48"/>
      <c r="P19" s="48"/>
      <c r="Q19" s="48"/>
      <c r="R19" s="48"/>
      <c r="T19" s="23">
        <f>+SUM(T17:T18)</f>
        <v>572.91200000000015</v>
      </c>
      <c r="U19" s="20">
        <f t="shared" si="22"/>
        <v>766.65419999999983</v>
      </c>
      <c r="V19" s="20">
        <f>SUM(H19:K19)</f>
        <v>810.63619999999992</v>
      </c>
      <c r="W19" s="23">
        <f>+SUM(W17:W18)</f>
        <v>1237.2689480356159</v>
      </c>
      <c r="X19" s="23">
        <f t="shared" ref="X19:AE19" si="31">+SUM(X17:X18)</f>
        <v>1546.5861850445199</v>
      </c>
      <c r="Y19" s="23">
        <f t="shared" si="31"/>
        <v>1933.2327313056496</v>
      </c>
      <c r="Z19" s="23">
        <f t="shared" si="31"/>
        <v>2416.540914132062</v>
      </c>
      <c r="AA19" s="23">
        <f t="shared" si="31"/>
        <v>3020.6761426650778</v>
      </c>
      <c r="AB19" s="23">
        <f t="shared" si="31"/>
        <v>3775.8451783313476</v>
      </c>
      <c r="AC19" s="23">
        <f t="shared" si="31"/>
        <v>4719.8064729141852</v>
      </c>
      <c r="AD19" s="23">
        <f t="shared" si="31"/>
        <v>5899.7580911427294</v>
      </c>
      <c r="AE19" s="23">
        <f t="shared" si="31"/>
        <v>7374.6976139284125</v>
      </c>
    </row>
    <row r="20" spans="2:231" s="14" customFormat="1">
      <c r="B20" s="14" t="s">
        <v>32</v>
      </c>
      <c r="C20" s="15">
        <v>12.486000000000001</v>
      </c>
      <c r="D20" s="15">
        <v>23.681999999999999</v>
      </c>
      <c r="E20" s="15">
        <v>29.876000000000001</v>
      </c>
      <c r="F20" s="15">
        <f t="shared" si="25"/>
        <v>-1279.8320000000001</v>
      </c>
      <c r="G20" s="15">
        <v>40.098999999999997</v>
      </c>
      <c r="H20" s="15">
        <v>43.252000000000002</v>
      </c>
      <c r="I20" s="15">
        <v>27.300999999999998</v>
      </c>
      <c r="J20" s="15">
        <f>+J19-J21</f>
        <v>40.075200000000052</v>
      </c>
      <c r="K20" s="16">
        <f>+K19*0.2</f>
        <v>43.574400000000004</v>
      </c>
      <c r="L20" s="16">
        <f>+L19*0.2</f>
        <v>45.489090613970745</v>
      </c>
      <c r="M20" s="16">
        <f>+M19*0.2</f>
        <v>49.722199718933091</v>
      </c>
      <c r="N20" s="16">
        <f>+N19*0.2</f>
        <v>51.594778800000007</v>
      </c>
      <c r="O20" s="47"/>
      <c r="P20" s="47"/>
      <c r="Q20" s="47"/>
      <c r="R20" s="47"/>
      <c r="T20" s="15">
        <v>-1213.788</v>
      </c>
      <c r="U20" s="17">
        <f t="shared" si="22"/>
        <v>150.72720000000004</v>
      </c>
      <c r="V20" s="17">
        <f>+V19*(U20/U19)</f>
        <v>159.37423240444002</v>
      </c>
      <c r="W20" s="17">
        <f>+W19*(V20/V19)</f>
        <v>243.25189137991282</v>
      </c>
      <c r="X20" s="17">
        <f t="shared" ref="X20:AE20" si="32">+X19*(W20/W19)</f>
        <v>304.06486422489104</v>
      </c>
      <c r="Y20" s="17">
        <f t="shared" si="32"/>
        <v>380.08108028111371</v>
      </c>
      <c r="Z20" s="17">
        <f t="shared" si="32"/>
        <v>475.10135035139217</v>
      </c>
      <c r="AA20" s="17">
        <f t="shared" si="32"/>
        <v>593.87668793924024</v>
      </c>
      <c r="AB20" s="17">
        <f t="shared" si="32"/>
        <v>742.34585992405039</v>
      </c>
      <c r="AC20" s="17">
        <f t="shared" si="32"/>
        <v>927.93232490506307</v>
      </c>
      <c r="AD20" s="17">
        <f t="shared" si="32"/>
        <v>1159.9154061313286</v>
      </c>
      <c r="AE20" s="17">
        <f t="shared" si="32"/>
        <v>1449.8942576641609</v>
      </c>
    </row>
    <row r="21" spans="2:231" s="20" customFormat="1">
      <c r="B21" s="20" t="s">
        <v>33</v>
      </c>
      <c r="C21" s="23">
        <f>+C19-C20</f>
        <v>92.541000000000011</v>
      </c>
      <c r="D21" s="23">
        <f>+D19-D20</f>
        <v>100.36600000000006</v>
      </c>
      <c r="E21" s="23">
        <f>+E19-E20</f>
        <v>144.43</v>
      </c>
      <c r="F21" s="23">
        <f t="shared" si="25"/>
        <v>1449.3630000000003</v>
      </c>
      <c r="G21" s="23">
        <f>+G19-G20</f>
        <v>133.79099999999991</v>
      </c>
      <c r="H21" s="23">
        <f>+H19-H20</f>
        <v>133.72599999999991</v>
      </c>
      <c r="I21" s="23">
        <f>+I19-I20</f>
        <v>178.274</v>
      </c>
      <c r="J21" s="23">
        <v>170.136</v>
      </c>
      <c r="K21" s="23">
        <f>+K19-K20</f>
        <v>174.29760000000002</v>
      </c>
      <c r="L21" s="23">
        <f>+L19-L20</f>
        <v>181.95636245588298</v>
      </c>
      <c r="M21" s="23">
        <f>+M19-M20</f>
        <v>198.88879887573233</v>
      </c>
      <c r="N21" s="23">
        <f>+N19-N20</f>
        <v>206.37911520000003</v>
      </c>
      <c r="O21" s="48"/>
      <c r="P21" s="48"/>
      <c r="Q21" s="48"/>
      <c r="R21" s="48"/>
      <c r="T21" s="23">
        <f>+T19-T20</f>
        <v>1786.7000000000003</v>
      </c>
      <c r="U21" s="20">
        <f t="shared" si="22"/>
        <v>615.92699999999979</v>
      </c>
      <c r="V21" s="20">
        <f>SUM(H21:K21)</f>
        <v>656.43359999999984</v>
      </c>
      <c r="W21" s="23">
        <f>+W19-W20</f>
        <v>994.01705665570307</v>
      </c>
      <c r="X21" s="23">
        <f t="shared" ref="X21:AE21" si="33">+X19-X20</f>
        <v>1242.5213208196287</v>
      </c>
      <c r="Y21" s="23">
        <f t="shared" si="33"/>
        <v>1553.151651024536</v>
      </c>
      <c r="Z21" s="23">
        <f t="shared" si="33"/>
        <v>1941.4395637806697</v>
      </c>
      <c r="AA21" s="23">
        <f t="shared" si="33"/>
        <v>2426.7994547258377</v>
      </c>
      <c r="AB21" s="23">
        <f t="shared" si="33"/>
        <v>3033.4993184072973</v>
      </c>
      <c r="AC21" s="23">
        <f t="shared" si="33"/>
        <v>3791.8741480091221</v>
      </c>
      <c r="AD21" s="23">
        <f t="shared" si="33"/>
        <v>4739.842685011401</v>
      </c>
      <c r="AE21" s="23">
        <f t="shared" si="33"/>
        <v>5924.8033562642513</v>
      </c>
      <c r="AF21" s="20">
        <f>+AE21*(1+$AH$25)</f>
        <v>5984.0513898268937</v>
      </c>
      <c r="AG21" s="20">
        <f>+AF21*(1+$AH$25)</f>
        <v>6043.8919037251626</v>
      </c>
      <c r="AH21" s="20">
        <f t="shared" ref="AH21:CS21" si="34">+AG21*(1+$AH$25)</f>
        <v>6104.3308227624138</v>
      </c>
      <c r="AI21" s="20">
        <f t="shared" si="34"/>
        <v>6165.3741309900379</v>
      </c>
      <c r="AJ21" s="20">
        <f t="shared" si="34"/>
        <v>6227.0278722999383</v>
      </c>
      <c r="AK21" s="20">
        <f t="shared" si="34"/>
        <v>6289.2981510229374</v>
      </c>
      <c r="AL21" s="20">
        <f t="shared" si="34"/>
        <v>6352.1911325331666</v>
      </c>
      <c r="AM21" s="20">
        <f t="shared" si="34"/>
        <v>6415.7130438584982</v>
      </c>
      <c r="AN21" s="20">
        <f t="shared" si="34"/>
        <v>6479.8701742970834</v>
      </c>
      <c r="AO21" s="20">
        <f t="shared" si="34"/>
        <v>6544.6688760400539</v>
      </c>
      <c r="AP21" s="20">
        <f t="shared" si="34"/>
        <v>6610.1155648004542</v>
      </c>
      <c r="AQ21" s="20">
        <f t="shared" si="34"/>
        <v>6676.2167204484585</v>
      </c>
      <c r="AR21" s="20">
        <f t="shared" si="34"/>
        <v>6742.9788876529428</v>
      </c>
      <c r="AS21" s="20">
        <f t="shared" si="34"/>
        <v>6810.4086765294724</v>
      </c>
      <c r="AT21" s="20">
        <f t="shared" si="34"/>
        <v>6878.512763294767</v>
      </c>
      <c r="AU21" s="20">
        <f t="shared" si="34"/>
        <v>6947.2978909277144</v>
      </c>
      <c r="AV21" s="20">
        <f t="shared" si="34"/>
        <v>7016.7708698369916</v>
      </c>
      <c r="AW21" s="20">
        <f t="shared" si="34"/>
        <v>7086.9385785353616</v>
      </c>
      <c r="AX21" s="20">
        <f t="shared" si="34"/>
        <v>7157.8079643207157</v>
      </c>
      <c r="AY21" s="20">
        <f t="shared" si="34"/>
        <v>7229.3860439639229</v>
      </c>
      <c r="AZ21" s="20">
        <f t="shared" si="34"/>
        <v>7301.6799044035624</v>
      </c>
      <c r="BA21" s="20">
        <f t="shared" si="34"/>
        <v>7374.6967034475983</v>
      </c>
      <c r="BB21" s="20">
        <f t="shared" si="34"/>
        <v>7448.4436704820746</v>
      </c>
      <c r="BC21" s="20">
        <f t="shared" si="34"/>
        <v>7522.9281071868954</v>
      </c>
      <c r="BD21" s="20">
        <f t="shared" si="34"/>
        <v>7598.1573882587645</v>
      </c>
      <c r="BE21" s="20">
        <f t="shared" si="34"/>
        <v>7674.1389621413518</v>
      </c>
      <c r="BF21" s="20">
        <f t="shared" si="34"/>
        <v>7750.8803517627657</v>
      </c>
      <c r="BG21" s="20">
        <f t="shared" si="34"/>
        <v>7828.3891552803934</v>
      </c>
      <c r="BH21" s="20">
        <f t="shared" si="34"/>
        <v>7906.6730468331971</v>
      </c>
      <c r="BI21" s="20">
        <f t="shared" si="34"/>
        <v>7985.7397773015291</v>
      </c>
      <c r="BJ21" s="20">
        <f t="shared" si="34"/>
        <v>8065.5971750745448</v>
      </c>
      <c r="BK21" s="20">
        <f t="shared" si="34"/>
        <v>8146.2531468252901</v>
      </c>
      <c r="BL21" s="20">
        <f t="shared" si="34"/>
        <v>8227.7156782935435</v>
      </c>
      <c r="BM21" s="20">
        <f t="shared" si="34"/>
        <v>8309.9928350764785</v>
      </c>
      <c r="BN21" s="20">
        <f t="shared" si="34"/>
        <v>8393.092763427243</v>
      </c>
      <c r="BO21" s="20">
        <f t="shared" si="34"/>
        <v>8477.0236910615149</v>
      </c>
      <c r="BP21" s="20">
        <f t="shared" si="34"/>
        <v>8561.7939279721304</v>
      </c>
      <c r="BQ21" s="20">
        <f t="shared" si="34"/>
        <v>8647.4118672518525</v>
      </c>
      <c r="BR21" s="20">
        <f t="shared" si="34"/>
        <v>8733.8859859243712</v>
      </c>
      <c r="BS21" s="20">
        <f t="shared" si="34"/>
        <v>8821.2248457836158</v>
      </c>
      <c r="BT21" s="20">
        <f t="shared" si="34"/>
        <v>8909.4370942414516</v>
      </c>
      <c r="BU21" s="20">
        <f t="shared" si="34"/>
        <v>8998.5314651838671</v>
      </c>
      <c r="BV21" s="20">
        <f t="shared" si="34"/>
        <v>9088.5167798357052</v>
      </c>
      <c r="BW21" s="20">
        <f t="shared" si="34"/>
        <v>9179.4019476340618</v>
      </c>
      <c r="BX21" s="20">
        <f t="shared" si="34"/>
        <v>9271.1959671104032</v>
      </c>
      <c r="BY21" s="20">
        <f t="shared" si="34"/>
        <v>9363.9079267815068</v>
      </c>
      <c r="BZ21" s="20">
        <f t="shared" si="34"/>
        <v>9457.5470060493226</v>
      </c>
      <c r="CA21" s="20">
        <f t="shared" si="34"/>
        <v>9552.1224761098165</v>
      </c>
      <c r="CB21" s="20">
        <f t="shared" si="34"/>
        <v>9647.6437008709145</v>
      </c>
      <c r="CC21" s="20">
        <f t="shared" si="34"/>
        <v>9744.1201378796231</v>
      </c>
      <c r="CD21" s="20">
        <f t="shared" si="34"/>
        <v>9841.56133925842</v>
      </c>
      <c r="CE21" s="20">
        <f t="shared" si="34"/>
        <v>9939.9769526510045</v>
      </c>
      <c r="CF21" s="20">
        <f t="shared" si="34"/>
        <v>10039.376722177514</v>
      </c>
      <c r="CG21" s="20">
        <f t="shared" si="34"/>
        <v>10139.770489399289</v>
      </c>
      <c r="CH21" s="20">
        <f t="shared" si="34"/>
        <v>10241.168194293281</v>
      </c>
      <c r="CI21" s="20">
        <f t="shared" si="34"/>
        <v>10343.579876236214</v>
      </c>
      <c r="CJ21" s="20">
        <f t="shared" si="34"/>
        <v>10447.015674998576</v>
      </c>
      <c r="CK21" s="20">
        <f t="shared" si="34"/>
        <v>10551.485831748561</v>
      </c>
      <c r="CL21" s="20">
        <f t="shared" si="34"/>
        <v>10657.000690066046</v>
      </c>
      <c r="CM21" s="20">
        <f t="shared" si="34"/>
        <v>10763.570696966706</v>
      </c>
      <c r="CN21" s="20">
        <f t="shared" si="34"/>
        <v>10871.206403936374</v>
      </c>
      <c r="CO21" s="20">
        <f t="shared" si="34"/>
        <v>10979.918467975738</v>
      </c>
      <c r="CP21" s="20">
        <f t="shared" si="34"/>
        <v>11089.717652655496</v>
      </c>
      <c r="CQ21" s="20">
        <f t="shared" si="34"/>
        <v>11200.61482918205</v>
      </c>
      <c r="CR21" s="20">
        <f t="shared" si="34"/>
        <v>11312.620977473871</v>
      </c>
      <c r="CS21" s="20">
        <f t="shared" si="34"/>
        <v>11425.747187248609</v>
      </c>
      <c r="CT21" s="20">
        <f t="shared" ref="CT21:FE21" si="35">+CS21*(1+$AH$25)</f>
        <v>11540.004659121096</v>
      </c>
      <c r="CU21" s="20">
        <f t="shared" si="35"/>
        <v>11655.404705712306</v>
      </c>
      <c r="CV21" s="20">
        <f t="shared" si="35"/>
        <v>11771.958752769429</v>
      </c>
      <c r="CW21" s="20">
        <f t="shared" si="35"/>
        <v>11889.678340297123</v>
      </c>
      <c r="CX21" s="20">
        <f t="shared" si="35"/>
        <v>12008.575123700095</v>
      </c>
      <c r="CY21" s="20">
        <f t="shared" si="35"/>
        <v>12128.660874937095</v>
      </c>
      <c r="CZ21" s="20">
        <f t="shared" si="35"/>
        <v>12249.947483686467</v>
      </c>
      <c r="DA21" s="20">
        <f t="shared" si="35"/>
        <v>12372.446958523331</v>
      </c>
      <c r="DB21" s="20">
        <f t="shared" si="35"/>
        <v>12496.171428108564</v>
      </c>
      <c r="DC21" s="20">
        <f t="shared" si="35"/>
        <v>12621.13314238965</v>
      </c>
      <c r="DD21" s="20">
        <f t="shared" si="35"/>
        <v>12747.344473813546</v>
      </c>
      <c r="DE21" s="20">
        <f t="shared" si="35"/>
        <v>12874.817918551682</v>
      </c>
      <c r="DF21" s="20">
        <f t="shared" si="35"/>
        <v>13003.566097737199</v>
      </c>
      <c r="DG21" s="20">
        <f t="shared" si="35"/>
        <v>13133.601758714571</v>
      </c>
      <c r="DH21" s="20">
        <f t="shared" si="35"/>
        <v>13264.937776301716</v>
      </c>
      <c r="DI21" s="20">
        <f t="shared" si="35"/>
        <v>13397.587154064733</v>
      </c>
      <c r="DJ21" s="20">
        <f t="shared" si="35"/>
        <v>13531.563025605381</v>
      </c>
      <c r="DK21" s="20">
        <f t="shared" si="35"/>
        <v>13666.878655861436</v>
      </c>
      <c r="DL21" s="20">
        <f t="shared" si="35"/>
        <v>13803.547442420049</v>
      </c>
      <c r="DM21" s="20">
        <f t="shared" si="35"/>
        <v>13941.582916844251</v>
      </c>
      <c r="DN21" s="20">
        <f t="shared" si="35"/>
        <v>14080.998746012694</v>
      </c>
      <c r="DO21" s="20">
        <f t="shared" si="35"/>
        <v>14221.808733472821</v>
      </c>
      <c r="DP21" s="20">
        <f t="shared" si="35"/>
        <v>14364.026820807549</v>
      </c>
      <c r="DQ21" s="20">
        <f t="shared" si="35"/>
        <v>14507.667089015624</v>
      </c>
      <c r="DR21" s="20">
        <f t="shared" si="35"/>
        <v>14652.743759905779</v>
      </c>
      <c r="DS21" s="20">
        <f t="shared" si="35"/>
        <v>14799.271197504837</v>
      </c>
      <c r="DT21" s="20">
        <f t="shared" si="35"/>
        <v>14947.263909479885</v>
      </c>
      <c r="DU21" s="20">
        <f t="shared" si="35"/>
        <v>15096.736548574685</v>
      </c>
      <c r="DV21" s="20">
        <f t="shared" si="35"/>
        <v>15247.703914060432</v>
      </c>
      <c r="DW21" s="20">
        <f t="shared" si="35"/>
        <v>15400.180953201036</v>
      </c>
      <c r="DX21" s="20">
        <f t="shared" si="35"/>
        <v>15554.182762733046</v>
      </c>
      <c r="DY21" s="20">
        <f t="shared" si="35"/>
        <v>15709.724590360376</v>
      </c>
      <c r="DZ21" s="20">
        <f t="shared" si="35"/>
        <v>15866.82183626398</v>
      </c>
      <c r="EA21" s="20">
        <f t="shared" si="35"/>
        <v>16025.49005462662</v>
      </c>
      <c r="EB21" s="20">
        <f t="shared" si="35"/>
        <v>16185.744955172886</v>
      </c>
      <c r="EC21" s="20">
        <f t="shared" si="35"/>
        <v>16347.602404724616</v>
      </c>
      <c r="ED21" s="20">
        <f t="shared" si="35"/>
        <v>16511.078428771863</v>
      </c>
      <c r="EE21" s="20">
        <f t="shared" si="35"/>
        <v>16676.189213059581</v>
      </c>
      <c r="EF21" s="20">
        <f t="shared" si="35"/>
        <v>16842.951105190175</v>
      </c>
      <c r="EG21" s="20">
        <f t="shared" si="35"/>
        <v>17011.380616242077</v>
      </c>
      <c r="EH21" s="20">
        <f t="shared" si="35"/>
        <v>17181.494422404499</v>
      </c>
      <c r="EI21" s="20">
        <f t="shared" si="35"/>
        <v>17353.309366628546</v>
      </c>
      <c r="EJ21" s="20">
        <f t="shared" si="35"/>
        <v>17526.842460294833</v>
      </c>
      <c r="EK21" s="20">
        <f t="shared" si="35"/>
        <v>17702.110884897782</v>
      </c>
      <c r="EL21" s="20">
        <f t="shared" si="35"/>
        <v>17879.13199374676</v>
      </c>
      <c r="EM21" s="20">
        <f t="shared" si="35"/>
        <v>18057.923313684227</v>
      </c>
      <c r="EN21" s="20">
        <f t="shared" si="35"/>
        <v>18238.50254682107</v>
      </c>
      <c r="EO21" s="20">
        <f t="shared" si="35"/>
        <v>18420.887572289281</v>
      </c>
      <c r="EP21" s="20">
        <f t="shared" si="35"/>
        <v>18605.096448012173</v>
      </c>
      <c r="EQ21" s="20">
        <f t="shared" si="35"/>
        <v>18791.147412492293</v>
      </c>
      <c r="ER21" s="20">
        <f t="shared" si="35"/>
        <v>18979.058886617215</v>
      </c>
      <c r="ES21" s="20">
        <f t="shared" si="35"/>
        <v>19168.849475483388</v>
      </c>
      <c r="ET21" s="20">
        <f t="shared" si="35"/>
        <v>19360.537970238223</v>
      </c>
      <c r="EU21" s="20">
        <f t="shared" si="35"/>
        <v>19554.143349940605</v>
      </c>
      <c r="EV21" s="20">
        <f t="shared" si="35"/>
        <v>19749.684783440011</v>
      </c>
      <c r="EW21" s="20">
        <f t="shared" si="35"/>
        <v>19947.181631274412</v>
      </c>
      <c r="EX21" s="20">
        <f t="shared" si="35"/>
        <v>20146.653447587156</v>
      </c>
      <c r="EY21" s="20">
        <f t="shared" si="35"/>
        <v>20348.119982063028</v>
      </c>
      <c r="EZ21" s="20">
        <f t="shared" si="35"/>
        <v>20551.60118188366</v>
      </c>
      <c r="FA21" s="20">
        <f t="shared" si="35"/>
        <v>20757.117193702496</v>
      </c>
      <c r="FB21" s="20">
        <f t="shared" si="35"/>
        <v>20964.688365639522</v>
      </c>
      <c r="FC21" s="20">
        <f t="shared" si="35"/>
        <v>21174.335249295917</v>
      </c>
      <c r="FD21" s="20">
        <f t="shared" si="35"/>
        <v>21386.078601788875</v>
      </c>
      <c r="FE21" s="20">
        <f t="shared" si="35"/>
        <v>21599.939387806764</v>
      </c>
      <c r="FF21" s="20">
        <f t="shared" ref="FF21:GC21" si="36">+FE21*(1+$AH$25)</f>
        <v>21815.938781684832</v>
      </c>
      <c r="FG21" s="20">
        <f t="shared" si="36"/>
        <v>22034.098169501682</v>
      </c>
      <c r="FH21" s="20">
        <f t="shared" si="36"/>
        <v>22254.439151196697</v>
      </c>
      <c r="FI21" s="20">
        <f t="shared" si="36"/>
        <v>22476.983542708665</v>
      </c>
      <c r="FJ21" s="20">
        <f t="shared" si="36"/>
        <v>22701.753378135752</v>
      </c>
      <c r="FK21" s="20">
        <f t="shared" si="36"/>
        <v>22928.770911917109</v>
      </c>
      <c r="FL21" s="20">
        <f t="shared" si="36"/>
        <v>23158.058621036282</v>
      </c>
      <c r="FM21" s="20">
        <f t="shared" si="36"/>
        <v>23389.639207246644</v>
      </c>
      <c r="FN21" s="20">
        <f t="shared" si="36"/>
        <v>23623.535599319111</v>
      </c>
      <c r="FO21" s="20">
        <f t="shared" si="36"/>
        <v>23859.770955312302</v>
      </c>
      <c r="FP21" s="20">
        <f t="shared" si="36"/>
        <v>24098.368664865426</v>
      </c>
      <c r="FQ21" s="20">
        <f t="shared" si="36"/>
        <v>24339.352351514081</v>
      </c>
      <c r="FR21" s="20">
        <f t="shared" si="36"/>
        <v>24582.745875029221</v>
      </c>
      <c r="FS21" s="20">
        <f t="shared" si="36"/>
        <v>24828.573333779514</v>
      </c>
      <c r="FT21" s="20">
        <f t="shared" si="36"/>
        <v>25076.859067117308</v>
      </c>
      <c r="FU21" s="20">
        <f t="shared" si="36"/>
        <v>25327.627657788482</v>
      </c>
      <c r="FV21" s="20">
        <f t="shared" si="36"/>
        <v>25580.903934366368</v>
      </c>
      <c r="FW21" s="20">
        <f t="shared" si="36"/>
        <v>25836.712973710033</v>
      </c>
      <c r="FX21" s="20">
        <f t="shared" si="36"/>
        <v>26095.080103447133</v>
      </c>
      <c r="FY21" s="20">
        <f t="shared" si="36"/>
        <v>26356.030904481606</v>
      </c>
      <c r="FZ21" s="20">
        <f t="shared" si="36"/>
        <v>26619.591213526423</v>
      </c>
      <c r="GA21" s="20">
        <f t="shared" si="36"/>
        <v>26885.787125661685</v>
      </c>
      <c r="GB21" s="20">
        <f t="shared" si="36"/>
        <v>27154.644996918301</v>
      </c>
      <c r="GC21" s="20">
        <f t="shared" si="36"/>
        <v>27426.191446887486</v>
      </c>
      <c r="GD21" s="20">
        <f t="shared" ref="GD21:HM21" si="37">+GC21*(1+$AH$25)</f>
        <v>27700.453361356362</v>
      </c>
      <c r="GE21" s="20">
        <f t="shared" si="37"/>
        <v>27977.457894969924</v>
      </c>
      <c r="GF21" s="20">
        <f t="shared" si="37"/>
        <v>28257.232473919623</v>
      </c>
      <c r="GG21" s="20">
        <f t="shared" si="37"/>
        <v>28539.804798658821</v>
      </c>
      <c r="GH21" s="20">
        <f t="shared" si="37"/>
        <v>28825.20284664541</v>
      </c>
      <c r="GI21" s="20">
        <f t="shared" si="37"/>
        <v>29113.454875111864</v>
      </c>
      <c r="GJ21" s="20">
        <f t="shared" si="37"/>
        <v>29404.589423862981</v>
      </c>
      <c r="GK21" s="20">
        <f t="shared" si="37"/>
        <v>29698.635318101609</v>
      </c>
      <c r="GL21" s="20">
        <f t="shared" si="37"/>
        <v>29995.621671282624</v>
      </c>
      <c r="GM21" s="20">
        <f t="shared" si="37"/>
        <v>30295.577887995452</v>
      </c>
      <c r="GN21" s="20">
        <f t="shared" si="37"/>
        <v>30598.533666875406</v>
      </c>
      <c r="GO21" s="20">
        <f t="shared" si="37"/>
        <v>30904.519003544159</v>
      </c>
      <c r="GP21" s="20">
        <f t="shared" si="37"/>
        <v>31213.564193579601</v>
      </c>
      <c r="GQ21" s="20">
        <f t="shared" si="37"/>
        <v>31525.699835515399</v>
      </c>
      <c r="GR21" s="20">
        <f t="shared" si="37"/>
        <v>31840.956833870554</v>
      </c>
      <c r="GS21" s="20">
        <f t="shared" si="37"/>
        <v>32159.36640220926</v>
      </c>
      <c r="GT21" s="20">
        <f t="shared" si="37"/>
        <v>32480.960066231353</v>
      </c>
      <c r="GU21" s="20">
        <f t="shared" si="37"/>
        <v>32805.76966689367</v>
      </c>
      <c r="GV21" s="20">
        <f t="shared" si="37"/>
        <v>33133.82736356261</v>
      </c>
      <c r="GW21" s="20">
        <f t="shared" si="37"/>
        <v>33465.165637198239</v>
      </c>
      <c r="GX21" s="20">
        <f t="shared" si="37"/>
        <v>33799.817293570224</v>
      </c>
      <c r="GY21" s="20">
        <f t="shared" si="37"/>
        <v>34137.815466505926</v>
      </c>
      <c r="GZ21" s="20">
        <f t="shared" si="37"/>
        <v>34479.193621170984</v>
      </c>
      <c r="HA21" s="20">
        <f t="shared" si="37"/>
        <v>34823.985557382694</v>
      </c>
      <c r="HB21" s="20">
        <f t="shared" si="37"/>
        <v>35172.225412956519</v>
      </c>
      <c r="HC21" s="20">
        <f t="shared" si="37"/>
        <v>35523.947667086082</v>
      </c>
      <c r="HD21" s="20">
        <f t="shared" si="37"/>
        <v>35879.187143756943</v>
      </c>
      <c r="HE21" s="20">
        <f t="shared" si="37"/>
        <v>36237.979015194513</v>
      </c>
      <c r="HF21" s="20">
        <f t="shared" si="37"/>
        <v>36600.358805346455</v>
      </c>
      <c r="HG21" s="20">
        <f t="shared" si="37"/>
        <v>36966.362393399919</v>
      </c>
      <c r="HH21" s="20">
        <f t="shared" si="37"/>
        <v>37336.026017333919</v>
      </c>
      <c r="HI21" s="20">
        <f t="shared" si="37"/>
        <v>37709.386277507256</v>
      </c>
      <c r="HJ21" s="20">
        <f t="shared" si="37"/>
        <v>38086.480140282329</v>
      </c>
      <c r="HK21" s="20">
        <f t="shared" si="37"/>
        <v>38467.344941685151</v>
      </c>
      <c r="HL21" s="20">
        <f t="shared" si="37"/>
        <v>38852.018391101999</v>
      </c>
      <c r="HM21" s="20">
        <f t="shared" si="37"/>
        <v>39240.538575013023</v>
      </c>
      <c r="HN21" s="20">
        <f t="shared" ref="HN21:HW21" si="38">+HM21*(1+$AH$25)</f>
        <v>39632.94396076315</v>
      </c>
      <c r="HO21" s="20">
        <f t="shared" si="38"/>
        <v>40029.273400370781</v>
      </c>
      <c r="HP21" s="20">
        <f t="shared" si="38"/>
        <v>40429.566134374487</v>
      </c>
      <c r="HQ21" s="20">
        <f t="shared" si="38"/>
        <v>40833.861795718229</v>
      </c>
      <c r="HR21" s="20">
        <f t="shared" si="38"/>
        <v>41242.200413675411</v>
      </c>
      <c r="HS21" s="20">
        <f t="shared" si="38"/>
        <v>41654.622417812163</v>
      </c>
      <c r="HT21" s="20">
        <f t="shared" si="38"/>
        <v>42071.168641990284</v>
      </c>
      <c r="HU21" s="20">
        <f t="shared" si="38"/>
        <v>42491.880328410189</v>
      </c>
      <c r="HV21" s="20">
        <f t="shared" si="38"/>
        <v>42916.799131694293</v>
      </c>
      <c r="HW21" s="20">
        <f t="shared" si="38"/>
        <v>43345.967123011236</v>
      </c>
    </row>
    <row r="22" spans="2:231" s="14" customFormat="1">
      <c r="B22" s="14" t="s">
        <v>96</v>
      </c>
      <c r="C22" s="16">
        <v>48.927999999999997</v>
      </c>
      <c r="D22" s="16">
        <v>48.945</v>
      </c>
      <c r="E22" s="16">
        <v>48.963999999999999</v>
      </c>
      <c r="F22" s="16">
        <v>48.506</v>
      </c>
      <c r="G22" s="16">
        <v>48.006</v>
      </c>
      <c r="H22" s="16">
        <v>48.018999999999998</v>
      </c>
      <c r="I22" s="16">
        <v>48.042000000000002</v>
      </c>
      <c r="J22" s="16">
        <v>49.167999999999999</v>
      </c>
      <c r="K22" s="16">
        <f>+J22</f>
        <v>49.167999999999999</v>
      </c>
      <c r="L22" s="16">
        <f>+K22</f>
        <v>49.167999999999999</v>
      </c>
      <c r="M22" s="16">
        <f>+L22</f>
        <v>49.167999999999999</v>
      </c>
      <c r="N22" s="16">
        <f>+M22</f>
        <v>49.167999999999999</v>
      </c>
      <c r="O22" s="47"/>
      <c r="P22" s="47"/>
      <c r="Q22" s="47"/>
      <c r="R22" s="47"/>
      <c r="T22" s="16"/>
      <c r="W22" s="16"/>
      <c r="X22" s="16"/>
      <c r="Y22" s="16"/>
      <c r="Z22" s="16"/>
      <c r="AA22" s="16"/>
      <c r="AB22" s="16"/>
      <c r="AC22" s="16"/>
      <c r="AD22" s="16"/>
      <c r="AE22" s="16"/>
    </row>
    <row r="23" spans="2:231" s="20" customFormat="1"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48"/>
      <c r="P23" s="48"/>
      <c r="Q23" s="48"/>
      <c r="R23" s="48"/>
      <c r="T23" s="23"/>
      <c r="W23" s="23"/>
      <c r="X23" s="23"/>
      <c r="Y23" s="23"/>
      <c r="Z23" s="23"/>
      <c r="AA23" s="23"/>
      <c r="AB23" s="23"/>
      <c r="AC23" s="23"/>
      <c r="AD23" s="23"/>
      <c r="AE23" s="23"/>
    </row>
    <row r="25" spans="2:231">
      <c r="B25" s="11" t="s">
        <v>25</v>
      </c>
      <c r="AG25" s="25" t="s">
        <v>34</v>
      </c>
      <c r="AH25" s="26">
        <v>0.01</v>
      </c>
    </row>
    <row r="26" spans="2:231">
      <c r="B26" s="27" t="s">
        <v>6</v>
      </c>
      <c r="G26" s="28">
        <f t="shared" ref="G26:N32" si="39">+G4/C4-1</f>
        <v>0.77637790823682407</v>
      </c>
      <c r="H26" s="28">
        <f t="shared" si="39"/>
        <v>0.69909964768822586</v>
      </c>
      <c r="I26" s="28">
        <f t="shared" si="39"/>
        <v>0.29570187439667217</v>
      </c>
      <c r="J26" s="28">
        <f t="shared" si="39"/>
        <v>0.19805028219599796</v>
      </c>
      <c r="K26" s="28">
        <f t="shared" si="39"/>
        <v>0.44999999999999973</v>
      </c>
      <c r="L26" s="28">
        <f t="shared" si="39"/>
        <v>0.44999999999999996</v>
      </c>
      <c r="M26" s="28">
        <f t="shared" si="39"/>
        <v>0.44999999999999996</v>
      </c>
      <c r="N26" s="28">
        <f t="shared" si="39"/>
        <v>0.44999999999999996</v>
      </c>
      <c r="O26" s="49"/>
      <c r="P26" s="49"/>
      <c r="Q26" s="49"/>
      <c r="R26" s="49"/>
      <c r="S26" s="29"/>
      <c r="T26" s="29"/>
      <c r="U26" s="30">
        <f t="shared" ref="U26:AE26" si="40">+U4/T4-1</f>
        <v>0.46032695374800636</v>
      </c>
      <c r="V26" s="30">
        <f t="shared" si="40"/>
        <v>0.59134382252559714</v>
      </c>
      <c r="W26" s="30">
        <f t="shared" si="40"/>
        <v>6.0000000000000053E-2</v>
      </c>
      <c r="X26" s="30">
        <f t="shared" si="40"/>
        <v>6.0000000000000053E-2</v>
      </c>
      <c r="Y26" s="30">
        <f t="shared" si="40"/>
        <v>6.0000000000000053E-2</v>
      </c>
      <c r="Z26" s="30">
        <f t="shared" si="40"/>
        <v>6.0000000000000053E-2</v>
      </c>
      <c r="AA26" s="30">
        <f t="shared" si="40"/>
        <v>6.0000000000000053E-2</v>
      </c>
      <c r="AB26" s="30">
        <f t="shared" si="40"/>
        <v>6.0000000000000053E-2</v>
      </c>
      <c r="AC26" s="30">
        <f t="shared" si="40"/>
        <v>6.0000000000000053E-2</v>
      </c>
      <c r="AD26" s="30">
        <f t="shared" si="40"/>
        <v>6.0000000000000053E-2</v>
      </c>
      <c r="AE26" s="30">
        <f t="shared" si="40"/>
        <v>6.0000000000000053E-2</v>
      </c>
      <c r="AG26" s="31" t="s">
        <v>35</v>
      </c>
      <c r="AH26" s="32">
        <v>7.0000000000000007E-2</v>
      </c>
    </row>
    <row r="27" spans="2:231">
      <c r="B27" s="27" t="s">
        <v>7</v>
      </c>
      <c r="G27" s="28">
        <f t="shared" si="39"/>
        <v>0.66380379368943188</v>
      </c>
      <c r="H27" s="28">
        <f t="shared" si="39"/>
        <v>0.66449141559528879</v>
      </c>
      <c r="I27" s="28">
        <f t="shared" si="39"/>
        <v>3.8073501428501633E-2</v>
      </c>
      <c r="J27" s="28">
        <f t="shared" si="39"/>
        <v>0.18754578754578755</v>
      </c>
      <c r="K27" s="28">
        <f t="shared" si="39"/>
        <v>0.10000000000000009</v>
      </c>
      <c r="L27" s="28">
        <f t="shared" si="39"/>
        <v>0.10000000000000009</v>
      </c>
      <c r="M27" s="28">
        <f t="shared" si="39"/>
        <v>0.10000000000000009</v>
      </c>
      <c r="N27" s="28">
        <f t="shared" si="39"/>
        <v>0.10000000000000009</v>
      </c>
      <c r="O27" s="49"/>
      <c r="P27" s="49"/>
      <c r="Q27" s="49"/>
      <c r="R27" s="49"/>
      <c r="S27" s="29"/>
      <c r="T27" s="29"/>
      <c r="U27" s="30">
        <f t="shared" ref="U27:AE27" si="41">+U5/T5-1</f>
        <v>-2.0106115610164843E-2</v>
      </c>
      <c r="V27" s="30">
        <f t="shared" si="41"/>
        <v>8.8056426332290272E-3</v>
      </c>
      <c r="W27" s="30">
        <f t="shared" si="41"/>
        <v>5.0000000000000044E-2</v>
      </c>
      <c r="X27" s="30">
        <f t="shared" si="41"/>
        <v>5.0000000000000044E-2</v>
      </c>
      <c r="Y27" s="30">
        <f t="shared" si="41"/>
        <v>5.0000000000000044E-2</v>
      </c>
      <c r="Z27" s="30">
        <f t="shared" si="41"/>
        <v>5.0000000000000044E-2</v>
      </c>
      <c r="AA27" s="30">
        <f t="shared" si="41"/>
        <v>5.0000000000000044E-2</v>
      </c>
      <c r="AB27" s="30">
        <f t="shared" si="41"/>
        <v>5.0000000000000044E-2</v>
      </c>
      <c r="AC27" s="30">
        <f t="shared" si="41"/>
        <v>5.0000000000000044E-2</v>
      </c>
      <c r="AD27" s="30">
        <f t="shared" si="41"/>
        <v>5.0000000000000044E-2</v>
      </c>
      <c r="AE27" s="30">
        <f t="shared" si="41"/>
        <v>5.0000000000000044E-2</v>
      </c>
      <c r="AG27" s="33" t="s">
        <v>36</v>
      </c>
      <c r="AH27" s="34">
        <f>NPV(AH26,V21:HW21)</f>
        <v>67067.518661491922</v>
      </c>
    </row>
    <row r="28" spans="2:231">
      <c r="B28" s="27" t="s">
        <v>8</v>
      </c>
      <c r="G28" s="28">
        <f t="shared" si="39"/>
        <v>-0.11222424813159948</v>
      </c>
      <c r="H28" s="28">
        <f t="shared" si="39"/>
        <v>-0.231006725032183</v>
      </c>
      <c r="I28" s="28">
        <f t="shared" si="39"/>
        <v>0.3610073286391724</v>
      </c>
      <c r="J28" s="28">
        <f t="shared" si="39"/>
        <v>0.17601246105919</v>
      </c>
      <c r="K28" s="28">
        <f t="shared" si="39"/>
        <v>0.14999999999999991</v>
      </c>
      <c r="L28" s="28">
        <f t="shared" si="39"/>
        <v>0.14999999999999991</v>
      </c>
      <c r="M28" s="28">
        <f t="shared" si="39"/>
        <v>0.14999999999999991</v>
      </c>
      <c r="N28" s="28">
        <f t="shared" si="39"/>
        <v>0.14999999999999991</v>
      </c>
      <c r="O28" s="49"/>
      <c r="P28" s="49"/>
      <c r="Q28" s="49"/>
      <c r="R28" s="49"/>
      <c r="S28" s="29"/>
      <c r="T28" s="29"/>
      <c r="U28" s="30">
        <f t="shared" ref="U28:AE28" si="42">+U6/T6-1</f>
        <v>0.43115942028985499</v>
      </c>
      <c r="V28" s="30">
        <f t="shared" si="42"/>
        <v>0.12462818565400835</v>
      </c>
      <c r="W28" s="30">
        <f t="shared" si="42"/>
        <v>5.0000000000000044E-2</v>
      </c>
      <c r="X28" s="30">
        <f t="shared" si="42"/>
        <v>5.0000000000000044E-2</v>
      </c>
      <c r="Y28" s="30">
        <f t="shared" si="42"/>
        <v>5.0000000000000044E-2</v>
      </c>
      <c r="Z28" s="30">
        <f t="shared" si="42"/>
        <v>5.0000000000000044E-2</v>
      </c>
      <c r="AA28" s="30">
        <f t="shared" si="42"/>
        <v>5.0000000000000044E-2</v>
      </c>
      <c r="AB28" s="30">
        <f t="shared" si="42"/>
        <v>5.0000000000000044E-2</v>
      </c>
      <c r="AC28" s="30">
        <f t="shared" si="42"/>
        <v>5.0000000000000044E-2</v>
      </c>
      <c r="AD28" s="30">
        <f t="shared" si="42"/>
        <v>5.0000000000000044E-2</v>
      </c>
      <c r="AE28" s="30">
        <f t="shared" si="42"/>
        <v>5.0000000000000044E-2</v>
      </c>
      <c r="AG28" s="31" t="s">
        <v>37</v>
      </c>
      <c r="AH28" s="35">
        <f>+Main!I4</f>
        <v>49.167999999999999</v>
      </c>
    </row>
    <row r="29" spans="2:231">
      <c r="B29" s="27" t="s">
        <v>9</v>
      </c>
      <c r="G29" s="28">
        <f t="shared" si="39"/>
        <v>0.53652052738771583</v>
      </c>
      <c r="H29" s="28">
        <f t="shared" si="39"/>
        <v>0.69359133269063022</v>
      </c>
      <c r="I29" s="28">
        <f t="shared" si="39"/>
        <v>0.11106783150631561</v>
      </c>
      <c r="J29" s="28">
        <f t="shared" si="39"/>
        <v>0.31191222570532928</v>
      </c>
      <c r="K29" s="28">
        <f t="shared" si="39"/>
        <v>0.19999999999999996</v>
      </c>
      <c r="L29" s="28">
        <f t="shared" si="39"/>
        <v>0.19999999999999996</v>
      </c>
      <c r="M29" s="28">
        <f t="shared" si="39"/>
        <v>0.19999999999999996</v>
      </c>
      <c r="N29" s="28">
        <f t="shared" si="39"/>
        <v>0.19999999999999996</v>
      </c>
      <c r="O29" s="49"/>
      <c r="P29" s="49"/>
      <c r="Q29" s="49"/>
      <c r="R29" s="49"/>
      <c r="S29" s="29"/>
      <c r="T29" s="29"/>
      <c r="U29" s="30">
        <f t="shared" ref="U29:AE29" si="43">+U7/T7-1</f>
        <v>0.36830455953961927</v>
      </c>
      <c r="V29" s="30">
        <f t="shared" si="43"/>
        <v>0.19969718537690051</v>
      </c>
      <c r="W29" s="30">
        <f t="shared" si="43"/>
        <v>5.0000000000000044E-2</v>
      </c>
      <c r="X29" s="30">
        <f t="shared" si="43"/>
        <v>5.0000000000000044E-2</v>
      </c>
      <c r="Y29" s="30">
        <f t="shared" si="43"/>
        <v>5.0000000000000044E-2</v>
      </c>
      <c r="Z29" s="30">
        <f t="shared" si="43"/>
        <v>5.0000000000000044E-2</v>
      </c>
      <c r="AA29" s="30">
        <f t="shared" si="43"/>
        <v>5.0000000000000044E-2</v>
      </c>
      <c r="AB29" s="30">
        <f t="shared" si="43"/>
        <v>5.0000000000000044E-2</v>
      </c>
      <c r="AC29" s="30">
        <f t="shared" si="43"/>
        <v>5.0000000000000044E-2</v>
      </c>
      <c r="AD29" s="30">
        <f t="shared" si="43"/>
        <v>5.0000000000000044E-2</v>
      </c>
      <c r="AE29" s="30">
        <f t="shared" si="43"/>
        <v>5.0000000000000044E-2</v>
      </c>
      <c r="AG29" s="36" t="s">
        <v>46</v>
      </c>
      <c r="AH29" s="37">
        <f>+AH27/AH28</f>
        <v>1364.0481341826376</v>
      </c>
    </row>
    <row r="30" spans="2:231">
      <c r="B30" s="27" t="s">
        <v>10</v>
      </c>
      <c r="G30" s="28">
        <f t="shared" si="39"/>
        <v>0.49569259862373283</v>
      </c>
      <c r="H30" s="28">
        <f t="shared" si="39"/>
        <v>0.41284425394870827</v>
      </c>
      <c r="I30" s="28">
        <f t="shared" si="39"/>
        <v>0.12419061815810317</v>
      </c>
      <c r="J30" s="28">
        <f t="shared" si="39"/>
        <v>0.15532286212914492</v>
      </c>
      <c r="K30" s="28">
        <f t="shared" si="39"/>
        <v>0.12000000000000011</v>
      </c>
      <c r="L30" s="28">
        <f t="shared" si="39"/>
        <v>0.11999999999999988</v>
      </c>
      <c r="M30" s="28">
        <f t="shared" si="39"/>
        <v>0.12000000000000011</v>
      </c>
      <c r="N30" s="28">
        <f t="shared" si="39"/>
        <v>0.12000000000000011</v>
      </c>
      <c r="O30" s="49"/>
      <c r="P30" s="49"/>
      <c r="Q30" s="49"/>
      <c r="R30" s="49"/>
      <c r="S30" s="29"/>
      <c r="T30" s="29"/>
      <c r="U30" s="30">
        <f t="shared" ref="U30:AE30" si="44">+U8/T8-1</f>
        <v>0.26336633663366338</v>
      </c>
      <c r="V30" s="30">
        <f t="shared" si="44"/>
        <v>0.12003949843260209</v>
      </c>
      <c r="W30" s="30">
        <f t="shared" si="44"/>
        <v>5.0000000000000044E-2</v>
      </c>
      <c r="X30" s="30">
        <f t="shared" si="44"/>
        <v>5.0000000000000044E-2</v>
      </c>
      <c r="Y30" s="30">
        <f t="shared" si="44"/>
        <v>5.0000000000000044E-2</v>
      </c>
      <c r="Z30" s="30">
        <f t="shared" si="44"/>
        <v>5.0000000000000044E-2</v>
      </c>
      <c r="AA30" s="30">
        <f t="shared" si="44"/>
        <v>5.0000000000000044E-2</v>
      </c>
      <c r="AB30" s="30">
        <f t="shared" si="44"/>
        <v>5.0000000000000044E-2</v>
      </c>
      <c r="AC30" s="30">
        <f t="shared" si="44"/>
        <v>5.0000000000000044E-2</v>
      </c>
      <c r="AD30" s="30">
        <f t="shared" si="44"/>
        <v>5.0000000000000044E-2</v>
      </c>
      <c r="AE30" s="30">
        <f t="shared" si="44"/>
        <v>5.0000000000000044E-2</v>
      </c>
      <c r="AG30" s="31" t="s">
        <v>47</v>
      </c>
      <c r="AH30" s="35">
        <f>+Main!I3</f>
        <v>1157.6099999999999</v>
      </c>
    </row>
    <row r="31" spans="2:231">
      <c r="B31" s="27" t="s">
        <v>11</v>
      </c>
      <c r="G31" s="28">
        <f t="shared" si="39"/>
        <v>0.40928339839872963</v>
      </c>
      <c r="H31" s="28">
        <f t="shared" si="39"/>
        <v>0.44722248040400281</v>
      </c>
      <c r="I31" s="28">
        <f t="shared" si="39"/>
        <v>0.25607429946864069</v>
      </c>
      <c r="J31" s="28">
        <f t="shared" si="39"/>
        <v>0.34068627450980404</v>
      </c>
      <c r="K31" s="28">
        <f t="shared" si="39"/>
        <v>0.19999999999999996</v>
      </c>
      <c r="L31" s="28">
        <f t="shared" si="39"/>
        <v>0.19999999999999996</v>
      </c>
      <c r="M31" s="28">
        <f t="shared" si="39"/>
        <v>0.19999999999999996</v>
      </c>
      <c r="N31" s="28">
        <f t="shared" si="39"/>
        <v>0.19999999999999996</v>
      </c>
      <c r="O31" s="49"/>
      <c r="P31" s="49"/>
      <c r="Q31" s="49"/>
      <c r="R31" s="49"/>
      <c r="S31" s="29"/>
      <c r="T31" s="29"/>
      <c r="U31" s="30">
        <f t="shared" ref="U31:AE31" si="45">+U9/T9-1</f>
        <v>0.35278154681139751</v>
      </c>
      <c r="V31" s="30">
        <f t="shared" si="45"/>
        <v>0.19954262788365096</v>
      </c>
      <c r="W31" s="30">
        <f t="shared" si="45"/>
        <v>5.0000000000000044E-2</v>
      </c>
      <c r="X31" s="30">
        <f t="shared" si="45"/>
        <v>5.0000000000000044E-2</v>
      </c>
      <c r="Y31" s="30">
        <f t="shared" si="45"/>
        <v>5.0000000000000044E-2</v>
      </c>
      <c r="Z31" s="30">
        <f t="shared" si="45"/>
        <v>5.0000000000000044E-2</v>
      </c>
      <c r="AA31" s="30">
        <f t="shared" si="45"/>
        <v>5.0000000000000044E-2</v>
      </c>
      <c r="AB31" s="30">
        <f t="shared" si="45"/>
        <v>5.0000000000000044E-2</v>
      </c>
      <c r="AC31" s="30">
        <f t="shared" si="45"/>
        <v>5.0000000000000044E-2</v>
      </c>
      <c r="AD31" s="30">
        <f t="shared" si="45"/>
        <v>5.0000000000000044E-2</v>
      </c>
      <c r="AE31" s="30">
        <f t="shared" si="45"/>
        <v>5.0000000000000044E-2</v>
      </c>
      <c r="AG31" s="38" t="s">
        <v>97</v>
      </c>
      <c r="AH31" s="39">
        <f>+AH29/AH30-1</f>
        <v>0.17833133281730262</v>
      </c>
    </row>
    <row r="32" spans="2:231">
      <c r="B32" s="27" t="s">
        <v>12</v>
      </c>
      <c r="G32" s="28">
        <f t="shared" si="39"/>
        <v>0.39238891861493608</v>
      </c>
      <c r="H32" s="28">
        <f t="shared" si="39"/>
        <v>0.30968348405990165</v>
      </c>
      <c r="I32" s="28">
        <f t="shared" si="39"/>
        <v>0.18876538212826866</v>
      </c>
      <c r="J32" s="28">
        <f t="shared" si="39"/>
        <v>0.20829982306578798</v>
      </c>
      <c r="K32" s="28">
        <f t="shared" si="39"/>
        <v>0.22342578040448346</v>
      </c>
      <c r="L32" s="28">
        <f t="shared" si="39"/>
        <v>0.23362388537619561</v>
      </c>
      <c r="M32" s="28">
        <f t="shared" si="39"/>
        <v>0.21916215394966754</v>
      </c>
      <c r="N32" s="28">
        <f t="shared" si="39"/>
        <v>0.23902955271565451</v>
      </c>
      <c r="O32" s="49"/>
      <c r="P32" s="49"/>
      <c r="Q32" s="49"/>
      <c r="R32" s="49"/>
      <c r="S32" s="29"/>
      <c r="T32" s="29"/>
      <c r="U32" s="30">
        <f t="shared" ref="U32:AE32" si="46">+U10/T10-1</f>
        <v>0.264328757192696</v>
      </c>
      <c r="V32" s="30">
        <f t="shared" si="46"/>
        <v>0.25</v>
      </c>
      <c r="W32" s="30">
        <f t="shared" si="46"/>
        <v>0.25</v>
      </c>
      <c r="X32" s="30">
        <f t="shared" si="46"/>
        <v>0.25</v>
      </c>
      <c r="Y32" s="30">
        <f t="shared" si="46"/>
        <v>0.25</v>
      </c>
      <c r="Z32" s="30">
        <f t="shared" si="46"/>
        <v>0.25</v>
      </c>
      <c r="AA32" s="30">
        <f t="shared" si="46"/>
        <v>0.25</v>
      </c>
      <c r="AB32" s="30">
        <f t="shared" si="46"/>
        <v>0.25</v>
      </c>
      <c r="AC32" s="30">
        <f t="shared" si="46"/>
        <v>0.25</v>
      </c>
      <c r="AD32" s="30">
        <f t="shared" si="46"/>
        <v>0.25</v>
      </c>
      <c r="AE32" s="30">
        <f t="shared" si="46"/>
        <v>0.25</v>
      </c>
    </row>
    <row r="33" spans="2:31">
      <c r="B33" s="27"/>
      <c r="G33" s="21"/>
      <c r="H33" s="21"/>
      <c r="I33" s="21"/>
      <c r="J33" s="21"/>
      <c r="K33" s="21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</row>
    <row r="34" spans="2:31">
      <c r="B34" s="40" t="s">
        <v>91</v>
      </c>
    </row>
    <row r="35" spans="2:31">
      <c r="B35" s="27" t="s">
        <v>93</v>
      </c>
      <c r="C35" s="43">
        <f t="shared" ref="C35:N35" si="47">(C10-C14)/C10</f>
        <v>0.55131965449840026</v>
      </c>
      <c r="D35" s="43">
        <f t="shared" si="47"/>
        <v>0.55293823199607439</v>
      </c>
      <c r="E35" s="43">
        <f t="shared" si="47"/>
        <v>0.55383402217961397</v>
      </c>
      <c r="F35" s="43">
        <f t="shared" si="47"/>
        <v>0.5540341000482546</v>
      </c>
      <c r="G35" s="43">
        <f t="shared" si="47"/>
        <v>0.55403934411830214</v>
      </c>
      <c r="H35" s="43">
        <f t="shared" si="47"/>
        <v>0.55075281308025892</v>
      </c>
      <c r="I35" s="43">
        <f t="shared" si="47"/>
        <v>0.55105971979554402</v>
      </c>
      <c r="J35" s="43">
        <f t="shared" si="47"/>
        <v>0.55200000000000005</v>
      </c>
      <c r="K35" s="43">
        <f t="shared" si="47"/>
        <v>0.55200000000000005</v>
      </c>
      <c r="L35" s="43">
        <f t="shared" si="47"/>
        <v>0.55075281308025892</v>
      </c>
      <c r="M35" s="43">
        <f t="shared" si="47"/>
        <v>0.55105971979554413</v>
      </c>
      <c r="N35" s="43">
        <f t="shared" si="47"/>
        <v>0.55200000000000005</v>
      </c>
      <c r="T35" s="43">
        <f>(T10-T14)/T10</f>
        <v>0.55315572470662866</v>
      </c>
      <c r="U35" s="43">
        <f>(U10-U14)/U10</f>
        <v>0.55191987099086182</v>
      </c>
      <c r="V35" s="43">
        <f>(V10-V14)/V10</f>
        <v>0.55191987099086182</v>
      </c>
      <c r="W35" s="43">
        <f t="shared" ref="W35:AE35" si="48">(W10-W14)/W10</f>
        <v>0.55500000000000005</v>
      </c>
      <c r="X35" s="43">
        <f t="shared" si="48"/>
        <v>0.55500000000000005</v>
      </c>
      <c r="Y35" s="43">
        <f t="shared" si="48"/>
        <v>0.55500000000000005</v>
      </c>
      <c r="Z35" s="43">
        <f t="shared" si="48"/>
        <v>0.55500000000000005</v>
      </c>
      <c r="AA35" s="43">
        <f t="shared" si="48"/>
        <v>0.55500000000000005</v>
      </c>
      <c r="AB35" s="43">
        <f t="shared" si="48"/>
        <v>0.55500000000000005</v>
      </c>
      <c r="AC35" s="43">
        <f t="shared" si="48"/>
        <v>0.55500000000000005</v>
      </c>
      <c r="AD35" s="43">
        <f t="shared" si="48"/>
        <v>0.55500000000000005</v>
      </c>
      <c r="AE35" s="43">
        <f t="shared" si="48"/>
        <v>0.55500000000000005</v>
      </c>
    </row>
    <row r="36" spans="2:31">
      <c r="B36" s="27" t="s">
        <v>27</v>
      </c>
      <c r="C36" s="43">
        <f>+C15/C$10</f>
        <v>0.16595870142066238</v>
      </c>
      <c r="D36" s="43">
        <f t="shared" ref="D36:J37" si="49">+D15/D$10</f>
        <v>0.15360709140750167</v>
      </c>
      <c r="E36" s="43">
        <f t="shared" si="49"/>
        <v>0.13715270778673125</v>
      </c>
      <c r="F36" s="43">
        <f t="shared" si="49"/>
        <v>0.13794756313334411</v>
      </c>
      <c r="G36" s="43">
        <f t="shared" si="49"/>
        <v>0.14465755057610807</v>
      </c>
      <c r="H36" s="43">
        <f t="shared" si="49"/>
        <v>0.1448536957509623</v>
      </c>
      <c r="I36" s="43">
        <f t="shared" si="49"/>
        <v>0.13317443866864903</v>
      </c>
      <c r="J36" s="43">
        <f t="shared" si="49"/>
        <v>0.13317443866864903</v>
      </c>
      <c r="K36" s="43">
        <f t="shared" ref="K36:N36" si="50">+K15/K$10</f>
        <v>0.13300000000000001</v>
      </c>
      <c r="L36" s="43">
        <f t="shared" si="50"/>
        <v>0.13300000000000001</v>
      </c>
      <c r="M36" s="43">
        <f t="shared" si="50"/>
        <v>0.13300000000000001</v>
      </c>
      <c r="N36" s="43">
        <f t="shared" si="50"/>
        <v>0.13300000000000001</v>
      </c>
      <c r="T36" s="43">
        <f t="shared" ref="T36:U36" si="51">+T15/T$10</f>
        <v>0.14713787322731184</v>
      </c>
      <c r="U36" s="43">
        <f t="shared" si="51"/>
        <v>0.13857969479587498</v>
      </c>
      <c r="V36" s="43">
        <f t="shared" ref="V36:AE36" si="52">+V15/V$10</f>
        <v>0.13300000000000001</v>
      </c>
      <c r="W36" s="43">
        <f t="shared" si="52"/>
        <v>0.13300000000000001</v>
      </c>
      <c r="X36" s="43">
        <f t="shared" si="52"/>
        <v>0.13300000000000001</v>
      </c>
      <c r="Y36" s="43">
        <f t="shared" si="52"/>
        <v>0.13300000000000001</v>
      </c>
      <c r="Z36" s="43">
        <f t="shared" si="52"/>
        <v>0.13300000000000001</v>
      </c>
      <c r="AA36" s="43">
        <f t="shared" si="52"/>
        <v>0.13300000000000001</v>
      </c>
      <c r="AB36" s="43">
        <f t="shared" si="52"/>
        <v>0.13300000000000001</v>
      </c>
      <c r="AC36" s="43">
        <f t="shared" si="52"/>
        <v>0.13300000000000001</v>
      </c>
      <c r="AD36" s="43">
        <f t="shared" si="52"/>
        <v>0.13300000000000001</v>
      </c>
      <c r="AE36" s="43">
        <f t="shared" si="52"/>
        <v>0.13300000000000001</v>
      </c>
    </row>
    <row r="37" spans="2:31">
      <c r="B37" s="27" t="s">
        <v>28</v>
      </c>
      <c r="C37" s="43">
        <f>+C16/C$10</f>
        <v>0.17682169103595882</v>
      </c>
      <c r="D37" s="43">
        <f t="shared" si="49"/>
        <v>0.16967232983400696</v>
      </c>
      <c r="E37" s="43">
        <f t="shared" si="49"/>
        <v>0.15217079302520967</v>
      </c>
      <c r="F37" s="43">
        <f t="shared" si="49"/>
        <v>0.15335209908315922</v>
      </c>
      <c r="G37" s="43">
        <f t="shared" si="49"/>
        <v>0.14468421498414252</v>
      </c>
      <c r="H37" s="43">
        <f t="shared" si="49"/>
        <v>0.15798391149819285</v>
      </c>
      <c r="I37" s="43">
        <f t="shared" si="49"/>
        <v>0.15311404603513951</v>
      </c>
      <c r="J37" s="43">
        <f t="shared" si="49"/>
        <v>0.15311404603513951</v>
      </c>
      <c r="K37" s="43">
        <f t="shared" ref="K37:N37" si="53">+K16/K$10</f>
        <v>0.153</v>
      </c>
      <c r="L37" s="43">
        <f t="shared" si="53"/>
        <v>0.153</v>
      </c>
      <c r="M37" s="43">
        <f t="shared" si="53"/>
        <v>0.153</v>
      </c>
      <c r="N37" s="43">
        <f t="shared" si="53"/>
        <v>0.153</v>
      </c>
      <c r="T37" s="43">
        <f t="shared" ref="T37:U37" si="54">+T16/T$10</f>
        <v>0.16164378596348147</v>
      </c>
      <c r="U37" s="43">
        <f t="shared" si="54"/>
        <v>0.15234806356624148</v>
      </c>
      <c r="V37" s="43">
        <f t="shared" ref="V37:AE37" si="55">+V16/V$10</f>
        <v>0.15234806356624148</v>
      </c>
      <c r="W37" s="43">
        <f t="shared" si="55"/>
        <v>0.15234806356624148</v>
      </c>
      <c r="X37" s="43">
        <f t="shared" si="55"/>
        <v>0.15234806356624148</v>
      </c>
      <c r="Y37" s="43">
        <f t="shared" si="55"/>
        <v>0.15234806356624148</v>
      </c>
      <c r="Z37" s="43">
        <f t="shared" si="55"/>
        <v>0.15234806356624148</v>
      </c>
      <c r="AA37" s="43">
        <f t="shared" si="55"/>
        <v>0.15234806356624148</v>
      </c>
      <c r="AB37" s="43">
        <f t="shared" si="55"/>
        <v>0.15234806356624148</v>
      </c>
      <c r="AC37" s="43">
        <f t="shared" si="55"/>
        <v>0.15234806356624148</v>
      </c>
      <c r="AD37" s="43">
        <f t="shared" si="55"/>
        <v>0.15234806356624148</v>
      </c>
      <c r="AE37" s="43">
        <f t="shared" si="55"/>
        <v>0.15234806356624148</v>
      </c>
    </row>
    <row r="38" spans="2:31">
      <c r="B38" s="27" t="s">
        <v>92</v>
      </c>
      <c r="C38" s="43">
        <f t="shared" ref="C38:J38" si="56">+C17/C10</f>
        <v>0.20853926204177911</v>
      </c>
      <c r="D38" s="43">
        <f t="shared" si="56"/>
        <v>0.22965881075456573</v>
      </c>
      <c r="E38" s="43">
        <f t="shared" si="56"/>
        <v>0.264510521367673</v>
      </c>
      <c r="F38" s="43">
        <f t="shared" si="56"/>
        <v>0.26267814058227462</v>
      </c>
      <c r="G38" s="43">
        <f t="shared" si="56"/>
        <v>0.26469757855805143</v>
      </c>
      <c r="H38" s="43">
        <f t="shared" si="56"/>
        <v>0.24791520583110374</v>
      </c>
      <c r="I38" s="43">
        <f t="shared" si="56"/>
        <v>0.2647712350917556</v>
      </c>
      <c r="J38" s="43">
        <f t="shared" si="56"/>
        <v>0.26600000000000001</v>
      </c>
      <c r="K38" s="43">
        <f t="shared" ref="K38:N38" si="57">+K17/K10</f>
        <v>0.26600000000000001</v>
      </c>
      <c r="L38" s="43">
        <f t="shared" si="57"/>
        <v>0.264752813080259</v>
      </c>
      <c r="M38" s="43">
        <f t="shared" si="57"/>
        <v>0.26505971979554405</v>
      </c>
      <c r="N38" s="43">
        <f t="shared" si="57"/>
        <v>0.26600000000000007</v>
      </c>
      <c r="T38" s="43">
        <f>+T17/T10</f>
        <v>0.24437406551583529</v>
      </c>
      <c r="U38" s="43">
        <f>+U17/U10</f>
        <v>0.26107120587708288</v>
      </c>
      <c r="V38" s="43">
        <f>+V17/V10</f>
        <v>0.26657180742462033</v>
      </c>
      <c r="W38" s="43">
        <f t="shared" ref="W38:AE38" si="58">+W17/W10</f>
        <v>0.26965193643375857</v>
      </c>
      <c r="X38" s="43">
        <f t="shared" si="58"/>
        <v>0.26965193643375851</v>
      </c>
      <c r="Y38" s="43">
        <f t="shared" si="58"/>
        <v>0.26965193643375851</v>
      </c>
      <c r="Z38" s="43">
        <f t="shared" si="58"/>
        <v>0.26965193643375851</v>
      </c>
      <c r="AA38" s="43">
        <f t="shared" si="58"/>
        <v>0.26965193643375851</v>
      </c>
      <c r="AB38" s="43">
        <f t="shared" si="58"/>
        <v>0.26965193643375857</v>
      </c>
      <c r="AC38" s="43">
        <f t="shared" si="58"/>
        <v>0.26965193643375857</v>
      </c>
      <c r="AD38" s="43">
        <f t="shared" si="58"/>
        <v>0.26965193643375851</v>
      </c>
      <c r="AE38" s="43">
        <f t="shared" si="58"/>
        <v>0.26965193643375851</v>
      </c>
    </row>
    <row r="39" spans="2:31">
      <c r="B39" s="27" t="s">
        <v>94</v>
      </c>
      <c r="C39" s="43">
        <f>+C19/C10</f>
        <v>0.22937418784192543</v>
      </c>
      <c r="D39" s="43">
        <f t="shared" ref="D39:J39" si="59">+D19/D10</f>
        <v>0.24446279395622272</v>
      </c>
      <c r="E39" s="43">
        <f t="shared" si="59"/>
        <v>0.28108475953808865</v>
      </c>
      <c r="F39" s="43">
        <f t="shared" si="59"/>
        <v>0.27268940003217002</v>
      </c>
      <c r="G39" s="43">
        <f t="shared" si="59"/>
        <v>0.27274552430068655</v>
      </c>
      <c r="H39" s="43">
        <f t="shared" si="59"/>
        <v>0.266302924881202</v>
      </c>
      <c r="I39" s="43">
        <f t="shared" si="59"/>
        <v>0.27886827568993022</v>
      </c>
      <c r="J39" s="43">
        <f t="shared" si="59"/>
        <v>0.27983386581469649</v>
      </c>
      <c r="K39" s="43">
        <f t="shared" ref="K39:N39" si="60">+K19/K10</f>
        <v>0.27932307692307695</v>
      </c>
      <c r="L39" s="43">
        <f t="shared" si="60"/>
        <v>0.27742854430967467</v>
      </c>
      <c r="M39" s="43">
        <f t="shared" si="60"/>
        <v>0.27662261202649546</v>
      </c>
      <c r="N39" s="43">
        <f t="shared" si="60"/>
        <v>0.27716508140130802</v>
      </c>
      <c r="T39" s="43">
        <f t="shared" ref="T39:U39" si="61">+T19/T10</f>
        <v>0.25957682026188211</v>
      </c>
      <c r="U39" s="43">
        <f t="shared" si="61"/>
        <v>0.27473721555276825</v>
      </c>
      <c r="V39" s="43">
        <f t="shared" ref="V39:AE39" si="62">+V19/V10</f>
        <v>0.23239883891775664</v>
      </c>
      <c r="W39" s="43">
        <f t="shared" si="62"/>
        <v>0.28376711225328588</v>
      </c>
      <c r="X39" s="43">
        <f t="shared" si="62"/>
        <v>0.28376711225328588</v>
      </c>
      <c r="Y39" s="43">
        <f t="shared" si="62"/>
        <v>0.28376711225328582</v>
      </c>
      <c r="Z39" s="43">
        <f t="shared" si="62"/>
        <v>0.28376711225328582</v>
      </c>
      <c r="AA39" s="43">
        <f t="shared" si="62"/>
        <v>0.28376711225328582</v>
      </c>
      <c r="AB39" s="43">
        <f t="shared" si="62"/>
        <v>0.28376711225328588</v>
      </c>
      <c r="AC39" s="43">
        <f t="shared" si="62"/>
        <v>0.28376711225328594</v>
      </c>
      <c r="AD39" s="43">
        <f t="shared" si="62"/>
        <v>0.28376711225328582</v>
      </c>
      <c r="AE39" s="43">
        <f t="shared" si="62"/>
        <v>0.28376711225328582</v>
      </c>
    </row>
    <row r="40" spans="2:31">
      <c r="B40" s="27" t="s">
        <v>95</v>
      </c>
      <c r="C40" s="43">
        <f t="shared" ref="C40:J40" si="63">+C20/C19</f>
        <v>0.11888371561598444</v>
      </c>
      <c r="D40" s="43">
        <f t="shared" si="63"/>
        <v>0.19090997033406412</v>
      </c>
      <c r="E40" s="43">
        <f t="shared" si="63"/>
        <v>0.17139972232740122</v>
      </c>
      <c r="F40" s="43">
        <f t="shared" si="63"/>
        <v>-7.5492505795400229</v>
      </c>
      <c r="G40" s="43">
        <f t="shared" si="63"/>
        <v>0.23059980447409292</v>
      </c>
      <c r="H40" s="43">
        <f t="shared" si="63"/>
        <v>0.24439195832250349</v>
      </c>
      <c r="I40" s="43">
        <f t="shared" si="63"/>
        <v>0.13280311321901983</v>
      </c>
      <c r="J40" s="43">
        <f>+J20/J19</f>
        <v>0.19064255377448985</v>
      </c>
      <c r="K40" s="43">
        <f>+K20/K19</f>
        <v>0.2</v>
      </c>
      <c r="L40" s="43">
        <f>+L20/L19</f>
        <v>0.2</v>
      </c>
      <c r="M40" s="43">
        <f>+M20/M19</f>
        <v>0.2</v>
      </c>
      <c r="N40" s="43">
        <f>+N20/N19</f>
        <v>0.2</v>
      </c>
      <c r="T40" s="43"/>
      <c r="U40" s="43">
        <f>+U20/U19</f>
        <v>0.19660389260242764</v>
      </c>
      <c r="V40" s="43">
        <f t="shared" ref="V40:AE40" si="64">+V20/V19</f>
        <v>0.19660389260242761</v>
      </c>
      <c r="W40" s="43">
        <f t="shared" si="64"/>
        <v>0.19660389260242761</v>
      </c>
      <c r="X40" s="43">
        <f t="shared" si="64"/>
        <v>0.19660389260242761</v>
      </c>
      <c r="Y40" s="43">
        <f t="shared" si="64"/>
        <v>0.19660389260242761</v>
      </c>
      <c r="Z40" s="43">
        <f t="shared" si="64"/>
        <v>0.19660389260242761</v>
      </c>
      <c r="AA40" s="43">
        <f t="shared" si="64"/>
        <v>0.19660389260242761</v>
      </c>
      <c r="AB40" s="43">
        <f t="shared" si="64"/>
        <v>0.19660389260242761</v>
      </c>
      <c r="AC40" s="43">
        <f t="shared" si="64"/>
        <v>0.19660389260242761</v>
      </c>
      <c r="AD40" s="43">
        <f t="shared" si="64"/>
        <v>0.19660389260242764</v>
      </c>
      <c r="AE40" s="43">
        <f t="shared" si="64"/>
        <v>0.19660389260242764</v>
      </c>
    </row>
    <row r="41" spans="2:31">
      <c r="B41" s="27"/>
      <c r="C41" s="21"/>
      <c r="D41" s="21"/>
      <c r="E41" s="21"/>
      <c r="F41" s="21"/>
      <c r="G41" s="21"/>
      <c r="H41" s="21"/>
      <c r="I41" s="21"/>
      <c r="J41" s="21"/>
    </row>
    <row r="42" spans="2:31" s="14" customFormat="1">
      <c r="B42" s="41" t="s">
        <v>116</v>
      </c>
      <c r="C42" s="16">
        <f>+SUM(C43:C44)</f>
        <v>1286.3890000000001</v>
      </c>
      <c r="D42" s="16">
        <f t="shared" ref="D42:N42" si="65">+SUM(D43:D44)</f>
        <v>1307.2449999999999</v>
      </c>
      <c r="E42" s="16">
        <f t="shared" si="65"/>
        <v>1462.35</v>
      </c>
      <c r="F42" s="16">
        <f t="shared" si="65"/>
        <v>862.94600000000003</v>
      </c>
      <c r="G42" s="16">
        <f t="shared" si="65"/>
        <v>1026.664</v>
      </c>
      <c r="H42" s="16">
        <f t="shared" si="65"/>
        <v>1146.077</v>
      </c>
      <c r="I42" s="16">
        <f t="shared" si="65"/>
        <v>1269.4839999999999</v>
      </c>
      <c r="J42" s="16">
        <f t="shared" si="65"/>
        <v>1256.5449999999998</v>
      </c>
      <c r="K42" s="16">
        <f t="shared" si="65"/>
        <v>1451.1229238551653</v>
      </c>
      <c r="L42" s="16">
        <f t="shared" si="65"/>
        <v>1489.9021467517362</v>
      </c>
      <c r="M42" s="16">
        <f t="shared" si="65"/>
        <v>1492.8772847888192</v>
      </c>
      <c r="N42" s="16">
        <f t="shared" si="65"/>
        <v>1568.4506784185432</v>
      </c>
      <c r="O42" s="47"/>
      <c r="P42" s="47"/>
      <c r="Q42" s="47"/>
      <c r="R42" s="47"/>
      <c r="U42" s="14">
        <f>+J42</f>
        <v>1256.5449999999998</v>
      </c>
      <c r="V42" s="14">
        <f>+U42*1.03</f>
        <v>1294.2413499999998</v>
      </c>
      <c r="W42" s="14">
        <f t="shared" ref="W42:AE42" si="66">+V42*1.03</f>
        <v>1333.0685904999998</v>
      </c>
      <c r="X42" s="14">
        <f t="shared" si="66"/>
        <v>1373.0606482149999</v>
      </c>
      <c r="Y42" s="14">
        <f t="shared" si="66"/>
        <v>1414.2524676614498</v>
      </c>
      <c r="Z42" s="14">
        <f t="shared" si="66"/>
        <v>1456.6800416912934</v>
      </c>
      <c r="AA42" s="14">
        <f t="shared" si="66"/>
        <v>1500.3804429420322</v>
      </c>
      <c r="AB42" s="14">
        <f t="shared" si="66"/>
        <v>1545.3918562302933</v>
      </c>
      <c r="AC42" s="14">
        <f t="shared" si="66"/>
        <v>1591.7536119172021</v>
      </c>
      <c r="AD42" s="14">
        <f t="shared" si="66"/>
        <v>1639.5062202747181</v>
      </c>
      <c r="AE42" s="14">
        <f t="shared" si="66"/>
        <v>1688.6914068829597</v>
      </c>
    </row>
    <row r="43" spans="2:31" s="14" customFormat="1">
      <c r="B43" s="41" t="s">
        <v>3</v>
      </c>
      <c r="C43" s="15">
        <v>488.27300000000002</v>
      </c>
      <c r="D43" s="15">
        <v>550.47500000000002</v>
      </c>
      <c r="E43" s="15">
        <v>700.34699999999998</v>
      </c>
      <c r="F43" s="15">
        <v>691.81600000000003</v>
      </c>
      <c r="G43" s="15">
        <v>637.35400000000004</v>
      </c>
      <c r="H43" s="15">
        <v>787.38199999999995</v>
      </c>
      <c r="I43" s="15">
        <v>1081.251</v>
      </c>
      <c r="J43" s="15">
        <v>1099.3019999999999</v>
      </c>
      <c r="K43" s="16">
        <f>+K104</f>
        <v>1177.7526738551653</v>
      </c>
      <c r="L43" s="16">
        <f>+L104</f>
        <v>1245.5168342517361</v>
      </c>
      <c r="M43" s="16">
        <f>+M104</f>
        <v>1277.0693941638192</v>
      </c>
      <c r="N43" s="16">
        <f>+N104</f>
        <v>1345.7490651372932</v>
      </c>
      <c r="O43" s="47"/>
      <c r="P43" s="47"/>
      <c r="Q43" s="47"/>
      <c r="R43" s="47"/>
    </row>
    <row r="44" spans="2:31" s="14" customFormat="1">
      <c r="B44" s="41" t="s">
        <v>98</v>
      </c>
      <c r="C44" s="15">
        <v>798.11599999999999</v>
      </c>
      <c r="D44" s="15">
        <v>756.77</v>
      </c>
      <c r="E44" s="15">
        <v>762.00300000000004</v>
      </c>
      <c r="F44" s="15">
        <v>171.13</v>
      </c>
      <c r="G44" s="15">
        <v>389.31</v>
      </c>
      <c r="H44" s="15">
        <v>358.69499999999999</v>
      </c>
      <c r="I44" s="15">
        <v>188.233</v>
      </c>
      <c r="J44" s="15">
        <v>157.24299999999999</v>
      </c>
      <c r="K44" s="16">
        <f>AVERAGE(G44:J44)</f>
        <v>273.37025</v>
      </c>
      <c r="L44" s="16">
        <f>AVERAGE(H44:K44)</f>
        <v>244.3853125</v>
      </c>
      <c r="M44" s="16">
        <f>AVERAGE(I44:L44)</f>
        <v>215.80789062500003</v>
      </c>
      <c r="N44" s="16">
        <f>AVERAGE(J44:M44)</f>
        <v>222.70161328124999</v>
      </c>
      <c r="O44" s="47"/>
      <c r="P44" s="47"/>
      <c r="Q44" s="47"/>
      <c r="R44" s="47"/>
    </row>
    <row r="45" spans="2:31" s="14" customFormat="1">
      <c r="B45" s="41" t="s">
        <v>99</v>
      </c>
      <c r="C45" s="15">
        <v>194.428</v>
      </c>
      <c r="D45" s="15">
        <v>157.88999999999999</v>
      </c>
      <c r="E45" s="15">
        <v>164.70400000000001</v>
      </c>
      <c r="F45" s="15">
        <v>172.518</v>
      </c>
      <c r="G45" s="15">
        <v>214.86600000000001</v>
      </c>
      <c r="H45" s="15">
        <v>194.821</v>
      </c>
      <c r="I45" s="15">
        <v>241.56</v>
      </c>
      <c r="J45" s="15">
        <v>255.626</v>
      </c>
      <c r="K45" s="16">
        <f>+K10/90 *J64</f>
        <v>265.42635782747595</v>
      </c>
      <c r="L45" s="16">
        <f>+L10/90 *K64</f>
        <v>278.98160025207653</v>
      </c>
      <c r="M45" s="16">
        <f>+M10/90 *L64</f>
        <v>305.83142280628317</v>
      </c>
      <c r="N45" s="16">
        <f>+N10/90 *M64</f>
        <v>316.72816844249184</v>
      </c>
      <c r="O45" s="47"/>
      <c r="P45" s="47"/>
      <c r="Q45" s="47"/>
      <c r="R45" s="47"/>
    </row>
    <row r="46" spans="2:31" s="14" customFormat="1">
      <c r="B46" s="41" t="s">
        <v>100</v>
      </c>
      <c r="C46" s="15">
        <v>395.99</v>
      </c>
      <c r="D46" s="15">
        <v>426.75099999999998</v>
      </c>
      <c r="E46" s="15">
        <v>424.94200000000001</v>
      </c>
      <c r="F46" s="15">
        <v>419.61099999999999</v>
      </c>
      <c r="G46" s="15">
        <v>454.79300000000001</v>
      </c>
      <c r="H46" s="15">
        <v>490.642</v>
      </c>
      <c r="I46" s="15">
        <v>505.68</v>
      </c>
      <c r="J46" s="15">
        <v>564.649</v>
      </c>
      <c r="K46" s="16">
        <f>+(K14/90) *J65</f>
        <v>586.29688498402538</v>
      </c>
      <c r="L46" s="16">
        <f t="shared" ref="L46:N46" si="67">+L14/90*K65</f>
        <v>617.95443355174291</v>
      </c>
      <c r="M46" s="16">
        <f t="shared" si="67"/>
        <v>676.9649810623049</v>
      </c>
      <c r="N46" s="16">
        <f t="shared" si="67"/>
        <v>699.61679791134145</v>
      </c>
      <c r="O46" s="47"/>
      <c r="P46" s="47"/>
      <c r="Q46" s="47"/>
      <c r="R46" s="47"/>
    </row>
    <row r="47" spans="2:31" s="14" customFormat="1">
      <c r="B47" s="41" t="s">
        <v>101</v>
      </c>
      <c r="C47" s="15">
        <v>99.685000000000002</v>
      </c>
      <c r="D47" s="15">
        <v>105.547</v>
      </c>
      <c r="E47" s="15">
        <v>108.45399999999999</v>
      </c>
      <c r="F47" s="15">
        <v>109.97799999999999</v>
      </c>
      <c r="G47" s="15">
        <v>92.063000000000002</v>
      </c>
      <c r="H47" s="15">
        <v>87.216999999999999</v>
      </c>
      <c r="I47" s="15">
        <v>96.021000000000001</v>
      </c>
      <c r="J47" s="15">
        <v>106.982</v>
      </c>
      <c r="K47" s="16">
        <f>AVERAGE(G47:J47)</f>
        <v>95.570750000000004</v>
      </c>
      <c r="L47" s="16">
        <f>AVERAGE(H47:K47)</f>
        <v>96.447687500000001</v>
      </c>
      <c r="M47" s="16">
        <f>AVERAGE(I47:L47)</f>
        <v>98.755359375000012</v>
      </c>
      <c r="N47" s="16">
        <f>AVERAGE(J47:M47)</f>
        <v>99.438949218749997</v>
      </c>
      <c r="O47" s="47"/>
      <c r="P47" s="47"/>
      <c r="Q47" s="47"/>
      <c r="R47" s="47"/>
    </row>
    <row r="48" spans="2:31" s="14" customFormat="1">
      <c r="B48" s="41" t="s">
        <v>102</v>
      </c>
      <c r="C48" s="15">
        <v>375.57299999999998</v>
      </c>
      <c r="D48" s="15">
        <v>400.53399999999999</v>
      </c>
      <c r="E48" s="15">
        <v>436.26499999999999</v>
      </c>
      <c r="F48" s="15">
        <v>494.94499999999999</v>
      </c>
      <c r="G48" s="15">
        <v>527.34799999999996</v>
      </c>
      <c r="H48" s="15">
        <v>563.88499999999999</v>
      </c>
      <c r="I48" s="15">
        <v>597.31100000000004</v>
      </c>
      <c r="J48" s="15">
        <v>627.68899999999996</v>
      </c>
      <c r="K48" s="16">
        <f>AVERAGE(G48:J48)</f>
        <v>579.05824999999993</v>
      </c>
      <c r="L48" s="16">
        <f>AVERAGE(H48:K48)</f>
        <v>591.98581249999995</v>
      </c>
      <c r="M48" s="16">
        <f>AVERAGE(I48:L48)</f>
        <v>599.01101562500003</v>
      </c>
      <c r="N48" s="16">
        <f>AVERAGE(J48:M48)</f>
        <v>599.43601953124994</v>
      </c>
      <c r="O48" s="47"/>
      <c r="P48" s="47"/>
      <c r="Q48" s="47"/>
      <c r="R48" s="47"/>
    </row>
    <row r="49" spans="2:18" s="14" customFormat="1">
      <c r="B49" s="41" t="s">
        <v>103</v>
      </c>
      <c r="C49" s="15">
        <v>9.5180000000000007</v>
      </c>
      <c r="D49" s="15">
        <v>10.512</v>
      </c>
      <c r="E49" s="15">
        <v>10.225</v>
      </c>
      <c r="F49" s="15">
        <v>9.9380000000000006</v>
      </c>
      <c r="G49" s="15">
        <v>9.6509999999999998</v>
      </c>
      <c r="H49" s="15">
        <v>9.3640000000000008</v>
      </c>
      <c r="I49" s="15">
        <v>9.077</v>
      </c>
      <c r="J49" s="15">
        <v>8.7899999999999991</v>
      </c>
      <c r="K49" s="16">
        <f>AVERAGE(G49:J49)</f>
        <v>9.2204999999999995</v>
      </c>
      <c r="L49" s="16">
        <f>AVERAGE(H49:K49)</f>
        <v>9.1128750000000007</v>
      </c>
      <c r="M49" s="16">
        <f>AVERAGE(I49:L49)</f>
        <v>9.0500937500000003</v>
      </c>
      <c r="N49" s="16">
        <f>AVERAGE(J49:M49)</f>
        <v>9.0433671875000012</v>
      </c>
      <c r="O49" s="47"/>
      <c r="P49" s="47"/>
      <c r="Q49" s="47"/>
      <c r="R49" s="47"/>
    </row>
    <row r="50" spans="2:18" s="14" customFormat="1">
      <c r="B50" s="41" t="s">
        <v>104</v>
      </c>
      <c r="C50" s="15">
        <v>27.311</v>
      </c>
      <c r="D50" s="15">
        <v>26.08</v>
      </c>
      <c r="E50" s="15">
        <v>26.08</v>
      </c>
      <c r="F50" s="15">
        <v>25.943999999999999</v>
      </c>
      <c r="G50" s="15">
        <v>25.943999999999999</v>
      </c>
      <c r="H50" s="15">
        <v>25.943999999999999</v>
      </c>
      <c r="I50" s="15">
        <v>25.943999999999999</v>
      </c>
      <c r="J50" s="15">
        <v>25.943999999999999</v>
      </c>
      <c r="K50" s="16">
        <f>AVERAGE(G50:J50)</f>
        <v>25.943999999999999</v>
      </c>
      <c r="L50" s="16">
        <f>AVERAGE(H50:K50)</f>
        <v>25.943999999999999</v>
      </c>
      <c r="M50" s="16">
        <f>AVERAGE(I50:L50)</f>
        <v>25.943999999999999</v>
      </c>
      <c r="N50" s="16">
        <f>AVERAGE(J50:M50)</f>
        <v>25.943999999999999</v>
      </c>
      <c r="O50" s="47"/>
      <c r="P50" s="47"/>
      <c r="Q50" s="47"/>
      <c r="R50" s="47"/>
    </row>
    <row r="51" spans="2:18" s="14" customFormat="1">
      <c r="B51" s="41" t="s">
        <v>105</v>
      </c>
      <c r="C51" s="15">
        <v>32.783999999999999</v>
      </c>
      <c r="D51" s="15">
        <v>29.707000000000001</v>
      </c>
      <c r="E51" s="15">
        <v>30.696999999999999</v>
      </c>
      <c r="F51" s="15">
        <v>1326.84</v>
      </c>
      <c r="G51" s="15">
        <v>1318.4570000000001</v>
      </c>
      <c r="H51" s="15">
        <v>1309.981</v>
      </c>
      <c r="I51" s="15">
        <v>1300.26</v>
      </c>
      <c r="J51" s="15">
        <v>1281.4880000000001</v>
      </c>
      <c r="K51" s="16">
        <f>AVERAGE(G51:J51)</f>
        <v>1302.5465000000002</v>
      </c>
      <c r="L51" s="16">
        <f>AVERAGE(H51:K51)</f>
        <v>1298.5688750000002</v>
      </c>
      <c r="M51" s="16">
        <f>AVERAGE(I51:L51)</f>
        <v>1295.71584375</v>
      </c>
      <c r="N51" s="16">
        <f>AVERAGE(J51:M51)</f>
        <v>1294.5798046875002</v>
      </c>
      <c r="O51" s="47"/>
      <c r="P51" s="47"/>
      <c r="Q51" s="47"/>
      <c r="R51" s="47"/>
    </row>
    <row r="52" spans="2:18" s="14" customFormat="1">
      <c r="B52" s="41" t="s">
        <v>106</v>
      </c>
      <c r="C52" s="15">
        <v>157.023</v>
      </c>
      <c r="D52" s="15">
        <v>183.86600000000001</v>
      </c>
      <c r="E52" s="15">
        <v>191.023</v>
      </c>
      <c r="F52" s="15">
        <v>194.37700000000001</v>
      </c>
      <c r="G52" s="15">
        <v>135.97399999999999</v>
      </c>
      <c r="H52" s="15">
        <v>144.279</v>
      </c>
      <c r="I52" s="15">
        <v>161.05500000000001</v>
      </c>
      <c r="J52" s="15">
        <v>165.09100000000001</v>
      </c>
      <c r="K52" s="16">
        <f>AVERAGE(G52:J52)</f>
        <v>151.59975</v>
      </c>
      <c r="L52" s="16">
        <f>AVERAGE(H52:K52)</f>
        <v>155.50618750000001</v>
      </c>
      <c r="M52" s="16">
        <f>AVERAGE(I52:L52)</f>
        <v>158.31298437500001</v>
      </c>
      <c r="N52" s="16">
        <f>AVERAGE(J52:M52)</f>
        <v>157.62748046875001</v>
      </c>
      <c r="O52" s="47"/>
      <c r="P52" s="47"/>
      <c r="Q52" s="47"/>
      <c r="R52" s="47"/>
    </row>
    <row r="53" spans="2:18" s="20" customFormat="1">
      <c r="B53" s="42" t="s">
        <v>107</v>
      </c>
      <c r="C53" s="23">
        <f t="shared" ref="C53:J53" si="68">+SUM(C43:C52)</f>
        <v>2578.7010000000005</v>
      </c>
      <c r="D53" s="23">
        <f t="shared" si="68"/>
        <v>2648.1319999999996</v>
      </c>
      <c r="E53" s="23">
        <f t="shared" si="68"/>
        <v>2854.7400000000002</v>
      </c>
      <c r="F53" s="23">
        <f t="shared" si="68"/>
        <v>3617.0970000000002</v>
      </c>
      <c r="G53" s="23">
        <f t="shared" si="68"/>
        <v>3805.76</v>
      </c>
      <c r="H53" s="23">
        <f t="shared" si="68"/>
        <v>3972.2099999999996</v>
      </c>
      <c r="I53" s="23">
        <f t="shared" si="68"/>
        <v>4206.3920000000007</v>
      </c>
      <c r="J53" s="23">
        <f t="shared" si="68"/>
        <v>4292.8040000000001</v>
      </c>
      <c r="K53" s="23">
        <f t="shared" ref="K53" si="69">+SUM(K43:K52)</f>
        <v>4466.7859166666667</v>
      </c>
      <c r="L53" s="23">
        <f t="shared" ref="L53" si="70">+SUM(L43:L52)</f>
        <v>4564.4036180555559</v>
      </c>
      <c r="M53" s="23">
        <f t="shared" ref="M53" si="71">+SUM(M43:M52)</f>
        <v>4662.4629855324074</v>
      </c>
      <c r="N53" s="23">
        <f t="shared" ref="N53" si="72">+SUM(N43:N52)</f>
        <v>4770.8652658661267</v>
      </c>
      <c r="O53" s="48"/>
      <c r="P53" s="48"/>
      <c r="Q53" s="48"/>
      <c r="R53" s="48"/>
    </row>
    <row r="54" spans="2:18" s="14" customFormat="1">
      <c r="B54" s="41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47"/>
      <c r="P54" s="47"/>
      <c r="Q54" s="47"/>
      <c r="R54" s="47"/>
    </row>
    <row r="55" spans="2:18" s="14" customFormat="1">
      <c r="B55" s="41" t="s">
        <v>110</v>
      </c>
      <c r="C55" s="15">
        <v>103.471</v>
      </c>
      <c r="D55" s="15">
        <v>99.894000000000005</v>
      </c>
      <c r="E55" s="15">
        <v>115.86499999999999</v>
      </c>
      <c r="F55" s="15">
        <v>102.526</v>
      </c>
      <c r="G55" s="15">
        <v>127.31</v>
      </c>
      <c r="H55" s="15">
        <v>129.91900000000001</v>
      </c>
      <c r="I55" s="15">
        <v>141.68899999999999</v>
      </c>
      <c r="J55" s="15">
        <v>138.27199999999999</v>
      </c>
      <c r="K55" s="16">
        <f>+K14/90*J66</f>
        <v>143.57316293929705</v>
      </c>
      <c r="L55" s="16">
        <f>+L14/90*K66</f>
        <v>151.3255056434468</v>
      </c>
      <c r="M55" s="16">
        <f>+M14/90*L66</f>
        <v>165.77608720009604</v>
      </c>
      <c r="N55" s="16">
        <f>+N14/90*M66</f>
        <v>171.32309431309898</v>
      </c>
      <c r="O55" s="47"/>
      <c r="P55" s="47"/>
      <c r="Q55" s="47"/>
      <c r="R55" s="47"/>
    </row>
    <row r="56" spans="2:18" s="14" customFormat="1">
      <c r="B56" s="41" t="s">
        <v>111</v>
      </c>
      <c r="C56" s="15">
        <v>70.540999999999997</v>
      </c>
      <c r="D56" s="15">
        <v>63.917000000000002</v>
      </c>
      <c r="E56" s="15">
        <v>81.292000000000002</v>
      </c>
      <c r="F56" s="15">
        <v>63.917999999999999</v>
      </c>
      <c r="G56" s="15">
        <v>74.784999999999997</v>
      </c>
      <c r="H56" s="15">
        <v>81.296000000000006</v>
      </c>
      <c r="I56" s="15">
        <v>99.602000000000004</v>
      </c>
      <c r="J56" s="15">
        <v>85.962999999999994</v>
      </c>
      <c r="K56" s="16">
        <f>AVERAGE(G56:J56)</f>
        <v>85.411500000000004</v>
      </c>
      <c r="L56" s="16">
        <f>AVERAGE(H56:K56)</f>
        <v>88.068124999999995</v>
      </c>
      <c r="M56" s="16">
        <f>AVERAGE(I56:L56)</f>
        <v>89.761156249999999</v>
      </c>
      <c r="N56" s="16">
        <f>AVERAGE(J56:M56)</f>
        <v>87.300945312500005</v>
      </c>
      <c r="O56" s="47"/>
      <c r="P56" s="47"/>
      <c r="Q56" s="47"/>
      <c r="R56" s="47"/>
    </row>
    <row r="57" spans="2:18" s="14" customFormat="1">
      <c r="B57" s="41" t="s">
        <v>112</v>
      </c>
      <c r="C57" s="15">
        <v>137.86799999999999</v>
      </c>
      <c r="D57" s="15">
        <v>131.34800000000001</v>
      </c>
      <c r="E57" s="15">
        <v>139.43100000000001</v>
      </c>
      <c r="F57" s="15">
        <v>128.12299999999999</v>
      </c>
      <c r="G57" s="15">
        <v>161.30600000000001</v>
      </c>
      <c r="H57" s="15">
        <v>172.29300000000001</v>
      </c>
      <c r="I57" s="15">
        <v>201.51300000000001</v>
      </c>
      <c r="J57" s="15">
        <v>145.13</v>
      </c>
      <c r="K57" s="16">
        <f>AVERAGE(G57:J57)</f>
        <v>170.06050000000002</v>
      </c>
      <c r="L57" s="16">
        <f>AVERAGE(H57:K57)</f>
        <v>172.24912500000002</v>
      </c>
      <c r="M57" s="16">
        <f>AVERAGE(I57:L57)</f>
        <v>172.23815625000003</v>
      </c>
      <c r="N57" s="16">
        <f>AVERAGE(J57:M57)</f>
        <v>164.91944531250005</v>
      </c>
      <c r="O57" s="47"/>
      <c r="P57" s="47"/>
      <c r="Q57" s="47"/>
      <c r="R57" s="47"/>
    </row>
    <row r="58" spans="2:18" s="14" customFormat="1">
      <c r="B58" s="41" t="s">
        <v>113</v>
      </c>
      <c r="C58" s="15">
        <v>66.337000000000003</v>
      </c>
      <c r="D58" s="15">
        <v>60.44</v>
      </c>
      <c r="E58" s="15">
        <v>64.656000000000006</v>
      </c>
      <c r="F58" s="15">
        <v>65.192999999999998</v>
      </c>
      <c r="G58" s="15">
        <v>69.534999999999997</v>
      </c>
      <c r="H58" s="15">
        <v>73.185000000000002</v>
      </c>
      <c r="I58" s="15">
        <v>78.260999999999996</v>
      </c>
      <c r="J58" s="15">
        <v>75.022000000000006</v>
      </c>
      <c r="K58" s="16">
        <f>AVERAGE(G58:J58)</f>
        <v>74.000749999999996</v>
      </c>
      <c r="L58" s="16">
        <f>AVERAGE(H58:K58)</f>
        <v>75.1171875</v>
      </c>
      <c r="M58" s="16">
        <f>AVERAGE(I58:L58)</f>
        <v>75.600234374999999</v>
      </c>
      <c r="N58" s="16">
        <f>AVERAGE(J58:M58)</f>
        <v>74.935042968749997</v>
      </c>
      <c r="O58" s="47"/>
      <c r="P58" s="47"/>
      <c r="Q58" s="47"/>
      <c r="R58" s="47"/>
    </row>
    <row r="59" spans="2:18" s="14" customFormat="1">
      <c r="B59" s="41" t="s">
        <v>114</v>
      </c>
      <c r="C59" s="15">
        <v>86.927000000000007</v>
      </c>
      <c r="D59" s="15">
        <v>96.674999999999997</v>
      </c>
      <c r="E59" s="15">
        <v>101.806</v>
      </c>
      <c r="F59" s="15">
        <v>111.57</v>
      </c>
      <c r="G59" s="15">
        <v>105.81399999999999</v>
      </c>
      <c r="H59" s="15">
        <v>113.449</v>
      </c>
      <c r="I59" s="15">
        <v>117.38</v>
      </c>
      <c r="J59" s="15">
        <v>127.83499999999999</v>
      </c>
      <c r="K59" s="16">
        <f>AVERAGE(G59:J59)</f>
        <v>116.11949999999999</v>
      </c>
      <c r="L59" s="16">
        <f>AVERAGE(H59:K59)</f>
        <v>118.695875</v>
      </c>
      <c r="M59" s="16">
        <f>AVERAGE(I59:L59)</f>
        <v>120.00759374999998</v>
      </c>
      <c r="N59" s="16">
        <f>AVERAGE(J59:M59)</f>
        <v>120.6644921875</v>
      </c>
      <c r="O59" s="47"/>
      <c r="P59" s="47"/>
      <c r="Q59" s="47"/>
      <c r="R59" s="47"/>
    </row>
    <row r="60" spans="2:18" s="14" customFormat="1">
      <c r="B60" s="41" t="s">
        <v>115</v>
      </c>
      <c r="C60" s="16">
        <f t="shared" ref="C60:K60" si="73">+SUM(C55:C59)</f>
        <v>465.14400000000001</v>
      </c>
      <c r="D60" s="16">
        <f t="shared" si="73"/>
        <v>452.274</v>
      </c>
      <c r="E60" s="16">
        <f t="shared" si="73"/>
        <v>503.04999999999995</v>
      </c>
      <c r="F60" s="16">
        <f t="shared" si="73"/>
        <v>471.33</v>
      </c>
      <c r="G60" s="16">
        <f t="shared" si="73"/>
        <v>538.75</v>
      </c>
      <c r="H60" s="16">
        <f t="shared" si="73"/>
        <v>570.14200000000005</v>
      </c>
      <c r="I60" s="16">
        <f t="shared" si="73"/>
        <v>638.44499999999994</v>
      </c>
      <c r="J60" s="16">
        <f t="shared" si="73"/>
        <v>572.22199999999998</v>
      </c>
      <c r="K60" s="16">
        <f t="shared" si="73"/>
        <v>589.16541293929697</v>
      </c>
      <c r="L60" s="16">
        <f t="shared" ref="L60" si="74">+SUM(L55:L59)</f>
        <v>605.45581814344678</v>
      </c>
      <c r="M60" s="16">
        <f t="shared" ref="M60" si="75">+SUM(M55:M59)</f>
        <v>623.38322782509601</v>
      </c>
      <c r="N60" s="16">
        <f t="shared" ref="N60" si="76">+SUM(N55:N59)</f>
        <v>619.14302009434903</v>
      </c>
      <c r="O60" s="47"/>
      <c r="P60" s="47"/>
      <c r="Q60" s="47"/>
      <c r="R60" s="47"/>
    </row>
    <row r="61" spans="2:18" s="14" customFormat="1">
      <c r="B61" s="41" t="s">
        <v>109</v>
      </c>
      <c r="C61" s="15">
        <v>2113.5569999999998</v>
      </c>
      <c r="D61" s="15">
        <v>2195.8580000000002</v>
      </c>
      <c r="E61" s="15">
        <v>2351.69</v>
      </c>
      <c r="F61" s="15">
        <v>3145.7669999999998</v>
      </c>
      <c r="G61" s="15">
        <v>3267.01</v>
      </c>
      <c r="H61" s="15">
        <v>3402.0680000000002</v>
      </c>
      <c r="I61" s="15">
        <v>3567.9470000000001</v>
      </c>
      <c r="J61" s="15">
        <v>3720.5819999999999</v>
      </c>
      <c r="K61" s="16">
        <f>+J61*1.01</f>
        <v>3757.78782</v>
      </c>
      <c r="L61" s="16">
        <f>+K61*1.01</f>
        <v>3795.3656982000002</v>
      </c>
      <c r="M61" s="16">
        <f>+L61*1.01</f>
        <v>3833.3193551820004</v>
      </c>
      <c r="N61" s="16">
        <f>+M61*1.01</f>
        <v>3871.6525487338204</v>
      </c>
      <c r="O61" s="47"/>
      <c r="P61" s="47"/>
      <c r="Q61" s="47"/>
      <c r="R61" s="47"/>
    </row>
    <row r="62" spans="2:18" s="20" customFormat="1">
      <c r="B62" s="42" t="s">
        <v>108</v>
      </c>
      <c r="C62" s="23">
        <f t="shared" ref="C62:N62" si="77">SUM(C60:C61)</f>
        <v>2578.701</v>
      </c>
      <c r="D62" s="23">
        <f t="shared" si="77"/>
        <v>2648.1320000000001</v>
      </c>
      <c r="E62" s="23">
        <f t="shared" si="77"/>
        <v>2854.74</v>
      </c>
      <c r="F62" s="23">
        <f t="shared" si="77"/>
        <v>3617.0969999999998</v>
      </c>
      <c r="G62" s="23">
        <f t="shared" si="77"/>
        <v>3805.76</v>
      </c>
      <c r="H62" s="23">
        <f t="shared" si="77"/>
        <v>3972.21</v>
      </c>
      <c r="I62" s="23">
        <f t="shared" si="77"/>
        <v>4206.3919999999998</v>
      </c>
      <c r="J62" s="23">
        <f t="shared" si="77"/>
        <v>4292.8040000000001</v>
      </c>
      <c r="K62" s="23">
        <f t="shared" si="77"/>
        <v>4346.9532329392969</v>
      </c>
      <c r="L62" s="23">
        <f t="shared" si="77"/>
        <v>4400.821516343447</v>
      </c>
      <c r="M62" s="23">
        <f t="shared" si="77"/>
        <v>4456.7025830070961</v>
      </c>
      <c r="N62" s="23">
        <f t="shared" si="77"/>
        <v>4490.7955688281691</v>
      </c>
      <c r="O62" s="48"/>
      <c r="P62" s="48"/>
      <c r="Q62" s="48"/>
      <c r="R62" s="48"/>
    </row>
    <row r="63" spans="2:18" s="20" customFormat="1">
      <c r="B63" s="42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48"/>
      <c r="P63" s="48"/>
      <c r="Q63" s="48"/>
      <c r="R63" s="48"/>
    </row>
    <row r="64" spans="2:18" s="14" customFormat="1">
      <c r="B64" s="41" t="s">
        <v>146</v>
      </c>
      <c r="C64" s="16">
        <f t="shared" ref="C64:J64" si="78">+(C45/C10) * 90</f>
        <v>38.215971259158962</v>
      </c>
      <c r="D64" s="16">
        <f t="shared" si="78"/>
        <v>28.004004485338886</v>
      </c>
      <c r="E64" s="16">
        <f t="shared" si="78"/>
        <v>23.90405712451965</v>
      </c>
      <c r="F64" s="16">
        <f t="shared" si="78"/>
        <v>24.974457133665762</v>
      </c>
      <c r="G64" s="16">
        <f t="shared" si="78"/>
        <v>30.331454276814203</v>
      </c>
      <c r="H64" s="16">
        <f t="shared" si="78"/>
        <v>26.383653287670001</v>
      </c>
      <c r="I64" s="16">
        <f t="shared" si="78"/>
        <v>29.49146472484183</v>
      </c>
      <c r="J64" s="16">
        <f>+(J45/J10) * 90</f>
        <v>30.626118210862614</v>
      </c>
      <c r="K64" s="16">
        <f>+(K45/K10) * 90</f>
        <v>30.626118210862611</v>
      </c>
      <c r="L64" s="16">
        <f>+(L45/L10) * 90</f>
        <v>30.626118210862611</v>
      </c>
      <c r="M64" s="16">
        <f>+(M45/M10) * 90</f>
        <v>30.626118210862611</v>
      </c>
      <c r="N64" s="16">
        <f>+(N45/N10) * 90</f>
        <v>30.626118210862607</v>
      </c>
      <c r="O64" s="47"/>
      <c r="P64" s="47"/>
      <c r="Q64" s="47"/>
      <c r="R64" s="47"/>
    </row>
    <row r="65" spans="2:18" s="14" customFormat="1">
      <c r="B65" s="41" t="s">
        <v>148</v>
      </c>
      <c r="C65" s="16">
        <f>+(C46/C14) * 90</f>
        <v>173.47354996982148</v>
      </c>
      <c r="D65" s="16">
        <f t="shared" ref="D65:J65" si="79">+(D46/D14) * 90</f>
        <v>169.30607045090872</v>
      </c>
      <c r="E65" s="16">
        <f t="shared" si="79"/>
        <v>138.22948141508482</v>
      </c>
      <c r="F65" s="16">
        <f t="shared" si="79"/>
        <v>136.20932925047876</v>
      </c>
      <c r="G65" s="16">
        <f t="shared" si="79"/>
        <v>143.96030584825763</v>
      </c>
      <c r="H65" s="16">
        <f t="shared" si="79"/>
        <v>147.90352293356736</v>
      </c>
      <c r="I65" s="16">
        <f t="shared" si="79"/>
        <v>137.51767649298378</v>
      </c>
      <c r="J65" s="16">
        <f t="shared" si="79"/>
        <v>151.00366199794612</v>
      </c>
      <c r="K65" s="16">
        <f>+(K46/K14) * 90</f>
        <v>151.00366199794612</v>
      </c>
      <c r="L65" s="16">
        <f>+(L46/L14) * 90</f>
        <v>151.0036619979461</v>
      </c>
      <c r="M65" s="16">
        <f>+(M46/M14) * 90</f>
        <v>151.0036619979461</v>
      </c>
      <c r="N65" s="16">
        <f>+(N46/N14) * 90</f>
        <v>151.0036619979461</v>
      </c>
      <c r="O65" s="47"/>
      <c r="P65" s="47"/>
      <c r="Q65" s="47"/>
      <c r="R65" s="47"/>
    </row>
    <row r="66" spans="2:18" s="14" customFormat="1">
      <c r="B66" s="41" t="s">
        <v>147</v>
      </c>
      <c r="C66" s="16">
        <f t="shared" ref="C66:J66" si="80">+(C55/C14) * 90</f>
        <v>45.328118611397755</v>
      </c>
      <c r="D66" s="16">
        <f t="shared" si="80"/>
        <v>39.631214927728529</v>
      </c>
      <c r="E66" s="16">
        <f t="shared" si="80"/>
        <v>37.689752634850876</v>
      </c>
      <c r="F66" s="16">
        <f t="shared" si="80"/>
        <v>33.280818879234779</v>
      </c>
      <c r="G66" s="16">
        <f t="shared" si="80"/>
        <v>40.298743686779872</v>
      </c>
      <c r="H66" s="16">
        <f t="shared" si="80"/>
        <v>39.163948043596221</v>
      </c>
      <c r="I66" s="16">
        <f t="shared" si="80"/>
        <v>38.531763298161643</v>
      </c>
      <c r="J66" s="16">
        <f>+(J55/J14) * 90</f>
        <v>36.977978092195336</v>
      </c>
      <c r="K66" s="16">
        <f>+(K55/K14) * 90</f>
        <v>36.977978092195336</v>
      </c>
      <c r="L66" s="16">
        <f>+(L55/L14) * 90</f>
        <v>36.977978092195336</v>
      </c>
      <c r="M66" s="16">
        <f>+(M55/M14) * 90</f>
        <v>36.977978092195336</v>
      </c>
      <c r="N66" s="16">
        <f>+(N55/N14) * 90</f>
        <v>36.977978092195336</v>
      </c>
      <c r="O66" s="47"/>
      <c r="P66" s="47"/>
      <c r="Q66" s="47"/>
      <c r="R66" s="47"/>
    </row>
    <row r="67" spans="2:18" s="14" customFormat="1">
      <c r="B67" s="41" t="s">
        <v>149</v>
      </c>
      <c r="C67" s="16">
        <f t="shared" ref="C67:I67" si="81">+SUM(C64:C65)-C66</f>
        <v>166.36140261758266</v>
      </c>
      <c r="D67" s="16">
        <f t="shared" si="81"/>
        <v>157.67886000851908</v>
      </c>
      <c r="E67" s="16">
        <f t="shared" si="81"/>
        <v>124.4437859047536</v>
      </c>
      <c r="F67" s="16">
        <f t="shared" si="81"/>
        <v>127.90296750490975</v>
      </c>
      <c r="G67" s="16">
        <f t="shared" si="81"/>
        <v>133.99301643829199</v>
      </c>
      <c r="H67" s="16">
        <f t="shared" si="81"/>
        <v>135.12322817764112</v>
      </c>
      <c r="I67" s="16">
        <f t="shared" si="81"/>
        <v>128.47737791966395</v>
      </c>
      <c r="J67" s="16">
        <f>+SUM(J64:J65)-J66</f>
        <v>144.6518021166134</v>
      </c>
      <c r="K67" s="16">
        <f>+SUM(K64:K65)-K66</f>
        <v>144.6518021166134</v>
      </c>
      <c r="L67" s="16">
        <f>+SUM(L64:L65)-L66</f>
        <v>144.65180211661337</v>
      </c>
      <c r="M67" s="16">
        <f>+SUM(M64:M65)-M66</f>
        <v>144.65180211661337</v>
      </c>
      <c r="N67" s="16">
        <f>+SUM(N64:N65)-N66</f>
        <v>144.65180211661337</v>
      </c>
      <c r="O67" s="47"/>
      <c r="P67" s="47"/>
      <c r="Q67" s="47"/>
      <c r="R67" s="47"/>
    </row>
    <row r="68" spans="2:18" s="14" customFormat="1">
      <c r="B68" s="41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47"/>
      <c r="P68" s="47"/>
      <c r="Q68" s="47"/>
      <c r="R68" s="47"/>
    </row>
    <row r="69" spans="2:18" s="14" customFormat="1">
      <c r="B69" s="41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47"/>
      <c r="P69" s="47"/>
      <c r="Q69" s="47"/>
      <c r="R69" s="47"/>
    </row>
    <row r="70" spans="2:18" s="14" customFormat="1">
      <c r="B70" s="41" t="s">
        <v>118</v>
      </c>
      <c r="C70" s="16">
        <f t="shared" ref="C70:J70" si="82">+C21</f>
        <v>92.541000000000011</v>
      </c>
      <c r="D70" s="16">
        <f t="shared" si="82"/>
        <v>100.36600000000006</v>
      </c>
      <c r="E70" s="16">
        <f t="shared" si="82"/>
        <v>144.43</v>
      </c>
      <c r="F70" s="16">
        <f t="shared" si="82"/>
        <v>1449.3630000000003</v>
      </c>
      <c r="G70" s="16">
        <f t="shared" si="82"/>
        <v>133.79099999999991</v>
      </c>
      <c r="H70" s="16">
        <f t="shared" si="82"/>
        <v>133.72599999999991</v>
      </c>
      <c r="I70" s="16">
        <f t="shared" si="82"/>
        <v>178.274</v>
      </c>
      <c r="J70" s="16">
        <f>+J21</f>
        <v>170.136</v>
      </c>
      <c r="K70" s="16">
        <f>+K21</f>
        <v>174.29760000000002</v>
      </c>
      <c r="L70" s="16">
        <f t="shared" ref="L70:N70" si="83">+L21</f>
        <v>181.95636245588298</v>
      </c>
      <c r="M70" s="16">
        <f t="shared" si="83"/>
        <v>198.88879887573233</v>
      </c>
      <c r="N70" s="16">
        <f t="shared" si="83"/>
        <v>206.37911520000003</v>
      </c>
      <c r="O70" s="47"/>
      <c r="P70" s="47"/>
      <c r="Q70" s="47"/>
      <c r="R70" s="47"/>
    </row>
    <row r="71" spans="2:18" s="14" customFormat="1">
      <c r="B71" s="41" t="s">
        <v>117</v>
      </c>
      <c r="C71" s="15"/>
      <c r="D71" s="15"/>
      <c r="E71" s="15"/>
      <c r="F71" s="15"/>
      <c r="G71" s="15">
        <v>133.791</v>
      </c>
      <c r="H71" s="15">
        <v>133.726</v>
      </c>
      <c r="I71" s="15">
        <v>178.274</v>
      </c>
      <c r="J71" s="16"/>
      <c r="K71" s="16">
        <f>AVERAGE(G71:J71)</f>
        <v>148.59700000000001</v>
      </c>
      <c r="L71" s="16">
        <f>AVERAGE(H71:K71)</f>
        <v>153.53233333333333</v>
      </c>
      <c r="M71" s="16">
        <f>AVERAGE(I71:L71)</f>
        <v>160.13444444444443</v>
      </c>
      <c r="N71" s="16">
        <f>AVERAGE(J71:M71)</f>
        <v>154.0879259259259</v>
      </c>
      <c r="O71" s="50"/>
      <c r="P71" s="47"/>
      <c r="Q71" s="47"/>
      <c r="R71" s="47"/>
    </row>
    <row r="72" spans="2:18" s="14" customFormat="1">
      <c r="B72" s="41" t="s">
        <v>119</v>
      </c>
      <c r="C72" s="15"/>
      <c r="D72" s="15"/>
      <c r="E72" s="15"/>
      <c r="F72" s="15"/>
      <c r="G72" s="15">
        <v>11.449</v>
      </c>
      <c r="H72" s="15">
        <v>13.12</v>
      </c>
      <c r="I72" s="15">
        <v>13.701000000000001</v>
      </c>
      <c r="J72" s="16"/>
      <c r="K72" s="16">
        <f>AVERAGE(G72:J72)</f>
        <v>12.756666666666666</v>
      </c>
      <c r="L72" s="16">
        <f>AVERAGE(H72:K72)</f>
        <v>13.192555555555556</v>
      </c>
      <c r="M72" s="16">
        <f>AVERAGE(I72:L72)</f>
        <v>13.216740740740741</v>
      </c>
      <c r="N72" s="16">
        <f>AVERAGE(J72:M72)</f>
        <v>13.055320987654321</v>
      </c>
      <c r="O72" s="50"/>
      <c r="P72" s="47"/>
      <c r="Q72" s="47"/>
      <c r="R72" s="47"/>
    </row>
    <row r="73" spans="2:18" s="14" customFormat="1">
      <c r="B73" s="41" t="s">
        <v>120</v>
      </c>
      <c r="C73" s="15"/>
      <c r="D73" s="15"/>
      <c r="E73" s="15"/>
      <c r="F73" s="15"/>
      <c r="G73" s="15">
        <v>-0.76800000000000002</v>
      </c>
      <c r="H73" s="15">
        <v>-2.117</v>
      </c>
      <c r="I73" s="15">
        <v>-1.0089999999999999</v>
      </c>
      <c r="J73" s="16"/>
      <c r="K73" s="16">
        <f>AVERAGE(G73:J73)</f>
        <v>-1.2979999999999998</v>
      </c>
      <c r="L73" s="16">
        <f>AVERAGE(H73:K73)</f>
        <v>-1.4746666666666666</v>
      </c>
      <c r="M73" s="16">
        <f>AVERAGE(I73:L73)</f>
        <v>-1.2605555555555554</v>
      </c>
      <c r="N73" s="16">
        <f>AVERAGE(J73:M73)</f>
        <v>-1.3444074074074071</v>
      </c>
      <c r="O73" s="50"/>
      <c r="P73" s="47"/>
      <c r="Q73" s="47"/>
      <c r="R73" s="47"/>
    </row>
    <row r="74" spans="2:18" s="14" customFormat="1">
      <c r="B74" s="41" t="s">
        <v>121</v>
      </c>
      <c r="C74" s="15"/>
      <c r="D74" s="15"/>
      <c r="E74" s="15"/>
      <c r="F74" s="15"/>
      <c r="G74" s="15">
        <v>1.35</v>
      </c>
      <c r="H74" s="15">
        <v>-5.58</v>
      </c>
      <c r="I74" s="15">
        <v>-3.7930000000000001</v>
      </c>
      <c r="J74" s="16"/>
      <c r="K74" s="16">
        <f>AVERAGE(G74:J74)</f>
        <v>-2.6743333333333332</v>
      </c>
      <c r="L74" s="16">
        <f>AVERAGE(H74:K74)</f>
        <v>-4.0157777777777781</v>
      </c>
      <c r="M74" s="16">
        <f>AVERAGE(I74:L74)</f>
        <v>-3.4943703703703703</v>
      </c>
      <c r="N74" s="16">
        <f>AVERAGE(J74:M74)</f>
        <v>-3.3948271604938274</v>
      </c>
      <c r="O74" s="50"/>
      <c r="P74" s="47"/>
      <c r="Q74" s="47"/>
      <c r="R74" s="47"/>
    </row>
    <row r="75" spans="2:18" s="14" customFormat="1">
      <c r="B75" s="41" t="s">
        <v>122</v>
      </c>
      <c r="C75" s="15"/>
      <c r="D75" s="15"/>
      <c r="E75" s="15"/>
      <c r="F75" s="15"/>
      <c r="G75" s="15">
        <v>8.4309999999999992</v>
      </c>
      <c r="H75" s="15">
        <v>8.609</v>
      </c>
      <c r="I75" s="15">
        <v>9.6959999999999997</v>
      </c>
      <c r="J75" s="16"/>
      <c r="K75" s="16">
        <f>AVERAGE(G75:J75)</f>
        <v>8.911999999999999</v>
      </c>
      <c r="L75" s="16">
        <f>AVERAGE(H75:K75)</f>
        <v>9.0723333333333329</v>
      </c>
      <c r="M75" s="16">
        <f>AVERAGE(I75:L75)</f>
        <v>9.2267777777777766</v>
      </c>
      <c r="N75" s="16">
        <f>AVERAGE(J75:M75)</f>
        <v>9.0703703703703695</v>
      </c>
      <c r="O75" s="50"/>
      <c r="P75" s="47"/>
      <c r="Q75" s="47"/>
      <c r="R75" s="47"/>
    </row>
    <row r="76" spans="2:18" s="14" customFormat="1">
      <c r="B76" s="41" t="s">
        <v>123</v>
      </c>
      <c r="C76" s="15"/>
      <c r="D76" s="15"/>
      <c r="E76" s="15"/>
      <c r="F76" s="15"/>
      <c r="G76" s="15">
        <v>52.805999999999997</v>
      </c>
      <c r="H76" s="15">
        <v>60.097999999999999</v>
      </c>
      <c r="I76" s="15">
        <v>60.677</v>
      </c>
      <c r="J76" s="16"/>
      <c r="K76" s="16">
        <f>AVERAGE(G76:J76)</f>
        <v>57.86033333333333</v>
      </c>
      <c r="L76" s="16">
        <f>AVERAGE(H76:K76)</f>
        <v>59.545111111111112</v>
      </c>
      <c r="M76" s="16">
        <f>AVERAGE(I76:L76)</f>
        <v>59.360814814814809</v>
      </c>
      <c r="N76" s="16">
        <f>AVERAGE(J76:M76)</f>
        <v>58.922086419753079</v>
      </c>
      <c r="O76" s="50"/>
      <c r="P76" s="47"/>
      <c r="Q76" s="47"/>
      <c r="R76" s="47"/>
    </row>
    <row r="77" spans="2:18" s="14" customFormat="1">
      <c r="B77" s="41" t="s">
        <v>124</v>
      </c>
      <c r="C77" s="15"/>
      <c r="D77" s="15"/>
      <c r="E77" s="15"/>
      <c r="F77" s="15"/>
      <c r="G77" s="15">
        <v>0.02</v>
      </c>
      <c r="H77" s="15">
        <v>8.9999999999999993E-3</v>
      </c>
      <c r="I77" s="15">
        <v>-0.41899999999999998</v>
      </c>
      <c r="J77" s="16"/>
      <c r="K77" s="16">
        <f>AVERAGE(G77:J77)</f>
        <v>-0.13</v>
      </c>
      <c r="L77" s="16">
        <f>AVERAGE(H77:K77)</f>
        <v>-0.18000000000000002</v>
      </c>
      <c r="M77" s="16">
        <f>AVERAGE(I77:L77)</f>
        <v>-0.24299999999999999</v>
      </c>
      <c r="N77" s="16">
        <f>AVERAGE(J77:M77)</f>
        <v>-0.18433333333333335</v>
      </c>
      <c r="O77" s="50"/>
      <c r="P77" s="47"/>
      <c r="Q77" s="47"/>
      <c r="R77" s="47"/>
    </row>
    <row r="78" spans="2:18" s="14" customFormat="1">
      <c r="B78" s="41" t="s">
        <v>99</v>
      </c>
      <c r="C78" s="15"/>
      <c r="D78" s="15"/>
      <c r="E78" s="15"/>
      <c r="F78" s="15"/>
      <c r="G78" s="15">
        <v>-42.338000000000001</v>
      </c>
      <c r="H78" s="15">
        <v>20.074000000000002</v>
      </c>
      <c r="I78" s="15">
        <v>-46.768999999999998</v>
      </c>
      <c r="J78" s="16"/>
      <c r="K78" s="16">
        <f>+J45-K45</f>
        <v>-9.8003578274759491</v>
      </c>
      <c r="L78" s="16">
        <f>+K45-L45</f>
        <v>-13.555242424600578</v>
      </c>
      <c r="M78" s="16">
        <f>+L45-M45</f>
        <v>-26.849822554206639</v>
      </c>
      <c r="N78" s="16">
        <f>+M45-N45</f>
        <v>-10.896745636208664</v>
      </c>
      <c r="O78" s="50"/>
      <c r="P78" s="47"/>
      <c r="Q78" s="47"/>
      <c r="R78" s="47"/>
    </row>
    <row r="79" spans="2:18" s="14" customFormat="1">
      <c r="B79" s="41" t="s">
        <v>100</v>
      </c>
      <c r="C79" s="15"/>
      <c r="D79" s="15"/>
      <c r="E79" s="15"/>
      <c r="F79" s="15"/>
      <c r="G79" s="15">
        <v>-35.18</v>
      </c>
      <c r="H79" s="15">
        <v>-35.838000000000001</v>
      </c>
      <c r="I79" s="15">
        <v>-15.039</v>
      </c>
      <c r="J79" s="16"/>
      <c r="K79" s="16">
        <f>+J46-K46</f>
        <v>-21.647884984025382</v>
      </c>
      <c r="L79" s="16">
        <f t="shared" ref="L79:N79" si="84">+K46-L46</f>
        <v>-31.657548567717527</v>
      </c>
      <c r="M79" s="16">
        <f t="shared" si="84"/>
        <v>-59.010547510561992</v>
      </c>
      <c r="N79" s="16">
        <f t="shared" si="84"/>
        <v>-22.65181684903655</v>
      </c>
      <c r="O79" s="50"/>
      <c r="P79" s="47"/>
      <c r="Q79" s="47"/>
      <c r="R79" s="47"/>
    </row>
    <row r="80" spans="2:18" s="14" customFormat="1">
      <c r="B80" s="41" t="s">
        <v>125</v>
      </c>
      <c r="C80" s="15"/>
      <c r="D80" s="15"/>
      <c r="E80" s="15"/>
      <c r="F80" s="15"/>
      <c r="G80" s="15">
        <v>78.004999999999995</v>
      </c>
      <c r="H80" s="15">
        <v>5.39</v>
      </c>
      <c r="I80" s="15">
        <v>-10.223000000000001</v>
      </c>
      <c r="J80" s="16"/>
      <c r="K80" s="16"/>
      <c r="L80" s="16"/>
      <c r="M80" s="16"/>
      <c r="N80" s="16"/>
      <c r="O80" s="50"/>
      <c r="P80" s="47"/>
      <c r="Q80" s="47"/>
      <c r="R80" s="47"/>
    </row>
    <row r="81" spans="2:18" s="14" customFormat="1">
      <c r="B81" s="41" t="s">
        <v>110</v>
      </c>
      <c r="C81" s="15"/>
      <c r="D81" s="15"/>
      <c r="E81" s="15"/>
      <c r="F81" s="15"/>
      <c r="G81" s="15">
        <v>21.295999999999999</v>
      </c>
      <c r="H81" s="15">
        <v>15.331</v>
      </c>
      <c r="I81" s="15">
        <v>-2.726</v>
      </c>
      <c r="J81" s="16"/>
      <c r="K81" s="16">
        <f>+J55-K55</f>
        <v>-5.3011629392970576</v>
      </c>
      <c r="L81" s="16">
        <f>+K55-L55</f>
        <v>-7.7523427041497541</v>
      </c>
      <c r="M81" s="16">
        <f>+L55-M55</f>
        <v>-14.45058155664924</v>
      </c>
      <c r="N81" s="16">
        <f>+M55-N55</f>
        <v>-5.5470071130029339</v>
      </c>
      <c r="O81" s="50"/>
      <c r="P81" s="47"/>
      <c r="Q81" s="47"/>
      <c r="R81" s="47"/>
    </row>
    <row r="82" spans="2:18" s="14" customFormat="1">
      <c r="B82" s="41" t="s">
        <v>126</v>
      </c>
      <c r="C82" s="15"/>
      <c r="D82" s="15"/>
      <c r="E82" s="15"/>
      <c r="F82" s="15"/>
      <c r="G82" s="15">
        <v>10.609</v>
      </c>
      <c r="H82" s="15">
        <v>4.9749999999999996</v>
      </c>
      <c r="I82" s="15">
        <v>18.282</v>
      </c>
      <c r="J82" s="16"/>
      <c r="K82" s="16">
        <f>+K55-J55</f>
        <v>5.3011629392970576</v>
      </c>
      <c r="L82" s="16">
        <f>+L55-K55</f>
        <v>7.7523427041497541</v>
      </c>
      <c r="M82" s="16">
        <f>+M55-L55</f>
        <v>14.45058155664924</v>
      </c>
      <c r="N82" s="16">
        <f>+N55-M55</f>
        <v>5.5470071130029339</v>
      </c>
      <c r="O82" s="50"/>
      <c r="P82" s="47"/>
      <c r="Q82" s="47"/>
      <c r="R82" s="47"/>
    </row>
    <row r="83" spans="2:18" s="14" customFormat="1">
      <c r="B83" s="41" t="s">
        <v>127</v>
      </c>
      <c r="C83" s="15"/>
      <c r="D83" s="15"/>
      <c r="E83" s="15"/>
      <c r="F83" s="15"/>
      <c r="G83" s="15">
        <v>21.471</v>
      </c>
      <c r="H83" s="15">
        <v>12.327</v>
      </c>
      <c r="I83" s="15">
        <v>19.885999999999999</v>
      </c>
      <c r="J83" s="16"/>
      <c r="K83" s="16">
        <f>+K58-J58</f>
        <v>-1.0212500000000091</v>
      </c>
      <c r="L83" s="16">
        <f>+L58-K58</f>
        <v>1.1164375000000035</v>
      </c>
      <c r="M83" s="16">
        <f>+M58-L58</f>
        <v>0.48304687499999943</v>
      </c>
      <c r="N83" s="16">
        <f>+N58-M58</f>
        <v>-0.66519140625000261</v>
      </c>
      <c r="O83" s="50"/>
      <c r="P83" s="47"/>
      <c r="Q83" s="47"/>
      <c r="R83" s="47"/>
    </row>
    <row r="84" spans="2:18" s="14" customFormat="1">
      <c r="B84" s="41" t="s">
        <v>128</v>
      </c>
      <c r="C84" s="15"/>
      <c r="D84" s="15"/>
      <c r="E84" s="15"/>
      <c r="F84" s="15"/>
      <c r="G84" s="15">
        <v>-4.5549999999999997</v>
      </c>
      <c r="H84" s="15">
        <v>7.5129999999999999</v>
      </c>
      <c r="I84" s="15">
        <v>18.73</v>
      </c>
      <c r="J84" s="16"/>
      <c r="K84" s="16">
        <f>+K57-J57</f>
        <v>24.930500000000023</v>
      </c>
      <c r="L84" s="16">
        <f>+L57-K57</f>
        <v>2.1886250000000018</v>
      </c>
      <c r="M84" s="16">
        <f>+M57-L57</f>
        <v>-1.0968749999989313E-2</v>
      </c>
      <c r="N84" s="16">
        <f>+N57-M57</f>
        <v>-7.3187109374999864</v>
      </c>
      <c r="O84" s="50"/>
      <c r="P84" s="47"/>
      <c r="Q84" s="47"/>
      <c r="R84" s="47"/>
    </row>
    <row r="85" spans="2:18" s="20" customFormat="1">
      <c r="B85" s="42" t="s">
        <v>129</v>
      </c>
      <c r="C85" s="23"/>
      <c r="D85" s="23"/>
      <c r="E85" s="23"/>
      <c r="F85" s="23"/>
      <c r="G85" s="23">
        <f>SUM(G71:G84)</f>
        <v>256.387</v>
      </c>
      <c r="H85" s="23">
        <f>SUM(H71:H84)</f>
        <v>237.63699999999997</v>
      </c>
      <c r="I85" s="23">
        <f>SUM(I71:I84)</f>
        <v>239.268</v>
      </c>
      <c r="J85" s="23">
        <f>SUM(J71:J84)</f>
        <v>0</v>
      </c>
      <c r="K85" s="23">
        <f>SUM(K71:K84)</f>
        <v>216.48467385516537</v>
      </c>
      <c r="L85" s="23">
        <f t="shared" ref="L85:N85" si="85">SUM(L71:L84)</f>
        <v>187.76416039657079</v>
      </c>
      <c r="M85" s="23">
        <f t="shared" si="85"/>
        <v>151.55255991208318</v>
      </c>
      <c r="N85" s="23">
        <f t="shared" si="85"/>
        <v>188.67967097347389</v>
      </c>
      <c r="O85" s="48"/>
      <c r="P85" s="48"/>
      <c r="Q85" s="48"/>
      <c r="R85" s="48"/>
    </row>
    <row r="86" spans="2:18" s="14" customFormat="1">
      <c r="B86" s="41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47"/>
      <c r="P86" s="47"/>
      <c r="Q86" s="47"/>
      <c r="R86" s="47"/>
    </row>
    <row r="87" spans="2:18" s="14" customFormat="1">
      <c r="B87" s="41" t="s">
        <v>130</v>
      </c>
      <c r="C87" s="15"/>
      <c r="D87" s="15"/>
      <c r="E87" s="15"/>
      <c r="F87" s="15"/>
      <c r="G87" s="15">
        <v>-40.341999999999999</v>
      </c>
      <c r="H87" s="15">
        <v>-48.143000000000001</v>
      </c>
      <c r="I87" s="15">
        <v>-42.515000000000001</v>
      </c>
      <c r="J87" s="16"/>
      <c r="K87" s="16">
        <v>-50</v>
      </c>
      <c r="L87" s="16">
        <v>-50</v>
      </c>
      <c r="M87" s="16">
        <v>-50</v>
      </c>
      <c r="N87" s="16">
        <v>-50</v>
      </c>
      <c r="O87" s="50"/>
      <c r="P87" s="47"/>
      <c r="Q87" s="47"/>
      <c r="R87" s="47"/>
    </row>
    <row r="88" spans="2:18" s="14" customFormat="1">
      <c r="B88" s="41" t="s">
        <v>131</v>
      </c>
      <c r="C88" s="15"/>
      <c r="D88" s="15"/>
      <c r="E88" s="15"/>
      <c r="F88" s="15"/>
      <c r="G88" s="15">
        <v>-357.63299999999998</v>
      </c>
      <c r="H88" s="15">
        <v>355.63299999999998</v>
      </c>
      <c r="I88" s="15">
        <v>-0.52800000000000002</v>
      </c>
      <c r="J88" s="16"/>
      <c r="K88" s="16"/>
      <c r="L88" s="16"/>
      <c r="M88" s="16"/>
      <c r="N88" s="16"/>
      <c r="O88" s="50"/>
      <c r="P88" s="47"/>
      <c r="Q88" s="47"/>
      <c r="R88" s="47"/>
    </row>
    <row r="89" spans="2:18" s="14" customFormat="1">
      <c r="B89" s="41" t="s">
        <v>132</v>
      </c>
      <c r="C89" s="15"/>
      <c r="D89" s="15"/>
      <c r="E89" s="15"/>
      <c r="F89" s="15"/>
      <c r="G89" s="15">
        <v>0</v>
      </c>
      <c r="H89" s="15">
        <v>-393.01</v>
      </c>
      <c r="I89" s="15">
        <v>-2.5230000000000001</v>
      </c>
      <c r="J89" s="16"/>
      <c r="K89" s="16"/>
      <c r="L89" s="16"/>
      <c r="M89" s="16"/>
      <c r="N89" s="16"/>
      <c r="O89" s="50"/>
      <c r="P89" s="47"/>
      <c r="Q89" s="47"/>
      <c r="R89" s="47"/>
    </row>
    <row r="90" spans="2:18" s="14" customFormat="1">
      <c r="B90" s="41" t="s">
        <v>133</v>
      </c>
      <c r="C90" s="15"/>
      <c r="D90" s="15"/>
      <c r="E90" s="15"/>
      <c r="F90" s="15"/>
      <c r="G90" s="15">
        <v>141.065</v>
      </c>
      <c r="H90" s="15">
        <v>70.162000000000006</v>
      </c>
      <c r="I90" s="15">
        <v>173.41300000000001</v>
      </c>
      <c r="J90" s="16"/>
      <c r="K90" s="16"/>
      <c r="L90" s="16"/>
      <c r="M90" s="16"/>
      <c r="N90" s="16"/>
      <c r="O90" s="50"/>
      <c r="P90" s="47"/>
      <c r="Q90" s="47"/>
      <c r="R90" s="47"/>
    </row>
    <row r="91" spans="2:18" s="14" customFormat="1">
      <c r="B91" s="41" t="s">
        <v>134</v>
      </c>
      <c r="C91" s="15"/>
      <c r="D91" s="15"/>
      <c r="E91" s="15"/>
      <c r="F91" s="15"/>
      <c r="G91" s="15">
        <v>0</v>
      </c>
      <c r="H91" s="15">
        <v>0</v>
      </c>
      <c r="I91" s="15">
        <v>0</v>
      </c>
      <c r="J91" s="16"/>
      <c r="K91" s="16"/>
      <c r="L91" s="16"/>
      <c r="M91" s="16"/>
      <c r="N91" s="16"/>
      <c r="O91" s="50"/>
      <c r="P91" s="47"/>
      <c r="Q91" s="47"/>
      <c r="R91" s="47"/>
    </row>
    <row r="92" spans="2:18" s="14" customFormat="1">
      <c r="B92" s="41" t="s">
        <v>135</v>
      </c>
      <c r="C92" s="15"/>
      <c r="D92" s="15"/>
      <c r="E92" s="15"/>
      <c r="F92" s="15"/>
      <c r="G92" s="15">
        <v>-0.57499999999999996</v>
      </c>
      <c r="H92" s="15">
        <v>-0.44</v>
      </c>
      <c r="I92" s="15">
        <v>-0.28199999999999997</v>
      </c>
      <c r="J92" s="16"/>
      <c r="K92" s="16"/>
      <c r="L92" s="16"/>
      <c r="M92" s="16"/>
      <c r="N92" s="16"/>
      <c r="O92" s="50"/>
      <c r="P92" s="47"/>
      <c r="Q92" s="47"/>
      <c r="R92" s="47"/>
    </row>
    <row r="93" spans="2:18" s="20" customFormat="1">
      <c r="B93" s="42" t="s">
        <v>136</v>
      </c>
      <c r="C93" s="23"/>
      <c r="D93" s="23"/>
      <c r="E93" s="23"/>
      <c r="F93" s="23"/>
      <c r="G93" s="23">
        <f>SUM(G87:G92)</f>
        <v>-257.48499999999996</v>
      </c>
      <c r="H93" s="23">
        <f>SUM(H87:H92)</f>
        <v>-15.797999999999975</v>
      </c>
      <c r="I93" s="23">
        <f>SUM(I87:I92)</f>
        <v>127.56500000000001</v>
      </c>
      <c r="J93" s="23"/>
      <c r="K93" s="23">
        <f>SUM(K87:K92)</f>
        <v>-50</v>
      </c>
      <c r="L93" s="23">
        <f>SUM(L87:L92)</f>
        <v>-50</v>
      </c>
      <c r="M93" s="23">
        <f>SUM(M87:M92)</f>
        <v>-50</v>
      </c>
      <c r="N93" s="23">
        <f>SUM(N87:N92)</f>
        <v>-50</v>
      </c>
      <c r="O93" s="48"/>
      <c r="P93" s="48"/>
      <c r="Q93" s="48"/>
      <c r="R93" s="48"/>
    </row>
    <row r="94" spans="2:18" s="14" customFormat="1">
      <c r="B94" s="41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47"/>
      <c r="P94" s="47"/>
      <c r="Q94" s="47"/>
      <c r="R94" s="47"/>
    </row>
    <row r="95" spans="2:18" s="14" customFormat="1">
      <c r="B95" s="41" t="s">
        <v>137</v>
      </c>
      <c r="C95" s="15"/>
      <c r="D95" s="15"/>
      <c r="E95" s="15"/>
      <c r="F95" s="15"/>
      <c r="G95" s="15">
        <v>-1.2430000000000001</v>
      </c>
      <c r="H95" s="15">
        <v>-0.65900000000000003</v>
      </c>
      <c r="I95" s="15">
        <v>-0.20399999999999999</v>
      </c>
      <c r="J95" s="16"/>
      <c r="K95" s="16"/>
      <c r="L95" s="16"/>
      <c r="M95" s="16"/>
      <c r="N95" s="16"/>
      <c r="O95" s="50"/>
      <c r="P95" s="47"/>
      <c r="Q95" s="47"/>
      <c r="R95" s="47"/>
    </row>
    <row r="96" spans="2:18" s="14" customFormat="1">
      <c r="B96" s="41" t="s">
        <v>138</v>
      </c>
      <c r="C96" s="15"/>
      <c r="D96" s="15"/>
      <c r="E96" s="15"/>
      <c r="F96" s="15"/>
      <c r="G96" s="15">
        <v>5.335</v>
      </c>
      <c r="H96" s="15">
        <v>0</v>
      </c>
      <c r="I96" s="15">
        <v>3.8849999999999998</v>
      </c>
      <c r="J96" s="16"/>
      <c r="K96" s="16"/>
      <c r="L96" s="16"/>
      <c r="M96" s="16"/>
      <c r="N96" s="16"/>
      <c r="O96" s="50"/>
      <c r="P96" s="47"/>
      <c r="Q96" s="47"/>
      <c r="R96" s="47"/>
    </row>
    <row r="97" spans="2:18" s="14" customFormat="1">
      <c r="B97" s="41" t="s">
        <v>139</v>
      </c>
      <c r="C97" s="15"/>
      <c r="D97" s="15"/>
      <c r="E97" s="15"/>
      <c r="F97" s="15"/>
      <c r="G97" s="15">
        <v>0</v>
      </c>
      <c r="H97" s="15">
        <v>-3.6869999999999998</v>
      </c>
      <c r="I97" s="15">
        <v>-2.016</v>
      </c>
      <c r="J97" s="16"/>
      <c r="K97" s="16"/>
      <c r="L97" s="16"/>
      <c r="M97" s="16"/>
      <c r="N97" s="16"/>
      <c r="O97" s="50"/>
      <c r="P97" s="47"/>
      <c r="Q97" s="47"/>
      <c r="R97" s="47"/>
    </row>
    <row r="98" spans="2:18" s="14" customFormat="1">
      <c r="B98" s="41" t="s">
        <v>142</v>
      </c>
      <c r="C98" s="15"/>
      <c r="D98" s="15"/>
      <c r="E98" s="15"/>
      <c r="F98" s="15"/>
      <c r="G98" s="15">
        <v>-60.008000000000003</v>
      </c>
      <c r="H98" s="15">
        <v>-75.064999999999998</v>
      </c>
      <c r="I98" s="15">
        <v>-74.905000000000001</v>
      </c>
      <c r="J98" s="16"/>
      <c r="K98" s="16">
        <v>-70</v>
      </c>
      <c r="L98" s="16">
        <v>-70</v>
      </c>
      <c r="M98" s="16">
        <v>-70</v>
      </c>
      <c r="N98" s="16">
        <v>-70</v>
      </c>
      <c r="O98" s="50"/>
      <c r="P98" s="47"/>
      <c r="Q98" s="47"/>
      <c r="R98" s="47"/>
    </row>
    <row r="99" spans="2:18" s="20" customFormat="1">
      <c r="B99" s="42" t="s">
        <v>140</v>
      </c>
      <c r="C99" s="23"/>
      <c r="D99" s="23"/>
      <c r="E99" s="23"/>
      <c r="F99" s="23"/>
      <c r="G99" s="23">
        <f>SUM(G95:G98)</f>
        <v>-55.916000000000004</v>
      </c>
      <c r="H99" s="23">
        <f>SUM(H95:H98)</f>
        <v>-79.411000000000001</v>
      </c>
      <c r="I99" s="23">
        <f>SUM(I95:I98)</f>
        <v>-73.239999999999995</v>
      </c>
      <c r="J99" s="23"/>
      <c r="K99" s="23">
        <f>SUM(K95:K98)</f>
        <v>-70</v>
      </c>
      <c r="L99" s="23">
        <f>SUM(L95:L98)</f>
        <v>-70</v>
      </c>
      <c r="M99" s="23">
        <f>SUM(M95:M98)</f>
        <v>-70</v>
      </c>
      <c r="N99" s="23">
        <f>SUM(N95:N98)</f>
        <v>-70</v>
      </c>
      <c r="O99" s="50"/>
      <c r="P99" s="48"/>
      <c r="Q99" s="48"/>
      <c r="R99" s="48"/>
    </row>
    <row r="100" spans="2:18" s="14" customFormat="1">
      <c r="B100" s="41" t="s">
        <v>141</v>
      </c>
      <c r="C100" s="16"/>
      <c r="D100" s="16"/>
      <c r="E100" s="16"/>
      <c r="F100" s="16"/>
      <c r="G100" s="16">
        <v>2.5550000000000002</v>
      </c>
      <c r="H100" s="16">
        <v>7.6139999999999999</v>
      </c>
      <c r="I100" s="16">
        <v>0.27600000000000002</v>
      </c>
      <c r="J100" s="16"/>
      <c r="K100" s="16"/>
      <c r="L100" s="16"/>
      <c r="M100" s="16"/>
      <c r="N100" s="16"/>
      <c r="O100" s="50"/>
      <c r="P100" s="47"/>
      <c r="Q100" s="47"/>
      <c r="R100" s="47"/>
    </row>
    <row r="101" spans="2:18" s="14" customFormat="1">
      <c r="B101" s="41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47"/>
      <c r="P101" s="47"/>
      <c r="Q101" s="47"/>
      <c r="R101" s="47"/>
    </row>
    <row r="102" spans="2:18" s="14" customFormat="1">
      <c r="B102" s="41" t="s">
        <v>143</v>
      </c>
      <c r="C102" s="16"/>
      <c r="D102" s="16"/>
      <c r="E102" s="16"/>
      <c r="F102" s="16"/>
      <c r="G102" s="16">
        <f>SUM(G85,G93,G99:G100)</f>
        <v>-54.458999999999961</v>
      </c>
      <c r="H102" s="16">
        <f>SUM(H85,H93,H99:H100)</f>
        <v>150.042</v>
      </c>
      <c r="I102" s="16">
        <f>SUM(I85,I93,I99:I100)</f>
        <v>293.86900000000003</v>
      </c>
      <c r="J102" s="16"/>
      <c r="K102" s="16">
        <f>SUM(K85,K93,K99:K100)</f>
        <v>96.484673855165369</v>
      </c>
      <c r="L102" s="16">
        <f>SUM(L85,L93,L99:L100)</f>
        <v>67.764160396570787</v>
      </c>
      <c r="M102" s="16">
        <f>SUM(M85,M93,M99:M100)</f>
        <v>31.552559912083183</v>
      </c>
      <c r="N102" s="16">
        <f>SUM(N85,N93,N99:N100)</f>
        <v>68.67967097347389</v>
      </c>
      <c r="O102" s="47"/>
      <c r="P102" s="47"/>
      <c r="Q102" s="47"/>
      <c r="R102" s="47"/>
    </row>
    <row r="103" spans="2:18" s="14" customFormat="1">
      <c r="B103" s="41" t="s">
        <v>144</v>
      </c>
      <c r="C103" s="16"/>
      <c r="D103" s="16"/>
      <c r="E103" s="16"/>
      <c r="F103" s="16"/>
      <c r="G103" s="16">
        <f>+F43</f>
        <v>691.81600000000003</v>
      </c>
      <c r="H103" s="16">
        <f>+G104</f>
        <v>637.35700000000008</v>
      </c>
      <c r="I103" s="16">
        <f>+H104</f>
        <v>787.39900000000011</v>
      </c>
      <c r="J103" s="16">
        <f>+I104</f>
        <v>1081.268</v>
      </c>
      <c r="K103" s="16">
        <f>+J104</f>
        <v>1081.268</v>
      </c>
      <c r="L103" s="16">
        <f>+K104</f>
        <v>1177.7526738551653</v>
      </c>
      <c r="M103" s="16">
        <f>+L104</f>
        <v>1245.5168342517361</v>
      </c>
      <c r="N103" s="16">
        <f>+M104</f>
        <v>1277.0693941638192</v>
      </c>
      <c r="O103" s="47"/>
      <c r="P103" s="47"/>
      <c r="Q103" s="47"/>
      <c r="R103" s="47"/>
    </row>
    <row r="104" spans="2:18" s="20" customFormat="1">
      <c r="B104" s="42" t="s">
        <v>145</v>
      </c>
      <c r="C104" s="23"/>
      <c r="D104" s="23"/>
      <c r="E104" s="23"/>
      <c r="F104" s="23"/>
      <c r="G104" s="23">
        <f>+G102+G103</f>
        <v>637.35700000000008</v>
      </c>
      <c r="H104" s="23">
        <f>+H102+H103</f>
        <v>787.39900000000011</v>
      </c>
      <c r="I104" s="23">
        <f>+I102+I103</f>
        <v>1081.268</v>
      </c>
      <c r="J104" s="23">
        <f>+J102+J103</f>
        <v>1081.268</v>
      </c>
      <c r="K104" s="23">
        <f>+K102+K103</f>
        <v>1177.7526738551653</v>
      </c>
      <c r="L104" s="23">
        <f>+L102+L103</f>
        <v>1245.5168342517361</v>
      </c>
      <c r="M104" s="23">
        <f>+M102+M103</f>
        <v>1277.0693941638192</v>
      </c>
      <c r="N104" s="23">
        <f>+N102+N103</f>
        <v>1345.7490651372932</v>
      </c>
      <c r="O104" s="48"/>
      <c r="P104" s="48"/>
      <c r="Q104" s="48"/>
      <c r="R104" s="48"/>
    </row>
    <row r="105" spans="2:18" s="14" customFormat="1">
      <c r="B105" s="41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47"/>
      <c r="P105" s="47"/>
      <c r="Q105" s="47"/>
      <c r="R105" s="47"/>
    </row>
    <row r="106" spans="2:18" s="14" customFormat="1"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47"/>
      <c r="P106" s="47"/>
      <c r="Q106" s="47"/>
      <c r="R106" s="47"/>
    </row>
    <row r="107" spans="2:18" s="14" customFormat="1"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47"/>
      <c r="P107" s="47"/>
      <c r="Q107" s="47"/>
      <c r="R107" s="47"/>
    </row>
    <row r="108" spans="2:18">
      <c r="B108" s="7" t="s">
        <v>39</v>
      </c>
      <c r="C108" s="44">
        <v>248.05099999999999</v>
      </c>
      <c r="D108" s="44">
        <f>389.026-C108</f>
        <v>140.97500000000002</v>
      </c>
      <c r="E108" s="44">
        <f>620.729-SUM(C108:D108)</f>
        <v>231.70300000000003</v>
      </c>
      <c r="F108" s="44"/>
      <c r="G108" s="44">
        <f>+G85</f>
        <v>256.387</v>
      </c>
      <c r="H108" s="44">
        <f>+H85</f>
        <v>237.63699999999997</v>
      </c>
      <c r="I108" s="44">
        <f>+I85</f>
        <v>239.268</v>
      </c>
      <c r="J108" s="44">
        <f t="shared" ref="J108:N108" si="86">+J85</f>
        <v>0</v>
      </c>
      <c r="K108" s="44">
        <f t="shared" si="86"/>
        <v>216.48467385516537</v>
      </c>
      <c r="L108" s="44">
        <f t="shared" si="86"/>
        <v>187.76416039657079</v>
      </c>
      <c r="M108" s="44">
        <f t="shared" si="86"/>
        <v>151.55255991208318</v>
      </c>
      <c r="N108" s="44">
        <f t="shared" si="86"/>
        <v>188.67967097347389</v>
      </c>
    </row>
    <row r="109" spans="2:18">
      <c r="B109" s="7" t="s">
        <v>40</v>
      </c>
      <c r="C109" s="44">
        <v>-15.991</v>
      </c>
      <c r="D109" s="44">
        <f>+-47.498-C109</f>
        <v>-31.506999999999998</v>
      </c>
      <c r="E109" s="44">
        <f>+-81.316-SUM(C109:D109)</f>
        <v>-33.818000000000005</v>
      </c>
      <c r="F109" s="44"/>
      <c r="G109" s="44">
        <f>+G87</f>
        <v>-40.341999999999999</v>
      </c>
      <c r="H109" s="44">
        <f>+H87</f>
        <v>-48.143000000000001</v>
      </c>
      <c r="I109" s="44">
        <f>+I87</f>
        <v>-42.515000000000001</v>
      </c>
      <c r="J109" s="44">
        <f t="shared" ref="J109:N109" si="87">+J87</f>
        <v>0</v>
      </c>
      <c r="K109" s="44">
        <f t="shared" si="87"/>
        <v>-50</v>
      </c>
      <c r="L109" s="44">
        <f t="shared" si="87"/>
        <v>-50</v>
      </c>
      <c r="M109" s="44">
        <f t="shared" si="87"/>
        <v>-50</v>
      </c>
      <c r="N109" s="44">
        <f t="shared" si="87"/>
        <v>-50</v>
      </c>
    </row>
    <row r="110" spans="2:18">
      <c r="B110" s="7" t="s">
        <v>41</v>
      </c>
      <c r="C110" s="44">
        <f>SUM(C108:C109)</f>
        <v>232.06</v>
      </c>
      <c r="D110" s="44">
        <f>SUM(D108:D109)</f>
        <v>109.46800000000002</v>
      </c>
      <c r="E110" s="44">
        <f>SUM(E108:E109)</f>
        <v>197.88500000000002</v>
      </c>
      <c r="F110" s="44"/>
      <c r="G110" s="44">
        <f>SUM(G108:G109)</f>
        <v>216.04500000000002</v>
      </c>
      <c r="H110" s="44">
        <f>SUM(H108:H109)</f>
        <v>189.49399999999997</v>
      </c>
      <c r="I110" s="44">
        <f>SUM(I108:I109)</f>
        <v>196.75299999999999</v>
      </c>
      <c r="J110" s="44">
        <f t="shared" ref="J110:N110" si="88">SUM(J108:J109)</f>
        <v>0</v>
      </c>
      <c r="K110" s="44">
        <f t="shared" si="88"/>
        <v>166.48467385516537</v>
      </c>
      <c r="L110" s="44">
        <f t="shared" si="88"/>
        <v>137.76416039657079</v>
      </c>
      <c r="M110" s="44">
        <f t="shared" si="88"/>
        <v>101.55255991208318</v>
      </c>
      <c r="N110" s="44">
        <f t="shared" si="88"/>
        <v>138.67967097347389</v>
      </c>
    </row>
    <row r="111" spans="2:18">
      <c r="B111" s="7" t="s">
        <v>33</v>
      </c>
      <c r="C111" s="16">
        <f>+C21</f>
        <v>92.541000000000011</v>
      </c>
      <c r="D111" s="16">
        <f t="shared" ref="D111:N111" si="89">+D21</f>
        <v>100.36600000000006</v>
      </c>
      <c r="E111" s="16">
        <f t="shared" si="89"/>
        <v>144.43</v>
      </c>
      <c r="F111" s="16">
        <f t="shared" si="89"/>
        <v>1449.3630000000003</v>
      </c>
      <c r="G111" s="16">
        <f t="shared" si="89"/>
        <v>133.79099999999991</v>
      </c>
      <c r="H111" s="16">
        <f t="shared" si="89"/>
        <v>133.72599999999991</v>
      </c>
      <c r="I111" s="16">
        <f t="shared" si="89"/>
        <v>178.274</v>
      </c>
      <c r="J111" s="16">
        <f t="shared" si="89"/>
        <v>170.136</v>
      </c>
      <c r="K111" s="16">
        <f t="shared" si="89"/>
        <v>174.29760000000002</v>
      </c>
      <c r="L111" s="16">
        <f t="shared" si="89"/>
        <v>181.95636245588298</v>
      </c>
      <c r="M111" s="16">
        <f t="shared" si="89"/>
        <v>198.88879887573233</v>
      </c>
      <c r="N111" s="16">
        <f t="shared" si="89"/>
        <v>206.37911520000003</v>
      </c>
    </row>
  </sheetData>
  <pageMargins left="0.7" right="0.7" top="0.75" bottom="0.75" header="0.3" footer="0.3"/>
  <ignoredErrors>
    <ignoredError sqref="O10 C43:I44 C45:I45 C42:I42 J45 J43 J42:M42 J47:M64 K45:M45 J46 L46:M46 J66:M69 J44" formulaRange="1"/>
    <ignoredError sqref="F24:M24 V24:AG27 V21:AE21 AF10 P14:V14 Q10:R10 V10 F21:J21 P16:AF16 P15:U15 W15:AF15 X14:AF14 P18:AF18 P17:V17 X17:AF17 P20:AF20 P19:V19 X19:AF19 F17:J17 F18:J18 F19:J19 F20:J20 K8:N14 K83:N83" formula="1"/>
    <ignoredError sqref="P10 S10:U10" formula="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2026-02-13T02:54:45Z</dcterms:created>
  <dcterms:modified xsi:type="dcterms:W3CDTF">2026-02-21T00:47:02Z</dcterms:modified>
</cp:coreProperties>
</file>