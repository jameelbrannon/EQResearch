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ADB30A7B-7BA0-3540-8E68-D7158E879921}" xr6:coauthVersionLast="47" xr6:coauthVersionMax="47" xr10:uidLastSave="{00000000-0000-0000-0000-000000000000}"/>
  <bookViews>
    <workbookView xWindow="25520" yWindow="820" windowWidth="36820" windowHeight="25300" activeTab="1" xr2:uid="{7FD0232F-D1FE-474C-90C4-1FF1FD12A71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2" l="1"/>
  <c r="W42" i="2"/>
  <c r="X42" i="2" s="1"/>
  <c r="Y42" i="2" s="1"/>
  <c r="Z42" i="2" s="1"/>
  <c r="AA42" i="2" s="1"/>
  <c r="AB42" i="2" s="1"/>
  <c r="AC42" i="2" s="1"/>
  <c r="AD42" i="2" s="1"/>
  <c r="AE42" i="2" s="1"/>
  <c r="V42" i="2"/>
  <c r="W19" i="2"/>
  <c r="W17" i="2"/>
  <c r="W14" i="2"/>
  <c r="W35" i="2"/>
  <c r="V15" i="2"/>
  <c r="W37" i="2"/>
  <c r="X37" i="2"/>
  <c r="Y37" i="2"/>
  <c r="Z37" i="2"/>
  <c r="AA37" i="2"/>
  <c r="AB37" i="2"/>
  <c r="AC37" i="2"/>
  <c r="AD37" i="2"/>
  <c r="AE37" i="2"/>
  <c r="U42" i="2"/>
  <c r="J42" i="2"/>
  <c r="I42" i="2"/>
  <c r="H42" i="2"/>
  <c r="G42" i="2"/>
  <c r="F42" i="2"/>
  <c r="E42" i="2"/>
  <c r="D42" i="2"/>
  <c r="C42" i="2"/>
  <c r="J60" i="2"/>
  <c r="J62" i="2" s="1"/>
  <c r="J53" i="2"/>
  <c r="I60" i="2"/>
  <c r="I62" i="2" s="1"/>
  <c r="I53" i="2"/>
  <c r="C60" i="2"/>
  <c r="C62" i="2" s="1"/>
  <c r="C53" i="2"/>
  <c r="D60" i="2"/>
  <c r="D62" i="2" s="1"/>
  <c r="D53" i="2"/>
  <c r="E60" i="2"/>
  <c r="E62" i="2" s="1"/>
  <c r="E53" i="2"/>
  <c r="G60" i="2"/>
  <c r="G62" i="2" s="1"/>
  <c r="G53" i="2"/>
  <c r="F60" i="2"/>
  <c r="F62" i="2" s="1"/>
  <c r="F53" i="2"/>
  <c r="H60" i="2"/>
  <c r="H62" i="2" s="1"/>
  <c r="H53" i="2"/>
  <c r="T2" i="2"/>
  <c r="S10" i="2"/>
  <c r="V4" i="2"/>
  <c r="AH30" i="2"/>
  <c r="G71" i="2"/>
  <c r="C71" i="2"/>
  <c r="D70" i="2"/>
  <c r="E70" i="2" s="1"/>
  <c r="D69" i="2"/>
  <c r="E69" i="2" s="1"/>
  <c r="H70" i="2"/>
  <c r="I70" i="2" s="1"/>
  <c r="H69" i="2"/>
  <c r="I69" i="2" s="1"/>
  <c r="AH28" i="2"/>
  <c r="AG2" i="2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U31" i="2"/>
  <c r="U30" i="2"/>
  <c r="U29" i="2"/>
  <c r="U28" i="2"/>
  <c r="U27" i="2"/>
  <c r="U26" i="2"/>
  <c r="V3" i="2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HR3" i="2" s="1"/>
  <c r="HS3" i="2" s="1"/>
  <c r="HT3" i="2" s="1"/>
  <c r="HU3" i="2" s="1"/>
  <c r="HV3" i="2" s="1"/>
  <c r="HW3" i="2" s="1"/>
  <c r="J18" i="2"/>
  <c r="U18" i="2"/>
  <c r="G31" i="2"/>
  <c r="G30" i="2"/>
  <c r="G29" i="2"/>
  <c r="G28" i="2"/>
  <c r="G27" i="2"/>
  <c r="G26" i="2"/>
  <c r="H31" i="2"/>
  <c r="H30" i="2"/>
  <c r="H29" i="2"/>
  <c r="H28" i="2"/>
  <c r="H27" i="2"/>
  <c r="H26" i="2"/>
  <c r="I31" i="2"/>
  <c r="I30" i="2"/>
  <c r="I29" i="2"/>
  <c r="I28" i="2"/>
  <c r="I27" i="2"/>
  <c r="I26" i="2"/>
  <c r="J31" i="2"/>
  <c r="J30" i="2"/>
  <c r="J29" i="2"/>
  <c r="J28" i="2"/>
  <c r="J27" i="2"/>
  <c r="J26" i="2"/>
  <c r="K10" i="2"/>
  <c r="J6" i="1"/>
  <c r="J7" i="1" s="1"/>
  <c r="F20" i="2"/>
  <c r="F18" i="2"/>
  <c r="F16" i="2"/>
  <c r="F15" i="2"/>
  <c r="F14" i="2"/>
  <c r="E10" i="2"/>
  <c r="F10" i="2"/>
  <c r="I10" i="2"/>
  <c r="C10" i="2"/>
  <c r="D10" i="2"/>
  <c r="G10" i="2"/>
  <c r="H10" i="2"/>
  <c r="I5" i="1"/>
  <c r="J10" i="2"/>
  <c r="T10" i="2"/>
  <c r="U10" i="2"/>
  <c r="T40" i="2" l="1"/>
  <c r="T37" i="2"/>
  <c r="T36" i="2"/>
  <c r="T35" i="2"/>
  <c r="F11" i="2"/>
  <c r="T17" i="2"/>
  <c r="T12" i="2"/>
  <c r="V10" i="2"/>
  <c r="U12" i="2"/>
  <c r="F40" i="2"/>
  <c r="F36" i="2"/>
  <c r="F37" i="2"/>
  <c r="E40" i="2"/>
  <c r="E37" i="2"/>
  <c r="E36" i="2"/>
  <c r="I40" i="2"/>
  <c r="I37" i="2"/>
  <c r="I36" i="2"/>
  <c r="C40" i="2"/>
  <c r="C37" i="2"/>
  <c r="C36" i="2"/>
  <c r="D40" i="2"/>
  <c r="D37" i="2"/>
  <c r="D36" i="2"/>
  <c r="G40" i="2"/>
  <c r="G37" i="2"/>
  <c r="G36" i="2"/>
  <c r="H40" i="2"/>
  <c r="H37" i="2"/>
  <c r="H36" i="2"/>
  <c r="D11" i="2"/>
  <c r="E11" i="2"/>
  <c r="I12" i="2"/>
  <c r="I11" i="2"/>
  <c r="G12" i="2"/>
  <c r="G11" i="2"/>
  <c r="H12" i="2"/>
  <c r="H11" i="2"/>
  <c r="J12" i="2"/>
  <c r="J11" i="2"/>
  <c r="F35" i="2"/>
  <c r="U32" i="2"/>
  <c r="I35" i="2"/>
  <c r="I32" i="2"/>
  <c r="C35" i="2"/>
  <c r="C17" i="2"/>
  <c r="D35" i="2"/>
  <c r="D17" i="2"/>
  <c r="G35" i="2"/>
  <c r="G32" i="2"/>
  <c r="G17" i="2"/>
  <c r="H35" i="2"/>
  <c r="H32" i="2"/>
  <c r="H17" i="2"/>
  <c r="J15" i="2"/>
  <c r="J17" i="2"/>
  <c r="J32" i="2"/>
  <c r="J14" i="2"/>
  <c r="J16" i="2"/>
  <c r="E71" i="2"/>
  <c r="I71" i="2"/>
  <c r="K14" i="2"/>
  <c r="K35" i="2" s="1"/>
  <c r="K32" i="2"/>
  <c r="K17" i="2"/>
  <c r="E17" i="2"/>
  <c r="E35" i="2"/>
  <c r="I17" i="2"/>
  <c r="T19" i="2" l="1"/>
  <c r="T39" i="2" s="1"/>
  <c r="T38" i="2"/>
  <c r="V12" i="2"/>
  <c r="W10" i="2"/>
  <c r="U15" i="2"/>
  <c r="J36" i="2"/>
  <c r="U16" i="2"/>
  <c r="J37" i="2"/>
  <c r="G38" i="2"/>
  <c r="G19" i="2"/>
  <c r="H19" i="2"/>
  <c r="H38" i="2"/>
  <c r="J35" i="2"/>
  <c r="U14" i="2"/>
  <c r="C38" i="2"/>
  <c r="C19" i="2"/>
  <c r="D19" i="2"/>
  <c r="D38" i="2"/>
  <c r="J38" i="2"/>
  <c r="J19" i="2"/>
  <c r="E19" i="2"/>
  <c r="E39" i="2" s="1"/>
  <c r="F17" i="2"/>
  <c r="F38" i="2" s="1"/>
  <c r="E38" i="2"/>
  <c r="V5" i="2"/>
  <c r="V7" i="2"/>
  <c r="V8" i="2"/>
  <c r="V32" i="2"/>
  <c r="V9" i="2"/>
  <c r="T21" i="2"/>
  <c r="I19" i="2"/>
  <c r="I39" i="2" s="1"/>
  <c r="I38" i="2"/>
  <c r="U17" i="2"/>
  <c r="U38" i="2" s="1"/>
  <c r="V36" i="2" l="1"/>
  <c r="U36" i="2"/>
  <c r="V16" i="2"/>
  <c r="V37" i="2" s="1"/>
  <c r="U37" i="2"/>
  <c r="V14" i="2"/>
  <c r="V35" i="2" s="1"/>
  <c r="U35" i="2"/>
  <c r="W12" i="2"/>
  <c r="X10" i="2"/>
  <c r="G21" i="2"/>
  <c r="G39" i="2"/>
  <c r="C21" i="2"/>
  <c r="C39" i="2"/>
  <c r="D21" i="2"/>
  <c r="D39" i="2"/>
  <c r="J20" i="2"/>
  <c r="J39" i="2"/>
  <c r="H21" i="2"/>
  <c r="H39" i="2"/>
  <c r="E21" i="2"/>
  <c r="F19" i="2"/>
  <c r="F39" i="2" s="1"/>
  <c r="I21" i="2"/>
  <c r="V19" i="2"/>
  <c r="V39" i="2" s="1"/>
  <c r="U19" i="2"/>
  <c r="U39" i="2" s="1"/>
  <c r="V17" i="2"/>
  <c r="W4" i="2"/>
  <c r="V26" i="2"/>
  <c r="W5" i="2"/>
  <c r="V27" i="2"/>
  <c r="W6" i="2"/>
  <c r="V28" i="2"/>
  <c r="V29" i="2"/>
  <c r="W7" i="2"/>
  <c r="V30" i="2"/>
  <c r="W8" i="2"/>
  <c r="W9" i="2"/>
  <c r="V31" i="2"/>
  <c r="V18" i="2" l="1"/>
  <c r="V38" i="2"/>
  <c r="X12" i="2"/>
  <c r="Y10" i="2"/>
  <c r="F21" i="2"/>
  <c r="J40" i="2"/>
  <c r="U20" i="2"/>
  <c r="V21" i="2"/>
  <c r="U21" i="2"/>
  <c r="X4" i="2"/>
  <c r="W26" i="2"/>
  <c r="X5" i="2"/>
  <c r="W27" i="2"/>
  <c r="X6" i="2"/>
  <c r="W28" i="2"/>
  <c r="X7" i="2"/>
  <c r="W29" i="2"/>
  <c r="W30" i="2"/>
  <c r="X8" i="2"/>
  <c r="W31" i="2"/>
  <c r="X9" i="2"/>
  <c r="V20" i="2" l="1"/>
  <c r="V40" i="2" s="1"/>
  <c r="U40" i="2"/>
  <c r="Y12" i="2"/>
  <c r="Z10" i="2"/>
  <c r="W16" i="2"/>
  <c r="W15" i="2"/>
  <c r="W36" i="2" s="1"/>
  <c r="W32" i="2"/>
  <c r="X26" i="2"/>
  <c r="Y4" i="2"/>
  <c r="X27" i="2"/>
  <c r="Y5" i="2"/>
  <c r="Y6" i="2"/>
  <c r="X28" i="2"/>
  <c r="X29" i="2"/>
  <c r="Y7" i="2"/>
  <c r="Y8" i="2"/>
  <c r="X30" i="2"/>
  <c r="X31" i="2"/>
  <c r="Y9" i="2"/>
  <c r="Z12" i="2" l="1"/>
  <c r="AA10" i="2"/>
  <c r="X15" i="2"/>
  <c r="X36" i="2" s="1"/>
  <c r="X14" i="2"/>
  <c r="X35" i="2" s="1"/>
  <c r="X16" i="2"/>
  <c r="X32" i="2"/>
  <c r="Y26" i="2"/>
  <c r="Z4" i="2"/>
  <c r="Y27" i="2"/>
  <c r="Z5" i="2"/>
  <c r="Z6" i="2"/>
  <c r="Y28" i="2"/>
  <c r="Y29" i="2"/>
  <c r="Z7" i="2"/>
  <c r="Y30" i="2"/>
  <c r="Z8" i="2"/>
  <c r="Y31" i="2"/>
  <c r="Z9" i="2"/>
  <c r="W18" i="2" l="1"/>
  <c r="W38" i="2"/>
  <c r="AA12" i="2"/>
  <c r="AB10" i="2"/>
  <c r="X17" i="2"/>
  <c r="Y14" i="2"/>
  <c r="Y35" i="2" s="1"/>
  <c r="Y32" i="2"/>
  <c r="Z26" i="2"/>
  <c r="AA4" i="2"/>
  <c r="Z27" i="2"/>
  <c r="AA5" i="2"/>
  <c r="AA6" i="2"/>
  <c r="Z28" i="2"/>
  <c r="Z29" i="2"/>
  <c r="AA7" i="2"/>
  <c r="Z30" i="2"/>
  <c r="AA8" i="2"/>
  <c r="Z31" i="2"/>
  <c r="AA9" i="2"/>
  <c r="Y15" i="2"/>
  <c r="Y36" i="2" s="1"/>
  <c r="Y16" i="2"/>
  <c r="W39" i="2" l="1"/>
  <c r="W20" i="2"/>
  <c r="X18" i="2"/>
  <c r="X19" i="2" s="1"/>
  <c r="X38" i="2"/>
  <c r="AB12" i="2"/>
  <c r="AC10" i="2"/>
  <c r="Y17" i="2"/>
  <c r="Z15" i="2"/>
  <c r="Z36" i="2" s="1"/>
  <c r="Z14" i="2"/>
  <c r="Z35" i="2" s="1"/>
  <c r="Z32" i="2"/>
  <c r="AA26" i="2"/>
  <c r="AB4" i="2"/>
  <c r="AA27" i="2"/>
  <c r="AB5" i="2"/>
  <c r="AB6" i="2"/>
  <c r="AA28" i="2"/>
  <c r="AA29" i="2"/>
  <c r="AB7" i="2"/>
  <c r="AA30" i="2"/>
  <c r="AB8" i="2"/>
  <c r="AA31" i="2"/>
  <c r="AB9" i="2"/>
  <c r="Z16" i="2"/>
  <c r="X39" i="2" l="1"/>
  <c r="X20" i="2"/>
  <c r="W40" i="2"/>
  <c r="W21" i="2"/>
  <c r="Y18" i="2"/>
  <c r="Y19" i="2" s="1"/>
  <c r="Y38" i="2"/>
  <c r="AC12" i="2"/>
  <c r="AD10" i="2"/>
  <c r="Z17" i="2"/>
  <c r="AA15" i="2"/>
  <c r="AA36" i="2" s="1"/>
  <c r="AA14" i="2"/>
  <c r="AA35" i="2" s="1"/>
  <c r="AA32" i="2"/>
  <c r="AB26" i="2"/>
  <c r="AC4" i="2"/>
  <c r="AB27" i="2"/>
  <c r="AC5" i="2"/>
  <c r="AC6" i="2"/>
  <c r="AB28" i="2"/>
  <c r="AB29" i="2"/>
  <c r="AC7" i="2"/>
  <c r="AB30" i="2"/>
  <c r="AC8" i="2"/>
  <c r="AB31" i="2"/>
  <c r="AC9" i="2"/>
  <c r="AA16" i="2"/>
  <c r="X21" i="2" l="1"/>
  <c r="X40" i="2"/>
  <c r="Y39" i="2"/>
  <c r="Y20" i="2"/>
  <c r="Z18" i="2"/>
  <c r="Z19" i="2" s="1"/>
  <c r="Z38" i="2"/>
  <c r="AD12" i="2"/>
  <c r="AE10" i="2"/>
  <c r="AE12" i="2" s="1"/>
  <c r="AA17" i="2"/>
  <c r="AB14" i="2"/>
  <c r="AB35" i="2" s="1"/>
  <c r="AB32" i="2"/>
  <c r="AC26" i="2"/>
  <c r="AD4" i="2"/>
  <c r="AC27" i="2"/>
  <c r="AD5" i="2"/>
  <c r="AD6" i="2"/>
  <c r="AC28" i="2"/>
  <c r="AC29" i="2"/>
  <c r="AD7" i="2"/>
  <c r="AC30" i="2"/>
  <c r="AD8" i="2"/>
  <c r="AC31" i="2"/>
  <c r="AD9" i="2"/>
  <c r="AB16" i="2"/>
  <c r="AB15" i="2"/>
  <c r="AB36" i="2" s="1"/>
  <c r="Y21" i="2" l="1"/>
  <c r="Y40" i="2"/>
  <c r="Z39" i="2"/>
  <c r="Z20" i="2"/>
  <c r="AA18" i="2"/>
  <c r="AA38" i="2"/>
  <c r="AB17" i="2"/>
  <c r="AA19" i="2"/>
  <c r="AC16" i="2"/>
  <c r="AC15" i="2"/>
  <c r="AC36" i="2" s="1"/>
  <c r="AC14" i="2"/>
  <c r="AC35" i="2" s="1"/>
  <c r="AC32" i="2"/>
  <c r="AD26" i="2"/>
  <c r="AE4" i="2"/>
  <c r="AE26" i="2" s="1"/>
  <c r="AD27" i="2"/>
  <c r="AE5" i="2"/>
  <c r="AE27" i="2" s="1"/>
  <c r="AE6" i="2"/>
  <c r="AD28" i="2"/>
  <c r="AD29" i="2"/>
  <c r="AE7" i="2"/>
  <c r="AE29" i="2" s="1"/>
  <c r="AD30" i="2"/>
  <c r="AE8" i="2"/>
  <c r="AE30" i="2" s="1"/>
  <c r="AD31" i="2"/>
  <c r="AE9" i="2"/>
  <c r="AE31" i="2" s="1"/>
  <c r="Z40" i="2" l="1"/>
  <c r="Z21" i="2"/>
  <c r="AB18" i="2"/>
  <c r="AB19" i="2" s="1"/>
  <c r="AB38" i="2"/>
  <c r="AA20" i="2"/>
  <c r="AA39" i="2"/>
  <c r="AC17" i="2"/>
  <c r="AD15" i="2"/>
  <c r="AD36" i="2" s="1"/>
  <c r="AD16" i="2"/>
  <c r="AD14" i="2"/>
  <c r="AD35" i="2" s="1"/>
  <c r="AD32" i="2"/>
  <c r="AE28" i="2"/>
  <c r="AB39" i="2" l="1"/>
  <c r="AB20" i="2"/>
  <c r="AA40" i="2"/>
  <c r="AA21" i="2"/>
  <c r="AC18" i="2"/>
  <c r="AC19" i="2" s="1"/>
  <c r="AC38" i="2"/>
  <c r="AD17" i="2"/>
  <c r="AE15" i="2"/>
  <c r="AE36" i="2" s="1"/>
  <c r="AE16" i="2"/>
  <c r="AE14" i="2"/>
  <c r="AE35" i="2" s="1"/>
  <c r="AE32" i="2"/>
  <c r="AB21" i="2" l="1"/>
  <c r="AB40" i="2"/>
  <c r="AC39" i="2"/>
  <c r="AC20" i="2"/>
  <c r="AD18" i="2"/>
  <c r="AD19" i="2" s="1"/>
  <c r="AD39" i="2" s="1"/>
  <c r="AD38" i="2"/>
  <c r="AE17" i="2"/>
  <c r="AC40" i="2" l="1"/>
  <c r="AC21" i="2"/>
  <c r="AE18" i="2"/>
  <c r="AE19" i="2" s="1"/>
  <c r="AE39" i="2" s="1"/>
  <c r="AE38" i="2"/>
  <c r="AD20" i="2"/>
  <c r="AD40" i="2" s="1"/>
  <c r="AE20" i="2" l="1"/>
  <c r="AD21" i="2"/>
  <c r="AE21" i="2" l="1"/>
  <c r="AE40" i="2"/>
  <c r="AF21" i="2" l="1"/>
  <c r="AG21" i="2" s="1"/>
  <c r="H71" i="2"/>
  <c r="D71" i="2"/>
  <c r="AH21" i="2" l="1"/>
  <c r="AI21" i="2" s="1"/>
  <c r="AJ21" i="2" s="1"/>
  <c r="AK21" i="2" s="1"/>
  <c r="AL21" i="2" s="1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l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EG21" i="2" s="1"/>
  <c r="EH21" i="2" s="1"/>
  <c r="EI21" i="2" s="1"/>
  <c r="EJ21" i="2" s="1"/>
  <c r="EK21" i="2" s="1"/>
  <c r="EL21" i="2" s="1"/>
  <c r="EM21" i="2" s="1"/>
  <c r="EN21" i="2" s="1"/>
  <c r="EO21" i="2" s="1"/>
  <c r="EP21" i="2" s="1"/>
  <c r="EQ21" i="2" s="1"/>
  <c r="ER21" i="2" s="1"/>
  <c r="ES21" i="2" s="1"/>
  <c r="ET21" i="2" s="1"/>
  <c r="EU21" i="2" s="1"/>
  <c r="EV21" i="2" s="1"/>
  <c r="EW21" i="2" s="1"/>
  <c r="EX21" i="2" s="1"/>
  <c r="EY21" i="2" s="1"/>
  <c r="EZ21" i="2" s="1"/>
  <c r="FA21" i="2" s="1"/>
  <c r="FB21" i="2" s="1"/>
  <c r="FC21" i="2" s="1"/>
  <c r="FD21" i="2" s="1"/>
  <c r="FE21" i="2" s="1"/>
  <c r="FF21" i="2" s="1"/>
  <c r="FG21" i="2" s="1"/>
  <c r="FH21" i="2" s="1"/>
  <c r="FI21" i="2" s="1"/>
  <c r="FJ21" i="2" s="1"/>
  <c r="FK21" i="2" s="1"/>
  <c r="FL21" i="2" s="1"/>
  <c r="FM21" i="2" s="1"/>
  <c r="FN21" i="2" s="1"/>
  <c r="FO21" i="2" s="1"/>
  <c r="FP21" i="2" s="1"/>
  <c r="FQ21" i="2" l="1"/>
  <c r="FR21" i="2" l="1"/>
  <c r="FS21" i="2" s="1"/>
  <c r="FT21" i="2" s="1"/>
  <c r="FU21" i="2" s="1"/>
  <c r="FV21" i="2" s="1"/>
  <c r="FW21" i="2" s="1"/>
  <c r="FX21" i="2" s="1"/>
  <c r="FY21" i="2" s="1"/>
  <c r="FZ21" i="2" s="1"/>
  <c r="GA21" i="2" s="1"/>
  <c r="GB21" i="2" s="1"/>
  <c r="GC21" i="2" s="1"/>
  <c r="GD21" i="2" s="1"/>
  <c r="GE21" i="2" s="1"/>
  <c r="GF21" i="2" s="1"/>
  <c r="GG21" i="2" s="1"/>
  <c r="GH21" i="2" s="1"/>
  <c r="GI21" i="2" s="1"/>
  <c r="GJ21" i="2" s="1"/>
  <c r="GK21" i="2" s="1"/>
  <c r="GL21" i="2" s="1"/>
  <c r="GM21" i="2" s="1"/>
  <c r="GN21" i="2" s="1"/>
  <c r="GO21" i="2" s="1"/>
  <c r="GP21" i="2" s="1"/>
  <c r="GQ21" i="2" s="1"/>
  <c r="GR21" i="2" s="1"/>
  <c r="GS21" i="2" s="1"/>
  <c r="GT21" i="2" s="1"/>
  <c r="GU21" i="2" s="1"/>
  <c r="GV21" i="2" s="1"/>
  <c r="GW21" i="2" s="1"/>
  <c r="GX21" i="2" s="1"/>
  <c r="GY21" i="2" s="1"/>
  <c r="GZ21" i="2" s="1"/>
  <c r="HA21" i="2" s="1"/>
  <c r="HB21" i="2" s="1"/>
  <c r="HC21" i="2" s="1"/>
  <c r="HD21" i="2" s="1"/>
  <c r="HE21" i="2" s="1"/>
  <c r="HF21" i="2" s="1"/>
  <c r="HG21" i="2" s="1"/>
  <c r="HH21" i="2" s="1"/>
  <c r="HI21" i="2" s="1"/>
  <c r="HJ21" i="2" s="1"/>
  <c r="HK21" i="2" s="1"/>
  <c r="HL21" i="2" s="1"/>
  <c r="HM21" i="2" s="1"/>
  <c r="HN21" i="2" s="1"/>
  <c r="HO21" i="2" s="1"/>
  <c r="HP21" i="2" s="1"/>
  <c r="HQ21" i="2" s="1"/>
  <c r="HR21" i="2" s="1"/>
  <c r="HS21" i="2" s="1"/>
  <c r="HT21" i="2" s="1"/>
  <c r="HU21" i="2" s="1"/>
  <c r="HV21" i="2" s="1"/>
  <c r="HW21" i="2" s="1"/>
  <c r="AH27" i="2"/>
  <c r="AH29" i="2" s="1"/>
  <c r="AH31" i="2" s="1"/>
</calcChain>
</file>

<file path=xl/sharedStrings.xml><?xml version="1.0" encoding="utf-8"?>
<sst xmlns="http://schemas.openxmlformats.org/spreadsheetml/2006/main" count="129" uniqueCount="117">
  <si>
    <t>Price</t>
  </si>
  <si>
    <t>Shares</t>
  </si>
  <si>
    <t>Market Cap</t>
  </si>
  <si>
    <t xml:space="preserve">Cash </t>
  </si>
  <si>
    <t xml:space="preserve">Debt </t>
  </si>
  <si>
    <t xml:space="preserve">Enterprise Value </t>
  </si>
  <si>
    <t xml:space="preserve">Enterprise Data </t>
  </si>
  <si>
    <t xml:space="preserve">Storage &amp; compute </t>
  </si>
  <si>
    <t>Automotive</t>
  </si>
  <si>
    <t>Comms</t>
  </si>
  <si>
    <t xml:space="preserve">Consumer </t>
  </si>
  <si>
    <t xml:space="preserve">Industrial </t>
  </si>
  <si>
    <t xml:space="preserve">Total Revenue </t>
  </si>
  <si>
    <t>Q125</t>
  </si>
  <si>
    <t>Q225</t>
  </si>
  <si>
    <t>Q325</t>
  </si>
  <si>
    <t>Q425</t>
  </si>
  <si>
    <t>Q126</t>
  </si>
  <si>
    <t>Q226</t>
  </si>
  <si>
    <t>Q326</t>
  </si>
  <si>
    <t>Q426</t>
  </si>
  <si>
    <t>Q124</t>
  </si>
  <si>
    <t>Q224</t>
  </si>
  <si>
    <t>Q324</t>
  </si>
  <si>
    <t>Q424</t>
  </si>
  <si>
    <t xml:space="preserve">Growth YY </t>
  </si>
  <si>
    <t>Costs</t>
  </si>
  <si>
    <t>R&amp;D</t>
  </si>
  <si>
    <t>SG&amp;A</t>
  </si>
  <si>
    <t xml:space="preserve">Operating Income </t>
  </si>
  <si>
    <t xml:space="preserve">Other Income </t>
  </si>
  <si>
    <t xml:space="preserve">EBT </t>
  </si>
  <si>
    <t>Taxes</t>
  </si>
  <si>
    <t xml:space="preserve">Net Income </t>
  </si>
  <si>
    <t xml:space="preserve">Terminal </t>
  </si>
  <si>
    <t xml:space="preserve">Discount </t>
  </si>
  <si>
    <t>NPV</t>
  </si>
  <si>
    <t>Shrs</t>
  </si>
  <si>
    <t>$M</t>
  </si>
  <si>
    <t xml:space="preserve">CFFO </t>
  </si>
  <si>
    <t xml:space="preserve">Capex </t>
  </si>
  <si>
    <t xml:space="preserve">FCF </t>
  </si>
  <si>
    <t xml:space="preserve">HQ: Washington </t>
  </si>
  <si>
    <t xml:space="preserve">Bernie Blegen </t>
  </si>
  <si>
    <t>CFO</t>
  </si>
  <si>
    <t xml:space="preserve">Sells power mgmt chips that control how electricity is delivered to CPUs, GPUs, memory, and other components </t>
  </si>
  <si>
    <t xml:space="preserve">Estimate </t>
  </si>
  <si>
    <t>Current</t>
  </si>
  <si>
    <t>Earnings Calls</t>
  </si>
  <si>
    <t xml:space="preserve">CEO / Founder </t>
  </si>
  <si>
    <t>Notes</t>
  </si>
  <si>
    <t xml:space="preserve">800-volt power solution for data center </t>
  </si>
  <si>
    <t>automotive</t>
  </si>
  <si>
    <t>48-volt</t>
  </si>
  <si>
    <t>Michael Hsing  / 65</t>
  </si>
  <si>
    <t>Transcript</t>
  </si>
  <si>
    <t xml:space="preserve">Link </t>
  </si>
  <si>
    <t xml:space="preserve">Voltage Regulators </t>
  </si>
  <si>
    <t xml:space="preserve">convert 48V --&gt; 12V --&gt; 1V ; fast and waste very little energy </t>
  </si>
  <si>
    <t xml:space="preserve">Enterprise &amp; Data Segment </t>
  </si>
  <si>
    <t xml:space="preserve">In  AI racks hyperscalers mving to 48V rack architecture </t>
  </si>
  <si>
    <t>Why?</t>
  </si>
  <si>
    <t xml:space="preserve">Higher voltage = less current </t>
  </si>
  <si>
    <t xml:space="preserve">less current = less heat </t>
  </si>
  <si>
    <t xml:space="preserve">less heat = better efficiency </t>
  </si>
  <si>
    <t xml:space="preserve">Issue? </t>
  </si>
  <si>
    <t>GPUs don't run on 48V, they run on ~0.8-1.2V</t>
  </si>
  <si>
    <t>So you need multi-phase DC-DC converters</t>
  </si>
  <si>
    <t>MPWR builds:</t>
  </si>
  <si>
    <t>DrMOS</t>
  </si>
  <si>
    <t>Digital multiphase controllers</t>
  </si>
  <si>
    <t>Power modules</t>
  </si>
  <si>
    <t xml:space="preserve">These convert 48V --&gt; 12V intermediate busy --&gt; sub-1V core voltage </t>
  </si>
  <si>
    <t xml:space="preserve">Core Enterprise &amp; Data Products </t>
  </si>
  <si>
    <t>DrMOS power stages</t>
  </si>
  <si>
    <t>Multiphase controllers</t>
  </si>
  <si>
    <t>PMICS</t>
  </si>
  <si>
    <t>Power modules for GPUs &amp; CPUs</t>
  </si>
  <si>
    <t>NIC power management</t>
  </si>
  <si>
    <t xml:space="preserve">Accelerator board power </t>
  </si>
  <si>
    <t>Power Equation</t>
  </si>
  <si>
    <t>I = P / V</t>
  </si>
  <si>
    <t xml:space="preserve">Power (Watts) = Voltage * Current ---&gt; P = V * I </t>
  </si>
  <si>
    <t>• Why higher GPU wattage increases MPWR content</t>
  </si>
  <si>
    <t>• Why transient speed matters</t>
  </si>
  <si>
    <t>• Why multiphase is required</t>
  </si>
  <si>
    <t>• Why 48V architecture benefits them</t>
  </si>
  <si>
    <t>• Why silicon integration gives them margin advantage</t>
  </si>
  <si>
    <t>Why a 1500W GPU structurally increases power stage count</t>
  </si>
  <si>
    <t>YoY Chg</t>
  </si>
  <si>
    <t>QoQ Chg</t>
  </si>
  <si>
    <t xml:space="preserve">Margin Data </t>
  </si>
  <si>
    <t>OM</t>
  </si>
  <si>
    <t>GM</t>
  </si>
  <si>
    <t>Pre-Tax</t>
  </si>
  <si>
    <t xml:space="preserve">Tax Rate </t>
  </si>
  <si>
    <t>Diluted Shrs Oust</t>
  </si>
  <si>
    <t>Upside</t>
  </si>
  <si>
    <t>Investments</t>
  </si>
  <si>
    <t>A/R</t>
  </si>
  <si>
    <t>Inventories</t>
  </si>
  <si>
    <t>OCA</t>
  </si>
  <si>
    <t>PPE</t>
  </si>
  <si>
    <t xml:space="preserve">Intangibles </t>
  </si>
  <si>
    <t>Goodwill</t>
  </si>
  <si>
    <t>Deferred Tax Assets</t>
  </si>
  <si>
    <t>OLTA</t>
  </si>
  <si>
    <t xml:space="preserve">Total Assets </t>
  </si>
  <si>
    <t xml:space="preserve">Total Liabilities + Equity </t>
  </si>
  <si>
    <t xml:space="preserve">Equity </t>
  </si>
  <si>
    <t>A/P</t>
  </si>
  <si>
    <t>Accrued Comp</t>
  </si>
  <si>
    <t xml:space="preserve">Other accrued </t>
  </si>
  <si>
    <t>Income Tx Liab</t>
  </si>
  <si>
    <t>OLTL</t>
  </si>
  <si>
    <t xml:space="preserve">Total Liabilities </t>
  </si>
  <si>
    <t>Net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</si>
</sst>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8" formatCode="0.0%"/>
  </numFmts>
  <fonts count="1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name val="-webkit-standard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432FF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49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2" fillId="0" borderId="0" xfId="1" applyNumberFormat="1"/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 indent="3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right"/>
    </xf>
    <xf numFmtId="0" fontId="6" fillId="2" borderId="0" xfId="0" applyFont="1" applyFill="1"/>
    <xf numFmtId="3" fontId="6" fillId="2" borderId="0" xfId="0" applyNumberFormat="1" applyFont="1" applyFill="1"/>
    <xf numFmtId="0" fontId="7" fillId="0" borderId="0" xfId="0" applyFont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3" fontId="5" fillId="0" borderId="0" xfId="0" applyNumberFormat="1" applyFont="1"/>
    <xf numFmtId="3" fontId="9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9" fillId="0" borderId="0" xfId="0" applyNumberFormat="1" applyFont="1"/>
    <xf numFmtId="3" fontId="7" fillId="0" borderId="1" xfId="0" applyNumberFormat="1" applyFont="1" applyBorder="1"/>
    <xf numFmtId="3" fontId="7" fillId="0" borderId="1" xfId="0" applyNumberFormat="1" applyFont="1" applyBorder="1" applyAlignment="1">
      <alignment horizontal="right"/>
    </xf>
    <xf numFmtId="3" fontId="7" fillId="0" borderId="0" xfId="0" applyNumberFormat="1" applyFont="1"/>
    <xf numFmtId="3" fontId="5" fillId="0" borderId="0" xfId="0" applyNumberFormat="1" applyFont="1" applyBorder="1"/>
    <xf numFmtId="3" fontId="5" fillId="0" borderId="0" xfId="0" applyNumberFormat="1" applyFont="1" applyBorder="1" applyAlignment="1">
      <alignment horizontal="right"/>
    </xf>
    <xf numFmtId="9" fontId="5" fillId="0" borderId="0" xfId="0" applyNumberFormat="1" applyFont="1" applyBorder="1" applyAlignment="1">
      <alignment horizontal="right"/>
    </xf>
    <xf numFmtId="9" fontId="5" fillId="0" borderId="0" xfId="0" applyNumberFormat="1" applyFont="1" applyBorder="1"/>
    <xf numFmtId="3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2" xfId="0" applyFont="1" applyBorder="1"/>
    <xf numFmtId="9" fontId="5" fillId="0" borderId="3" xfId="0" applyNumberFormat="1" applyFont="1" applyBorder="1"/>
    <xf numFmtId="0" fontId="5" fillId="0" borderId="0" xfId="0" applyFont="1" applyAlignment="1">
      <alignment horizontal="left" indent="1"/>
    </xf>
    <xf numFmtId="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/>
    <xf numFmtId="9" fontId="10" fillId="0" borderId="0" xfId="0" applyNumberFormat="1" applyFont="1"/>
    <xf numFmtId="0" fontId="5" fillId="0" borderId="4" xfId="0" applyFont="1" applyBorder="1"/>
    <xf numFmtId="9" fontId="5" fillId="0" borderId="5" xfId="0" applyNumberFormat="1" applyFont="1" applyBorder="1"/>
    <xf numFmtId="0" fontId="5" fillId="0" borderId="8" xfId="0" applyFont="1" applyBorder="1"/>
    <xf numFmtId="8" fontId="5" fillId="0" borderId="9" xfId="0" applyNumberFormat="1" applyFont="1" applyBorder="1"/>
    <xf numFmtId="3" fontId="5" fillId="0" borderId="5" xfId="0" applyNumberFormat="1" applyFont="1" applyBorder="1"/>
    <xf numFmtId="0" fontId="7" fillId="0" borderId="8" xfId="0" applyFont="1" applyBorder="1"/>
    <xf numFmtId="3" fontId="7" fillId="0" borderId="9" xfId="0" applyNumberFormat="1" applyFont="1" applyBorder="1"/>
    <xf numFmtId="0" fontId="7" fillId="0" borderId="6" xfId="0" applyFont="1" applyBorder="1"/>
    <xf numFmtId="9" fontId="7" fillId="0" borderId="7" xfId="0" applyNumberFormat="1" applyFont="1" applyBorder="1"/>
    <xf numFmtId="9" fontId="5" fillId="0" borderId="0" xfId="0" applyNumberFormat="1" applyFont="1" applyAlignment="1">
      <alignment horizontal="right"/>
    </xf>
    <xf numFmtId="9" fontId="5" fillId="0" borderId="0" xfId="0" applyNumberFormat="1" applyFont="1"/>
    <xf numFmtId="0" fontId="7" fillId="0" borderId="0" xfId="0" applyFont="1" applyAlignment="1">
      <alignment horizontal="left" indent="1"/>
    </xf>
    <xf numFmtId="3" fontId="5" fillId="0" borderId="0" xfId="0" applyNumberFormat="1" applyFont="1" applyAlignment="1">
      <alignment horizontal="left" indent="1"/>
    </xf>
    <xf numFmtId="3" fontId="7" fillId="0" borderId="0" xfId="0" applyNumberFormat="1" applyFont="1" applyAlignment="1">
      <alignment horizontal="left" indent="1"/>
    </xf>
    <xf numFmtId="168" fontId="10" fillId="0" borderId="0" xfId="2" applyNumberFormat="1" applyFont="1" applyAlignment="1">
      <alignment horizontal="righ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25400</xdr:colOff>
      <xdr:row>1</xdr:row>
      <xdr:rowOff>63500</xdr:rowOff>
    </xdr:from>
    <xdr:to>
      <xdr:col>10</xdr:col>
      <xdr:colOff>50800</xdr:colOff>
      <xdr:row>86</xdr:row>
      <xdr:rowOff>139700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67371A-6318-71E3-7344-EB414CDFE290}"/>
            </a:ext>
          </a:extLst>
        </xdr:cNvPr>
        <xdr:cNvCxnSpPr/>
      </xdr:nvCxnSpPr>
      <xdr:spPr>
        <a:xfrm>
          <a:off x="4914900" y="63500"/>
          <a:ext cx="25400" cy="1023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</xdr:row>
      <xdr:rowOff>50800</xdr:rowOff>
    </xdr:from>
    <xdr:to>
      <xdr:col>21</xdr:col>
      <xdr:colOff>25400</xdr:colOff>
      <xdr:row>86</xdr:row>
      <xdr:rowOff>127000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422F22-576C-E14E-AD89-2D23E94A64F0}"/>
            </a:ext>
          </a:extLst>
        </xdr:cNvPr>
        <xdr:cNvCxnSpPr/>
      </xdr:nvCxnSpPr>
      <xdr:spPr>
        <a:xfrm>
          <a:off x="12915900" y="50800"/>
          <a:ext cx="25400" cy="102362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inance.yahoo.com/quote/MPWR/earnings/MPWR-Q4-2025-earnings_call-403188.html" TargetMode="External"/><Relationship Id="rId1" Type="http://schemas.openxmlformats.org/officeDocument/2006/relationships/hyperlink" Target="https://www.monolithicpower.com/en/about-mps/investor-relations/events-presentations/monolithic-power-systems-fourth-quarter-and-full-year-2025-earnings-webina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42CF-32AB-8C45-BACA-4CE76258F864}">
  <dimension ref="B2:L64"/>
  <sheetViews>
    <sheetView showGridLines="0" workbookViewId="0">
      <selection activeCell="B64" sqref="B64"/>
    </sheetView>
  </sheetViews>
  <sheetFormatPr baseColWidth="10" defaultRowHeight="16"/>
  <cols>
    <col min="1" max="1" width="10.83203125" style="1"/>
    <col min="2" max="2" width="5.1640625" style="1" bestFit="1" customWidth="1"/>
    <col min="3" max="7" width="10.83203125" style="1"/>
    <col min="8" max="8" width="14.6640625" style="1" bestFit="1" customWidth="1"/>
    <col min="9" max="9" width="6.6640625" style="1" bestFit="1" customWidth="1"/>
    <col min="10" max="16384" width="10.83203125" style="1"/>
  </cols>
  <sheetData>
    <row r="2" spans="2:12">
      <c r="B2" s="1" t="s">
        <v>42</v>
      </c>
    </row>
    <row r="3" spans="2:12">
      <c r="B3" s="1" t="s">
        <v>49</v>
      </c>
      <c r="C3" s="1" t="s">
        <v>54</v>
      </c>
      <c r="H3" s="1" t="s">
        <v>0</v>
      </c>
      <c r="I3" s="1">
        <v>1157.6099999999999</v>
      </c>
    </row>
    <row r="4" spans="2:12">
      <c r="B4" s="1" t="s">
        <v>44</v>
      </c>
      <c r="C4" s="1" t="s">
        <v>43</v>
      </c>
      <c r="H4" s="1" t="s">
        <v>1</v>
      </c>
      <c r="I4" s="1">
        <v>49.167999999999999</v>
      </c>
      <c r="J4" s="1" t="s">
        <v>16</v>
      </c>
    </row>
    <row r="5" spans="2:12">
      <c r="H5" s="1" t="s">
        <v>2</v>
      </c>
      <c r="I5" s="1">
        <f>+I3*I4</f>
        <v>56917.368479999997</v>
      </c>
    </row>
    <row r="6" spans="2:12">
      <c r="H6" s="1" t="s">
        <v>3</v>
      </c>
      <c r="I6" s="1">
        <v>1256.5</v>
      </c>
      <c r="J6" s="1" t="str">
        <f>+J4</f>
        <v>Q425</v>
      </c>
    </row>
    <row r="7" spans="2:12">
      <c r="H7" s="1" t="s">
        <v>4</v>
      </c>
      <c r="J7" s="1" t="str">
        <f>+J6</f>
        <v>Q425</v>
      </c>
    </row>
    <row r="8" spans="2:12">
      <c r="H8" s="1" t="s">
        <v>5</v>
      </c>
    </row>
    <row r="10" spans="2:12">
      <c r="B10" s="1" t="s">
        <v>45</v>
      </c>
    </row>
    <row r="14" spans="2:12">
      <c r="B14" s="1" t="s">
        <v>50</v>
      </c>
      <c r="K14" s="1" t="s">
        <v>48</v>
      </c>
      <c r="L14" s="1" t="s">
        <v>55</v>
      </c>
    </row>
    <row r="15" spans="2:12">
      <c r="B15" s="1" t="s">
        <v>51</v>
      </c>
      <c r="K15" s="3" t="s">
        <v>16</v>
      </c>
      <c r="L15" s="3" t="s">
        <v>56</v>
      </c>
    </row>
    <row r="17" spans="2:2">
      <c r="B17" s="1" t="s">
        <v>52</v>
      </c>
    </row>
    <row r="18" spans="2:2">
      <c r="B18" s="1" t="s">
        <v>53</v>
      </c>
    </row>
    <row r="21" spans="2:2">
      <c r="B21" s="1" t="s">
        <v>80</v>
      </c>
    </row>
    <row r="22" spans="2:2">
      <c r="B22" s="1" t="s">
        <v>82</v>
      </c>
    </row>
    <row r="23" spans="2:2">
      <c r="B23" s="1" t="s">
        <v>81</v>
      </c>
    </row>
    <row r="33" spans="2:3">
      <c r="B33" s="2" t="s">
        <v>59</v>
      </c>
      <c r="C33" s="2"/>
    </row>
    <row r="34" spans="2:3">
      <c r="B34" s="4" t="s">
        <v>57</v>
      </c>
    </row>
    <row r="35" spans="2:3">
      <c r="B35" s="5" t="s">
        <v>58</v>
      </c>
    </row>
    <row r="36" spans="2:3">
      <c r="B36" s="4" t="s">
        <v>60</v>
      </c>
    </row>
    <row r="37" spans="2:3">
      <c r="B37" s="4" t="s">
        <v>61</v>
      </c>
    </row>
    <row r="38" spans="2:3">
      <c r="B38" s="5" t="s">
        <v>62</v>
      </c>
    </row>
    <row r="39" spans="2:3">
      <c r="B39" s="5" t="s">
        <v>63</v>
      </c>
    </row>
    <row r="40" spans="2:3">
      <c r="B40" s="5" t="s">
        <v>64</v>
      </c>
    </row>
    <row r="41" spans="2:3">
      <c r="B41" s="4" t="s">
        <v>65</v>
      </c>
    </row>
    <row r="42" spans="2:3">
      <c r="B42" s="4" t="s">
        <v>66</v>
      </c>
    </row>
    <row r="43" spans="2:3">
      <c r="B43" s="4" t="s">
        <v>67</v>
      </c>
    </row>
    <row r="44" spans="2:3">
      <c r="B44" s="4" t="s">
        <v>68</v>
      </c>
    </row>
    <row r="45" spans="2:3">
      <c r="B45" s="5" t="s">
        <v>69</v>
      </c>
    </row>
    <row r="46" spans="2:3">
      <c r="B46" s="5" t="s">
        <v>70</v>
      </c>
    </row>
    <row r="47" spans="2:3">
      <c r="B47" s="5" t="s">
        <v>71</v>
      </c>
    </row>
    <row r="48" spans="2:3">
      <c r="B48" s="4" t="s">
        <v>72</v>
      </c>
    </row>
    <row r="49" spans="2:2">
      <c r="B49" s="4" t="s">
        <v>73</v>
      </c>
    </row>
    <row r="50" spans="2:2">
      <c r="B50" s="5" t="s">
        <v>74</v>
      </c>
    </row>
    <row r="51" spans="2:2">
      <c r="B51" s="5" t="s">
        <v>75</v>
      </c>
    </row>
    <row r="52" spans="2:2">
      <c r="B52" s="5" t="s">
        <v>76</v>
      </c>
    </row>
    <row r="53" spans="2:2">
      <c r="B53" s="5" t="s">
        <v>77</v>
      </c>
    </row>
    <row r="54" spans="2:2">
      <c r="B54" s="5" t="s">
        <v>78</v>
      </c>
    </row>
    <row r="55" spans="2:2">
      <c r="B55" s="5" t="s">
        <v>79</v>
      </c>
    </row>
    <row r="56" spans="2:2">
      <c r="B56" s="4"/>
    </row>
    <row r="59" spans="2:2" ht="18">
      <c r="B59" s="6" t="s">
        <v>83</v>
      </c>
    </row>
    <row r="60" spans="2:2" ht="18">
      <c r="B60" s="6" t="s">
        <v>84</v>
      </c>
    </row>
    <row r="61" spans="2:2" ht="18">
      <c r="B61" s="6" t="s">
        <v>85</v>
      </c>
    </row>
    <row r="62" spans="2:2" ht="18">
      <c r="B62" s="6" t="s">
        <v>86</v>
      </c>
    </row>
    <row r="63" spans="2:2" ht="18">
      <c r="B63" s="6" t="s">
        <v>87</v>
      </c>
    </row>
    <row r="64" spans="2:2" ht="18">
      <c r="B64" s="6" t="s">
        <v>88</v>
      </c>
    </row>
  </sheetData>
  <hyperlinks>
    <hyperlink ref="K15" r:id="rId1" xr:uid="{5C65CE06-6E28-C54D-A6AF-45388392B783}"/>
    <hyperlink ref="L15" r:id="rId2" xr:uid="{7AD43E44-C5F4-7D44-9EF0-9324C80E51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906-706A-014B-B7AD-4EC8AB714044}">
  <dimension ref="B2:HW71"/>
  <sheetViews>
    <sheetView showGridLines="0" tabSelected="1" zoomScale="130" zoomScaleNormal="13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O20" sqref="O20"/>
    </sheetView>
  </sheetViews>
  <sheetFormatPr baseColWidth="10" defaultColWidth="16.6640625" defaultRowHeight="13"/>
  <cols>
    <col min="1" max="1" width="2.1640625" style="7" customWidth="1"/>
    <col min="2" max="2" width="22.6640625" style="7" bestFit="1" customWidth="1"/>
    <col min="3" max="5" width="8.5" style="26" bestFit="1" customWidth="1"/>
    <col min="6" max="6" width="8" style="26" bestFit="1" customWidth="1"/>
    <col min="7" max="9" width="8.5" style="26" bestFit="1" customWidth="1"/>
    <col min="10" max="11" width="6.5" style="26" bestFit="1" customWidth="1"/>
    <col min="12" max="14" width="5.5" style="26" bestFit="1" customWidth="1"/>
    <col min="15" max="15" width="7.1640625" style="7" customWidth="1"/>
    <col min="16" max="18" width="4.83203125" style="7" customWidth="1"/>
    <col min="19" max="19" width="6.33203125" style="7" bestFit="1" customWidth="1"/>
    <col min="20" max="20" width="7" style="7" bestFit="1" customWidth="1"/>
    <col min="21" max="26" width="6.33203125" style="7" bestFit="1" customWidth="1"/>
    <col min="27" max="31" width="7.5" style="7" bestFit="1" customWidth="1"/>
    <col min="32" max="32" width="6.33203125" style="7" bestFit="1" customWidth="1"/>
    <col min="33" max="33" width="9" style="7" bestFit="1" customWidth="1"/>
    <col min="34" max="34" width="12.1640625" style="7" bestFit="1" customWidth="1"/>
    <col min="35" max="86" width="6.33203125" style="7" bestFit="1" customWidth="1"/>
    <col min="87" max="231" width="7.5" style="7" bestFit="1" customWidth="1"/>
    <col min="232" max="16384" width="16.6640625" style="7"/>
  </cols>
  <sheetData>
    <row r="2" spans="2:231">
      <c r="B2" s="7" t="s">
        <v>38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S2" s="9"/>
      <c r="T2" s="10">
        <f>+T4-S4</f>
        <v>178.62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7">
        <v>1</v>
      </c>
      <c r="AG2" s="7">
        <f>+AF2+1</f>
        <v>2</v>
      </c>
      <c r="AH2" s="7">
        <f t="shared" ref="AH2:CS2" si="0">+AG2+1</f>
        <v>3</v>
      </c>
      <c r="AI2" s="7">
        <f t="shared" si="0"/>
        <v>4</v>
      </c>
      <c r="AJ2" s="7">
        <f t="shared" si="0"/>
        <v>5</v>
      </c>
      <c r="AK2" s="7">
        <f t="shared" si="0"/>
        <v>6</v>
      </c>
      <c r="AL2" s="7">
        <f t="shared" si="0"/>
        <v>7</v>
      </c>
      <c r="AM2" s="7">
        <f t="shared" si="0"/>
        <v>8</v>
      </c>
      <c r="AN2" s="7">
        <f t="shared" si="0"/>
        <v>9</v>
      </c>
      <c r="AO2" s="7">
        <f t="shared" si="0"/>
        <v>10</v>
      </c>
      <c r="AP2" s="7">
        <f t="shared" si="0"/>
        <v>11</v>
      </c>
      <c r="AQ2" s="7">
        <f t="shared" si="0"/>
        <v>12</v>
      </c>
      <c r="AR2" s="7">
        <f t="shared" si="0"/>
        <v>13</v>
      </c>
      <c r="AS2" s="7">
        <f t="shared" si="0"/>
        <v>14</v>
      </c>
      <c r="AT2" s="7">
        <f t="shared" si="0"/>
        <v>15</v>
      </c>
      <c r="AU2" s="7">
        <f t="shared" si="0"/>
        <v>16</v>
      </c>
      <c r="AV2" s="7">
        <f t="shared" si="0"/>
        <v>17</v>
      </c>
      <c r="AW2" s="7">
        <f t="shared" si="0"/>
        <v>18</v>
      </c>
      <c r="AX2" s="7">
        <f t="shared" si="0"/>
        <v>19</v>
      </c>
      <c r="AY2" s="7">
        <f t="shared" si="0"/>
        <v>20</v>
      </c>
      <c r="AZ2" s="7">
        <f t="shared" si="0"/>
        <v>21</v>
      </c>
      <c r="BA2" s="7">
        <f t="shared" si="0"/>
        <v>22</v>
      </c>
      <c r="BB2" s="7">
        <f t="shared" si="0"/>
        <v>23</v>
      </c>
      <c r="BC2" s="7">
        <f t="shared" si="0"/>
        <v>24</v>
      </c>
      <c r="BD2" s="7">
        <f t="shared" si="0"/>
        <v>25</v>
      </c>
      <c r="BE2" s="7">
        <f t="shared" si="0"/>
        <v>26</v>
      </c>
      <c r="BF2" s="7">
        <f t="shared" si="0"/>
        <v>27</v>
      </c>
      <c r="BG2" s="7">
        <f t="shared" si="0"/>
        <v>28</v>
      </c>
      <c r="BH2" s="7">
        <f t="shared" si="0"/>
        <v>29</v>
      </c>
      <c r="BI2" s="7">
        <f t="shared" si="0"/>
        <v>30</v>
      </c>
      <c r="BJ2" s="7">
        <f t="shared" si="0"/>
        <v>31</v>
      </c>
      <c r="BK2" s="7">
        <f t="shared" si="0"/>
        <v>32</v>
      </c>
      <c r="BL2" s="7">
        <f t="shared" si="0"/>
        <v>33</v>
      </c>
      <c r="BM2" s="7">
        <f t="shared" si="0"/>
        <v>34</v>
      </c>
      <c r="BN2" s="7">
        <f t="shared" si="0"/>
        <v>35</v>
      </c>
      <c r="BO2" s="7">
        <f t="shared" si="0"/>
        <v>36</v>
      </c>
      <c r="BP2" s="7">
        <f t="shared" si="0"/>
        <v>37</v>
      </c>
      <c r="BQ2" s="7">
        <f t="shared" si="0"/>
        <v>38</v>
      </c>
      <c r="BR2" s="7">
        <f t="shared" si="0"/>
        <v>39</v>
      </c>
      <c r="BS2" s="7">
        <f t="shared" si="0"/>
        <v>40</v>
      </c>
      <c r="BT2" s="7">
        <f t="shared" si="0"/>
        <v>41</v>
      </c>
      <c r="BU2" s="7">
        <f t="shared" si="0"/>
        <v>42</v>
      </c>
      <c r="BV2" s="7">
        <f t="shared" si="0"/>
        <v>43</v>
      </c>
      <c r="BW2" s="7">
        <f t="shared" si="0"/>
        <v>44</v>
      </c>
      <c r="BX2" s="7">
        <f t="shared" si="0"/>
        <v>45</v>
      </c>
      <c r="BY2" s="7">
        <f t="shared" si="0"/>
        <v>46</v>
      </c>
      <c r="BZ2" s="7">
        <f t="shared" si="0"/>
        <v>47</v>
      </c>
      <c r="CA2" s="7">
        <f t="shared" si="0"/>
        <v>48</v>
      </c>
      <c r="CB2" s="7">
        <f t="shared" si="0"/>
        <v>49</v>
      </c>
      <c r="CC2" s="7">
        <f t="shared" si="0"/>
        <v>50</v>
      </c>
      <c r="CD2" s="7">
        <f t="shared" si="0"/>
        <v>51</v>
      </c>
      <c r="CE2" s="7">
        <f t="shared" si="0"/>
        <v>52</v>
      </c>
      <c r="CF2" s="7">
        <f t="shared" si="0"/>
        <v>53</v>
      </c>
      <c r="CG2" s="7">
        <f t="shared" si="0"/>
        <v>54</v>
      </c>
      <c r="CH2" s="7">
        <f t="shared" si="0"/>
        <v>55</v>
      </c>
      <c r="CI2" s="7">
        <f t="shared" si="0"/>
        <v>56</v>
      </c>
      <c r="CJ2" s="7">
        <f t="shared" si="0"/>
        <v>57</v>
      </c>
      <c r="CK2" s="7">
        <f t="shared" si="0"/>
        <v>58</v>
      </c>
      <c r="CL2" s="7">
        <f t="shared" si="0"/>
        <v>59</v>
      </c>
      <c r="CM2" s="7">
        <f t="shared" si="0"/>
        <v>60</v>
      </c>
      <c r="CN2" s="7">
        <f t="shared" si="0"/>
        <v>61</v>
      </c>
      <c r="CO2" s="7">
        <f t="shared" si="0"/>
        <v>62</v>
      </c>
      <c r="CP2" s="7">
        <f t="shared" si="0"/>
        <v>63</v>
      </c>
      <c r="CQ2" s="7">
        <f t="shared" si="0"/>
        <v>64</v>
      </c>
      <c r="CR2" s="7">
        <f t="shared" si="0"/>
        <v>65</v>
      </c>
      <c r="CS2" s="7">
        <f t="shared" si="0"/>
        <v>66</v>
      </c>
      <c r="CT2" s="7">
        <f t="shared" ref="CT2:FE2" si="1">+CS2+1</f>
        <v>67</v>
      </c>
      <c r="CU2" s="7">
        <f t="shared" si="1"/>
        <v>68</v>
      </c>
      <c r="CV2" s="7">
        <f t="shared" si="1"/>
        <v>69</v>
      </c>
      <c r="CW2" s="7">
        <f t="shared" si="1"/>
        <v>70</v>
      </c>
      <c r="CX2" s="7">
        <f t="shared" si="1"/>
        <v>71</v>
      </c>
      <c r="CY2" s="7">
        <f t="shared" si="1"/>
        <v>72</v>
      </c>
      <c r="CZ2" s="7">
        <f t="shared" si="1"/>
        <v>73</v>
      </c>
      <c r="DA2" s="7">
        <f t="shared" si="1"/>
        <v>74</v>
      </c>
      <c r="DB2" s="7">
        <f t="shared" si="1"/>
        <v>75</v>
      </c>
      <c r="DC2" s="7">
        <f t="shared" si="1"/>
        <v>76</v>
      </c>
      <c r="DD2" s="7">
        <f t="shared" si="1"/>
        <v>77</v>
      </c>
      <c r="DE2" s="7">
        <f t="shared" si="1"/>
        <v>78</v>
      </c>
      <c r="DF2" s="7">
        <f t="shared" si="1"/>
        <v>79</v>
      </c>
      <c r="DG2" s="7">
        <f t="shared" si="1"/>
        <v>80</v>
      </c>
      <c r="DH2" s="7">
        <f t="shared" si="1"/>
        <v>81</v>
      </c>
      <c r="DI2" s="7">
        <f t="shared" si="1"/>
        <v>82</v>
      </c>
      <c r="DJ2" s="7">
        <f t="shared" si="1"/>
        <v>83</v>
      </c>
      <c r="DK2" s="7">
        <f t="shared" si="1"/>
        <v>84</v>
      </c>
      <c r="DL2" s="7">
        <f t="shared" si="1"/>
        <v>85</v>
      </c>
      <c r="DM2" s="7">
        <f t="shared" si="1"/>
        <v>86</v>
      </c>
      <c r="DN2" s="7">
        <f t="shared" si="1"/>
        <v>87</v>
      </c>
      <c r="DO2" s="7">
        <f t="shared" si="1"/>
        <v>88</v>
      </c>
      <c r="DP2" s="7">
        <f t="shared" si="1"/>
        <v>89</v>
      </c>
      <c r="DQ2" s="7">
        <f t="shared" si="1"/>
        <v>90</v>
      </c>
      <c r="DR2" s="7">
        <f t="shared" si="1"/>
        <v>91</v>
      </c>
      <c r="DS2" s="7">
        <f t="shared" si="1"/>
        <v>92</v>
      </c>
      <c r="DT2" s="7">
        <f t="shared" si="1"/>
        <v>93</v>
      </c>
      <c r="DU2" s="7">
        <f t="shared" si="1"/>
        <v>94</v>
      </c>
      <c r="DV2" s="7">
        <f t="shared" si="1"/>
        <v>95</v>
      </c>
      <c r="DW2" s="7">
        <f t="shared" si="1"/>
        <v>96</v>
      </c>
      <c r="DX2" s="7">
        <f t="shared" si="1"/>
        <v>97</v>
      </c>
      <c r="DY2" s="7">
        <f t="shared" si="1"/>
        <v>98</v>
      </c>
      <c r="DZ2" s="7">
        <f t="shared" si="1"/>
        <v>99</v>
      </c>
      <c r="EA2" s="7">
        <f t="shared" si="1"/>
        <v>100</v>
      </c>
      <c r="EB2" s="7">
        <f t="shared" si="1"/>
        <v>101</v>
      </c>
      <c r="EC2" s="7">
        <f t="shared" si="1"/>
        <v>102</v>
      </c>
      <c r="ED2" s="7">
        <f t="shared" si="1"/>
        <v>103</v>
      </c>
      <c r="EE2" s="7">
        <f t="shared" si="1"/>
        <v>104</v>
      </c>
      <c r="EF2" s="7">
        <f t="shared" si="1"/>
        <v>105</v>
      </c>
      <c r="EG2" s="7">
        <f t="shared" si="1"/>
        <v>106</v>
      </c>
      <c r="EH2" s="7">
        <f t="shared" si="1"/>
        <v>107</v>
      </c>
      <c r="EI2" s="7">
        <f t="shared" si="1"/>
        <v>108</v>
      </c>
      <c r="EJ2" s="7">
        <f t="shared" si="1"/>
        <v>109</v>
      </c>
      <c r="EK2" s="7">
        <f t="shared" si="1"/>
        <v>110</v>
      </c>
      <c r="EL2" s="7">
        <f t="shared" si="1"/>
        <v>111</v>
      </c>
      <c r="EM2" s="7">
        <f t="shared" si="1"/>
        <v>112</v>
      </c>
      <c r="EN2" s="7">
        <f t="shared" si="1"/>
        <v>113</v>
      </c>
      <c r="EO2" s="7">
        <f t="shared" si="1"/>
        <v>114</v>
      </c>
      <c r="EP2" s="7">
        <f t="shared" si="1"/>
        <v>115</v>
      </c>
      <c r="EQ2" s="7">
        <f t="shared" si="1"/>
        <v>116</v>
      </c>
      <c r="ER2" s="7">
        <f t="shared" si="1"/>
        <v>117</v>
      </c>
      <c r="ES2" s="7">
        <f t="shared" si="1"/>
        <v>118</v>
      </c>
      <c r="ET2" s="7">
        <f t="shared" si="1"/>
        <v>119</v>
      </c>
      <c r="EU2" s="7">
        <f t="shared" si="1"/>
        <v>120</v>
      </c>
      <c r="EV2" s="7">
        <f t="shared" si="1"/>
        <v>121</v>
      </c>
      <c r="EW2" s="7">
        <f t="shared" si="1"/>
        <v>122</v>
      </c>
      <c r="EX2" s="7">
        <f t="shared" si="1"/>
        <v>123</v>
      </c>
      <c r="EY2" s="7">
        <f t="shared" si="1"/>
        <v>124</v>
      </c>
      <c r="EZ2" s="7">
        <f t="shared" si="1"/>
        <v>125</v>
      </c>
      <c r="FA2" s="7">
        <f t="shared" si="1"/>
        <v>126</v>
      </c>
      <c r="FB2" s="7">
        <f t="shared" si="1"/>
        <v>127</v>
      </c>
      <c r="FC2" s="7">
        <f t="shared" si="1"/>
        <v>128</v>
      </c>
      <c r="FD2" s="7">
        <f t="shared" si="1"/>
        <v>129</v>
      </c>
      <c r="FE2" s="7">
        <f t="shared" si="1"/>
        <v>130</v>
      </c>
      <c r="FF2" s="7">
        <f t="shared" ref="FF2:GC2" si="2">+FE2+1</f>
        <v>131</v>
      </c>
      <c r="FG2" s="7">
        <f t="shared" si="2"/>
        <v>132</v>
      </c>
      <c r="FH2" s="7">
        <f t="shared" si="2"/>
        <v>133</v>
      </c>
      <c r="FI2" s="7">
        <f t="shared" si="2"/>
        <v>134</v>
      </c>
      <c r="FJ2" s="7">
        <f t="shared" si="2"/>
        <v>135</v>
      </c>
      <c r="FK2" s="7">
        <f t="shared" si="2"/>
        <v>136</v>
      </c>
      <c r="FL2" s="7">
        <f t="shared" si="2"/>
        <v>137</v>
      </c>
      <c r="FM2" s="7">
        <f t="shared" si="2"/>
        <v>138</v>
      </c>
      <c r="FN2" s="7">
        <f t="shared" si="2"/>
        <v>139</v>
      </c>
      <c r="FO2" s="7">
        <f t="shared" si="2"/>
        <v>140</v>
      </c>
      <c r="FP2" s="7">
        <f t="shared" si="2"/>
        <v>141</v>
      </c>
      <c r="FQ2" s="7">
        <f t="shared" si="2"/>
        <v>142</v>
      </c>
      <c r="FR2" s="7">
        <f t="shared" si="2"/>
        <v>143</v>
      </c>
      <c r="FS2" s="7">
        <f t="shared" si="2"/>
        <v>144</v>
      </c>
      <c r="FT2" s="7">
        <f t="shared" si="2"/>
        <v>145</v>
      </c>
      <c r="FU2" s="7">
        <f t="shared" si="2"/>
        <v>146</v>
      </c>
      <c r="FV2" s="7">
        <f t="shared" si="2"/>
        <v>147</v>
      </c>
      <c r="FW2" s="7">
        <f t="shared" si="2"/>
        <v>148</v>
      </c>
      <c r="FX2" s="7">
        <f t="shared" si="2"/>
        <v>149</v>
      </c>
      <c r="FY2" s="7">
        <f t="shared" si="2"/>
        <v>150</v>
      </c>
      <c r="FZ2" s="7">
        <f t="shared" si="2"/>
        <v>151</v>
      </c>
      <c r="GA2" s="7">
        <f t="shared" si="2"/>
        <v>152</v>
      </c>
      <c r="GB2" s="7">
        <f t="shared" si="2"/>
        <v>153</v>
      </c>
      <c r="GC2" s="7">
        <f t="shared" si="2"/>
        <v>154</v>
      </c>
      <c r="GD2" s="7">
        <f t="shared" ref="GD2:HM2" si="3">+GC2+1</f>
        <v>155</v>
      </c>
      <c r="GE2" s="7">
        <f t="shared" si="3"/>
        <v>156</v>
      </c>
      <c r="GF2" s="7">
        <f t="shared" si="3"/>
        <v>157</v>
      </c>
      <c r="GG2" s="7">
        <f t="shared" si="3"/>
        <v>158</v>
      </c>
      <c r="GH2" s="7">
        <f t="shared" si="3"/>
        <v>159</v>
      </c>
      <c r="GI2" s="7">
        <f t="shared" si="3"/>
        <v>160</v>
      </c>
      <c r="GJ2" s="7">
        <f t="shared" si="3"/>
        <v>161</v>
      </c>
      <c r="GK2" s="7">
        <f t="shared" si="3"/>
        <v>162</v>
      </c>
      <c r="GL2" s="7">
        <f t="shared" si="3"/>
        <v>163</v>
      </c>
      <c r="GM2" s="7">
        <f t="shared" si="3"/>
        <v>164</v>
      </c>
      <c r="GN2" s="7">
        <f t="shared" si="3"/>
        <v>165</v>
      </c>
      <c r="GO2" s="7">
        <f t="shared" si="3"/>
        <v>166</v>
      </c>
      <c r="GP2" s="7">
        <f t="shared" si="3"/>
        <v>167</v>
      </c>
      <c r="GQ2" s="7">
        <f t="shared" si="3"/>
        <v>168</v>
      </c>
      <c r="GR2" s="7">
        <f t="shared" si="3"/>
        <v>169</v>
      </c>
      <c r="GS2" s="7">
        <f t="shared" si="3"/>
        <v>170</v>
      </c>
      <c r="GT2" s="7">
        <f t="shared" si="3"/>
        <v>171</v>
      </c>
      <c r="GU2" s="7">
        <f t="shared" si="3"/>
        <v>172</v>
      </c>
      <c r="GV2" s="7">
        <f t="shared" si="3"/>
        <v>173</v>
      </c>
      <c r="GW2" s="7">
        <f t="shared" si="3"/>
        <v>174</v>
      </c>
      <c r="GX2" s="7">
        <f t="shared" si="3"/>
        <v>175</v>
      </c>
      <c r="GY2" s="7">
        <f t="shared" si="3"/>
        <v>176</v>
      </c>
      <c r="GZ2" s="7">
        <f t="shared" si="3"/>
        <v>177</v>
      </c>
      <c r="HA2" s="7">
        <f t="shared" si="3"/>
        <v>178</v>
      </c>
      <c r="HB2" s="7">
        <f t="shared" si="3"/>
        <v>179</v>
      </c>
      <c r="HC2" s="7">
        <f t="shared" si="3"/>
        <v>180</v>
      </c>
      <c r="HD2" s="7">
        <f t="shared" si="3"/>
        <v>181</v>
      </c>
      <c r="HE2" s="7">
        <f t="shared" si="3"/>
        <v>182</v>
      </c>
      <c r="HF2" s="7">
        <f t="shared" si="3"/>
        <v>183</v>
      </c>
      <c r="HG2" s="7">
        <f t="shared" si="3"/>
        <v>184</v>
      </c>
      <c r="HH2" s="7">
        <f t="shared" si="3"/>
        <v>185</v>
      </c>
      <c r="HI2" s="7">
        <f t="shared" si="3"/>
        <v>186</v>
      </c>
      <c r="HJ2" s="7">
        <f t="shared" si="3"/>
        <v>187</v>
      </c>
      <c r="HK2" s="7">
        <f t="shared" si="3"/>
        <v>188</v>
      </c>
      <c r="HL2" s="7">
        <f t="shared" si="3"/>
        <v>189</v>
      </c>
      <c r="HM2" s="7">
        <f t="shared" si="3"/>
        <v>190</v>
      </c>
      <c r="HN2" s="7">
        <f t="shared" ref="HN2:HW2" si="4">+HM2+1</f>
        <v>191</v>
      </c>
      <c r="HO2" s="7">
        <f t="shared" si="4"/>
        <v>192</v>
      </c>
      <c r="HP2" s="7">
        <f t="shared" si="4"/>
        <v>193</v>
      </c>
      <c r="HQ2" s="7">
        <f t="shared" si="4"/>
        <v>194</v>
      </c>
      <c r="HR2" s="7">
        <f t="shared" si="4"/>
        <v>195</v>
      </c>
      <c r="HS2" s="7">
        <f t="shared" si="4"/>
        <v>196</v>
      </c>
      <c r="HT2" s="7">
        <f t="shared" si="4"/>
        <v>197</v>
      </c>
      <c r="HU2" s="7">
        <f t="shared" si="4"/>
        <v>198</v>
      </c>
      <c r="HV2" s="7">
        <f t="shared" si="4"/>
        <v>199</v>
      </c>
      <c r="HW2" s="7">
        <f t="shared" si="4"/>
        <v>200</v>
      </c>
    </row>
    <row r="3" spans="2:231" s="11" customFormat="1">
      <c r="C3" s="12" t="s">
        <v>21</v>
      </c>
      <c r="D3" s="12" t="s">
        <v>22</v>
      </c>
      <c r="E3" s="12" t="s">
        <v>23</v>
      </c>
      <c r="F3" s="12" t="s">
        <v>24</v>
      </c>
      <c r="G3" s="12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N3" s="12" t="s">
        <v>20</v>
      </c>
      <c r="S3" s="13">
        <v>2023</v>
      </c>
      <c r="T3" s="13">
        <v>2024</v>
      </c>
      <c r="U3" s="13">
        <v>2025</v>
      </c>
      <c r="V3" s="13">
        <f>+U3+1</f>
        <v>2026</v>
      </c>
      <c r="W3" s="13">
        <f t="shared" ref="W3:AE3" si="5">+V3+1</f>
        <v>2027</v>
      </c>
      <c r="X3" s="13">
        <f t="shared" si="5"/>
        <v>2028</v>
      </c>
      <c r="Y3" s="13">
        <f t="shared" si="5"/>
        <v>2029</v>
      </c>
      <c r="Z3" s="13">
        <f t="shared" si="5"/>
        <v>2030</v>
      </c>
      <c r="AA3" s="13">
        <f t="shared" si="5"/>
        <v>2031</v>
      </c>
      <c r="AB3" s="13">
        <f t="shared" si="5"/>
        <v>2032</v>
      </c>
      <c r="AC3" s="13">
        <f t="shared" si="5"/>
        <v>2033</v>
      </c>
      <c r="AD3" s="13">
        <f t="shared" si="5"/>
        <v>2034</v>
      </c>
      <c r="AE3" s="13">
        <f t="shared" si="5"/>
        <v>2035</v>
      </c>
      <c r="AF3" s="11">
        <f>+AE3+1</f>
        <v>2036</v>
      </c>
      <c r="AG3" s="11">
        <f>+AF3+1</f>
        <v>2037</v>
      </c>
      <c r="AH3" s="11">
        <f t="shared" ref="AH3:CS3" si="6">+AG3+1</f>
        <v>2038</v>
      </c>
      <c r="AI3" s="11">
        <f t="shared" si="6"/>
        <v>2039</v>
      </c>
      <c r="AJ3" s="11">
        <f t="shared" si="6"/>
        <v>2040</v>
      </c>
      <c r="AK3" s="11">
        <f t="shared" si="6"/>
        <v>2041</v>
      </c>
      <c r="AL3" s="11">
        <f t="shared" si="6"/>
        <v>2042</v>
      </c>
      <c r="AM3" s="11">
        <f t="shared" si="6"/>
        <v>2043</v>
      </c>
      <c r="AN3" s="11">
        <f t="shared" si="6"/>
        <v>2044</v>
      </c>
      <c r="AO3" s="11">
        <f t="shared" si="6"/>
        <v>2045</v>
      </c>
      <c r="AP3" s="11">
        <f t="shared" si="6"/>
        <v>2046</v>
      </c>
      <c r="AQ3" s="11">
        <f t="shared" si="6"/>
        <v>2047</v>
      </c>
      <c r="AR3" s="11">
        <f t="shared" si="6"/>
        <v>2048</v>
      </c>
      <c r="AS3" s="11">
        <f t="shared" si="6"/>
        <v>2049</v>
      </c>
      <c r="AT3" s="11">
        <f t="shared" si="6"/>
        <v>2050</v>
      </c>
      <c r="AU3" s="11">
        <f t="shared" si="6"/>
        <v>2051</v>
      </c>
      <c r="AV3" s="11">
        <f t="shared" si="6"/>
        <v>2052</v>
      </c>
      <c r="AW3" s="11">
        <f t="shared" si="6"/>
        <v>2053</v>
      </c>
      <c r="AX3" s="11">
        <f t="shared" si="6"/>
        <v>2054</v>
      </c>
      <c r="AY3" s="11">
        <f t="shared" si="6"/>
        <v>2055</v>
      </c>
      <c r="AZ3" s="11">
        <f t="shared" si="6"/>
        <v>2056</v>
      </c>
      <c r="BA3" s="11">
        <f t="shared" si="6"/>
        <v>2057</v>
      </c>
      <c r="BB3" s="11">
        <f t="shared" si="6"/>
        <v>2058</v>
      </c>
      <c r="BC3" s="11">
        <f t="shared" si="6"/>
        <v>2059</v>
      </c>
      <c r="BD3" s="11">
        <f t="shared" si="6"/>
        <v>2060</v>
      </c>
      <c r="BE3" s="11">
        <f t="shared" si="6"/>
        <v>2061</v>
      </c>
      <c r="BF3" s="11">
        <f t="shared" si="6"/>
        <v>2062</v>
      </c>
      <c r="BG3" s="11">
        <f t="shared" si="6"/>
        <v>2063</v>
      </c>
      <c r="BH3" s="11">
        <f t="shared" si="6"/>
        <v>2064</v>
      </c>
      <c r="BI3" s="11">
        <f t="shared" si="6"/>
        <v>2065</v>
      </c>
      <c r="BJ3" s="11">
        <f t="shared" si="6"/>
        <v>2066</v>
      </c>
      <c r="BK3" s="11">
        <f t="shared" si="6"/>
        <v>2067</v>
      </c>
      <c r="BL3" s="11">
        <f t="shared" si="6"/>
        <v>2068</v>
      </c>
      <c r="BM3" s="11">
        <f t="shared" si="6"/>
        <v>2069</v>
      </c>
      <c r="BN3" s="11">
        <f t="shared" si="6"/>
        <v>2070</v>
      </c>
      <c r="BO3" s="11">
        <f t="shared" si="6"/>
        <v>2071</v>
      </c>
      <c r="BP3" s="11">
        <f t="shared" si="6"/>
        <v>2072</v>
      </c>
      <c r="BQ3" s="11">
        <f t="shared" si="6"/>
        <v>2073</v>
      </c>
      <c r="BR3" s="11">
        <f t="shared" si="6"/>
        <v>2074</v>
      </c>
      <c r="BS3" s="11">
        <f t="shared" si="6"/>
        <v>2075</v>
      </c>
      <c r="BT3" s="11">
        <f t="shared" si="6"/>
        <v>2076</v>
      </c>
      <c r="BU3" s="11">
        <f t="shared" si="6"/>
        <v>2077</v>
      </c>
      <c r="BV3" s="11">
        <f t="shared" si="6"/>
        <v>2078</v>
      </c>
      <c r="BW3" s="11">
        <f t="shared" si="6"/>
        <v>2079</v>
      </c>
      <c r="BX3" s="11">
        <f t="shared" si="6"/>
        <v>2080</v>
      </c>
      <c r="BY3" s="11">
        <f t="shared" si="6"/>
        <v>2081</v>
      </c>
      <c r="BZ3" s="11">
        <f t="shared" si="6"/>
        <v>2082</v>
      </c>
      <c r="CA3" s="11">
        <f t="shared" si="6"/>
        <v>2083</v>
      </c>
      <c r="CB3" s="11">
        <f t="shared" si="6"/>
        <v>2084</v>
      </c>
      <c r="CC3" s="11">
        <f t="shared" si="6"/>
        <v>2085</v>
      </c>
      <c r="CD3" s="11">
        <f t="shared" si="6"/>
        <v>2086</v>
      </c>
      <c r="CE3" s="11">
        <f t="shared" si="6"/>
        <v>2087</v>
      </c>
      <c r="CF3" s="11">
        <f t="shared" si="6"/>
        <v>2088</v>
      </c>
      <c r="CG3" s="11">
        <f t="shared" si="6"/>
        <v>2089</v>
      </c>
      <c r="CH3" s="11">
        <f t="shared" si="6"/>
        <v>2090</v>
      </c>
      <c r="CI3" s="11">
        <f t="shared" si="6"/>
        <v>2091</v>
      </c>
      <c r="CJ3" s="11">
        <f t="shared" si="6"/>
        <v>2092</v>
      </c>
      <c r="CK3" s="11">
        <f t="shared" si="6"/>
        <v>2093</v>
      </c>
      <c r="CL3" s="11">
        <f t="shared" si="6"/>
        <v>2094</v>
      </c>
      <c r="CM3" s="11">
        <f t="shared" si="6"/>
        <v>2095</v>
      </c>
      <c r="CN3" s="11">
        <f t="shared" si="6"/>
        <v>2096</v>
      </c>
      <c r="CO3" s="11">
        <f t="shared" si="6"/>
        <v>2097</v>
      </c>
      <c r="CP3" s="11">
        <f t="shared" si="6"/>
        <v>2098</v>
      </c>
      <c r="CQ3" s="11">
        <f t="shared" si="6"/>
        <v>2099</v>
      </c>
      <c r="CR3" s="11">
        <f t="shared" si="6"/>
        <v>2100</v>
      </c>
      <c r="CS3" s="11">
        <f t="shared" si="6"/>
        <v>2101</v>
      </c>
      <c r="CT3" s="11">
        <f t="shared" ref="CT3:FE3" si="7">+CS3+1</f>
        <v>2102</v>
      </c>
      <c r="CU3" s="11">
        <f t="shared" si="7"/>
        <v>2103</v>
      </c>
      <c r="CV3" s="11">
        <f t="shared" si="7"/>
        <v>2104</v>
      </c>
      <c r="CW3" s="11">
        <f t="shared" si="7"/>
        <v>2105</v>
      </c>
      <c r="CX3" s="11">
        <f t="shared" si="7"/>
        <v>2106</v>
      </c>
      <c r="CY3" s="11">
        <f t="shared" si="7"/>
        <v>2107</v>
      </c>
      <c r="CZ3" s="11">
        <f t="shared" si="7"/>
        <v>2108</v>
      </c>
      <c r="DA3" s="11">
        <f t="shared" si="7"/>
        <v>2109</v>
      </c>
      <c r="DB3" s="11">
        <f t="shared" si="7"/>
        <v>2110</v>
      </c>
      <c r="DC3" s="11">
        <f t="shared" si="7"/>
        <v>2111</v>
      </c>
      <c r="DD3" s="11">
        <f t="shared" si="7"/>
        <v>2112</v>
      </c>
      <c r="DE3" s="11">
        <f t="shared" si="7"/>
        <v>2113</v>
      </c>
      <c r="DF3" s="11">
        <f t="shared" si="7"/>
        <v>2114</v>
      </c>
      <c r="DG3" s="11">
        <f t="shared" si="7"/>
        <v>2115</v>
      </c>
      <c r="DH3" s="11">
        <f t="shared" si="7"/>
        <v>2116</v>
      </c>
      <c r="DI3" s="11">
        <f t="shared" si="7"/>
        <v>2117</v>
      </c>
      <c r="DJ3" s="11">
        <f t="shared" si="7"/>
        <v>2118</v>
      </c>
      <c r="DK3" s="11">
        <f t="shared" si="7"/>
        <v>2119</v>
      </c>
      <c r="DL3" s="11">
        <f t="shared" si="7"/>
        <v>2120</v>
      </c>
      <c r="DM3" s="11">
        <f t="shared" si="7"/>
        <v>2121</v>
      </c>
      <c r="DN3" s="11">
        <f t="shared" si="7"/>
        <v>2122</v>
      </c>
      <c r="DO3" s="11">
        <f t="shared" si="7"/>
        <v>2123</v>
      </c>
      <c r="DP3" s="11">
        <f t="shared" si="7"/>
        <v>2124</v>
      </c>
      <c r="DQ3" s="11">
        <f t="shared" si="7"/>
        <v>2125</v>
      </c>
      <c r="DR3" s="11">
        <f t="shared" si="7"/>
        <v>2126</v>
      </c>
      <c r="DS3" s="11">
        <f t="shared" si="7"/>
        <v>2127</v>
      </c>
      <c r="DT3" s="11">
        <f t="shared" si="7"/>
        <v>2128</v>
      </c>
      <c r="DU3" s="11">
        <f t="shared" si="7"/>
        <v>2129</v>
      </c>
      <c r="DV3" s="11">
        <f t="shared" si="7"/>
        <v>2130</v>
      </c>
      <c r="DW3" s="11">
        <f t="shared" si="7"/>
        <v>2131</v>
      </c>
      <c r="DX3" s="11">
        <f t="shared" si="7"/>
        <v>2132</v>
      </c>
      <c r="DY3" s="11">
        <f t="shared" si="7"/>
        <v>2133</v>
      </c>
      <c r="DZ3" s="11">
        <f t="shared" si="7"/>
        <v>2134</v>
      </c>
      <c r="EA3" s="11">
        <f t="shared" si="7"/>
        <v>2135</v>
      </c>
      <c r="EB3" s="11">
        <f t="shared" si="7"/>
        <v>2136</v>
      </c>
      <c r="EC3" s="11">
        <f t="shared" si="7"/>
        <v>2137</v>
      </c>
      <c r="ED3" s="11">
        <f t="shared" si="7"/>
        <v>2138</v>
      </c>
      <c r="EE3" s="11">
        <f t="shared" si="7"/>
        <v>2139</v>
      </c>
      <c r="EF3" s="11">
        <f t="shared" si="7"/>
        <v>2140</v>
      </c>
      <c r="EG3" s="11">
        <f t="shared" si="7"/>
        <v>2141</v>
      </c>
      <c r="EH3" s="11">
        <f t="shared" si="7"/>
        <v>2142</v>
      </c>
      <c r="EI3" s="11">
        <f t="shared" si="7"/>
        <v>2143</v>
      </c>
      <c r="EJ3" s="11">
        <f t="shared" si="7"/>
        <v>2144</v>
      </c>
      <c r="EK3" s="11">
        <f t="shared" si="7"/>
        <v>2145</v>
      </c>
      <c r="EL3" s="11">
        <f t="shared" si="7"/>
        <v>2146</v>
      </c>
      <c r="EM3" s="11">
        <f t="shared" si="7"/>
        <v>2147</v>
      </c>
      <c r="EN3" s="11">
        <f t="shared" si="7"/>
        <v>2148</v>
      </c>
      <c r="EO3" s="11">
        <f t="shared" si="7"/>
        <v>2149</v>
      </c>
      <c r="EP3" s="11">
        <f t="shared" si="7"/>
        <v>2150</v>
      </c>
      <c r="EQ3" s="11">
        <f t="shared" si="7"/>
        <v>2151</v>
      </c>
      <c r="ER3" s="11">
        <f t="shared" si="7"/>
        <v>2152</v>
      </c>
      <c r="ES3" s="11">
        <f t="shared" si="7"/>
        <v>2153</v>
      </c>
      <c r="ET3" s="11">
        <f t="shared" si="7"/>
        <v>2154</v>
      </c>
      <c r="EU3" s="11">
        <f t="shared" si="7"/>
        <v>2155</v>
      </c>
      <c r="EV3" s="11">
        <f t="shared" si="7"/>
        <v>2156</v>
      </c>
      <c r="EW3" s="11">
        <f t="shared" si="7"/>
        <v>2157</v>
      </c>
      <c r="EX3" s="11">
        <f t="shared" si="7"/>
        <v>2158</v>
      </c>
      <c r="EY3" s="11">
        <f t="shared" si="7"/>
        <v>2159</v>
      </c>
      <c r="EZ3" s="11">
        <f t="shared" si="7"/>
        <v>2160</v>
      </c>
      <c r="FA3" s="11">
        <f t="shared" si="7"/>
        <v>2161</v>
      </c>
      <c r="FB3" s="11">
        <f t="shared" si="7"/>
        <v>2162</v>
      </c>
      <c r="FC3" s="11">
        <f t="shared" si="7"/>
        <v>2163</v>
      </c>
      <c r="FD3" s="11">
        <f t="shared" si="7"/>
        <v>2164</v>
      </c>
      <c r="FE3" s="11">
        <f t="shared" si="7"/>
        <v>2165</v>
      </c>
      <c r="FF3" s="11">
        <f t="shared" ref="FF3:GC3" si="8">+FE3+1</f>
        <v>2166</v>
      </c>
      <c r="FG3" s="11">
        <f t="shared" si="8"/>
        <v>2167</v>
      </c>
      <c r="FH3" s="11">
        <f t="shared" si="8"/>
        <v>2168</v>
      </c>
      <c r="FI3" s="11">
        <f t="shared" si="8"/>
        <v>2169</v>
      </c>
      <c r="FJ3" s="11">
        <f t="shared" si="8"/>
        <v>2170</v>
      </c>
      <c r="FK3" s="11">
        <f t="shared" si="8"/>
        <v>2171</v>
      </c>
      <c r="FL3" s="11">
        <f t="shared" si="8"/>
        <v>2172</v>
      </c>
      <c r="FM3" s="11">
        <f t="shared" si="8"/>
        <v>2173</v>
      </c>
      <c r="FN3" s="11">
        <f t="shared" si="8"/>
        <v>2174</v>
      </c>
      <c r="FO3" s="11">
        <f t="shared" si="8"/>
        <v>2175</v>
      </c>
      <c r="FP3" s="11">
        <f t="shared" si="8"/>
        <v>2176</v>
      </c>
      <c r="FQ3" s="11">
        <f t="shared" si="8"/>
        <v>2177</v>
      </c>
      <c r="FR3" s="11">
        <f t="shared" si="8"/>
        <v>2178</v>
      </c>
      <c r="FS3" s="11">
        <f t="shared" si="8"/>
        <v>2179</v>
      </c>
      <c r="FT3" s="11">
        <f t="shared" si="8"/>
        <v>2180</v>
      </c>
      <c r="FU3" s="11">
        <f t="shared" si="8"/>
        <v>2181</v>
      </c>
      <c r="FV3" s="11">
        <f t="shared" si="8"/>
        <v>2182</v>
      </c>
      <c r="FW3" s="11">
        <f t="shared" si="8"/>
        <v>2183</v>
      </c>
      <c r="FX3" s="11">
        <f t="shared" si="8"/>
        <v>2184</v>
      </c>
      <c r="FY3" s="11">
        <f t="shared" si="8"/>
        <v>2185</v>
      </c>
      <c r="FZ3" s="11">
        <f t="shared" si="8"/>
        <v>2186</v>
      </c>
      <c r="GA3" s="11">
        <f t="shared" si="8"/>
        <v>2187</v>
      </c>
      <c r="GB3" s="11">
        <f t="shared" si="8"/>
        <v>2188</v>
      </c>
      <c r="GC3" s="11">
        <f t="shared" si="8"/>
        <v>2189</v>
      </c>
      <c r="GD3" s="11">
        <f t="shared" ref="GD3:HM3" si="9">+GC3+1</f>
        <v>2190</v>
      </c>
      <c r="GE3" s="11">
        <f t="shared" si="9"/>
        <v>2191</v>
      </c>
      <c r="GF3" s="11">
        <f t="shared" si="9"/>
        <v>2192</v>
      </c>
      <c r="GG3" s="11">
        <f t="shared" si="9"/>
        <v>2193</v>
      </c>
      <c r="GH3" s="11">
        <f t="shared" si="9"/>
        <v>2194</v>
      </c>
      <c r="GI3" s="11">
        <f t="shared" si="9"/>
        <v>2195</v>
      </c>
      <c r="GJ3" s="11">
        <f t="shared" si="9"/>
        <v>2196</v>
      </c>
      <c r="GK3" s="11">
        <f t="shared" si="9"/>
        <v>2197</v>
      </c>
      <c r="GL3" s="11">
        <f t="shared" si="9"/>
        <v>2198</v>
      </c>
      <c r="GM3" s="11">
        <f t="shared" si="9"/>
        <v>2199</v>
      </c>
      <c r="GN3" s="11">
        <f t="shared" si="9"/>
        <v>2200</v>
      </c>
      <c r="GO3" s="11">
        <f t="shared" si="9"/>
        <v>2201</v>
      </c>
      <c r="GP3" s="11">
        <f t="shared" si="9"/>
        <v>2202</v>
      </c>
      <c r="GQ3" s="11">
        <f t="shared" si="9"/>
        <v>2203</v>
      </c>
      <c r="GR3" s="11">
        <f t="shared" si="9"/>
        <v>2204</v>
      </c>
      <c r="GS3" s="11">
        <f t="shared" si="9"/>
        <v>2205</v>
      </c>
      <c r="GT3" s="11">
        <f t="shared" si="9"/>
        <v>2206</v>
      </c>
      <c r="GU3" s="11">
        <f t="shared" si="9"/>
        <v>2207</v>
      </c>
      <c r="GV3" s="11">
        <f t="shared" si="9"/>
        <v>2208</v>
      </c>
      <c r="GW3" s="11">
        <f t="shared" si="9"/>
        <v>2209</v>
      </c>
      <c r="GX3" s="11">
        <f t="shared" si="9"/>
        <v>2210</v>
      </c>
      <c r="GY3" s="11">
        <f t="shared" si="9"/>
        <v>2211</v>
      </c>
      <c r="GZ3" s="11">
        <f t="shared" si="9"/>
        <v>2212</v>
      </c>
      <c r="HA3" s="11">
        <f t="shared" si="9"/>
        <v>2213</v>
      </c>
      <c r="HB3" s="11">
        <f t="shared" si="9"/>
        <v>2214</v>
      </c>
      <c r="HC3" s="11">
        <f t="shared" si="9"/>
        <v>2215</v>
      </c>
      <c r="HD3" s="11">
        <f t="shared" si="9"/>
        <v>2216</v>
      </c>
      <c r="HE3" s="11">
        <f t="shared" si="9"/>
        <v>2217</v>
      </c>
      <c r="HF3" s="11">
        <f t="shared" si="9"/>
        <v>2218</v>
      </c>
      <c r="HG3" s="11">
        <f t="shared" si="9"/>
        <v>2219</v>
      </c>
      <c r="HH3" s="11">
        <f t="shared" si="9"/>
        <v>2220</v>
      </c>
      <c r="HI3" s="11">
        <f t="shared" si="9"/>
        <v>2221</v>
      </c>
      <c r="HJ3" s="11">
        <f t="shared" si="9"/>
        <v>2222</v>
      </c>
      <c r="HK3" s="11">
        <f t="shared" si="9"/>
        <v>2223</v>
      </c>
      <c r="HL3" s="11">
        <f t="shared" si="9"/>
        <v>2224</v>
      </c>
      <c r="HM3" s="11">
        <f t="shared" si="9"/>
        <v>2225</v>
      </c>
      <c r="HN3" s="11">
        <f t="shared" ref="HN3:HW3" si="10">+HM3+1</f>
        <v>2226</v>
      </c>
      <c r="HO3" s="11">
        <f t="shared" si="10"/>
        <v>2227</v>
      </c>
      <c r="HP3" s="11">
        <f t="shared" si="10"/>
        <v>2228</v>
      </c>
      <c r="HQ3" s="11">
        <f t="shared" si="10"/>
        <v>2229</v>
      </c>
      <c r="HR3" s="11">
        <f t="shared" si="10"/>
        <v>2230</v>
      </c>
      <c r="HS3" s="11">
        <f t="shared" si="10"/>
        <v>2231</v>
      </c>
      <c r="HT3" s="11">
        <f t="shared" si="10"/>
        <v>2232</v>
      </c>
      <c r="HU3" s="11">
        <f t="shared" si="10"/>
        <v>2233</v>
      </c>
      <c r="HV3" s="11">
        <f t="shared" si="10"/>
        <v>2234</v>
      </c>
      <c r="HW3" s="11">
        <f t="shared" si="10"/>
        <v>2235</v>
      </c>
    </row>
    <row r="4" spans="2:231" s="14" customFormat="1">
      <c r="B4" s="14" t="s">
        <v>6</v>
      </c>
      <c r="C4" s="15">
        <v>106.121</v>
      </c>
      <c r="D4" s="15">
        <v>114.955</v>
      </c>
      <c r="E4" s="15">
        <v>143.99299999999999</v>
      </c>
      <c r="F4" s="15">
        <v>194.9</v>
      </c>
      <c r="G4" s="15">
        <v>188.511</v>
      </c>
      <c r="H4" s="15">
        <v>195.32</v>
      </c>
      <c r="I4" s="15">
        <v>186.572</v>
      </c>
      <c r="J4" s="15">
        <v>233.5</v>
      </c>
      <c r="K4" s="16"/>
      <c r="L4" s="16"/>
      <c r="M4" s="16"/>
      <c r="N4" s="16"/>
      <c r="S4" s="17">
        <v>322.98</v>
      </c>
      <c r="T4" s="17">
        <v>501.6</v>
      </c>
      <c r="U4" s="17">
        <v>732.5</v>
      </c>
      <c r="V4" s="17">
        <f>+U4*1.5</f>
        <v>1098.75</v>
      </c>
      <c r="W4" s="17">
        <f>+V4*1.06</f>
        <v>1164.675</v>
      </c>
      <c r="X4" s="17">
        <f t="shared" ref="X4:AE4" si="11">+W4*1.06</f>
        <v>1234.5554999999999</v>
      </c>
      <c r="Y4" s="17">
        <f t="shared" si="11"/>
        <v>1308.6288300000001</v>
      </c>
      <c r="Z4" s="17">
        <f t="shared" si="11"/>
        <v>1387.1465598000002</v>
      </c>
      <c r="AA4" s="17">
        <f t="shared" si="11"/>
        <v>1470.3753533880003</v>
      </c>
      <c r="AB4" s="17">
        <f t="shared" si="11"/>
        <v>1558.5978745912805</v>
      </c>
      <c r="AC4" s="17">
        <f t="shared" si="11"/>
        <v>1652.1137470667575</v>
      </c>
      <c r="AD4" s="17">
        <f t="shared" si="11"/>
        <v>1751.240571890763</v>
      </c>
      <c r="AE4" s="17">
        <f t="shared" si="11"/>
        <v>1856.3150062042089</v>
      </c>
    </row>
    <row r="5" spans="2:231" s="14" customFormat="1">
      <c r="B5" s="14" t="s">
        <v>7</v>
      </c>
      <c r="C5" s="15">
        <v>87.091999999999999</v>
      </c>
      <c r="D5" s="15">
        <v>87.192999999999998</v>
      </c>
      <c r="E5" s="15">
        <v>184.459</v>
      </c>
      <c r="F5" s="15">
        <v>136.5</v>
      </c>
      <c r="G5" s="15">
        <v>144.904</v>
      </c>
      <c r="H5" s="15">
        <v>145.13200000000001</v>
      </c>
      <c r="I5" s="15">
        <v>191.482</v>
      </c>
      <c r="J5" s="15">
        <v>162.1</v>
      </c>
      <c r="K5" s="16"/>
      <c r="L5" s="16"/>
      <c r="M5" s="16"/>
      <c r="N5" s="16"/>
      <c r="S5" s="17">
        <v>491.13900000000001</v>
      </c>
      <c r="T5" s="17">
        <v>716.2</v>
      </c>
      <c r="U5" s="17">
        <v>701.8</v>
      </c>
      <c r="V5" s="17">
        <f t="shared" ref="V5:V9" si="12">+V$10*(U5/U$10)</f>
        <v>877.24999999999989</v>
      </c>
      <c r="W5" s="17">
        <f>+V5*1.05</f>
        <v>921.11249999999995</v>
      </c>
      <c r="X5" s="17">
        <f t="shared" ref="X5:AE5" si="13">+W5*1.05</f>
        <v>967.16812500000003</v>
      </c>
      <c r="Y5" s="17">
        <f t="shared" si="13"/>
        <v>1015.5265312500001</v>
      </c>
      <c r="Z5" s="17">
        <f t="shared" si="13"/>
        <v>1066.3028578125002</v>
      </c>
      <c r="AA5" s="17">
        <f t="shared" si="13"/>
        <v>1119.6180007031253</v>
      </c>
      <c r="AB5" s="17">
        <f t="shared" si="13"/>
        <v>1175.5989007382816</v>
      </c>
      <c r="AC5" s="17">
        <f t="shared" si="13"/>
        <v>1234.3788457751957</v>
      </c>
      <c r="AD5" s="17">
        <f t="shared" si="13"/>
        <v>1296.0977880639555</v>
      </c>
      <c r="AE5" s="17">
        <f t="shared" si="13"/>
        <v>1360.9026774671534</v>
      </c>
    </row>
    <row r="6" spans="2:231" s="14" customFormat="1">
      <c r="B6" s="14" t="s">
        <v>8</v>
      </c>
      <c r="C6" s="15">
        <v>149.727</v>
      </c>
      <c r="D6" s="15">
        <v>187.21100000000001</v>
      </c>
      <c r="E6" s="15">
        <v>111.34399999999999</v>
      </c>
      <c r="F6" s="15">
        <v>128.4</v>
      </c>
      <c r="G6" s="15">
        <v>132.92400000000001</v>
      </c>
      <c r="H6" s="15">
        <v>143.964</v>
      </c>
      <c r="I6" s="15">
        <v>151.54</v>
      </c>
      <c r="J6" s="15">
        <v>151</v>
      </c>
      <c r="K6" s="16"/>
      <c r="L6" s="16"/>
      <c r="M6" s="16"/>
      <c r="N6" s="16"/>
      <c r="S6" s="17">
        <v>394.66500000000002</v>
      </c>
      <c r="T6" s="17">
        <v>414</v>
      </c>
      <c r="U6" s="17">
        <v>592.5</v>
      </c>
      <c r="V6" s="17">
        <f>+V$10*(U6/U$10)</f>
        <v>740.625</v>
      </c>
      <c r="W6" s="17">
        <f>+V6*1.05</f>
        <v>777.65625</v>
      </c>
      <c r="X6" s="17">
        <f t="shared" ref="X6:AE6" si="14">+W6*1.05</f>
        <v>816.5390625</v>
      </c>
      <c r="Y6" s="17">
        <f t="shared" si="14"/>
        <v>857.36601562500005</v>
      </c>
      <c r="Z6" s="17">
        <f t="shared" si="14"/>
        <v>900.23431640625006</v>
      </c>
      <c r="AA6" s="17">
        <f t="shared" si="14"/>
        <v>945.24603222656265</v>
      </c>
      <c r="AB6" s="17">
        <f t="shared" si="14"/>
        <v>992.50833383789086</v>
      </c>
      <c r="AC6" s="17">
        <f t="shared" si="14"/>
        <v>1042.1337505297854</v>
      </c>
      <c r="AD6" s="17">
        <f t="shared" si="14"/>
        <v>1094.2404380562748</v>
      </c>
      <c r="AE6" s="17">
        <f t="shared" si="14"/>
        <v>1148.9524599590886</v>
      </c>
    </row>
    <row r="7" spans="2:231" s="14" customFormat="1">
      <c r="B7" s="14" t="s">
        <v>9</v>
      </c>
      <c r="C7" s="15">
        <v>46.645000000000003</v>
      </c>
      <c r="D7" s="15">
        <v>43.566000000000003</v>
      </c>
      <c r="E7" s="15">
        <v>71.884</v>
      </c>
      <c r="F7" s="15">
        <v>63.8</v>
      </c>
      <c r="G7" s="15">
        <v>71.671000000000006</v>
      </c>
      <c r="H7" s="15">
        <v>73.783000000000001</v>
      </c>
      <c r="I7" s="15">
        <v>79.867999999999995</v>
      </c>
      <c r="J7" s="15">
        <v>83.7</v>
      </c>
      <c r="K7" s="16"/>
      <c r="L7" s="16"/>
      <c r="M7" s="16"/>
      <c r="N7" s="16"/>
      <c r="S7" s="17">
        <v>204.911</v>
      </c>
      <c r="T7" s="17">
        <v>225.9</v>
      </c>
      <c r="U7" s="17">
        <v>309.10000000000002</v>
      </c>
      <c r="V7" s="17">
        <f t="shared" si="12"/>
        <v>386.37500000000006</v>
      </c>
      <c r="W7" s="17">
        <f>+V7*1.05</f>
        <v>405.69375000000008</v>
      </c>
      <c r="X7" s="17">
        <f t="shared" ref="X7:AE7" si="15">+W7*1.05</f>
        <v>425.9784375000001</v>
      </c>
      <c r="Y7" s="17">
        <f t="shared" si="15"/>
        <v>447.27735937500012</v>
      </c>
      <c r="Z7" s="17">
        <f t="shared" si="15"/>
        <v>469.64122734375013</v>
      </c>
      <c r="AA7" s="17">
        <f t="shared" si="15"/>
        <v>493.12328871093769</v>
      </c>
      <c r="AB7" s="17">
        <f t="shared" si="15"/>
        <v>517.77945314648457</v>
      </c>
      <c r="AC7" s="17">
        <f t="shared" si="15"/>
        <v>543.66842580380887</v>
      </c>
      <c r="AD7" s="17">
        <f t="shared" si="15"/>
        <v>570.85184709399937</v>
      </c>
      <c r="AE7" s="17">
        <f t="shared" si="15"/>
        <v>599.39443944869936</v>
      </c>
    </row>
    <row r="8" spans="2:231" s="14" customFormat="1">
      <c r="B8" s="14" t="s">
        <v>10</v>
      </c>
      <c r="C8" s="15">
        <v>38.073999999999998</v>
      </c>
      <c r="D8" s="15">
        <v>42.228999999999999</v>
      </c>
      <c r="E8" s="15">
        <v>64.400999999999996</v>
      </c>
      <c r="F8" s="15">
        <v>57.3</v>
      </c>
      <c r="G8" s="15">
        <v>56.947000000000003</v>
      </c>
      <c r="H8" s="15">
        <v>59.662999999999997</v>
      </c>
      <c r="I8" s="15">
        <v>72.399000000000001</v>
      </c>
      <c r="J8" s="15">
        <v>66.2</v>
      </c>
      <c r="K8" s="16"/>
      <c r="L8" s="16"/>
      <c r="M8" s="16"/>
      <c r="N8" s="16"/>
      <c r="S8" s="17">
        <v>234.66</v>
      </c>
      <c r="T8" s="17">
        <v>202</v>
      </c>
      <c r="U8" s="17">
        <v>255.2</v>
      </c>
      <c r="V8" s="17">
        <f t="shared" si="12"/>
        <v>319</v>
      </c>
      <c r="W8" s="17">
        <f>+V8*1.05</f>
        <v>334.95</v>
      </c>
      <c r="X8" s="17">
        <f t="shared" ref="X8:AE8" si="16">+W8*1.05</f>
        <v>351.69749999999999</v>
      </c>
      <c r="Y8" s="17">
        <f t="shared" si="16"/>
        <v>369.282375</v>
      </c>
      <c r="Z8" s="17">
        <f t="shared" si="16"/>
        <v>387.74649375000001</v>
      </c>
      <c r="AA8" s="17">
        <f t="shared" si="16"/>
        <v>407.13381843750005</v>
      </c>
      <c r="AB8" s="17">
        <f t="shared" si="16"/>
        <v>427.4905093593751</v>
      </c>
      <c r="AC8" s="17">
        <f t="shared" si="16"/>
        <v>448.86503482734389</v>
      </c>
      <c r="AD8" s="17">
        <f t="shared" si="16"/>
        <v>471.30828656871108</v>
      </c>
      <c r="AE8" s="17">
        <f t="shared" si="16"/>
        <v>494.87370089714665</v>
      </c>
    </row>
    <row r="9" spans="2:231" s="14" customFormat="1">
      <c r="B9" s="14" t="s">
        <v>11</v>
      </c>
      <c r="C9" s="15">
        <v>30.225999999999999</v>
      </c>
      <c r="D9" s="15">
        <v>32.277000000000001</v>
      </c>
      <c r="E9" s="15">
        <v>44.037999999999997</v>
      </c>
      <c r="F9" s="15">
        <v>40.799999999999997</v>
      </c>
      <c r="G9" s="15">
        <v>42.597000000000001</v>
      </c>
      <c r="H9" s="15">
        <v>46.712000000000003</v>
      </c>
      <c r="I9" s="15">
        <v>55.314999999999998</v>
      </c>
      <c r="J9" s="15">
        <v>54.7</v>
      </c>
      <c r="K9" s="16"/>
      <c r="L9" s="16"/>
      <c r="M9" s="16"/>
      <c r="N9" s="16"/>
      <c r="S9" s="17">
        <v>172.71700000000001</v>
      </c>
      <c r="T9" s="17">
        <v>147.4</v>
      </c>
      <c r="U9" s="17">
        <v>199.4</v>
      </c>
      <c r="V9" s="17">
        <f t="shared" si="12"/>
        <v>249.25</v>
      </c>
      <c r="W9" s="17">
        <f>+V9*1.05</f>
        <v>261.71250000000003</v>
      </c>
      <c r="X9" s="17">
        <f t="shared" ref="X9:AE9" si="17">+W9*1.05</f>
        <v>274.79812500000003</v>
      </c>
      <c r="Y9" s="17">
        <f t="shared" si="17"/>
        <v>288.53803125000002</v>
      </c>
      <c r="Z9" s="17">
        <f t="shared" si="17"/>
        <v>302.96493281250002</v>
      </c>
      <c r="AA9" s="17">
        <f t="shared" si="17"/>
        <v>318.11317945312504</v>
      </c>
      <c r="AB9" s="17">
        <f t="shared" si="17"/>
        <v>334.01883842578133</v>
      </c>
      <c r="AC9" s="17">
        <f t="shared" si="17"/>
        <v>350.71978034707041</v>
      </c>
      <c r="AD9" s="17">
        <f t="shared" si="17"/>
        <v>368.25576936442394</v>
      </c>
      <c r="AE9" s="17">
        <f t="shared" si="17"/>
        <v>386.66855783264515</v>
      </c>
    </row>
    <row r="10" spans="2:231" s="20" customFormat="1">
      <c r="B10" s="18" t="s">
        <v>12</v>
      </c>
      <c r="C10" s="19">
        <f t="shared" ref="C10:J10" si="18">SUM(C4:C9)</f>
        <v>457.88499999999999</v>
      </c>
      <c r="D10" s="19">
        <f t="shared" si="18"/>
        <v>507.43100000000004</v>
      </c>
      <c r="E10" s="19">
        <f t="shared" si="18"/>
        <v>620.11900000000003</v>
      </c>
      <c r="F10" s="19">
        <f t="shared" si="18"/>
        <v>621.69999999999982</v>
      </c>
      <c r="G10" s="19">
        <f t="shared" si="18"/>
        <v>637.55399999999997</v>
      </c>
      <c r="H10" s="19">
        <f t="shared" si="18"/>
        <v>664.57399999999996</v>
      </c>
      <c r="I10" s="19">
        <f t="shared" si="18"/>
        <v>737.17599999999993</v>
      </c>
      <c r="J10" s="19">
        <f t="shared" si="18"/>
        <v>751.20000000000016</v>
      </c>
      <c r="K10" s="19">
        <f>AVERAGE(770,790)</f>
        <v>780</v>
      </c>
      <c r="L10" s="19"/>
      <c r="M10" s="19"/>
      <c r="N10" s="19"/>
      <c r="O10" s="18"/>
      <c r="P10" s="18"/>
      <c r="Q10" s="18"/>
      <c r="R10" s="18"/>
      <c r="S10" s="18">
        <f>SUM(S4:S9)</f>
        <v>1821.0720000000003</v>
      </c>
      <c r="T10" s="18">
        <f>SUM(T4:T9)</f>
        <v>2207.1000000000004</v>
      </c>
      <c r="U10" s="18">
        <f>SUM(U4:U9)</f>
        <v>2790.5</v>
      </c>
      <c r="V10" s="18">
        <f>+U10*1.25</f>
        <v>3488.125</v>
      </c>
      <c r="W10" s="18">
        <f t="shared" ref="W10:AE10" si="19">+V10*1.25</f>
        <v>4360.15625</v>
      </c>
      <c r="X10" s="18">
        <f t="shared" si="19"/>
        <v>5450.1953125</v>
      </c>
      <c r="Y10" s="18">
        <f t="shared" si="19"/>
        <v>6812.744140625</v>
      </c>
      <c r="Z10" s="18">
        <f t="shared" si="19"/>
        <v>8515.93017578125</v>
      </c>
      <c r="AA10" s="18">
        <f t="shared" si="19"/>
        <v>10644.912719726562</v>
      </c>
      <c r="AB10" s="18">
        <f t="shared" si="19"/>
        <v>13306.140899658203</v>
      </c>
      <c r="AC10" s="18">
        <f t="shared" si="19"/>
        <v>16632.676124572754</v>
      </c>
      <c r="AD10" s="18">
        <f t="shared" si="19"/>
        <v>20790.845155715942</v>
      </c>
      <c r="AE10" s="18">
        <f t="shared" si="19"/>
        <v>25988.556444644928</v>
      </c>
    </row>
    <row r="11" spans="2:231" s="14" customFormat="1">
      <c r="B11" s="21" t="s">
        <v>90</v>
      </c>
      <c r="C11" s="22"/>
      <c r="D11" s="23">
        <f t="shared" ref="D11:I11" si="20">+D10/C10-1</f>
        <v>0.1082062089826048</v>
      </c>
      <c r="E11" s="23">
        <f t="shared" si="20"/>
        <v>0.2220755137151651</v>
      </c>
      <c r="F11" s="23">
        <f t="shared" si="20"/>
        <v>2.5495106584378924E-3</v>
      </c>
      <c r="G11" s="23">
        <f t="shared" si="20"/>
        <v>2.5501045520347709E-2</v>
      </c>
      <c r="H11" s="23">
        <f t="shared" si="20"/>
        <v>4.2380723828883582E-2</v>
      </c>
      <c r="I11" s="23">
        <f t="shared" si="20"/>
        <v>0.10924592295214675</v>
      </c>
      <c r="J11" s="23">
        <f>+J10/I10-1</f>
        <v>1.9023950861124295E-2</v>
      </c>
      <c r="K11" s="22"/>
      <c r="L11" s="22"/>
      <c r="M11" s="22"/>
      <c r="N11" s="22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2:231" s="14" customFormat="1">
      <c r="B12" s="21" t="s">
        <v>89</v>
      </c>
      <c r="C12" s="22"/>
      <c r="D12" s="22"/>
      <c r="E12" s="22"/>
      <c r="F12" s="22"/>
      <c r="G12" s="23">
        <f t="shared" ref="G12:I12" si="21">+G10/C10-1</f>
        <v>0.39238891861493608</v>
      </c>
      <c r="H12" s="23">
        <f t="shared" si="21"/>
        <v>0.30968348405990165</v>
      </c>
      <c r="I12" s="23">
        <f t="shared" si="21"/>
        <v>0.18876538212826866</v>
      </c>
      <c r="J12" s="23">
        <f>+J10/F10-1</f>
        <v>0.20829982306578798</v>
      </c>
      <c r="K12" s="22"/>
      <c r="L12" s="22"/>
      <c r="M12" s="22"/>
      <c r="N12" s="22"/>
      <c r="O12" s="21"/>
      <c r="P12" s="21"/>
      <c r="Q12" s="21"/>
      <c r="R12" s="21"/>
      <c r="S12" s="21"/>
      <c r="T12" s="24">
        <f>+T10/S10-1</f>
        <v>0.21197843907324909</v>
      </c>
      <c r="U12" s="24">
        <f>+U10/T10-1</f>
        <v>0.264328757192696</v>
      </c>
      <c r="V12" s="24">
        <f t="shared" ref="V12:AE12" si="22">+V10/U10-1</f>
        <v>0.25</v>
      </c>
      <c r="W12" s="24">
        <f t="shared" si="22"/>
        <v>0.25</v>
      </c>
      <c r="X12" s="24">
        <f t="shared" si="22"/>
        <v>0.25</v>
      </c>
      <c r="Y12" s="24">
        <f t="shared" si="22"/>
        <v>0.25</v>
      </c>
      <c r="Z12" s="24">
        <f t="shared" si="22"/>
        <v>0.25</v>
      </c>
      <c r="AA12" s="24">
        <f t="shared" si="22"/>
        <v>0.25</v>
      </c>
      <c r="AB12" s="24">
        <f t="shared" si="22"/>
        <v>0.25</v>
      </c>
      <c r="AC12" s="24">
        <f t="shared" si="22"/>
        <v>0.25</v>
      </c>
      <c r="AD12" s="24">
        <f t="shared" si="22"/>
        <v>0.25</v>
      </c>
      <c r="AE12" s="24">
        <f t="shared" si="22"/>
        <v>0.25</v>
      </c>
    </row>
    <row r="13" spans="2:231" s="14" customFormat="1"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2:231" s="14" customFormat="1">
      <c r="B14" s="14" t="s">
        <v>26</v>
      </c>
      <c r="C14" s="15">
        <v>205.44399999999999</v>
      </c>
      <c r="D14" s="15">
        <v>226.85300000000001</v>
      </c>
      <c r="E14" s="15">
        <v>276.67599999999999</v>
      </c>
      <c r="F14" s="15">
        <f>+T14-SUM(C14:E14)</f>
        <v>277.25700000000006</v>
      </c>
      <c r="G14" s="15">
        <v>284.32400000000001</v>
      </c>
      <c r="H14" s="15">
        <v>298.55799999999999</v>
      </c>
      <c r="I14" s="15">
        <v>330.94799999999998</v>
      </c>
      <c r="J14" s="15">
        <f>+J10*(1-0.552)</f>
        <v>336.53760000000005</v>
      </c>
      <c r="K14" s="16">
        <f>AVERAGE(1-0.549,1-0.555) * K10</f>
        <v>349.43999999999994</v>
      </c>
      <c r="L14" s="16"/>
      <c r="M14" s="16"/>
      <c r="N14" s="16"/>
      <c r="T14" s="17">
        <v>986.23</v>
      </c>
      <c r="U14" s="17">
        <f>SUM(G14:J14)</f>
        <v>1250.3676</v>
      </c>
      <c r="V14" s="17">
        <f t="shared" ref="V14:W16" si="23">+V$10*(U14/U$10)</f>
        <v>1562.9595000000002</v>
      </c>
      <c r="W14" s="17">
        <f>+W10*0.445</f>
        <v>1940.26953125</v>
      </c>
      <c r="X14" s="17">
        <f t="shared" ref="X14:AE14" si="24">+X$10*(W14/W$10)</f>
        <v>2425.3369140625</v>
      </c>
      <c r="Y14" s="17">
        <f t="shared" si="24"/>
        <v>3031.671142578125</v>
      </c>
      <c r="Z14" s="17">
        <f t="shared" si="24"/>
        <v>3789.5889282226562</v>
      </c>
      <c r="AA14" s="17">
        <f t="shared" si="24"/>
        <v>4736.9861602783203</v>
      </c>
      <c r="AB14" s="17">
        <f t="shared" si="24"/>
        <v>5921.2327003479004</v>
      </c>
      <c r="AC14" s="17">
        <f t="shared" si="24"/>
        <v>7401.5408754348755</v>
      </c>
      <c r="AD14" s="17">
        <f t="shared" si="24"/>
        <v>9251.9260942935944</v>
      </c>
      <c r="AE14" s="17">
        <f t="shared" si="24"/>
        <v>11564.907617866993</v>
      </c>
    </row>
    <row r="15" spans="2:231" s="14" customFormat="1">
      <c r="B15" s="14" t="s">
        <v>27</v>
      </c>
      <c r="C15" s="15">
        <v>75.989999999999995</v>
      </c>
      <c r="D15" s="15">
        <v>77.944999999999993</v>
      </c>
      <c r="E15" s="15">
        <v>85.051000000000002</v>
      </c>
      <c r="F15" s="15">
        <f t="shared" ref="F15:F21" si="25">+T15-SUM(C15:E15)</f>
        <v>85.762</v>
      </c>
      <c r="G15" s="15">
        <v>92.227000000000004</v>
      </c>
      <c r="H15" s="15">
        <v>96.266000000000005</v>
      </c>
      <c r="I15" s="15">
        <v>98.173000000000002</v>
      </c>
      <c r="J15" s="15">
        <f>+J10*(I15/I10)</f>
        <v>100.04063832788917</v>
      </c>
      <c r="K15" s="16"/>
      <c r="L15" s="16"/>
      <c r="M15" s="16"/>
      <c r="N15" s="16"/>
      <c r="T15" s="17">
        <v>324.74799999999999</v>
      </c>
      <c r="U15" s="17">
        <f>SUM(G15:J15)</f>
        <v>386.70663832788915</v>
      </c>
      <c r="V15" s="17">
        <f>+V10*0.133</f>
        <v>463.92062500000003</v>
      </c>
      <c r="W15" s="17">
        <f t="shared" si="23"/>
        <v>579.90078125000002</v>
      </c>
      <c r="X15" s="17">
        <f t="shared" ref="X15:AE15" si="26">+X$10*(W15/W$10)</f>
        <v>724.8759765625</v>
      </c>
      <c r="Y15" s="17">
        <f t="shared" si="26"/>
        <v>906.094970703125</v>
      </c>
      <c r="Z15" s="17">
        <f t="shared" si="26"/>
        <v>1132.6187133789062</v>
      </c>
      <c r="AA15" s="17">
        <f t="shared" si="26"/>
        <v>1415.7733917236328</v>
      </c>
      <c r="AB15" s="17">
        <f t="shared" si="26"/>
        <v>1769.716739654541</v>
      </c>
      <c r="AC15" s="17">
        <f t="shared" si="26"/>
        <v>2212.1459245681763</v>
      </c>
      <c r="AD15" s="17">
        <f t="shared" si="26"/>
        <v>2765.1824057102203</v>
      </c>
      <c r="AE15" s="17">
        <f t="shared" si="26"/>
        <v>3456.4780071377754</v>
      </c>
    </row>
    <row r="16" spans="2:231" s="14" customFormat="1">
      <c r="B16" s="14" t="s">
        <v>28</v>
      </c>
      <c r="C16" s="15">
        <v>80.963999999999999</v>
      </c>
      <c r="D16" s="15">
        <v>86.096999999999994</v>
      </c>
      <c r="E16" s="15">
        <v>94.364000000000004</v>
      </c>
      <c r="F16" s="15">
        <f t="shared" si="25"/>
        <v>95.339000000000055</v>
      </c>
      <c r="G16" s="15">
        <v>92.244</v>
      </c>
      <c r="H16" s="15">
        <v>104.992</v>
      </c>
      <c r="I16" s="15">
        <v>112.872</v>
      </c>
      <c r="J16" s="15">
        <f>+J10*(I16/I10)</f>
        <v>115.01927138159682</v>
      </c>
      <c r="K16" s="16"/>
      <c r="L16" s="16"/>
      <c r="M16" s="16"/>
      <c r="N16" s="16"/>
      <c r="T16" s="17">
        <v>356.76400000000001</v>
      </c>
      <c r="U16" s="17">
        <f>SUM(G16:J16)</f>
        <v>425.12727138159681</v>
      </c>
      <c r="V16" s="17">
        <f t="shared" si="23"/>
        <v>531.409089226996</v>
      </c>
      <c r="W16" s="17">
        <f t="shared" si="23"/>
        <v>664.26136153374512</v>
      </c>
      <c r="X16" s="17">
        <f t="shared" ref="X16:AE16" si="27">+X$10*(W16/W$10)</f>
        <v>830.32670191718137</v>
      </c>
      <c r="Y16" s="17">
        <f t="shared" si="27"/>
        <v>1037.9083773964767</v>
      </c>
      <c r="Z16" s="17">
        <f t="shared" si="27"/>
        <v>1297.3854717455959</v>
      </c>
      <c r="AA16" s="17">
        <f t="shared" si="27"/>
        <v>1621.7318396819949</v>
      </c>
      <c r="AB16" s="17">
        <f t="shared" si="27"/>
        <v>2027.1647996024935</v>
      </c>
      <c r="AC16" s="17">
        <f t="shared" si="27"/>
        <v>2533.9559995031168</v>
      </c>
      <c r="AD16" s="17">
        <f t="shared" si="27"/>
        <v>3167.4449993788962</v>
      </c>
      <c r="AE16" s="17">
        <f t="shared" si="27"/>
        <v>3959.3062492236199</v>
      </c>
    </row>
    <row r="17" spans="2:231" s="20" customFormat="1">
      <c r="B17" s="20" t="s">
        <v>29</v>
      </c>
      <c r="C17" s="25">
        <f>+C10-SUM(C14:C16)</f>
        <v>95.487000000000023</v>
      </c>
      <c r="D17" s="25">
        <f>+D10-SUM(D14:D16)</f>
        <v>116.53600000000006</v>
      </c>
      <c r="E17" s="25">
        <f>+E10-SUM(E14:E16)</f>
        <v>164.02800000000002</v>
      </c>
      <c r="F17" s="25">
        <f t="shared" si="25"/>
        <v>163.30700000000007</v>
      </c>
      <c r="G17" s="25">
        <f>+G10-SUM(G14:G16)</f>
        <v>168.7589999999999</v>
      </c>
      <c r="H17" s="25">
        <f>+H10-SUM(H14:H16)</f>
        <v>164.75799999999992</v>
      </c>
      <c r="I17" s="25">
        <f>+I10-SUM(I14:I16)</f>
        <v>195.18299999999999</v>
      </c>
      <c r="J17" s="25">
        <f>+J10*0.266</f>
        <v>199.81920000000005</v>
      </c>
      <c r="K17" s="25">
        <f>+K10-(AVERAGE(207.1,213.1))</f>
        <v>569.9</v>
      </c>
      <c r="L17" s="25"/>
      <c r="M17" s="25"/>
      <c r="N17" s="25"/>
      <c r="T17" s="25">
        <f>+T10-SUM(T14:T16)</f>
        <v>539.35800000000017</v>
      </c>
      <c r="U17" s="20">
        <f>SUM(G17:J17)</f>
        <v>728.51919999999984</v>
      </c>
      <c r="V17" s="25">
        <f>+V10-SUM(V14:V16)</f>
        <v>929.83578577300386</v>
      </c>
      <c r="W17" s="25">
        <f>+W10-SUM(W14:W16)</f>
        <v>1175.7245759662551</v>
      </c>
      <c r="X17" s="25">
        <f>+X10-SUM(X14:X16)</f>
        <v>1469.6557199578187</v>
      </c>
      <c r="Y17" s="25">
        <f>+Y10-SUM(Y14:Y16)</f>
        <v>1837.0696499472733</v>
      </c>
      <c r="Z17" s="25">
        <f>+Z10-SUM(Z14:Z16)</f>
        <v>2296.3370624340914</v>
      </c>
      <c r="AA17" s="25">
        <f>+AA10-SUM(AA14:AA16)</f>
        <v>2870.4213280426147</v>
      </c>
      <c r="AB17" s="25">
        <f>+AB10-SUM(AB14:AB16)</f>
        <v>3588.0266600532686</v>
      </c>
      <c r="AC17" s="25">
        <f>+AC10-SUM(AC14:AC16)</f>
        <v>4485.0333250665863</v>
      </c>
      <c r="AD17" s="25">
        <f>+AD10-SUM(AD14:AD16)</f>
        <v>5606.291656333231</v>
      </c>
      <c r="AE17" s="25">
        <f>+AE10-SUM(AE14:AE16)</f>
        <v>7007.8645704165392</v>
      </c>
    </row>
    <row r="18" spans="2:231" s="14" customFormat="1">
      <c r="B18" s="14" t="s">
        <v>30</v>
      </c>
      <c r="C18" s="15">
        <v>9.5399999999999991</v>
      </c>
      <c r="D18" s="15">
        <v>7.5119999999999996</v>
      </c>
      <c r="E18" s="15">
        <v>10.278</v>
      </c>
      <c r="F18" s="15">
        <f t="shared" si="25"/>
        <v>6.2240000000000038</v>
      </c>
      <c r="G18" s="15">
        <v>5.1310000000000002</v>
      </c>
      <c r="H18" s="15">
        <v>12.22</v>
      </c>
      <c r="I18" s="15">
        <v>10.391999999999999</v>
      </c>
      <c r="J18" s="15">
        <f>+I18</f>
        <v>10.391999999999999</v>
      </c>
      <c r="K18" s="16"/>
      <c r="L18" s="16"/>
      <c r="M18" s="16"/>
      <c r="N18" s="16"/>
      <c r="T18" s="15">
        <v>33.554000000000002</v>
      </c>
      <c r="U18" s="17">
        <f>SUM(G18:J18)</f>
        <v>38.134999999999998</v>
      </c>
      <c r="V18" s="17">
        <f>+V17*(U18/U17)</f>
        <v>48.67309974871425</v>
      </c>
      <c r="W18" s="17">
        <f>+W17*(V18/V17)</f>
        <v>61.544372069360897</v>
      </c>
      <c r="X18" s="17">
        <f t="shared" ref="X18:AE18" si="28">+X17*(W18/W17)</f>
        <v>76.930465086701119</v>
      </c>
      <c r="Y18" s="17">
        <f t="shared" si="28"/>
        <v>96.163081358376388</v>
      </c>
      <c r="Z18" s="17">
        <f t="shared" si="28"/>
        <v>120.20385169797048</v>
      </c>
      <c r="AA18" s="17">
        <f t="shared" si="28"/>
        <v>150.25481462246313</v>
      </c>
      <c r="AB18" s="17">
        <f t="shared" si="28"/>
        <v>187.81851827807893</v>
      </c>
      <c r="AC18" s="17">
        <f t="shared" si="28"/>
        <v>234.77314784759869</v>
      </c>
      <c r="AD18" s="17">
        <f t="shared" si="28"/>
        <v>293.46643480949825</v>
      </c>
      <c r="AE18" s="17">
        <f t="shared" si="28"/>
        <v>366.83304351187286</v>
      </c>
    </row>
    <row r="19" spans="2:231" s="20" customFormat="1">
      <c r="B19" s="20" t="s">
        <v>31</v>
      </c>
      <c r="C19" s="25">
        <f>+SUM(C17:C18)</f>
        <v>105.02700000000002</v>
      </c>
      <c r="D19" s="25">
        <f>+SUM(D17:D18)</f>
        <v>124.04800000000006</v>
      </c>
      <c r="E19" s="25">
        <f>+SUM(E17:E18)</f>
        <v>174.30600000000001</v>
      </c>
      <c r="F19" s="25">
        <f t="shared" si="25"/>
        <v>169.53100000000006</v>
      </c>
      <c r="G19" s="25">
        <f>+SUM(G17:G18)</f>
        <v>173.8899999999999</v>
      </c>
      <c r="H19" s="25">
        <f>+SUM(H17:H18)</f>
        <v>176.97799999999992</v>
      </c>
      <c r="I19" s="25">
        <f>+SUM(I17:I18)</f>
        <v>205.57499999999999</v>
      </c>
      <c r="J19" s="25">
        <f>+SUM(J17:J18)</f>
        <v>210.21120000000005</v>
      </c>
      <c r="K19" s="25"/>
      <c r="L19" s="25"/>
      <c r="M19" s="25"/>
      <c r="N19" s="25"/>
      <c r="T19" s="25">
        <f>+SUM(T17:T18)</f>
        <v>572.91200000000015</v>
      </c>
      <c r="U19" s="20">
        <f>SUM(G19:J19)</f>
        <v>766.65419999999983</v>
      </c>
      <c r="V19" s="20">
        <f>SUM(H19:K19)</f>
        <v>592.76419999999996</v>
      </c>
      <c r="W19" s="25">
        <f>+SUM(W17:W18)</f>
        <v>1237.2689480356159</v>
      </c>
      <c r="X19" s="25">
        <f t="shared" ref="X19:AE19" si="29">+SUM(X17:X18)</f>
        <v>1546.5861850445199</v>
      </c>
      <c r="Y19" s="25">
        <f t="shared" si="29"/>
        <v>1933.2327313056496</v>
      </c>
      <c r="Z19" s="25">
        <f t="shared" si="29"/>
        <v>2416.540914132062</v>
      </c>
      <c r="AA19" s="25">
        <f t="shared" si="29"/>
        <v>3020.6761426650778</v>
      </c>
      <c r="AB19" s="25">
        <f t="shared" si="29"/>
        <v>3775.8451783313476</v>
      </c>
      <c r="AC19" s="25">
        <f t="shared" si="29"/>
        <v>4719.8064729141852</v>
      </c>
      <c r="AD19" s="25">
        <f t="shared" si="29"/>
        <v>5899.7580911427294</v>
      </c>
      <c r="AE19" s="25">
        <f t="shared" si="29"/>
        <v>7374.6976139284125</v>
      </c>
    </row>
    <row r="20" spans="2:231" s="14" customFormat="1">
      <c r="B20" s="14" t="s">
        <v>32</v>
      </c>
      <c r="C20" s="15">
        <v>12.486000000000001</v>
      </c>
      <c r="D20" s="15">
        <v>23.681999999999999</v>
      </c>
      <c r="E20" s="15">
        <v>29.876000000000001</v>
      </c>
      <c r="F20" s="15">
        <f t="shared" si="25"/>
        <v>-1279.8320000000001</v>
      </c>
      <c r="G20" s="15">
        <v>40.098999999999997</v>
      </c>
      <c r="H20" s="15">
        <v>43.252000000000002</v>
      </c>
      <c r="I20" s="15">
        <v>27.300999999999998</v>
      </c>
      <c r="J20" s="15">
        <f>+J19-J21</f>
        <v>40.075200000000052</v>
      </c>
      <c r="K20" s="16"/>
      <c r="L20" s="16"/>
      <c r="M20" s="16"/>
      <c r="N20" s="16"/>
      <c r="T20" s="15">
        <v>-1213.788</v>
      </c>
      <c r="U20" s="17">
        <f>SUM(G20:J20)</f>
        <v>150.72720000000004</v>
      </c>
      <c r="V20" s="17">
        <f>+V19*(U20/U19)</f>
        <v>116.53974911536393</v>
      </c>
      <c r="W20" s="17">
        <f>+W19*(V20/V19)</f>
        <v>243.25189137991285</v>
      </c>
      <c r="X20" s="17">
        <f t="shared" ref="X20:AE20" si="30">+X19*(W20/W19)</f>
        <v>304.06486422489104</v>
      </c>
      <c r="Y20" s="17">
        <f t="shared" si="30"/>
        <v>380.08108028111371</v>
      </c>
      <c r="Z20" s="17">
        <f t="shared" si="30"/>
        <v>475.10135035139217</v>
      </c>
      <c r="AA20" s="17">
        <f t="shared" si="30"/>
        <v>593.87668793924024</v>
      </c>
      <c r="AB20" s="17">
        <f t="shared" si="30"/>
        <v>742.34585992405039</v>
      </c>
      <c r="AC20" s="17">
        <f t="shared" si="30"/>
        <v>927.93232490506307</v>
      </c>
      <c r="AD20" s="17">
        <f t="shared" si="30"/>
        <v>1159.9154061313286</v>
      </c>
      <c r="AE20" s="17">
        <f t="shared" si="30"/>
        <v>1449.8942576641609</v>
      </c>
    </row>
    <row r="21" spans="2:231" s="20" customFormat="1">
      <c r="B21" s="20" t="s">
        <v>33</v>
      </c>
      <c r="C21" s="25">
        <f>+C19-C20</f>
        <v>92.541000000000011</v>
      </c>
      <c r="D21" s="25">
        <f>+D19-D20</f>
        <v>100.36600000000006</v>
      </c>
      <c r="E21" s="25">
        <f>+E19-E20</f>
        <v>144.43</v>
      </c>
      <c r="F21" s="25">
        <f t="shared" si="25"/>
        <v>1449.3630000000003</v>
      </c>
      <c r="G21" s="25">
        <f>+G19-G20</f>
        <v>133.79099999999991</v>
      </c>
      <c r="H21" s="25">
        <f>+H19-H20</f>
        <v>133.72599999999991</v>
      </c>
      <c r="I21" s="25">
        <f>+I19-I20</f>
        <v>178.274</v>
      </c>
      <c r="J21" s="25">
        <v>170.136</v>
      </c>
      <c r="K21" s="25"/>
      <c r="L21" s="25"/>
      <c r="M21" s="25"/>
      <c r="N21" s="25"/>
      <c r="T21" s="25">
        <f>+T19-T20</f>
        <v>1786.7000000000003</v>
      </c>
      <c r="U21" s="20">
        <f>SUM(G21:J21)</f>
        <v>615.92699999999979</v>
      </c>
      <c r="V21" s="20">
        <f>SUM(H21:K21)</f>
        <v>482.13599999999985</v>
      </c>
      <c r="W21" s="25">
        <f>+W19-W20</f>
        <v>994.01705665570307</v>
      </c>
      <c r="X21" s="25">
        <f t="shared" ref="X21:AE21" si="31">+X19-X20</f>
        <v>1242.5213208196287</v>
      </c>
      <c r="Y21" s="25">
        <f t="shared" si="31"/>
        <v>1553.151651024536</v>
      </c>
      <c r="Z21" s="25">
        <f t="shared" si="31"/>
        <v>1941.4395637806697</v>
      </c>
      <c r="AA21" s="25">
        <f t="shared" si="31"/>
        <v>2426.7994547258377</v>
      </c>
      <c r="AB21" s="25">
        <f t="shared" si="31"/>
        <v>3033.4993184072973</v>
      </c>
      <c r="AC21" s="25">
        <f t="shared" si="31"/>
        <v>3791.8741480091221</v>
      </c>
      <c r="AD21" s="25">
        <f t="shared" si="31"/>
        <v>4739.842685011401</v>
      </c>
      <c r="AE21" s="25">
        <f t="shared" si="31"/>
        <v>5924.8033562642513</v>
      </c>
      <c r="AF21" s="20">
        <f>+AE21*(1+$AH$25)</f>
        <v>5984.0513898268937</v>
      </c>
      <c r="AG21" s="20">
        <f>+AF21*(1+$AH$25)</f>
        <v>6043.8919037251626</v>
      </c>
      <c r="AH21" s="20">
        <f t="shared" ref="AH21:CS21" si="32">+AG21*(1+$AH$25)</f>
        <v>6104.3308227624138</v>
      </c>
      <c r="AI21" s="20">
        <f t="shared" si="32"/>
        <v>6165.3741309900379</v>
      </c>
      <c r="AJ21" s="20">
        <f t="shared" si="32"/>
        <v>6227.0278722999383</v>
      </c>
      <c r="AK21" s="20">
        <f t="shared" si="32"/>
        <v>6289.2981510229374</v>
      </c>
      <c r="AL21" s="20">
        <f t="shared" si="32"/>
        <v>6352.1911325331666</v>
      </c>
      <c r="AM21" s="20">
        <f t="shared" si="32"/>
        <v>6415.7130438584982</v>
      </c>
      <c r="AN21" s="20">
        <f t="shared" si="32"/>
        <v>6479.8701742970834</v>
      </c>
      <c r="AO21" s="20">
        <f t="shared" si="32"/>
        <v>6544.6688760400539</v>
      </c>
      <c r="AP21" s="20">
        <f t="shared" si="32"/>
        <v>6610.1155648004542</v>
      </c>
      <c r="AQ21" s="20">
        <f t="shared" si="32"/>
        <v>6676.2167204484585</v>
      </c>
      <c r="AR21" s="20">
        <f t="shared" si="32"/>
        <v>6742.9788876529428</v>
      </c>
      <c r="AS21" s="20">
        <f t="shared" si="32"/>
        <v>6810.4086765294724</v>
      </c>
      <c r="AT21" s="20">
        <f t="shared" si="32"/>
        <v>6878.512763294767</v>
      </c>
      <c r="AU21" s="20">
        <f t="shared" si="32"/>
        <v>6947.2978909277144</v>
      </c>
      <c r="AV21" s="20">
        <f t="shared" si="32"/>
        <v>7016.7708698369916</v>
      </c>
      <c r="AW21" s="20">
        <f t="shared" si="32"/>
        <v>7086.9385785353616</v>
      </c>
      <c r="AX21" s="20">
        <f t="shared" si="32"/>
        <v>7157.8079643207157</v>
      </c>
      <c r="AY21" s="20">
        <f t="shared" si="32"/>
        <v>7229.3860439639229</v>
      </c>
      <c r="AZ21" s="20">
        <f t="shared" si="32"/>
        <v>7301.6799044035624</v>
      </c>
      <c r="BA21" s="20">
        <f t="shared" si="32"/>
        <v>7374.6967034475983</v>
      </c>
      <c r="BB21" s="20">
        <f t="shared" si="32"/>
        <v>7448.4436704820746</v>
      </c>
      <c r="BC21" s="20">
        <f t="shared" si="32"/>
        <v>7522.9281071868954</v>
      </c>
      <c r="BD21" s="20">
        <f t="shared" si="32"/>
        <v>7598.1573882587645</v>
      </c>
      <c r="BE21" s="20">
        <f t="shared" si="32"/>
        <v>7674.1389621413518</v>
      </c>
      <c r="BF21" s="20">
        <f t="shared" si="32"/>
        <v>7750.8803517627657</v>
      </c>
      <c r="BG21" s="20">
        <f t="shared" si="32"/>
        <v>7828.3891552803934</v>
      </c>
      <c r="BH21" s="20">
        <f t="shared" si="32"/>
        <v>7906.6730468331971</v>
      </c>
      <c r="BI21" s="20">
        <f t="shared" si="32"/>
        <v>7985.7397773015291</v>
      </c>
      <c r="BJ21" s="20">
        <f t="shared" si="32"/>
        <v>8065.5971750745448</v>
      </c>
      <c r="BK21" s="20">
        <f t="shared" si="32"/>
        <v>8146.2531468252901</v>
      </c>
      <c r="BL21" s="20">
        <f t="shared" si="32"/>
        <v>8227.7156782935435</v>
      </c>
      <c r="BM21" s="20">
        <f t="shared" si="32"/>
        <v>8309.9928350764785</v>
      </c>
      <c r="BN21" s="20">
        <f t="shared" si="32"/>
        <v>8393.092763427243</v>
      </c>
      <c r="BO21" s="20">
        <f t="shared" si="32"/>
        <v>8477.0236910615149</v>
      </c>
      <c r="BP21" s="20">
        <f t="shared" si="32"/>
        <v>8561.7939279721304</v>
      </c>
      <c r="BQ21" s="20">
        <f t="shared" si="32"/>
        <v>8647.4118672518525</v>
      </c>
      <c r="BR21" s="20">
        <f t="shared" si="32"/>
        <v>8733.8859859243712</v>
      </c>
      <c r="BS21" s="20">
        <f t="shared" si="32"/>
        <v>8821.2248457836158</v>
      </c>
      <c r="BT21" s="20">
        <f t="shared" si="32"/>
        <v>8909.4370942414516</v>
      </c>
      <c r="BU21" s="20">
        <f t="shared" si="32"/>
        <v>8998.5314651838671</v>
      </c>
      <c r="BV21" s="20">
        <f t="shared" si="32"/>
        <v>9088.5167798357052</v>
      </c>
      <c r="BW21" s="20">
        <f t="shared" si="32"/>
        <v>9179.4019476340618</v>
      </c>
      <c r="BX21" s="20">
        <f t="shared" si="32"/>
        <v>9271.1959671104032</v>
      </c>
      <c r="BY21" s="20">
        <f t="shared" si="32"/>
        <v>9363.9079267815068</v>
      </c>
      <c r="BZ21" s="20">
        <f t="shared" si="32"/>
        <v>9457.5470060493226</v>
      </c>
      <c r="CA21" s="20">
        <f t="shared" si="32"/>
        <v>9552.1224761098165</v>
      </c>
      <c r="CB21" s="20">
        <f t="shared" si="32"/>
        <v>9647.6437008709145</v>
      </c>
      <c r="CC21" s="20">
        <f t="shared" si="32"/>
        <v>9744.1201378796231</v>
      </c>
      <c r="CD21" s="20">
        <f t="shared" si="32"/>
        <v>9841.56133925842</v>
      </c>
      <c r="CE21" s="20">
        <f t="shared" si="32"/>
        <v>9939.9769526510045</v>
      </c>
      <c r="CF21" s="20">
        <f t="shared" si="32"/>
        <v>10039.376722177514</v>
      </c>
      <c r="CG21" s="20">
        <f t="shared" si="32"/>
        <v>10139.770489399289</v>
      </c>
      <c r="CH21" s="20">
        <f t="shared" si="32"/>
        <v>10241.168194293281</v>
      </c>
      <c r="CI21" s="20">
        <f t="shared" si="32"/>
        <v>10343.579876236214</v>
      </c>
      <c r="CJ21" s="20">
        <f t="shared" si="32"/>
        <v>10447.015674998576</v>
      </c>
      <c r="CK21" s="20">
        <f t="shared" si="32"/>
        <v>10551.485831748561</v>
      </c>
      <c r="CL21" s="20">
        <f t="shared" si="32"/>
        <v>10657.000690066046</v>
      </c>
      <c r="CM21" s="20">
        <f t="shared" si="32"/>
        <v>10763.570696966706</v>
      </c>
      <c r="CN21" s="20">
        <f t="shared" si="32"/>
        <v>10871.206403936374</v>
      </c>
      <c r="CO21" s="20">
        <f t="shared" si="32"/>
        <v>10979.918467975738</v>
      </c>
      <c r="CP21" s="20">
        <f t="shared" si="32"/>
        <v>11089.717652655496</v>
      </c>
      <c r="CQ21" s="20">
        <f t="shared" si="32"/>
        <v>11200.61482918205</v>
      </c>
      <c r="CR21" s="20">
        <f t="shared" si="32"/>
        <v>11312.620977473871</v>
      </c>
      <c r="CS21" s="20">
        <f t="shared" si="32"/>
        <v>11425.747187248609</v>
      </c>
      <c r="CT21" s="20">
        <f t="shared" ref="CT21:FE21" si="33">+CS21*(1+$AH$25)</f>
        <v>11540.004659121096</v>
      </c>
      <c r="CU21" s="20">
        <f t="shared" si="33"/>
        <v>11655.404705712306</v>
      </c>
      <c r="CV21" s="20">
        <f t="shared" si="33"/>
        <v>11771.958752769429</v>
      </c>
      <c r="CW21" s="20">
        <f t="shared" si="33"/>
        <v>11889.678340297123</v>
      </c>
      <c r="CX21" s="20">
        <f t="shared" si="33"/>
        <v>12008.575123700095</v>
      </c>
      <c r="CY21" s="20">
        <f t="shared" si="33"/>
        <v>12128.660874937095</v>
      </c>
      <c r="CZ21" s="20">
        <f t="shared" si="33"/>
        <v>12249.947483686467</v>
      </c>
      <c r="DA21" s="20">
        <f t="shared" si="33"/>
        <v>12372.446958523331</v>
      </c>
      <c r="DB21" s="20">
        <f t="shared" si="33"/>
        <v>12496.171428108564</v>
      </c>
      <c r="DC21" s="20">
        <f t="shared" si="33"/>
        <v>12621.13314238965</v>
      </c>
      <c r="DD21" s="20">
        <f t="shared" si="33"/>
        <v>12747.344473813546</v>
      </c>
      <c r="DE21" s="20">
        <f t="shared" si="33"/>
        <v>12874.817918551682</v>
      </c>
      <c r="DF21" s="20">
        <f t="shared" si="33"/>
        <v>13003.566097737199</v>
      </c>
      <c r="DG21" s="20">
        <f t="shared" si="33"/>
        <v>13133.601758714571</v>
      </c>
      <c r="DH21" s="20">
        <f t="shared" si="33"/>
        <v>13264.937776301716</v>
      </c>
      <c r="DI21" s="20">
        <f t="shared" si="33"/>
        <v>13397.587154064733</v>
      </c>
      <c r="DJ21" s="20">
        <f t="shared" si="33"/>
        <v>13531.563025605381</v>
      </c>
      <c r="DK21" s="20">
        <f t="shared" si="33"/>
        <v>13666.878655861436</v>
      </c>
      <c r="DL21" s="20">
        <f t="shared" si="33"/>
        <v>13803.547442420049</v>
      </c>
      <c r="DM21" s="20">
        <f t="shared" si="33"/>
        <v>13941.582916844251</v>
      </c>
      <c r="DN21" s="20">
        <f t="shared" si="33"/>
        <v>14080.998746012694</v>
      </c>
      <c r="DO21" s="20">
        <f t="shared" si="33"/>
        <v>14221.808733472821</v>
      </c>
      <c r="DP21" s="20">
        <f t="shared" si="33"/>
        <v>14364.026820807549</v>
      </c>
      <c r="DQ21" s="20">
        <f t="shared" si="33"/>
        <v>14507.667089015624</v>
      </c>
      <c r="DR21" s="20">
        <f t="shared" si="33"/>
        <v>14652.743759905779</v>
      </c>
      <c r="DS21" s="20">
        <f t="shared" si="33"/>
        <v>14799.271197504837</v>
      </c>
      <c r="DT21" s="20">
        <f t="shared" si="33"/>
        <v>14947.263909479885</v>
      </c>
      <c r="DU21" s="20">
        <f t="shared" si="33"/>
        <v>15096.736548574685</v>
      </c>
      <c r="DV21" s="20">
        <f t="shared" si="33"/>
        <v>15247.703914060432</v>
      </c>
      <c r="DW21" s="20">
        <f t="shared" si="33"/>
        <v>15400.180953201036</v>
      </c>
      <c r="DX21" s="20">
        <f t="shared" si="33"/>
        <v>15554.182762733046</v>
      </c>
      <c r="DY21" s="20">
        <f t="shared" si="33"/>
        <v>15709.724590360376</v>
      </c>
      <c r="DZ21" s="20">
        <f t="shared" si="33"/>
        <v>15866.82183626398</v>
      </c>
      <c r="EA21" s="20">
        <f t="shared" si="33"/>
        <v>16025.49005462662</v>
      </c>
      <c r="EB21" s="20">
        <f t="shared" si="33"/>
        <v>16185.744955172886</v>
      </c>
      <c r="EC21" s="20">
        <f t="shared" si="33"/>
        <v>16347.602404724616</v>
      </c>
      <c r="ED21" s="20">
        <f t="shared" si="33"/>
        <v>16511.078428771863</v>
      </c>
      <c r="EE21" s="20">
        <f t="shared" si="33"/>
        <v>16676.189213059581</v>
      </c>
      <c r="EF21" s="20">
        <f t="shared" si="33"/>
        <v>16842.951105190175</v>
      </c>
      <c r="EG21" s="20">
        <f t="shared" si="33"/>
        <v>17011.380616242077</v>
      </c>
      <c r="EH21" s="20">
        <f t="shared" si="33"/>
        <v>17181.494422404499</v>
      </c>
      <c r="EI21" s="20">
        <f t="shared" si="33"/>
        <v>17353.309366628546</v>
      </c>
      <c r="EJ21" s="20">
        <f t="shared" si="33"/>
        <v>17526.842460294833</v>
      </c>
      <c r="EK21" s="20">
        <f t="shared" si="33"/>
        <v>17702.110884897782</v>
      </c>
      <c r="EL21" s="20">
        <f t="shared" si="33"/>
        <v>17879.13199374676</v>
      </c>
      <c r="EM21" s="20">
        <f t="shared" si="33"/>
        <v>18057.923313684227</v>
      </c>
      <c r="EN21" s="20">
        <f t="shared" si="33"/>
        <v>18238.50254682107</v>
      </c>
      <c r="EO21" s="20">
        <f t="shared" si="33"/>
        <v>18420.887572289281</v>
      </c>
      <c r="EP21" s="20">
        <f t="shared" si="33"/>
        <v>18605.096448012173</v>
      </c>
      <c r="EQ21" s="20">
        <f t="shared" si="33"/>
        <v>18791.147412492293</v>
      </c>
      <c r="ER21" s="20">
        <f t="shared" si="33"/>
        <v>18979.058886617215</v>
      </c>
      <c r="ES21" s="20">
        <f t="shared" si="33"/>
        <v>19168.849475483388</v>
      </c>
      <c r="ET21" s="20">
        <f t="shared" si="33"/>
        <v>19360.537970238223</v>
      </c>
      <c r="EU21" s="20">
        <f t="shared" si="33"/>
        <v>19554.143349940605</v>
      </c>
      <c r="EV21" s="20">
        <f t="shared" si="33"/>
        <v>19749.684783440011</v>
      </c>
      <c r="EW21" s="20">
        <f t="shared" si="33"/>
        <v>19947.181631274412</v>
      </c>
      <c r="EX21" s="20">
        <f t="shared" si="33"/>
        <v>20146.653447587156</v>
      </c>
      <c r="EY21" s="20">
        <f t="shared" si="33"/>
        <v>20348.119982063028</v>
      </c>
      <c r="EZ21" s="20">
        <f t="shared" si="33"/>
        <v>20551.60118188366</v>
      </c>
      <c r="FA21" s="20">
        <f t="shared" si="33"/>
        <v>20757.117193702496</v>
      </c>
      <c r="FB21" s="20">
        <f t="shared" si="33"/>
        <v>20964.688365639522</v>
      </c>
      <c r="FC21" s="20">
        <f t="shared" si="33"/>
        <v>21174.335249295917</v>
      </c>
      <c r="FD21" s="20">
        <f t="shared" si="33"/>
        <v>21386.078601788875</v>
      </c>
      <c r="FE21" s="20">
        <f t="shared" si="33"/>
        <v>21599.939387806764</v>
      </c>
      <c r="FF21" s="20">
        <f t="shared" ref="FF21:GC21" si="34">+FE21*(1+$AH$25)</f>
        <v>21815.938781684832</v>
      </c>
      <c r="FG21" s="20">
        <f t="shared" si="34"/>
        <v>22034.098169501682</v>
      </c>
      <c r="FH21" s="20">
        <f t="shared" si="34"/>
        <v>22254.439151196697</v>
      </c>
      <c r="FI21" s="20">
        <f t="shared" si="34"/>
        <v>22476.983542708665</v>
      </c>
      <c r="FJ21" s="20">
        <f t="shared" si="34"/>
        <v>22701.753378135752</v>
      </c>
      <c r="FK21" s="20">
        <f t="shared" si="34"/>
        <v>22928.770911917109</v>
      </c>
      <c r="FL21" s="20">
        <f t="shared" si="34"/>
        <v>23158.058621036282</v>
      </c>
      <c r="FM21" s="20">
        <f t="shared" si="34"/>
        <v>23389.639207246644</v>
      </c>
      <c r="FN21" s="20">
        <f t="shared" si="34"/>
        <v>23623.535599319111</v>
      </c>
      <c r="FO21" s="20">
        <f t="shared" si="34"/>
        <v>23859.770955312302</v>
      </c>
      <c r="FP21" s="20">
        <f t="shared" si="34"/>
        <v>24098.368664865426</v>
      </c>
      <c r="FQ21" s="20">
        <f t="shared" si="34"/>
        <v>24339.352351514081</v>
      </c>
      <c r="FR21" s="20">
        <f t="shared" si="34"/>
        <v>24582.745875029221</v>
      </c>
      <c r="FS21" s="20">
        <f t="shared" si="34"/>
        <v>24828.573333779514</v>
      </c>
      <c r="FT21" s="20">
        <f t="shared" si="34"/>
        <v>25076.859067117308</v>
      </c>
      <c r="FU21" s="20">
        <f t="shared" si="34"/>
        <v>25327.627657788482</v>
      </c>
      <c r="FV21" s="20">
        <f t="shared" si="34"/>
        <v>25580.903934366368</v>
      </c>
      <c r="FW21" s="20">
        <f t="shared" si="34"/>
        <v>25836.712973710033</v>
      </c>
      <c r="FX21" s="20">
        <f t="shared" si="34"/>
        <v>26095.080103447133</v>
      </c>
      <c r="FY21" s="20">
        <f t="shared" si="34"/>
        <v>26356.030904481606</v>
      </c>
      <c r="FZ21" s="20">
        <f t="shared" si="34"/>
        <v>26619.591213526423</v>
      </c>
      <c r="GA21" s="20">
        <f t="shared" si="34"/>
        <v>26885.787125661685</v>
      </c>
      <c r="GB21" s="20">
        <f t="shared" si="34"/>
        <v>27154.644996918301</v>
      </c>
      <c r="GC21" s="20">
        <f t="shared" si="34"/>
        <v>27426.191446887486</v>
      </c>
      <c r="GD21" s="20">
        <f t="shared" ref="GD21:HM21" si="35">+GC21*(1+$AH$25)</f>
        <v>27700.453361356362</v>
      </c>
      <c r="GE21" s="20">
        <f t="shared" si="35"/>
        <v>27977.457894969924</v>
      </c>
      <c r="GF21" s="20">
        <f t="shared" si="35"/>
        <v>28257.232473919623</v>
      </c>
      <c r="GG21" s="20">
        <f t="shared" si="35"/>
        <v>28539.804798658821</v>
      </c>
      <c r="GH21" s="20">
        <f t="shared" si="35"/>
        <v>28825.20284664541</v>
      </c>
      <c r="GI21" s="20">
        <f t="shared" si="35"/>
        <v>29113.454875111864</v>
      </c>
      <c r="GJ21" s="20">
        <f t="shared" si="35"/>
        <v>29404.589423862981</v>
      </c>
      <c r="GK21" s="20">
        <f t="shared" si="35"/>
        <v>29698.635318101609</v>
      </c>
      <c r="GL21" s="20">
        <f t="shared" si="35"/>
        <v>29995.621671282624</v>
      </c>
      <c r="GM21" s="20">
        <f t="shared" si="35"/>
        <v>30295.577887995452</v>
      </c>
      <c r="GN21" s="20">
        <f t="shared" si="35"/>
        <v>30598.533666875406</v>
      </c>
      <c r="GO21" s="20">
        <f t="shared" si="35"/>
        <v>30904.519003544159</v>
      </c>
      <c r="GP21" s="20">
        <f t="shared" si="35"/>
        <v>31213.564193579601</v>
      </c>
      <c r="GQ21" s="20">
        <f t="shared" si="35"/>
        <v>31525.699835515399</v>
      </c>
      <c r="GR21" s="20">
        <f t="shared" si="35"/>
        <v>31840.956833870554</v>
      </c>
      <c r="GS21" s="20">
        <f t="shared" si="35"/>
        <v>32159.36640220926</v>
      </c>
      <c r="GT21" s="20">
        <f t="shared" si="35"/>
        <v>32480.960066231353</v>
      </c>
      <c r="GU21" s="20">
        <f t="shared" si="35"/>
        <v>32805.76966689367</v>
      </c>
      <c r="GV21" s="20">
        <f t="shared" si="35"/>
        <v>33133.82736356261</v>
      </c>
      <c r="GW21" s="20">
        <f t="shared" si="35"/>
        <v>33465.165637198239</v>
      </c>
      <c r="GX21" s="20">
        <f t="shared" si="35"/>
        <v>33799.817293570224</v>
      </c>
      <c r="GY21" s="20">
        <f t="shared" si="35"/>
        <v>34137.815466505926</v>
      </c>
      <c r="GZ21" s="20">
        <f t="shared" si="35"/>
        <v>34479.193621170984</v>
      </c>
      <c r="HA21" s="20">
        <f t="shared" si="35"/>
        <v>34823.985557382694</v>
      </c>
      <c r="HB21" s="20">
        <f t="shared" si="35"/>
        <v>35172.225412956519</v>
      </c>
      <c r="HC21" s="20">
        <f t="shared" si="35"/>
        <v>35523.947667086082</v>
      </c>
      <c r="HD21" s="20">
        <f t="shared" si="35"/>
        <v>35879.187143756943</v>
      </c>
      <c r="HE21" s="20">
        <f t="shared" si="35"/>
        <v>36237.979015194513</v>
      </c>
      <c r="HF21" s="20">
        <f t="shared" si="35"/>
        <v>36600.358805346455</v>
      </c>
      <c r="HG21" s="20">
        <f t="shared" si="35"/>
        <v>36966.362393399919</v>
      </c>
      <c r="HH21" s="20">
        <f t="shared" si="35"/>
        <v>37336.026017333919</v>
      </c>
      <c r="HI21" s="20">
        <f t="shared" si="35"/>
        <v>37709.386277507256</v>
      </c>
      <c r="HJ21" s="20">
        <f t="shared" si="35"/>
        <v>38086.480140282329</v>
      </c>
      <c r="HK21" s="20">
        <f t="shared" si="35"/>
        <v>38467.344941685151</v>
      </c>
      <c r="HL21" s="20">
        <f t="shared" si="35"/>
        <v>38852.018391101999</v>
      </c>
      <c r="HM21" s="20">
        <f t="shared" si="35"/>
        <v>39240.538575013023</v>
      </c>
      <c r="HN21" s="20">
        <f t="shared" ref="HN21:HW21" si="36">+HM21*(1+$AH$25)</f>
        <v>39632.94396076315</v>
      </c>
      <c r="HO21" s="20">
        <f t="shared" si="36"/>
        <v>40029.273400370781</v>
      </c>
      <c r="HP21" s="20">
        <f t="shared" si="36"/>
        <v>40429.566134374487</v>
      </c>
      <c r="HQ21" s="20">
        <f t="shared" si="36"/>
        <v>40833.861795718229</v>
      </c>
      <c r="HR21" s="20">
        <f t="shared" si="36"/>
        <v>41242.200413675411</v>
      </c>
      <c r="HS21" s="20">
        <f t="shared" si="36"/>
        <v>41654.622417812163</v>
      </c>
      <c r="HT21" s="20">
        <f t="shared" si="36"/>
        <v>42071.168641990284</v>
      </c>
      <c r="HU21" s="20">
        <f t="shared" si="36"/>
        <v>42491.880328410189</v>
      </c>
      <c r="HV21" s="20">
        <f t="shared" si="36"/>
        <v>42916.799131694293</v>
      </c>
      <c r="HW21" s="20">
        <f t="shared" si="36"/>
        <v>43345.967123011236</v>
      </c>
    </row>
    <row r="22" spans="2:231" s="14" customFormat="1">
      <c r="B22" s="14" t="s">
        <v>96</v>
      </c>
      <c r="C22" s="16">
        <v>48.927999999999997</v>
      </c>
      <c r="D22" s="16">
        <v>48.945</v>
      </c>
      <c r="E22" s="16">
        <v>48.963999999999999</v>
      </c>
      <c r="F22" s="16">
        <v>48.506</v>
      </c>
      <c r="G22" s="16">
        <v>48.006</v>
      </c>
      <c r="H22" s="16">
        <v>48.018999999999998</v>
      </c>
      <c r="I22" s="16">
        <v>48.042000000000002</v>
      </c>
      <c r="J22" s="16">
        <v>49.167999999999999</v>
      </c>
      <c r="K22" s="16"/>
      <c r="L22" s="16"/>
      <c r="M22" s="16"/>
      <c r="N22" s="16"/>
      <c r="T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2:231" s="20" customFormat="1"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T23" s="25"/>
      <c r="W23" s="25"/>
      <c r="X23" s="25"/>
      <c r="Y23" s="25"/>
      <c r="Z23" s="25"/>
      <c r="AA23" s="25"/>
      <c r="AB23" s="25"/>
      <c r="AC23" s="25"/>
      <c r="AD23" s="25"/>
      <c r="AE23" s="25"/>
    </row>
    <row r="25" spans="2:231">
      <c r="B25" s="11" t="s">
        <v>25</v>
      </c>
      <c r="AG25" s="27" t="s">
        <v>34</v>
      </c>
      <c r="AH25" s="28">
        <v>0.01</v>
      </c>
    </row>
    <row r="26" spans="2:231">
      <c r="B26" s="29" t="s">
        <v>6</v>
      </c>
      <c r="G26" s="30">
        <f>+G4/C4-1</f>
        <v>0.77637790823682407</v>
      </c>
      <c r="H26" s="30">
        <f>+H4/D4-1</f>
        <v>0.69909964768822586</v>
      </c>
      <c r="I26" s="30">
        <f>+I4/E4-1</f>
        <v>0.29570187439667217</v>
      </c>
      <c r="J26" s="30">
        <f>+J4/F4-1</f>
        <v>0.19805028219599796</v>
      </c>
      <c r="K26" s="31"/>
      <c r="L26" s="31"/>
      <c r="M26" s="31"/>
      <c r="N26" s="31"/>
      <c r="O26" s="32"/>
      <c r="P26" s="32"/>
      <c r="Q26" s="32"/>
      <c r="R26" s="32"/>
      <c r="S26" s="32"/>
      <c r="T26" s="32"/>
      <c r="U26" s="33">
        <f>+U4/T4-1</f>
        <v>0.46032695374800636</v>
      </c>
      <c r="V26" s="33">
        <f>+V4/U4-1</f>
        <v>0.5</v>
      </c>
      <c r="W26" s="33">
        <f>+W4/V4-1</f>
        <v>6.0000000000000053E-2</v>
      </c>
      <c r="X26" s="33">
        <f>+X4/W4-1</f>
        <v>6.0000000000000053E-2</v>
      </c>
      <c r="Y26" s="33">
        <f>+Y4/X4-1</f>
        <v>6.0000000000000053E-2</v>
      </c>
      <c r="Z26" s="33">
        <f>+Z4/Y4-1</f>
        <v>6.0000000000000053E-2</v>
      </c>
      <c r="AA26" s="33">
        <f>+AA4/Z4-1</f>
        <v>6.0000000000000053E-2</v>
      </c>
      <c r="AB26" s="33">
        <f>+AB4/AA4-1</f>
        <v>6.0000000000000053E-2</v>
      </c>
      <c r="AC26" s="33">
        <f>+AC4/AB4-1</f>
        <v>6.0000000000000053E-2</v>
      </c>
      <c r="AD26" s="33">
        <f>+AD4/AC4-1</f>
        <v>6.0000000000000053E-2</v>
      </c>
      <c r="AE26" s="33">
        <f>+AE4/AD4-1</f>
        <v>6.0000000000000053E-2</v>
      </c>
      <c r="AG26" s="34" t="s">
        <v>35</v>
      </c>
      <c r="AH26" s="35">
        <v>7.0000000000000007E-2</v>
      </c>
    </row>
    <row r="27" spans="2:231">
      <c r="B27" s="29" t="s">
        <v>7</v>
      </c>
      <c r="G27" s="30">
        <f>+G5/C5-1</f>
        <v>0.66380379368943188</v>
      </c>
      <c r="H27" s="30">
        <f>+H5/D5-1</f>
        <v>0.66449141559528879</v>
      </c>
      <c r="I27" s="30">
        <f>+I5/E5-1</f>
        <v>3.8073501428501633E-2</v>
      </c>
      <c r="J27" s="30">
        <f>+J5/F5-1</f>
        <v>0.18754578754578755</v>
      </c>
      <c r="K27" s="31"/>
      <c r="L27" s="31"/>
      <c r="M27" s="31"/>
      <c r="N27" s="31"/>
      <c r="O27" s="32"/>
      <c r="P27" s="32"/>
      <c r="Q27" s="32"/>
      <c r="R27" s="32"/>
      <c r="S27" s="32"/>
      <c r="T27" s="32"/>
      <c r="U27" s="33">
        <f>+U5/T5-1</f>
        <v>-2.0106115610164843E-2</v>
      </c>
      <c r="V27" s="33">
        <f>+V5/U5-1</f>
        <v>0.25</v>
      </c>
      <c r="W27" s="33">
        <f>+W5/V5-1</f>
        <v>5.0000000000000044E-2</v>
      </c>
      <c r="X27" s="33">
        <f>+X5/W5-1</f>
        <v>5.0000000000000044E-2</v>
      </c>
      <c r="Y27" s="33">
        <f>+Y5/X5-1</f>
        <v>5.0000000000000044E-2</v>
      </c>
      <c r="Z27" s="33">
        <f>+Z5/Y5-1</f>
        <v>5.0000000000000044E-2</v>
      </c>
      <c r="AA27" s="33">
        <f>+AA5/Z5-1</f>
        <v>5.0000000000000044E-2</v>
      </c>
      <c r="AB27" s="33">
        <f>+AB5/AA5-1</f>
        <v>5.0000000000000044E-2</v>
      </c>
      <c r="AC27" s="33">
        <f>+AC5/AB5-1</f>
        <v>5.0000000000000044E-2</v>
      </c>
      <c r="AD27" s="33">
        <f>+AD5/AC5-1</f>
        <v>5.0000000000000044E-2</v>
      </c>
      <c r="AE27" s="33">
        <f>+AE5/AD5-1</f>
        <v>5.0000000000000044E-2</v>
      </c>
      <c r="AG27" s="36" t="s">
        <v>36</v>
      </c>
      <c r="AH27" s="37">
        <f>NPV(AH26,V21:HW21)</f>
        <v>66904.623708220883</v>
      </c>
    </row>
    <row r="28" spans="2:231">
      <c r="B28" s="29" t="s">
        <v>8</v>
      </c>
      <c r="G28" s="30">
        <f>+G6/C6-1</f>
        <v>-0.11222424813159948</v>
      </c>
      <c r="H28" s="30">
        <f>+H6/D6-1</f>
        <v>-0.231006725032183</v>
      </c>
      <c r="I28" s="30">
        <f>+I6/E6-1</f>
        <v>0.3610073286391724</v>
      </c>
      <c r="J28" s="30">
        <f>+J6/F6-1</f>
        <v>0.17601246105919</v>
      </c>
      <c r="K28" s="31"/>
      <c r="L28" s="31"/>
      <c r="M28" s="31"/>
      <c r="N28" s="31"/>
      <c r="O28" s="32"/>
      <c r="P28" s="32"/>
      <c r="Q28" s="32"/>
      <c r="R28" s="32"/>
      <c r="S28" s="32"/>
      <c r="T28" s="32"/>
      <c r="U28" s="33">
        <f>+U6/T6-1</f>
        <v>0.43115942028985499</v>
      </c>
      <c r="V28" s="33">
        <f>+V6/U6-1</f>
        <v>0.25</v>
      </c>
      <c r="W28" s="33">
        <f>+W6/V6-1</f>
        <v>5.0000000000000044E-2</v>
      </c>
      <c r="X28" s="33">
        <f>+X6/W6-1</f>
        <v>5.0000000000000044E-2</v>
      </c>
      <c r="Y28" s="33">
        <f>+Y6/X6-1</f>
        <v>5.0000000000000044E-2</v>
      </c>
      <c r="Z28" s="33">
        <f>+Z6/Y6-1</f>
        <v>5.0000000000000044E-2</v>
      </c>
      <c r="AA28" s="33">
        <f>+AA6/Z6-1</f>
        <v>5.0000000000000044E-2</v>
      </c>
      <c r="AB28" s="33">
        <f>+AB6/AA6-1</f>
        <v>5.0000000000000044E-2</v>
      </c>
      <c r="AC28" s="33">
        <f>+AC6/AB6-1</f>
        <v>5.0000000000000044E-2</v>
      </c>
      <c r="AD28" s="33">
        <f>+AD6/AC6-1</f>
        <v>5.0000000000000044E-2</v>
      </c>
      <c r="AE28" s="33">
        <f>+AE6/AD6-1</f>
        <v>5.0000000000000044E-2</v>
      </c>
      <c r="AG28" s="34" t="s">
        <v>37</v>
      </c>
      <c r="AH28" s="38">
        <f>+Main!I4</f>
        <v>49.167999999999999</v>
      </c>
    </row>
    <row r="29" spans="2:231">
      <c r="B29" s="29" t="s">
        <v>9</v>
      </c>
      <c r="G29" s="30">
        <f>+G7/C7-1</f>
        <v>0.53652052738771583</v>
      </c>
      <c r="H29" s="30">
        <f>+H7/D7-1</f>
        <v>0.69359133269063022</v>
      </c>
      <c r="I29" s="30">
        <f>+I7/E7-1</f>
        <v>0.11106783150631561</v>
      </c>
      <c r="J29" s="30">
        <f>+J7/F7-1</f>
        <v>0.31191222570532928</v>
      </c>
      <c r="K29" s="31"/>
      <c r="L29" s="31"/>
      <c r="M29" s="31"/>
      <c r="N29" s="31"/>
      <c r="O29" s="32"/>
      <c r="P29" s="32"/>
      <c r="Q29" s="32"/>
      <c r="R29" s="32"/>
      <c r="S29" s="32"/>
      <c r="T29" s="32"/>
      <c r="U29" s="33">
        <f>+U7/T7-1</f>
        <v>0.36830455953961927</v>
      </c>
      <c r="V29" s="33">
        <f>+V7/U7-1</f>
        <v>0.25</v>
      </c>
      <c r="W29" s="33">
        <f>+W7/V7-1</f>
        <v>5.0000000000000044E-2</v>
      </c>
      <c r="X29" s="33">
        <f>+X7/W7-1</f>
        <v>5.0000000000000044E-2</v>
      </c>
      <c r="Y29" s="33">
        <f>+Y7/X7-1</f>
        <v>5.0000000000000044E-2</v>
      </c>
      <c r="Z29" s="33">
        <f>+Z7/Y7-1</f>
        <v>5.0000000000000044E-2</v>
      </c>
      <c r="AA29" s="33">
        <f>+AA7/Z7-1</f>
        <v>5.0000000000000044E-2</v>
      </c>
      <c r="AB29" s="33">
        <f>+AB7/AA7-1</f>
        <v>5.0000000000000044E-2</v>
      </c>
      <c r="AC29" s="33">
        <f>+AC7/AB7-1</f>
        <v>5.0000000000000044E-2</v>
      </c>
      <c r="AD29" s="33">
        <f>+AD7/AC7-1</f>
        <v>5.0000000000000044E-2</v>
      </c>
      <c r="AE29" s="33">
        <f>+AE7/AD7-1</f>
        <v>5.0000000000000044E-2</v>
      </c>
      <c r="AG29" s="39" t="s">
        <v>46</v>
      </c>
      <c r="AH29" s="40">
        <f>+AH27/AH28</f>
        <v>1360.7351063338124</v>
      </c>
    </row>
    <row r="30" spans="2:231">
      <c r="B30" s="29" t="s">
        <v>10</v>
      </c>
      <c r="G30" s="30">
        <f>+G8/C8-1</f>
        <v>0.49569259862373283</v>
      </c>
      <c r="H30" s="30">
        <f>+H8/D8-1</f>
        <v>0.41284425394870827</v>
      </c>
      <c r="I30" s="30">
        <f>+I8/E8-1</f>
        <v>0.12419061815810317</v>
      </c>
      <c r="J30" s="30">
        <f>+J8/F8-1</f>
        <v>0.15532286212914492</v>
      </c>
      <c r="K30" s="31"/>
      <c r="L30" s="31"/>
      <c r="M30" s="31"/>
      <c r="N30" s="31"/>
      <c r="O30" s="32"/>
      <c r="P30" s="32"/>
      <c r="Q30" s="32"/>
      <c r="R30" s="32"/>
      <c r="S30" s="32"/>
      <c r="T30" s="32"/>
      <c r="U30" s="33">
        <f>+U8/T8-1</f>
        <v>0.26336633663366338</v>
      </c>
      <c r="V30" s="33">
        <f>+V8/U8-1</f>
        <v>0.25</v>
      </c>
      <c r="W30" s="33">
        <f>+W8/V8-1</f>
        <v>5.0000000000000044E-2</v>
      </c>
      <c r="X30" s="33">
        <f>+X8/W8-1</f>
        <v>5.0000000000000044E-2</v>
      </c>
      <c r="Y30" s="33">
        <f>+Y8/X8-1</f>
        <v>5.0000000000000044E-2</v>
      </c>
      <c r="Z30" s="33">
        <f>+Z8/Y8-1</f>
        <v>5.0000000000000044E-2</v>
      </c>
      <c r="AA30" s="33">
        <f>+AA8/Z8-1</f>
        <v>5.0000000000000044E-2</v>
      </c>
      <c r="AB30" s="33">
        <f>+AB8/AA8-1</f>
        <v>5.0000000000000044E-2</v>
      </c>
      <c r="AC30" s="33">
        <f>+AC8/AB8-1</f>
        <v>5.0000000000000044E-2</v>
      </c>
      <c r="AD30" s="33">
        <f>+AD8/AC8-1</f>
        <v>5.0000000000000044E-2</v>
      </c>
      <c r="AE30" s="33">
        <f>+AE8/AD8-1</f>
        <v>5.0000000000000044E-2</v>
      </c>
      <c r="AG30" s="34" t="s">
        <v>47</v>
      </c>
      <c r="AH30" s="38">
        <f>+Main!I3</f>
        <v>1157.6099999999999</v>
      </c>
    </row>
    <row r="31" spans="2:231">
      <c r="B31" s="29" t="s">
        <v>11</v>
      </c>
      <c r="G31" s="30">
        <f>+G9/C9-1</f>
        <v>0.40928339839872963</v>
      </c>
      <c r="H31" s="30">
        <f>+H9/D9-1</f>
        <v>0.44722248040400281</v>
      </c>
      <c r="I31" s="30">
        <f>+I9/E9-1</f>
        <v>0.25607429946864069</v>
      </c>
      <c r="J31" s="30">
        <f>+J9/F9-1</f>
        <v>0.34068627450980404</v>
      </c>
      <c r="K31" s="31"/>
      <c r="L31" s="31"/>
      <c r="M31" s="31"/>
      <c r="N31" s="31"/>
      <c r="O31" s="32"/>
      <c r="P31" s="32"/>
      <c r="Q31" s="32"/>
      <c r="R31" s="32"/>
      <c r="S31" s="32"/>
      <c r="T31" s="32"/>
      <c r="U31" s="33">
        <f>+U9/T9-1</f>
        <v>0.35278154681139751</v>
      </c>
      <c r="V31" s="33">
        <f>+V9/U9-1</f>
        <v>0.25</v>
      </c>
      <c r="W31" s="33">
        <f>+W9/V9-1</f>
        <v>5.0000000000000044E-2</v>
      </c>
      <c r="X31" s="33">
        <f>+X9/W9-1</f>
        <v>5.0000000000000044E-2</v>
      </c>
      <c r="Y31" s="33">
        <f>+Y9/X9-1</f>
        <v>5.0000000000000044E-2</v>
      </c>
      <c r="Z31" s="33">
        <f>+Z9/Y9-1</f>
        <v>5.0000000000000044E-2</v>
      </c>
      <c r="AA31" s="33">
        <f>+AA9/Z9-1</f>
        <v>5.0000000000000044E-2</v>
      </c>
      <c r="AB31" s="33">
        <f>+AB9/AA9-1</f>
        <v>5.0000000000000044E-2</v>
      </c>
      <c r="AC31" s="33">
        <f>+AC9/AB9-1</f>
        <v>5.0000000000000044E-2</v>
      </c>
      <c r="AD31" s="33">
        <f>+AD9/AC9-1</f>
        <v>5.0000000000000044E-2</v>
      </c>
      <c r="AE31" s="33">
        <f>+AE9/AD9-1</f>
        <v>5.0000000000000044E-2</v>
      </c>
      <c r="AG31" s="41" t="s">
        <v>97</v>
      </c>
      <c r="AH31" s="42">
        <f>+AH29/AH30-1</f>
        <v>0.17546937771253912</v>
      </c>
    </row>
    <row r="32" spans="2:231">
      <c r="B32" s="29" t="s">
        <v>12</v>
      </c>
      <c r="G32" s="30">
        <f>+G10/C10-1</f>
        <v>0.39238891861493608</v>
      </c>
      <c r="H32" s="30">
        <f>+H10/D10-1</f>
        <v>0.30968348405990165</v>
      </c>
      <c r="I32" s="30">
        <f>+I10/E10-1</f>
        <v>0.18876538212826866</v>
      </c>
      <c r="J32" s="30">
        <f>+J10/F10-1</f>
        <v>0.20829982306578798</v>
      </c>
      <c r="K32" s="30">
        <f>+K10/F10-1</f>
        <v>0.25462441692134496</v>
      </c>
      <c r="L32" s="31"/>
      <c r="M32" s="31"/>
      <c r="N32" s="31"/>
      <c r="O32" s="32"/>
      <c r="P32" s="32"/>
      <c r="Q32" s="32"/>
      <c r="R32" s="32"/>
      <c r="S32" s="32"/>
      <c r="T32" s="32"/>
      <c r="U32" s="33">
        <f>+U10/T10-1</f>
        <v>0.264328757192696</v>
      </c>
      <c r="V32" s="33">
        <f>+V10/U10-1</f>
        <v>0.25</v>
      </c>
      <c r="W32" s="33">
        <f>+W10/V10-1</f>
        <v>0.25</v>
      </c>
      <c r="X32" s="33">
        <f>+X10/W10-1</f>
        <v>0.25</v>
      </c>
      <c r="Y32" s="33">
        <f>+Y10/X10-1</f>
        <v>0.25</v>
      </c>
      <c r="Z32" s="33">
        <f>+Z10/Y10-1</f>
        <v>0.25</v>
      </c>
      <c r="AA32" s="33">
        <f>+AA10/Z10-1</f>
        <v>0.25</v>
      </c>
      <c r="AB32" s="33">
        <f>+AB10/AA10-1</f>
        <v>0.25</v>
      </c>
      <c r="AC32" s="33">
        <f>+AC10/AB10-1</f>
        <v>0.25</v>
      </c>
      <c r="AD32" s="33">
        <f>+AD10/AC10-1</f>
        <v>0.25</v>
      </c>
      <c r="AE32" s="33">
        <f>+AE10/AD10-1</f>
        <v>0.25</v>
      </c>
    </row>
    <row r="33" spans="2:31">
      <c r="B33" s="29"/>
      <c r="G33" s="43"/>
      <c r="H33" s="43"/>
      <c r="I33" s="43"/>
      <c r="J33" s="43"/>
      <c r="K33" s="43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 spans="2:31">
      <c r="B34" s="45" t="s">
        <v>91</v>
      </c>
    </row>
    <row r="35" spans="2:31">
      <c r="B35" s="29" t="s">
        <v>93</v>
      </c>
      <c r="C35" s="48">
        <f>(C10-C14)/C10</f>
        <v>0.55131965449840026</v>
      </c>
      <c r="D35" s="48">
        <f>(D10-D14)/D10</f>
        <v>0.55293823199607439</v>
      </c>
      <c r="E35" s="48">
        <f>(E10-E14)/E10</f>
        <v>0.55383402217961397</v>
      </c>
      <c r="F35" s="48">
        <f>(F10-F14)/F10</f>
        <v>0.5540341000482546</v>
      </c>
      <c r="G35" s="48">
        <f>(G10-G14)/G10</f>
        <v>0.55403934411830214</v>
      </c>
      <c r="H35" s="48">
        <f>(H10-H14)/H10</f>
        <v>0.55075281308025892</v>
      </c>
      <c r="I35" s="48">
        <f>(I10-I14)/I10</f>
        <v>0.55105971979554402</v>
      </c>
      <c r="J35" s="48">
        <f>(J10-J14)/J10</f>
        <v>0.55200000000000005</v>
      </c>
      <c r="K35" s="48">
        <f>(K10-K14)/K10</f>
        <v>0.55200000000000005</v>
      </c>
      <c r="T35" s="48">
        <f>(T10-T14)/T10</f>
        <v>0.55315572470662866</v>
      </c>
      <c r="U35" s="48">
        <f>(U10-U14)/U10</f>
        <v>0.55191987099086182</v>
      </c>
      <c r="V35" s="48">
        <f>(V10-V14)/V10</f>
        <v>0.55191987099086182</v>
      </c>
      <c r="W35" s="48">
        <f t="shared" ref="W35:AE35" si="37">(W10-W14)/W10</f>
        <v>0.55500000000000005</v>
      </c>
      <c r="X35" s="48">
        <f t="shared" si="37"/>
        <v>0.55500000000000005</v>
      </c>
      <c r="Y35" s="48">
        <f t="shared" si="37"/>
        <v>0.55500000000000005</v>
      </c>
      <c r="Z35" s="48">
        <f t="shared" si="37"/>
        <v>0.55500000000000005</v>
      </c>
      <c r="AA35" s="48">
        <f t="shared" si="37"/>
        <v>0.55500000000000005</v>
      </c>
      <c r="AB35" s="48">
        <f t="shared" si="37"/>
        <v>0.55500000000000005</v>
      </c>
      <c r="AC35" s="48">
        <f t="shared" si="37"/>
        <v>0.55500000000000005</v>
      </c>
      <c r="AD35" s="48">
        <f t="shared" si="37"/>
        <v>0.55500000000000005</v>
      </c>
      <c r="AE35" s="48">
        <f t="shared" si="37"/>
        <v>0.55500000000000005</v>
      </c>
    </row>
    <row r="36" spans="2:31">
      <c r="B36" s="29" t="s">
        <v>27</v>
      </c>
      <c r="C36" s="48">
        <f>+C15/C$10</f>
        <v>0.16595870142066238</v>
      </c>
      <c r="D36" s="48">
        <f t="shared" ref="D36:J37" si="38">+D15/D$10</f>
        <v>0.15360709140750167</v>
      </c>
      <c r="E36" s="48">
        <f t="shared" si="38"/>
        <v>0.13715270778673125</v>
      </c>
      <c r="F36" s="48">
        <f t="shared" si="38"/>
        <v>0.13794756313334411</v>
      </c>
      <c r="G36" s="48">
        <f t="shared" si="38"/>
        <v>0.14465755057610807</v>
      </c>
      <c r="H36" s="48">
        <f t="shared" si="38"/>
        <v>0.1448536957509623</v>
      </c>
      <c r="I36" s="48">
        <f t="shared" si="38"/>
        <v>0.13317443866864903</v>
      </c>
      <c r="J36" s="48">
        <f t="shared" si="38"/>
        <v>0.13317443866864903</v>
      </c>
      <c r="K36" s="48"/>
      <c r="T36" s="48">
        <f t="shared" ref="T36:U36" si="39">+T15/T$10</f>
        <v>0.14713787322731184</v>
      </c>
      <c r="U36" s="48">
        <f t="shared" si="39"/>
        <v>0.13857969479587498</v>
      </c>
      <c r="V36" s="48">
        <f t="shared" ref="V36:AE36" si="40">+V15/V$10</f>
        <v>0.13300000000000001</v>
      </c>
      <c r="W36" s="48">
        <f t="shared" si="40"/>
        <v>0.13300000000000001</v>
      </c>
      <c r="X36" s="48">
        <f t="shared" si="40"/>
        <v>0.13300000000000001</v>
      </c>
      <c r="Y36" s="48">
        <f t="shared" si="40"/>
        <v>0.13300000000000001</v>
      </c>
      <c r="Z36" s="48">
        <f t="shared" si="40"/>
        <v>0.13300000000000001</v>
      </c>
      <c r="AA36" s="48">
        <f t="shared" si="40"/>
        <v>0.13300000000000001</v>
      </c>
      <c r="AB36" s="48">
        <f t="shared" si="40"/>
        <v>0.13300000000000001</v>
      </c>
      <c r="AC36" s="48">
        <f t="shared" si="40"/>
        <v>0.13300000000000001</v>
      </c>
      <c r="AD36" s="48">
        <f t="shared" si="40"/>
        <v>0.13300000000000001</v>
      </c>
      <c r="AE36" s="48">
        <f t="shared" si="40"/>
        <v>0.13300000000000001</v>
      </c>
    </row>
    <row r="37" spans="2:31">
      <c r="B37" s="29" t="s">
        <v>28</v>
      </c>
      <c r="C37" s="48">
        <f>+C16/C$10</f>
        <v>0.17682169103595882</v>
      </c>
      <c r="D37" s="48">
        <f t="shared" si="38"/>
        <v>0.16967232983400696</v>
      </c>
      <c r="E37" s="48">
        <f t="shared" si="38"/>
        <v>0.15217079302520967</v>
      </c>
      <c r="F37" s="48">
        <f t="shared" si="38"/>
        <v>0.15335209908315922</v>
      </c>
      <c r="G37" s="48">
        <f t="shared" si="38"/>
        <v>0.14468421498414252</v>
      </c>
      <c r="H37" s="48">
        <f t="shared" si="38"/>
        <v>0.15798391149819285</v>
      </c>
      <c r="I37" s="48">
        <f t="shared" si="38"/>
        <v>0.15311404603513951</v>
      </c>
      <c r="J37" s="48">
        <f t="shared" si="38"/>
        <v>0.15311404603513951</v>
      </c>
      <c r="K37" s="48"/>
      <c r="T37" s="48">
        <f t="shared" ref="T37:U37" si="41">+T16/T$10</f>
        <v>0.16164378596348147</v>
      </c>
      <c r="U37" s="48">
        <f t="shared" si="41"/>
        <v>0.15234806356624148</v>
      </c>
      <c r="V37" s="48">
        <f t="shared" ref="V37:AE37" si="42">+V16/V$10</f>
        <v>0.15234806356624148</v>
      </c>
      <c r="W37" s="48">
        <f t="shared" si="42"/>
        <v>0.15234806356624148</v>
      </c>
      <c r="X37" s="48">
        <f t="shared" si="42"/>
        <v>0.15234806356624148</v>
      </c>
      <c r="Y37" s="48">
        <f t="shared" si="42"/>
        <v>0.15234806356624148</v>
      </c>
      <c r="Z37" s="48">
        <f t="shared" si="42"/>
        <v>0.15234806356624148</v>
      </c>
      <c r="AA37" s="48">
        <f t="shared" si="42"/>
        <v>0.15234806356624148</v>
      </c>
      <c r="AB37" s="48">
        <f t="shared" si="42"/>
        <v>0.15234806356624148</v>
      </c>
      <c r="AC37" s="48">
        <f t="shared" si="42"/>
        <v>0.15234806356624148</v>
      </c>
      <c r="AD37" s="48">
        <f t="shared" si="42"/>
        <v>0.15234806356624148</v>
      </c>
      <c r="AE37" s="48">
        <f t="shared" si="42"/>
        <v>0.15234806356624148</v>
      </c>
    </row>
    <row r="38" spans="2:31">
      <c r="B38" s="29" t="s">
        <v>92</v>
      </c>
      <c r="C38" s="48">
        <f>+C17/C10</f>
        <v>0.20853926204177911</v>
      </c>
      <c r="D38" s="48">
        <f>+D17/D10</f>
        <v>0.22965881075456573</v>
      </c>
      <c r="E38" s="48">
        <f>+E17/E10</f>
        <v>0.264510521367673</v>
      </c>
      <c r="F38" s="48">
        <f>+F17/F10</f>
        <v>0.26267814058227462</v>
      </c>
      <c r="G38" s="48">
        <f>+G17/G10</f>
        <v>0.26469757855805143</v>
      </c>
      <c r="H38" s="48">
        <f>+H17/H10</f>
        <v>0.24791520583110374</v>
      </c>
      <c r="I38" s="48">
        <f>+I17/I10</f>
        <v>0.2647712350917556</v>
      </c>
      <c r="J38" s="48">
        <f>+J17/J10</f>
        <v>0.26600000000000001</v>
      </c>
      <c r="K38" s="48"/>
      <c r="T38" s="48">
        <f>+T17/T10</f>
        <v>0.24437406551583529</v>
      </c>
      <c r="U38" s="48">
        <f>+U17/U10</f>
        <v>0.26107120587708288</v>
      </c>
      <c r="V38" s="48">
        <f>+V17/V10</f>
        <v>0.26657180742462033</v>
      </c>
      <c r="W38" s="48">
        <f t="shared" ref="W38:AE38" si="43">+W17/W10</f>
        <v>0.26965193643375857</v>
      </c>
      <c r="X38" s="48">
        <f t="shared" si="43"/>
        <v>0.26965193643375851</v>
      </c>
      <c r="Y38" s="48">
        <f t="shared" si="43"/>
        <v>0.26965193643375851</v>
      </c>
      <c r="Z38" s="48">
        <f t="shared" si="43"/>
        <v>0.26965193643375851</v>
      </c>
      <c r="AA38" s="48">
        <f t="shared" si="43"/>
        <v>0.26965193643375851</v>
      </c>
      <c r="AB38" s="48">
        <f t="shared" si="43"/>
        <v>0.26965193643375857</v>
      </c>
      <c r="AC38" s="48">
        <f t="shared" si="43"/>
        <v>0.26965193643375857</v>
      </c>
      <c r="AD38" s="48">
        <f t="shared" si="43"/>
        <v>0.26965193643375851</v>
      </c>
      <c r="AE38" s="48">
        <f t="shared" si="43"/>
        <v>0.26965193643375851</v>
      </c>
    </row>
    <row r="39" spans="2:31">
      <c r="B39" s="29" t="s">
        <v>94</v>
      </c>
      <c r="C39" s="48">
        <f>+C19/C10</f>
        <v>0.22937418784192543</v>
      </c>
      <c r="D39" s="48">
        <f t="shared" ref="D39:J39" si="44">+D19/D10</f>
        <v>0.24446279395622272</v>
      </c>
      <c r="E39" s="48">
        <f t="shared" si="44"/>
        <v>0.28108475953808865</v>
      </c>
      <c r="F39" s="48">
        <f t="shared" si="44"/>
        <v>0.27268940003217002</v>
      </c>
      <c r="G39" s="48">
        <f t="shared" si="44"/>
        <v>0.27274552430068655</v>
      </c>
      <c r="H39" s="48">
        <f t="shared" si="44"/>
        <v>0.266302924881202</v>
      </c>
      <c r="I39" s="48">
        <f t="shared" si="44"/>
        <v>0.27886827568993022</v>
      </c>
      <c r="J39" s="48">
        <f t="shared" si="44"/>
        <v>0.27983386581469649</v>
      </c>
      <c r="K39" s="48"/>
      <c r="T39" s="48">
        <f t="shared" ref="T39:U39" si="45">+T19/T10</f>
        <v>0.25957682026188211</v>
      </c>
      <c r="U39" s="48">
        <f t="shared" si="45"/>
        <v>0.27473721555276825</v>
      </c>
      <c r="V39" s="48">
        <f t="shared" ref="V39:AE39" si="46">+V19/V10</f>
        <v>0.16993777459236695</v>
      </c>
      <c r="W39" s="48">
        <f t="shared" si="46"/>
        <v>0.28376711225328588</v>
      </c>
      <c r="X39" s="48">
        <f t="shared" si="46"/>
        <v>0.28376711225328588</v>
      </c>
      <c r="Y39" s="48">
        <f t="shared" si="46"/>
        <v>0.28376711225328582</v>
      </c>
      <c r="Z39" s="48">
        <f t="shared" si="46"/>
        <v>0.28376711225328582</v>
      </c>
      <c r="AA39" s="48">
        <f t="shared" si="46"/>
        <v>0.28376711225328582</v>
      </c>
      <c r="AB39" s="48">
        <f t="shared" si="46"/>
        <v>0.28376711225328588</v>
      </c>
      <c r="AC39" s="48">
        <f t="shared" si="46"/>
        <v>0.28376711225328594</v>
      </c>
      <c r="AD39" s="48">
        <f t="shared" si="46"/>
        <v>0.28376711225328582</v>
      </c>
      <c r="AE39" s="48">
        <f t="shared" si="46"/>
        <v>0.28376711225328582</v>
      </c>
    </row>
    <row r="40" spans="2:31">
      <c r="B40" s="29" t="s">
        <v>95</v>
      </c>
      <c r="C40" s="48">
        <f>+C20/C10</f>
        <v>2.7268855717046857E-2</v>
      </c>
      <c r="D40" s="48">
        <f t="shared" ref="D40:J40" si="47">+D20/D10</f>
        <v>4.6670384741964908E-2</v>
      </c>
      <c r="E40" s="48">
        <f t="shared" si="47"/>
        <v>4.8177849735292745E-2</v>
      </c>
      <c r="F40" s="48">
        <f t="shared" si="47"/>
        <v>-2.058600611227281</v>
      </c>
      <c r="G40" s="48">
        <f t="shared" si="47"/>
        <v>6.2895064574922277E-2</v>
      </c>
      <c r="H40" s="48">
        <f t="shared" si="47"/>
        <v>6.5082293318727488E-2</v>
      </c>
      <c r="I40" s="48">
        <f t="shared" si="47"/>
        <v>3.7034575189642635E-2</v>
      </c>
      <c r="J40" s="48">
        <f t="shared" si="47"/>
        <v>5.3348242811501655E-2</v>
      </c>
      <c r="K40" s="48"/>
      <c r="T40" s="48">
        <f t="shared" ref="T40:U40" si="48">+T20/T10</f>
        <v>-0.54994698926192731</v>
      </c>
      <c r="U40" s="48">
        <f t="shared" si="48"/>
        <v>5.401440602042646E-2</v>
      </c>
      <c r="V40" s="48">
        <f t="shared" ref="V40:AE40" si="49">+V20/V10</f>
        <v>3.3410427985053268E-2</v>
      </c>
      <c r="W40" s="48">
        <f t="shared" si="49"/>
        <v>5.5789718861546038E-2</v>
      </c>
      <c r="X40" s="48">
        <f t="shared" si="49"/>
        <v>5.5789718861546038E-2</v>
      </c>
      <c r="Y40" s="48">
        <f t="shared" si="49"/>
        <v>5.5789718861546024E-2</v>
      </c>
      <c r="Z40" s="48">
        <f t="shared" si="49"/>
        <v>5.5789718861546024E-2</v>
      </c>
      <c r="AA40" s="48">
        <f t="shared" si="49"/>
        <v>5.5789718861546031E-2</v>
      </c>
      <c r="AB40" s="48">
        <f t="shared" si="49"/>
        <v>5.5789718861546038E-2</v>
      </c>
      <c r="AC40" s="48">
        <f t="shared" si="49"/>
        <v>5.5789718861546038E-2</v>
      </c>
      <c r="AD40" s="48">
        <f t="shared" si="49"/>
        <v>5.5789718861546031E-2</v>
      </c>
      <c r="AE40" s="48">
        <f t="shared" si="49"/>
        <v>5.5789718861546038E-2</v>
      </c>
    </row>
    <row r="41" spans="2:31">
      <c r="B41" s="29"/>
      <c r="C41" s="43"/>
      <c r="D41" s="43"/>
      <c r="E41" s="43"/>
      <c r="F41" s="43"/>
      <c r="G41" s="43"/>
      <c r="H41" s="43"/>
      <c r="I41" s="43"/>
      <c r="J41" s="43"/>
    </row>
    <row r="42" spans="2:31" s="14" customFormat="1">
      <c r="B42" s="46" t="s">
        <v>116</v>
      </c>
      <c r="C42" s="16">
        <f>+SUM(C43:C44)</f>
        <v>1286.3890000000001</v>
      </c>
      <c r="D42" s="16">
        <f t="shared" ref="D42:J42" si="50">+SUM(D43:D44)</f>
        <v>1307.2449999999999</v>
      </c>
      <c r="E42" s="16">
        <f t="shared" si="50"/>
        <v>1462.35</v>
      </c>
      <c r="F42" s="16">
        <f t="shared" si="50"/>
        <v>862.94600000000003</v>
      </c>
      <c r="G42" s="16">
        <f t="shared" si="50"/>
        <v>1026.664</v>
      </c>
      <c r="H42" s="16">
        <f t="shared" si="50"/>
        <v>1146.077</v>
      </c>
      <c r="I42" s="16">
        <f t="shared" si="50"/>
        <v>1269.4839999999999</v>
      </c>
      <c r="J42" s="16">
        <f t="shared" si="50"/>
        <v>1256.5449999999998</v>
      </c>
      <c r="K42" s="16"/>
      <c r="L42" s="16"/>
      <c r="M42" s="16"/>
      <c r="N42" s="16"/>
      <c r="U42" s="14">
        <f>+J42</f>
        <v>1256.5449999999998</v>
      </c>
      <c r="V42" s="14">
        <f>+U42*1.03</f>
        <v>1294.2413499999998</v>
      </c>
      <c r="W42" s="14">
        <f t="shared" ref="W42:AE42" si="51">+V42*1.03</f>
        <v>1333.0685904999998</v>
      </c>
      <c r="X42" s="14">
        <f t="shared" si="51"/>
        <v>1373.0606482149999</v>
      </c>
      <c r="Y42" s="14">
        <f t="shared" si="51"/>
        <v>1414.2524676614498</v>
      </c>
      <c r="Z42" s="14">
        <f t="shared" si="51"/>
        <v>1456.6800416912934</v>
      </c>
      <c r="AA42" s="14">
        <f t="shared" si="51"/>
        <v>1500.3804429420322</v>
      </c>
      <c r="AB42" s="14">
        <f t="shared" si="51"/>
        <v>1545.3918562302933</v>
      </c>
      <c r="AC42" s="14">
        <f t="shared" si="51"/>
        <v>1591.7536119172021</v>
      </c>
      <c r="AD42" s="14">
        <f t="shared" si="51"/>
        <v>1639.5062202747181</v>
      </c>
      <c r="AE42" s="14">
        <f t="shared" si="51"/>
        <v>1688.6914068829597</v>
      </c>
    </row>
    <row r="43" spans="2:31" s="14" customFormat="1">
      <c r="B43" s="46" t="s">
        <v>3</v>
      </c>
      <c r="C43" s="15">
        <v>488.27300000000002</v>
      </c>
      <c r="D43" s="15">
        <v>550.47500000000002</v>
      </c>
      <c r="E43" s="15">
        <v>700.34699999999998</v>
      </c>
      <c r="F43" s="15">
        <v>691.81600000000003</v>
      </c>
      <c r="G43" s="15">
        <v>637.35400000000004</v>
      </c>
      <c r="H43" s="15">
        <v>787.38199999999995</v>
      </c>
      <c r="I43" s="15">
        <v>1081.251</v>
      </c>
      <c r="J43" s="15">
        <v>1099.3019999999999</v>
      </c>
      <c r="K43" s="16"/>
      <c r="L43" s="16"/>
      <c r="M43" s="16"/>
      <c r="N43" s="16"/>
    </row>
    <row r="44" spans="2:31" s="14" customFormat="1">
      <c r="B44" s="46" t="s">
        <v>98</v>
      </c>
      <c r="C44" s="15">
        <v>798.11599999999999</v>
      </c>
      <c r="D44" s="15">
        <v>756.77</v>
      </c>
      <c r="E44" s="15">
        <v>762.00300000000004</v>
      </c>
      <c r="F44" s="15">
        <v>171.13</v>
      </c>
      <c r="G44" s="15">
        <v>389.31</v>
      </c>
      <c r="H44" s="15">
        <v>358.69499999999999</v>
      </c>
      <c r="I44" s="15">
        <v>188.233</v>
      </c>
      <c r="J44" s="15">
        <v>157.24299999999999</v>
      </c>
      <c r="K44" s="16"/>
      <c r="L44" s="16"/>
      <c r="M44" s="16"/>
      <c r="N44" s="16"/>
    </row>
    <row r="45" spans="2:31" s="14" customFormat="1">
      <c r="B45" s="46" t="s">
        <v>99</v>
      </c>
      <c r="C45" s="15">
        <v>194.428</v>
      </c>
      <c r="D45" s="15">
        <v>157.88999999999999</v>
      </c>
      <c r="E45" s="15">
        <v>164.70400000000001</v>
      </c>
      <c r="F45" s="15">
        <v>172.518</v>
      </c>
      <c r="G45" s="15">
        <v>214.86600000000001</v>
      </c>
      <c r="H45" s="15">
        <v>194.821</v>
      </c>
      <c r="I45" s="15">
        <v>241.56</v>
      </c>
      <c r="J45" s="15">
        <v>255.626</v>
      </c>
      <c r="K45" s="16"/>
      <c r="L45" s="16"/>
      <c r="M45" s="16"/>
      <c r="N45" s="16"/>
    </row>
    <row r="46" spans="2:31" s="14" customFormat="1">
      <c r="B46" s="46" t="s">
        <v>100</v>
      </c>
      <c r="C46" s="15">
        <v>395.99</v>
      </c>
      <c r="D46" s="15">
        <v>426.75099999999998</v>
      </c>
      <c r="E46" s="15">
        <v>424.94200000000001</v>
      </c>
      <c r="F46" s="15">
        <v>419.61099999999999</v>
      </c>
      <c r="G46" s="15">
        <v>454.79300000000001</v>
      </c>
      <c r="H46" s="15">
        <v>490.642</v>
      </c>
      <c r="I46" s="15">
        <v>505.68</v>
      </c>
      <c r="J46" s="15">
        <v>564.649</v>
      </c>
      <c r="K46" s="16"/>
      <c r="L46" s="16"/>
      <c r="M46" s="16"/>
      <c r="N46" s="16"/>
    </row>
    <row r="47" spans="2:31" s="14" customFormat="1">
      <c r="B47" s="46" t="s">
        <v>101</v>
      </c>
      <c r="C47" s="15">
        <v>99.685000000000002</v>
      </c>
      <c r="D47" s="15">
        <v>105.547</v>
      </c>
      <c r="E47" s="15">
        <v>108.45399999999999</v>
      </c>
      <c r="F47" s="15">
        <v>109.97799999999999</v>
      </c>
      <c r="G47" s="15">
        <v>92.063000000000002</v>
      </c>
      <c r="H47" s="15">
        <v>87.216999999999999</v>
      </c>
      <c r="I47" s="15">
        <v>96.021000000000001</v>
      </c>
      <c r="J47" s="15">
        <v>106.982</v>
      </c>
      <c r="K47" s="16"/>
      <c r="L47" s="16"/>
      <c r="M47" s="16"/>
      <c r="N47" s="16"/>
    </row>
    <row r="48" spans="2:31" s="14" customFormat="1">
      <c r="B48" s="46" t="s">
        <v>102</v>
      </c>
      <c r="C48" s="15">
        <v>375.57299999999998</v>
      </c>
      <c r="D48" s="15">
        <v>400.53399999999999</v>
      </c>
      <c r="E48" s="15">
        <v>436.26499999999999</v>
      </c>
      <c r="F48" s="15">
        <v>494.94499999999999</v>
      </c>
      <c r="G48" s="15">
        <v>527.34799999999996</v>
      </c>
      <c r="H48" s="15">
        <v>563.88499999999999</v>
      </c>
      <c r="I48" s="15">
        <v>597.31100000000004</v>
      </c>
      <c r="J48" s="15">
        <v>627.68899999999996</v>
      </c>
      <c r="K48" s="16"/>
      <c r="L48" s="16"/>
      <c r="M48" s="16"/>
      <c r="N48" s="16"/>
    </row>
    <row r="49" spans="2:14" s="14" customFormat="1">
      <c r="B49" s="46" t="s">
        <v>103</v>
      </c>
      <c r="C49" s="15">
        <v>9.5180000000000007</v>
      </c>
      <c r="D49" s="15">
        <v>10.512</v>
      </c>
      <c r="E49" s="15">
        <v>10.225</v>
      </c>
      <c r="F49" s="15">
        <v>9.9380000000000006</v>
      </c>
      <c r="G49" s="15">
        <v>9.6509999999999998</v>
      </c>
      <c r="H49" s="15">
        <v>9.3640000000000008</v>
      </c>
      <c r="I49" s="15">
        <v>9.077</v>
      </c>
      <c r="J49" s="15">
        <v>8.7899999999999991</v>
      </c>
      <c r="K49" s="16"/>
      <c r="L49" s="16"/>
      <c r="M49" s="16"/>
      <c r="N49" s="16"/>
    </row>
    <row r="50" spans="2:14" s="14" customFormat="1">
      <c r="B50" s="46" t="s">
        <v>104</v>
      </c>
      <c r="C50" s="15">
        <v>27.311</v>
      </c>
      <c r="D50" s="15">
        <v>26.08</v>
      </c>
      <c r="E50" s="15">
        <v>26.08</v>
      </c>
      <c r="F50" s="15">
        <v>25.943999999999999</v>
      </c>
      <c r="G50" s="15">
        <v>25.943999999999999</v>
      </c>
      <c r="H50" s="15">
        <v>25.943999999999999</v>
      </c>
      <c r="I50" s="15">
        <v>25.943999999999999</v>
      </c>
      <c r="J50" s="15">
        <v>25.943999999999999</v>
      </c>
      <c r="K50" s="16"/>
      <c r="L50" s="16"/>
      <c r="M50" s="16"/>
      <c r="N50" s="16"/>
    </row>
    <row r="51" spans="2:14" s="14" customFormat="1">
      <c r="B51" s="46" t="s">
        <v>105</v>
      </c>
      <c r="C51" s="15">
        <v>32.783999999999999</v>
      </c>
      <c r="D51" s="15">
        <v>29.707000000000001</v>
      </c>
      <c r="E51" s="15">
        <v>30.696999999999999</v>
      </c>
      <c r="F51" s="15">
        <v>1326.84</v>
      </c>
      <c r="G51" s="15">
        <v>1318.4570000000001</v>
      </c>
      <c r="H51" s="15">
        <v>1309.981</v>
      </c>
      <c r="I51" s="15">
        <v>1300.26</v>
      </c>
      <c r="J51" s="15">
        <v>1281.4880000000001</v>
      </c>
      <c r="K51" s="16"/>
      <c r="L51" s="16"/>
      <c r="M51" s="16"/>
      <c r="N51" s="16"/>
    </row>
    <row r="52" spans="2:14" s="14" customFormat="1">
      <c r="B52" s="46" t="s">
        <v>106</v>
      </c>
      <c r="C52" s="15">
        <v>157.023</v>
      </c>
      <c r="D52" s="15">
        <v>183.86600000000001</v>
      </c>
      <c r="E52" s="15">
        <v>191.023</v>
      </c>
      <c r="F52" s="15">
        <v>194.37700000000001</v>
      </c>
      <c r="G52" s="15">
        <v>135.97399999999999</v>
      </c>
      <c r="H52" s="15">
        <v>144.279</v>
      </c>
      <c r="I52" s="15">
        <v>161.05500000000001</v>
      </c>
      <c r="J52" s="15">
        <v>165.09100000000001</v>
      </c>
      <c r="K52" s="16"/>
      <c r="L52" s="16"/>
      <c r="M52" s="16"/>
      <c r="N52" s="16"/>
    </row>
    <row r="53" spans="2:14" s="20" customFormat="1">
      <c r="B53" s="47" t="s">
        <v>107</v>
      </c>
      <c r="C53" s="25">
        <f>+SUM(C43:C52)</f>
        <v>2578.7010000000005</v>
      </c>
      <c r="D53" s="25">
        <f>+SUM(D43:D52)</f>
        <v>2648.1319999999996</v>
      </c>
      <c r="E53" s="25">
        <f>+SUM(E43:E52)</f>
        <v>2854.7400000000002</v>
      </c>
      <c r="F53" s="25">
        <f>+SUM(F43:F52)</f>
        <v>3617.0970000000002</v>
      </c>
      <c r="G53" s="25">
        <f>+SUM(G43:G52)</f>
        <v>3805.76</v>
      </c>
      <c r="H53" s="25">
        <f>+SUM(H43:H52)</f>
        <v>3972.2099999999996</v>
      </c>
      <c r="I53" s="25">
        <f>+SUM(I43:I52)</f>
        <v>4206.3920000000007</v>
      </c>
      <c r="J53" s="25">
        <f>+SUM(J43:J52)</f>
        <v>4292.8040000000001</v>
      </c>
      <c r="K53" s="25"/>
      <c r="L53" s="25"/>
      <c r="M53" s="25"/>
      <c r="N53" s="25"/>
    </row>
    <row r="54" spans="2:14" s="14" customFormat="1">
      <c r="B54" s="4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2:14" s="14" customFormat="1">
      <c r="B55" s="46" t="s">
        <v>110</v>
      </c>
      <c r="C55" s="15">
        <v>103.471</v>
      </c>
      <c r="D55" s="15">
        <v>99.894000000000005</v>
      </c>
      <c r="E55" s="15">
        <v>115.86499999999999</v>
      </c>
      <c r="F55" s="15">
        <v>102.526</v>
      </c>
      <c r="G55" s="15">
        <v>127.31</v>
      </c>
      <c r="H55" s="15">
        <v>129.91900000000001</v>
      </c>
      <c r="I55" s="15">
        <v>141.68899999999999</v>
      </c>
      <c r="J55" s="15">
        <v>138.27199999999999</v>
      </c>
      <c r="K55" s="16"/>
      <c r="L55" s="16"/>
      <c r="M55" s="16"/>
      <c r="N55" s="16"/>
    </row>
    <row r="56" spans="2:14" s="14" customFormat="1">
      <c r="B56" s="46" t="s">
        <v>111</v>
      </c>
      <c r="C56" s="15">
        <v>70.540999999999997</v>
      </c>
      <c r="D56" s="15">
        <v>63.917000000000002</v>
      </c>
      <c r="E56" s="15">
        <v>81.292000000000002</v>
      </c>
      <c r="F56" s="15">
        <v>63.917999999999999</v>
      </c>
      <c r="G56" s="15">
        <v>74.784999999999997</v>
      </c>
      <c r="H56" s="15">
        <v>81.296000000000006</v>
      </c>
      <c r="I56" s="15">
        <v>99.602000000000004</v>
      </c>
      <c r="J56" s="15">
        <v>85.962999999999994</v>
      </c>
      <c r="K56" s="16"/>
      <c r="L56" s="16"/>
      <c r="M56" s="16"/>
      <c r="N56" s="16"/>
    </row>
    <row r="57" spans="2:14" s="14" customFormat="1">
      <c r="B57" s="46" t="s">
        <v>112</v>
      </c>
      <c r="C57" s="15">
        <v>137.86799999999999</v>
      </c>
      <c r="D57" s="15">
        <v>131.34800000000001</v>
      </c>
      <c r="E57" s="15">
        <v>139.43100000000001</v>
      </c>
      <c r="F57" s="15">
        <v>128.12299999999999</v>
      </c>
      <c r="G57" s="15">
        <v>161.30600000000001</v>
      </c>
      <c r="H57" s="15">
        <v>172.29300000000001</v>
      </c>
      <c r="I57" s="15">
        <v>201.51300000000001</v>
      </c>
      <c r="J57" s="15">
        <v>145.13</v>
      </c>
      <c r="K57" s="16"/>
      <c r="L57" s="16"/>
      <c r="M57" s="16"/>
      <c r="N57" s="16"/>
    </row>
    <row r="58" spans="2:14" s="14" customFormat="1">
      <c r="B58" s="46" t="s">
        <v>113</v>
      </c>
      <c r="C58" s="15">
        <v>66.337000000000003</v>
      </c>
      <c r="D58" s="15">
        <v>60.44</v>
      </c>
      <c r="E58" s="15">
        <v>64.656000000000006</v>
      </c>
      <c r="F58" s="15">
        <v>65.192999999999998</v>
      </c>
      <c r="G58" s="15">
        <v>69.534999999999997</v>
      </c>
      <c r="H58" s="15">
        <v>73.185000000000002</v>
      </c>
      <c r="I58" s="15">
        <v>78.260999999999996</v>
      </c>
      <c r="J58" s="15">
        <v>75.022000000000006</v>
      </c>
      <c r="K58" s="16"/>
      <c r="L58" s="16"/>
      <c r="M58" s="16"/>
      <c r="N58" s="16"/>
    </row>
    <row r="59" spans="2:14" s="14" customFormat="1">
      <c r="B59" s="46" t="s">
        <v>114</v>
      </c>
      <c r="C59" s="15">
        <v>86.927000000000007</v>
      </c>
      <c r="D59" s="15">
        <v>96.674999999999997</v>
      </c>
      <c r="E59" s="15">
        <v>101.806</v>
      </c>
      <c r="F59" s="15">
        <v>111.57</v>
      </c>
      <c r="G59" s="15">
        <v>105.81399999999999</v>
      </c>
      <c r="H59" s="15">
        <v>113.449</v>
      </c>
      <c r="I59" s="15">
        <v>117.38</v>
      </c>
      <c r="J59" s="15">
        <v>127.83499999999999</v>
      </c>
      <c r="K59" s="16"/>
      <c r="L59" s="16"/>
      <c r="M59" s="16"/>
      <c r="N59" s="16"/>
    </row>
    <row r="60" spans="2:14" s="14" customFormat="1">
      <c r="B60" s="46" t="s">
        <v>115</v>
      </c>
      <c r="C60" s="16">
        <f>+SUM(C55:C59)</f>
        <v>465.14400000000001</v>
      </c>
      <c r="D60" s="16">
        <f>+SUM(D55:D59)</f>
        <v>452.274</v>
      </c>
      <c r="E60" s="16">
        <f>+SUM(E55:E59)</f>
        <v>503.04999999999995</v>
      </c>
      <c r="F60" s="16">
        <f>+SUM(F55:F59)</f>
        <v>471.33</v>
      </c>
      <c r="G60" s="16">
        <f>+SUM(G55:G59)</f>
        <v>538.75</v>
      </c>
      <c r="H60" s="16">
        <f>+SUM(H55:H59)</f>
        <v>570.14200000000005</v>
      </c>
      <c r="I60" s="16">
        <f>+SUM(I55:I59)</f>
        <v>638.44499999999994</v>
      </c>
      <c r="J60" s="16">
        <f>+SUM(J55:J59)</f>
        <v>572.22199999999998</v>
      </c>
      <c r="K60" s="16"/>
      <c r="L60" s="16"/>
      <c r="M60" s="16"/>
      <c r="N60" s="16"/>
    </row>
    <row r="61" spans="2:14" s="14" customFormat="1">
      <c r="B61" s="46" t="s">
        <v>109</v>
      </c>
      <c r="C61" s="15">
        <v>2113.5569999999998</v>
      </c>
      <c r="D61" s="15">
        <v>2195.8580000000002</v>
      </c>
      <c r="E61" s="15">
        <v>2351.69</v>
      </c>
      <c r="F61" s="15">
        <v>3145.7669999999998</v>
      </c>
      <c r="G61" s="15">
        <v>3267.01</v>
      </c>
      <c r="H61" s="15">
        <v>3402.0680000000002</v>
      </c>
      <c r="I61" s="15">
        <v>3567.9470000000001</v>
      </c>
      <c r="J61" s="15">
        <v>3720.5819999999999</v>
      </c>
      <c r="K61" s="16"/>
      <c r="L61" s="16"/>
      <c r="M61" s="16"/>
      <c r="N61" s="16"/>
    </row>
    <row r="62" spans="2:14" s="20" customFormat="1">
      <c r="B62" s="47" t="s">
        <v>108</v>
      </c>
      <c r="C62" s="25">
        <f>SUM(C60:C61)</f>
        <v>2578.701</v>
      </c>
      <c r="D62" s="25">
        <f>SUM(D60:D61)</f>
        <v>2648.1320000000001</v>
      </c>
      <c r="E62" s="25">
        <f>SUM(E60:E61)</f>
        <v>2854.74</v>
      </c>
      <c r="F62" s="25">
        <f>SUM(F60:F61)</f>
        <v>3617.0969999999998</v>
      </c>
      <c r="G62" s="25">
        <f>SUM(G60:G61)</f>
        <v>3805.76</v>
      </c>
      <c r="H62" s="25">
        <f>SUM(H60:H61)</f>
        <v>3972.21</v>
      </c>
      <c r="I62" s="25">
        <f>SUM(I60:I61)</f>
        <v>4206.3919999999998</v>
      </c>
      <c r="J62" s="25">
        <f>SUM(J60:J61)</f>
        <v>4292.8040000000001</v>
      </c>
      <c r="K62" s="25"/>
      <c r="L62" s="25"/>
      <c r="M62" s="25"/>
      <c r="N62" s="25"/>
    </row>
    <row r="63" spans="2:14" s="14" customFormat="1">
      <c r="B63" s="4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2:14" s="14" customFormat="1">
      <c r="B64" s="4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2:14" s="14" customFormat="1">
      <c r="B65" s="4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2:14" s="14" customFormat="1"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2:14" s="14" customFormat="1"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2:14" s="14" customFormat="1"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2:14">
      <c r="B69" s="7" t="s">
        <v>39</v>
      </c>
      <c r="C69" s="26">
        <v>248.05099999999999</v>
      </c>
      <c r="D69" s="26">
        <f>389.026-C69</f>
        <v>140.97500000000002</v>
      </c>
      <c r="E69" s="26">
        <f>620.729-SUM(C69:D69)</f>
        <v>231.70300000000003</v>
      </c>
      <c r="G69" s="26">
        <v>256.387</v>
      </c>
      <c r="H69" s="26">
        <f>494.024-G69</f>
        <v>237.637</v>
      </c>
      <c r="I69" s="26">
        <f>733.292-SUM(G69:H69)</f>
        <v>239.26800000000003</v>
      </c>
      <c r="J69" s="26">
        <v>199.9</v>
      </c>
    </row>
    <row r="70" spans="2:14">
      <c r="B70" s="7" t="s">
        <v>40</v>
      </c>
      <c r="C70" s="26">
        <v>-15.991</v>
      </c>
      <c r="D70" s="26">
        <f>+-47.498-C70</f>
        <v>-31.506999999999998</v>
      </c>
      <c r="E70" s="26">
        <f>+-81.316-SUM(C70:D70)</f>
        <v>-33.818000000000005</v>
      </c>
      <c r="G70" s="26">
        <v>-40.341999999999999</v>
      </c>
      <c r="H70" s="26">
        <f>+-88.485-G70</f>
        <v>-48.143000000000001</v>
      </c>
      <c r="I70" s="26">
        <f>+-131-SUM(G70:H70)</f>
        <v>-42.515000000000001</v>
      </c>
    </row>
    <row r="71" spans="2:14">
      <c r="B71" s="7" t="s">
        <v>41</v>
      </c>
      <c r="C71" s="26">
        <f>SUM(C69:C70)</f>
        <v>232.06</v>
      </c>
      <c r="D71" s="26">
        <f>SUM(D69:D70)</f>
        <v>109.46800000000002</v>
      </c>
      <c r="E71" s="26">
        <f>SUM(E69:E70)</f>
        <v>197.88500000000002</v>
      </c>
      <c r="G71" s="26">
        <f>SUM(G69:G70)</f>
        <v>216.04500000000002</v>
      </c>
      <c r="H71" s="26">
        <f>SUM(H69:H70)</f>
        <v>189.494</v>
      </c>
      <c r="I71" s="26">
        <f>SUM(I69:I70)</f>
        <v>196.75300000000004</v>
      </c>
    </row>
  </sheetData>
  <pageMargins left="0.7" right="0.7" top="0.75" bottom="0.75" header="0.3" footer="0.3"/>
  <ignoredErrors>
    <ignoredError sqref="O10" formulaRange="1"/>
    <ignoredError sqref="F24:M24 V24:AG27 V21:AE21 AF10 P14:V14 Q10:R10 V10 F17:M21 P16:AF16 P15:U15 W15:AF15 X14:AF14 P18:AF18 P17:V17 X17:AF17 P20:AF20 P19:V19 X19:AF19" formula="1"/>
    <ignoredError sqref="P10 S10:U10" formula="1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2026-02-13T02:54:45Z</dcterms:created>
  <dcterms:modified xsi:type="dcterms:W3CDTF">2026-02-19T06:32:04Z</dcterms:modified>
</cp:coreProperties>
</file>