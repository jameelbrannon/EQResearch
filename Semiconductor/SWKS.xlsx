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defaultThemeVersion="202300"/>
  <mc:AlternateContent xmlns:mc="http://schemas.openxmlformats.org/markup-compatibility/2006">
    <mc:Choice Requires="x15">
      <x15ac:absPath xmlns:x15ac="http://schemas.microsoft.com/office/spreadsheetml/2010/11/ac" url="/Users/jameelbrannon/Library/CloudStorage/Dropbox/models/"/>
    </mc:Choice>
  </mc:AlternateContent>
  <xr:revisionPtr revIDLastSave="0" documentId="13_ncr:1_{48666112-59E4-CB49-89D8-D2D299A4E94C}" xr6:coauthVersionLast="47" xr6:coauthVersionMax="47" xr10:uidLastSave="{00000000-0000-0000-0000-000000000000}"/>
  <bookViews>
    <workbookView xWindow="20820" yWindow="3540" windowWidth="30380" windowHeight="18980" activeTab="1" xr2:uid="{872DC379-8029-6E4A-AB13-AE0B132249A5}"/>
  </bookViews>
  <sheets>
    <sheet name="Main" sheetId="1" r:id="rId1"/>
    <sheet name="Model"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H26" i="2" l="1"/>
  <c r="AH25" i="2"/>
  <c r="AH24" i="2"/>
  <c r="AG26" i="2"/>
  <c r="AG25" i="2"/>
  <c r="AG24" i="2"/>
  <c r="AF26" i="2"/>
  <c r="AF25" i="2"/>
  <c r="AF24" i="2"/>
  <c r="AE26" i="2"/>
  <c r="AE25" i="2"/>
  <c r="AE24" i="2"/>
  <c r="AD26" i="2"/>
  <c r="AD25" i="2"/>
  <c r="AD24" i="2"/>
  <c r="AC26" i="2"/>
  <c r="AC25" i="2"/>
  <c r="AC24" i="2"/>
  <c r="AB26" i="2"/>
  <c r="AB25" i="2"/>
  <c r="AB24" i="2"/>
  <c r="AA26" i="2"/>
  <c r="AA25" i="2"/>
  <c r="AA24" i="2"/>
  <c r="F49" i="2"/>
  <c r="F48" i="2"/>
  <c r="F47" i="2"/>
  <c r="F50" i="2" s="1"/>
  <c r="G49" i="2"/>
  <c r="G48" i="2"/>
  <c r="G47" i="2"/>
  <c r="G50" i="2" s="1"/>
  <c r="I49" i="2"/>
  <c r="I48" i="2"/>
  <c r="I47" i="2"/>
  <c r="I50" i="2" s="1"/>
  <c r="J49" i="2"/>
  <c r="J48" i="2"/>
  <c r="J47" i="2"/>
  <c r="J50" i="2" s="1"/>
  <c r="K50" i="2"/>
  <c r="K48" i="2"/>
  <c r="K47" i="2"/>
  <c r="K49" i="2"/>
  <c r="K32" i="2"/>
  <c r="AA32" i="2" s="1"/>
  <c r="J32" i="2"/>
  <c r="I32" i="2"/>
  <c r="H32" i="2"/>
  <c r="G32" i="2"/>
  <c r="F32" i="2"/>
  <c r="AA6" i="2"/>
  <c r="AB6" i="2" s="1"/>
  <c r="AC6" i="2" s="1"/>
  <c r="AD6" i="2" s="1"/>
  <c r="AE6" i="2" s="1"/>
  <c r="AF6" i="2" s="1"/>
  <c r="AG6" i="2" s="1"/>
  <c r="AH6" i="2" s="1"/>
  <c r="AI6" i="2" s="1"/>
  <c r="AJ6" i="2" s="1"/>
  <c r="M6" i="2"/>
  <c r="N6" i="2" s="1"/>
  <c r="L6" i="2"/>
  <c r="C60" i="2"/>
  <c r="D60" i="2"/>
  <c r="E2" i="2"/>
  <c r="E60" i="2"/>
  <c r="J60" i="2"/>
  <c r="I60" i="2"/>
  <c r="H60" i="2"/>
  <c r="G60" i="2"/>
  <c r="J64" i="2" s="1"/>
  <c r="F60" i="2"/>
  <c r="I64" i="2" s="1"/>
  <c r="K60" i="2"/>
  <c r="G45" i="2"/>
  <c r="G39" i="2"/>
  <c r="H45" i="2"/>
  <c r="H39" i="2"/>
  <c r="F45" i="2"/>
  <c r="F39" i="2"/>
  <c r="I45" i="2"/>
  <c r="I39" i="2"/>
  <c r="J45" i="2"/>
  <c r="J39" i="2"/>
  <c r="K45" i="2"/>
  <c r="K39" i="2"/>
  <c r="K30" i="2"/>
  <c r="K29" i="2"/>
  <c r="K25" i="2"/>
  <c r="K24" i="2"/>
  <c r="K8" i="2"/>
  <c r="F7" i="1"/>
  <c r="F6" i="1"/>
  <c r="G7" i="1"/>
  <c r="G6" i="1"/>
  <c r="Z30" i="2"/>
  <c r="Z29" i="2"/>
  <c r="Y30" i="2"/>
  <c r="Y29" i="2"/>
  <c r="X30" i="2"/>
  <c r="X29" i="2"/>
  <c r="H30" i="2"/>
  <c r="G30" i="2"/>
  <c r="E30" i="2"/>
  <c r="D30" i="2"/>
  <c r="C30" i="2"/>
  <c r="H29" i="2"/>
  <c r="G29" i="2"/>
  <c r="E29" i="2"/>
  <c r="D29" i="2"/>
  <c r="C29" i="2"/>
  <c r="I30" i="2"/>
  <c r="I29" i="2"/>
  <c r="AN27" i="2"/>
  <c r="AN25" i="2"/>
  <c r="XFD16" i="2"/>
  <c r="XFD3" i="2"/>
  <c r="F15" i="2"/>
  <c r="F13" i="2"/>
  <c r="F12" i="2"/>
  <c r="F10" i="2"/>
  <c r="F9" i="2"/>
  <c r="F7" i="2"/>
  <c r="F6" i="2"/>
  <c r="J24" i="2" s="1"/>
  <c r="Z25" i="2"/>
  <c r="Y25" i="2"/>
  <c r="Y24" i="2"/>
  <c r="Z24" i="2"/>
  <c r="X8" i="2"/>
  <c r="X11" i="2" s="1"/>
  <c r="Y8" i="2"/>
  <c r="Z8" i="2"/>
  <c r="R3" i="2"/>
  <c r="S3" i="2" s="1"/>
  <c r="T3" i="2" s="1"/>
  <c r="U3" i="2" s="1"/>
  <c r="V3" i="2" s="1"/>
  <c r="W3" i="2" s="1"/>
  <c r="X3" i="2" s="1"/>
  <c r="Y3" i="2" s="1"/>
  <c r="Z3" i="2" s="1"/>
  <c r="AA3" i="2" s="1"/>
  <c r="AB3" i="2" s="1"/>
  <c r="AC3" i="2" s="1"/>
  <c r="AD3" i="2" s="1"/>
  <c r="AE3" i="2" s="1"/>
  <c r="AF3" i="2" s="1"/>
  <c r="AG3" i="2" s="1"/>
  <c r="AH3" i="2" s="1"/>
  <c r="AI3" i="2" s="1"/>
  <c r="AJ3" i="2" s="1"/>
  <c r="AK3" i="2" s="1"/>
  <c r="AL3" i="2" s="1"/>
  <c r="AM3" i="2" s="1"/>
  <c r="AN3" i="2" s="1"/>
  <c r="AO3" i="2" s="1"/>
  <c r="AP3" i="2" s="1"/>
  <c r="AQ3" i="2" s="1"/>
  <c r="AR3" i="2" s="1"/>
  <c r="AS3" i="2" s="1"/>
  <c r="AT3" i="2" s="1"/>
  <c r="AU3" i="2" s="1"/>
  <c r="AV3" i="2" s="1"/>
  <c r="AW3" i="2" s="1"/>
  <c r="AX3" i="2" s="1"/>
  <c r="AY3" i="2" s="1"/>
  <c r="AZ3" i="2" s="1"/>
  <c r="BA3" i="2" s="1"/>
  <c r="BB3" i="2" s="1"/>
  <c r="BC3" i="2" s="1"/>
  <c r="BD3" i="2" s="1"/>
  <c r="BE3" i="2" s="1"/>
  <c r="BF3" i="2" s="1"/>
  <c r="BG3" i="2" s="1"/>
  <c r="BH3" i="2" s="1"/>
  <c r="BI3" i="2" s="1"/>
  <c r="BJ3" i="2" s="1"/>
  <c r="BK3" i="2" s="1"/>
  <c r="BL3" i="2" s="1"/>
  <c r="BM3" i="2" s="1"/>
  <c r="BN3" i="2" s="1"/>
  <c r="BO3" i="2" s="1"/>
  <c r="BP3" i="2" s="1"/>
  <c r="BQ3" i="2" s="1"/>
  <c r="BR3" i="2" s="1"/>
  <c r="BS3" i="2" s="1"/>
  <c r="BT3" i="2" s="1"/>
  <c r="BU3" i="2" s="1"/>
  <c r="BV3" i="2" s="1"/>
  <c r="BW3" i="2" s="1"/>
  <c r="BX3" i="2" s="1"/>
  <c r="BY3" i="2" s="1"/>
  <c r="BZ3" i="2" s="1"/>
  <c r="CA3" i="2" s="1"/>
  <c r="CB3" i="2" s="1"/>
  <c r="CC3" i="2" s="1"/>
  <c r="CD3" i="2" s="1"/>
  <c r="CE3" i="2" s="1"/>
  <c r="CF3" i="2" s="1"/>
  <c r="CG3" i="2" s="1"/>
  <c r="CH3" i="2" s="1"/>
  <c r="CI3" i="2" s="1"/>
  <c r="CJ3" i="2" s="1"/>
  <c r="CK3" i="2" s="1"/>
  <c r="CL3" i="2" s="1"/>
  <c r="CM3" i="2" s="1"/>
  <c r="CN3" i="2" s="1"/>
  <c r="CO3" i="2" s="1"/>
  <c r="CP3" i="2" s="1"/>
  <c r="CQ3" i="2" s="1"/>
  <c r="CR3" i="2" s="1"/>
  <c r="CS3" i="2" s="1"/>
  <c r="CT3" i="2" s="1"/>
  <c r="CU3" i="2" s="1"/>
  <c r="CV3" i="2" s="1"/>
  <c r="CW3" i="2" s="1"/>
  <c r="CX3" i="2" s="1"/>
  <c r="CY3" i="2" s="1"/>
  <c r="CZ3" i="2" s="1"/>
  <c r="DA3" i="2" s="1"/>
  <c r="DB3" i="2" s="1"/>
  <c r="DC3" i="2" s="1"/>
  <c r="DD3" i="2" s="1"/>
  <c r="DE3" i="2" s="1"/>
  <c r="DF3" i="2" s="1"/>
  <c r="DG3" i="2" s="1"/>
  <c r="DH3" i="2" s="1"/>
  <c r="DI3" i="2" s="1"/>
  <c r="DJ3" i="2" s="1"/>
  <c r="DK3" i="2" s="1"/>
  <c r="DL3" i="2" s="1"/>
  <c r="DM3" i="2" s="1"/>
  <c r="DN3" i="2" s="1"/>
  <c r="DO3" i="2" s="1"/>
  <c r="DP3" i="2" s="1"/>
  <c r="DQ3" i="2" s="1"/>
  <c r="DR3" i="2" s="1"/>
  <c r="DS3" i="2" s="1"/>
  <c r="DT3" i="2" s="1"/>
  <c r="DU3" i="2" s="1"/>
  <c r="DV3" i="2" s="1"/>
  <c r="DW3" i="2" s="1"/>
  <c r="DX3" i="2" s="1"/>
  <c r="DY3" i="2" s="1"/>
  <c r="DZ3" i="2" s="1"/>
  <c r="EA3" i="2" s="1"/>
  <c r="EB3" i="2" s="1"/>
  <c r="EC3" i="2" s="1"/>
  <c r="ED3" i="2" s="1"/>
  <c r="EE3" i="2" s="1"/>
  <c r="EF3" i="2" s="1"/>
  <c r="EG3" i="2" s="1"/>
  <c r="EH3" i="2" s="1"/>
  <c r="EI3" i="2" s="1"/>
  <c r="EJ3" i="2" s="1"/>
  <c r="EK3" i="2" s="1"/>
  <c r="EL3" i="2" s="1"/>
  <c r="EM3" i="2" s="1"/>
  <c r="EN3" i="2" s="1"/>
  <c r="EO3" i="2" s="1"/>
  <c r="EP3" i="2" s="1"/>
  <c r="EQ3" i="2" s="1"/>
  <c r="ER3" i="2" s="1"/>
  <c r="ES3" i="2" s="1"/>
  <c r="ET3" i="2" s="1"/>
  <c r="EU3" i="2" s="1"/>
  <c r="EV3" i="2" s="1"/>
  <c r="EW3" i="2" s="1"/>
  <c r="EX3" i="2" s="1"/>
  <c r="EY3" i="2" s="1"/>
  <c r="EZ3" i="2" s="1"/>
  <c r="FA3" i="2" s="1"/>
  <c r="FB3" i="2" s="1"/>
  <c r="FC3" i="2" s="1"/>
  <c r="FD3" i="2" s="1"/>
  <c r="FE3" i="2" s="1"/>
  <c r="FF3" i="2" s="1"/>
  <c r="FG3" i="2" s="1"/>
  <c r="FH3" i="2" s="1"/>
  <c r="FI3" i="2" s="1"/>
  <c r="FJ3" i="2" s="1"/>
  <c r="FK3" i="2" s="1"/>
  <c r="FL3" i="2" s="1"/>
  <c r="FM3" i="2" s="1"/>
  <c r="FN3" i="2" s="1"/>
  <c r="FO3" i="2" s="1"/>
  <c r="FP3" i="2" s="1"/>
  <c r="FQ3" i="2" s="1"/>
  <c r="FR3" i="2" s="1"/>
  <c r="FS3" i="2" s="1"/>
  <c r="FT3" i="2" s="1"/>
  <c r="FU3" i="2" s="1"/>
  <c r="FV3" i="2" s="1"/>
  <c r="FW3" i="2" s="1"/>
  <c r="FX3" i="2" s="1"/>
  <c r="FY3" i="2" s="1"/>
  <c r="FZ3" i="2" s="1"/>
  <c r="GA3" i="2" s="1"/>
  <c r="GB3" i="2" s="1"/>
  <c r="GC3" i="2" s="1"/>
  <c r="GD3" i="2" s="1"/>
  <c r="GE3" i="2" s="1"/>
  <c r="GF3" i="2" s="1"/>
  <c r="GG3" i="2" s="1"/>
  <c r="GH3" i="2" s="1"/>
  <c r="GI3" i="2" s="1"/>
  <c r="GJ3" i="2" s="1"/>
  <c r="GK3" i="2" s="1"/>
  <c r="GL3" i="2" s="1"/>
  <c r="GM3" i="2" s="1"/>
  <c r="GN3" i="2" s="1"/>
  <c r="GO3" i="2" s="1"/>
  <c r="GP3" i="2" s="1"/>
  <c r="GQ3" i="2" s="1"/>
  <c r="GR3" i="2" s="1"/>
  <c r="GS3" i="2" s="1"/>
  <c r="GT3" i="2" s="1"/>
  <c r="GU3" i="2" s="1"/>
  <c r="GV3" i="2" s="1"/>
  <c r="GW3" i="2" s="1"/>
  <c r="GX3" i="2" s="1"/>
  <c r="GY3" i="2" s="1"/>
  <c r="GZ3" i="2" s="1"/>
  <c r="HA3" i="2" s="1"/>
  <c r="HB3" i="2" s="1"/>
  <c r="HC3" i="2" s="1"/>
  <c r="HD3" i="2" s="1"/>
  <c r="HE3" i="2" s="1"/>
  <c r="HF3" i="2" s="1"/>
  <c r="HG3" i="2" s="1"/>
  <c r="HH3" i="2" s="1"/>
  <c r="HI3" i="2" s="1"/>
  <c r="HJ3" i="2" s="1"/>
  <c r="HK3" i="2" s="1"/>
  <c r="HL3" i="2" s="1"/>
  <c r="HM3" i="2" s="1"/>
  <c r="HN3" i="2" s="1"/>
  <c r="HO3" i="2" s="1"/>
  <c r="HP3" i="2" s="1"/>
  <c r="HQ3" i="2" s="1"/>
  <c r="HR3" i="2" s="1"/>
  <c r="HS3" i="2" s="1"/>
  <c r="HT3" i="2" s="1"/>
  <c r="HU3" i="2" s="1"/>
  <c r="HV3" i="2" s="1"/>
  <c r="HW3" i="2" s="1"/>
  <c r="HX3" i="2" s="1"/>
  <c r="HY3" i="2" s="1"/>
  <c r="HZ3" i="2" s="1"/>
  <c r="IA3" i="2" s="1"/>
  <c r="IB3" i="2" s="1"/>
  <c r="G25" i="2"/>
  <c r="G24" i="2"/>
  <c r="C8" i="2"/>
  <c r="C11" i="2" s="1"/>
  <c r="G8" i="2"/>
  <c r="G11" i="2" s="1"/>
  <c r="H25" i="2"/>
  <c r="H24" i="2"/>
  <c r="D8" i="2"/>
  <c r="D11" i="2" s="1"/>
  <c r="H8" i="2"/>
  <c r="H11" i="2" s="1"/>
  <c r="I25" i="2"/>
  <c r="I24" i="2"/>
  <c r="E8" i="2"/>
  <c r="E11" i="2" s="1"/>
  <c r="I8" i="2"/>
  <c r="I20" i="2" s="1"/>
  <c r="F5" i="1"/>
  <c r="F64" i="2" l="1"/>
  <c r="G64" i="2"/>
  <c r="K64" i="2"/>
  <c r="H64" i="2"/>
  <c r="F30" i="2"/>
  <c r="F29" i="2"/>
  <c r="L24" i="2"/>
  <c r="L10" i="2"/>
  <c r="L9" i="2"/>
  <c r="L7" i="2"/>
  <c r="L8" i="2" s="1"/>
  <c r="K11" i="2"/>
  <c r="K26" i="2"/>
  <c r="K20" i="2"/>
  <c r="X14" i="2"/>
  <c r="X22" i="2"/>
  <c r="C14" i="2"/>
  <c r="C22" i="2"/>
  <c r="G14" i="2"/>
  <c r="G22" i="2"/>
  <c r="D14" i="2"/>
  <c r="D22" i="2"/>
  <c r="H14" i="2"/>
  <c r="H22" i="2"/>
  <c r="E14" i="2"/>
  <c r="E22" i="2"/>
  <c r="F8" i="1"/>
  <c r="Y11" i="2"/>
  <c r="Y20" i="2"/>
  <c r="Z11" i="2"/>
  <c r="F11" i="2" s="1"/>
  <c r="F22" i="2" s="1"/>
  <c r="Z26" i="2"/>
  <c r="Z20" i="2"/>
  <c r="Y26" i="2"/>
  <c r="X20" i="2"/>
  <c r="F8" i="2"/>
  <c r="F20" i="2" s="1"/>
  <c r="E20" i="2"/>
  <c r="D20" i="2"/>
  <c r="H26" i="2"/>
  <c r="C20" i="2"/>
  <c r="G20" i="2"/>
  <c r="J25" i="2" s="1"/>
  <c r="H20" i="2"/>
  <c r="G26" i="2"/>
  <c r="I11" i="2"/>
  <c r="I26" i="2"/>
  <c r="H16" i="2" l="1"/>
  <c r="H61" i="2" s="1"/>
  <c r="H21" i="2"/>
  <c r="E21" i="2"/>
  <c r="E16" i="2"/>
  <c r="E61" i="2" s="1"/>
  <c r="L11" i="2"/>
  <c r="L12" i="2" s="1"/>
  <c r="L13" i="2"/>
  <c r="G16" i="2"/>
  <c r="G61" i="2" s="1"/>
  <c r="G21" i="2"/>
  <c r="D16" i="2"/>
  <c r="D61" i="2" s="1"/>
  <c r="D21" i="2"/>
  <c r="K22" i="2"/>
  <c r="K14" i="2"/>
  <c r="X21" i="2"/>
  <c r="X16" i="2"/>
  <c r="C21" i="2"/>
  <c r="C16" i="2"/>
  <c r="C61" i="2" s="1"/>
  <c r="Y14" i="2"/>
  <c r="Y22" i="2"/>
  <c r="Z14" i="2"/>
  <c r="F14" i="2" s="1"/>
  <c r="F21" i="2" s="1"/>
  <c r="Z22" i="2"/>
  <c r="AA10" i="2"/>
  <c r="AA30" i="2" s="1"/>
  <c r="J30" i="2"/>
  <c r="J29" i="2"/>
  <c r="AA9" i="2"/>
  <c r="AA29" i="2" s="1"/>
  <c r="J8" i="2"/>
  <c r="AA7" i="2"/>
  <c r="I14" i="2"/>
  <c r="I22" i="2"/>
  <c r="L14" i="2" l="1"/>
  <c r="L15" i="2" s="1"/>
  <c r="L16" i="2" s="1"/>
  <c r="J26" i="2"/>
  <c r="J11" i="2"/>
  <c r="J20" i="2"/>
  <c r="AA8" i="2"/>
  <c r="AA20" i="2" s="1"/>
  <c r="K21" i="2"/>
  <c r="K16" i="2"/>
  <c r="K61" i="2" s="1"/>
  <c r="Y21" i="2"/>
  <c r="Y16" i="2"/>
  <c r="Z21" i="2"/>
  <c r="Z16" i="2"/>
  <c r="F16" i="2" s="1"/>
  <c r="F61" i="2" s="1"/>
  <c r="AA13" i="2"/>
  <c r="AB13" i="2" s="1"/>
  <c r="AA12" i="2"/>
  <c r="AB12" i="2" s="1"/>
  <c r="AB7" i="2"/>
  <c r="AB8" i="2" s="1"/>
  <c r="AB9" i="2"/>
  <c r="AB29" i="2" s="1"/>
  <c r="AB10" i="2"/>
  <c r="I21" i="2"/>
  <c r="I16" i="2"/>
  <c r="I61" i="2" s="1"/>
  <c r="J14" i="2" l="1"/>
  <c r="AA14" i="2" s="1"/>
  <c r="AA11" i="2"/>
  <c r="AA22" i="2" s="1"/>
  <c r="J22" i="2"/>
  <c r="F65" i="2"/>
  <c r="G65" i="2"/>
  <c r="H65" i="2"/>
  <c r="I65" i="2"/>
  <c r="AC12" i="2"/>
  <c r="AB20" i="2"/>
  <c r="AB11" i="2"/>
  <c r="AB30" i="2"/>
  <c r="AC10" i="2"/>
  <c r="AC13" i="2"/>
  <c r="AC7" i="2"/>
  <c r="AC8" i="2" s="1"/>
  <c r="AC9" i="2"/>
  <c r="AD13" i="2" l="1"/>
  <c r="J16" i="2"/>
  <c r="J21" i="2"/>
  <c r="AA15" i="2"/>
  <c r="AA21" i="2" s="1"/>
  <c r="AB14" i="2"/>
  <c r="AB22" i="2"/>
  <c r="AC30" i="2"/>
  <c r="AD10" i="2"/>
  <c r="AC11" i="2"/>
  <c r="AC20" i="2"/>
  <c r="AC29" i="2"/>
  <c r="AD9" i="2"/>
  <c r="AD12" i="2"/>
  <c r="AD7" i="2"/>
  <c r="AA16" i="2" l="1"/>
  <c r="J61" i="2"/>
  <c r="AB15" i="2"/>
  <c r="AD30" i="2"/>
  <c r="AE10" i="2"/>
  <c r="AC14" i="2"/>
  <c r="AC22" i="2"/>
  <c r="AD29" i="2"/>
  <c r="AE9" i="2"/>
  <c r="AE13" i="2"/>
  <c r="AE12" i="2"/>
  <c r="AE7" i="2"/>
  <c r="AE8" i="2" s="1"/>
  <c r="AD8" i="2"/>
  <c r="K65" i="2" l="1"/>
  <c r="J65" i="2"/>
  <c r="AB16" i="2"/>
  <c r="AB21" i="2"/>
  <c r="AE30" i="2"/>
  <c r="AF10" i="2"/>
  <c r="AC15" i="2"/>
  <c r="AE29" i="2"/>
  <c r="AF9" i="2"/>
  <c r="AE11" i="2"/>
  <c r="AE20" i="2"/>
  <c r="AF7" i="2"/>
  <c r="AF8" i="2" s="1"/>
  <c r="AF12" i="2"/>
  <c r="AD20" i="2"/>
  <c r="AD11" i="2"/>
  <c r="AF13" i="2"/>
  <c r="AC16" i="2" l="1"/>
  <c r="AC21" i="2"/>
  <c r="AF30" i="2"/>
  <c r="AG10" i="2"/>
  <c r="AF29" i="2"/>
  <c r="AG9" i="2"/>
  <c r="AE14" i="2"/>
  <c r="AE22" i="2"/>
  <c r="AF11" i="2"/>
  <c r="AF20" i="2"/>
  <c r="AG12" i="2"/>
  <c r="AD14" i="2"/>
  <c r="AD22" i="2"/>
  <c r="AG7" i="2"/>
  <c r="AG13" i="2"/>
  <c r="AH13" i="2" l="1"/>
  <c r="AG30" i="2"/>
  <c r="AH10" i="2"/>
  <c r="AG29" i="2"/>
  <c r="AH9" i="2"/>
  <c r="AF14" i="2"/>
  <c r="AF22" i="2"/>
  <c r="AH12" i="2"/>
  <c r="AD15" i="2"/>
  <c r="AD21" i="2" s="1"/>
  <c r="AH7" i="2"/>
  <c r="AH8" i="2" s="1"/>
  <c r="AG8" i="2"/>
  <c r="AH30" i="2" l="1"/>
  <c r="AI10" i="2"/>
  <c r="AH29" i="2"/>
  <c r="AI9" i="2"/>
  <c r="AH11" i="2"/>
  <c r="AH20" i="2"/>
  <c r="AI13" i="2"/>
  <c r="AI7" i="2"/>
  <c r="AI8" i="2" s="1"/>
  <c r="AI12" i="2"/>
  <c r="AI24" i="2"/>
  <c r="AG11" i="2"/>
  <c r="AG20" i="2"/>
  <c r="AE15" i="2"/>
  <c r="AE21" i="2" s="1"/>
  <c r="AD16" i="2"/>
  <c r="AE16" i="2" l="1"/>
  <c r="AF15" i="2"/>
  <c r="AI30" i="2"/>
  <c r="AJ10" i="2"/>
  <c r="AJ30" i="2" s="1"/>
  <c r="AI29" i="2"/>
  <c r="AJ9" i="2"/>
  <c r="AJ29" i="2" s="1"/>
  <c r="AH14" i="2"/>
  <c r="AH22" i="2"/>
  <c r="AI20" i="2"/>
  <c r="AI11" i="2"/>
  <c r="AJ12" i="2"/>
  <c r="AJ24" i="2"/>
  <c r="AG14" i="2"/>
  <c r="AG22" i="2"/>
  <c r="AJ13" i="2"/>
  <c r="AJ7" i="2"/>
  <c r="AJ8" i="2" s="1"/>
  <c r="AF16" i="2" l="1"/>
  <c r="AF21" i="2"/>
  <c r="AI14" i="2"/>
  <c r="AI22" i="2"/>
  <c r="AG15" i="2"/>
  <c r="AG21" i="2" s="1"/>
  <c r="AJ20" i="2"/>
  <c r="AJ11" i="2"/>
  <c r="AH15" i="2" l="1"/>
  <c r="AH21" i="2" s="1"/>
  <c r="AG16" i="2"/>
  <c r="AJ14" i="2"/>
  <c r="AJ22" i="2"/>
  <c r="AH16" i="2" l="1"/>
  <c r="AI15" i="2"/>
  <c r="AI21" i="2" s="1"/>
  <c r="AI16" i="2" l="1"/>
  <c r="AJ15" i="2"/>
  <c r="AJ16" i="2" l="1"/>
  <c r="AK16" i="2" s="1"/>
  <c r="AL16" i="2" s="1"/>
  <c r="AM16" i="2" s="1"/>
  <c r="AN16" i="2" s="1"/>
  <c r="AO16" i="2" s="1"/>
  <c r="AP16" i="2" s="1"/>
  <c r="AQ16" i="2" s="1"/>
  <c r="AR16" i="2" s="1"/>
  <c r="AS16" i="2" s="1"/>
  <c r="AT16" i="2" s="1"/>
  <c r="AU16" i="2" s="1"/>
  <c r="AV16" i="2" s="1"/>
  <c r="AW16" i="2" s="1"/>
  <c r="AX16" i="2" s="1"/>
  <c r="AY16" i="2" s="1"/>
  <c r="AZ16" i="2" s="1"/>
  <c r="BA16" i="2" s="1"/>
  <c r="BB16" i="2" s="1"/>
  <c r="BC16" i="2" s="1"/>
  <c r="BD16" i="2" s="1"/>
  <c r="BE16" i="2" s="1"/>
  <c r="BF16" i="2" s="1"/>
  <c r="BG16" i="2" s="1"/>
  <c r="BH16" i="2" s="1"/>
  <c r="BI16" i="2" s="1"/>
  <c r="BJ16" i="2" s="1"/>
  <c r="BK16" i="2" s="1"/>
  <c r="BL16" i="2" s="1"/>
  <c r="BM16" i="2" s="1"/>
  <c r="BN16" i="2" s="1"/>
  <c r="BO16" i="2" s="1"/>
  <c r="BP16" i="2" s="1"/>
  <c r="BQ16" i="2" s="1"/>
  <c r="BR16" i="2" s="1"/>
  <c r="BS16" i="2" s="1"/>
  <c r="BT16" i="2" s="1"/>
  <c r="BU16" i="2" s="1"/>
  <c r="BV16" i="2" s="1"/>
  <c r="BW16" i="2" s="1"/>
  <c r="BX16" i="2" s="1"/>
  <c r="BY16" i="2" s="1"/>
  <c r="BZ16" i="2" s="1"/>
  <c r="CA16" i="2" s="1"/>
  <c r="CB16" i="2" s="1"/>
  <c r="CC16" i="2" s="1"/>
  <c r="CD16" i="2" s="1"/>
  <c r="CE16" i="2" s="1"/>
  <c r="CF16" i="2" s="1"/>
  <c r="CG16" i="2" s="1"/>
  <c r="CH16" i="2" s="1"/>
  <c r="CI16" i="2" s="1"/>
  <c r="CJ16" i="2" s="1"/>
  <c r="CK16" i="2" s="1"/>
  <c r="CL16" i="2" s="1"/>
  <c r="CM16" i="2" s="1"/>
  <c r="CN16" i="2" s="1"/>
  <c r="CO16" i="2" s="1"/>
  <c r="CP16" i="2" s="1"/>
  <c r="CQ16" i="2" s="1"/>
  <c r="CR16" i="2" s="1"/>
  <c r="CS16" i="2" s="1"/>
  <c r="CT16" i="2" s="1"/>
  <c r="CU16" i="2" s="1"/>
  <c r="CV16" i="2" s="1"/>
  <c r="CW16" i="2" s="1"/>
  <c r="CX16" i="2" s="1"/>
  <c r="CY16" i="2" s="1"/>
  <c r="CZ16" i="2" s="1"/>
  <c r="DA16" i="2" s="1"/>
  <c r="DB16" i="2" s="1"/>
  <c r="DC16" i="2" s="1"/>
  <c r="DD16" i="2" s="1"/>
  <c r="DE16" i="2" s="1"/>
  <c r="DF16" i="2" s="1"/>
  <c r="DG16" i="2" s="1"/>
  <c r="DH16" i="2" s="1"/>
  <c r="DI16" i="2" s="1"/>
  <c r="DJ16" i="2" s="1"/>
  <c r="DK16" i="2" s="1"/>
  <c r="DL16" i="2" s="1"/>
  <c r="DM16" i="2" s="1"/>
  <c r="DN16" i="2" s="1"/>
  <c r="DO16" i="2" s="1"/>
  <c r="DP16" i="2" s="1"/>
  <c r="DQ16" i="2" s="1"/>
  <c r="DR16" i="2" s="1"/>
  <c r="DS16" i="2" s="1"/>
  <c r="DT16" i="2" s="1"/>
  <c r="DU16" i="2" s="1"/>
  <c r="DV16" i="2" s="1"/>
  <c r="DW16" i="2" s="1"/>
  <c r="DX16" i="2" s="1"/>
  <c r="DY16" i="2" s="1"/>
  <c r="DZ16" i="2" s="1"/>
  <c r="EA16" i="2" s="1"/>
  <c r="EB16" i="2" s="1"/>
  <c r="EC16" i="2" s="1"/>
  <c r="ED16" i="2" s="1"/>
  <c r="EE16" i="2" s="1"/>
  <c r="EF16" i="2" s="1"/>
  <c r="EG16" i="2" s="1"/>
  <c r="EH16" i="2" s="1"/>
  <c r="EI16" i="2" s="1"/>
  <c r="EJ16" i="2" s="1"/>
  <c r="EK16" i="2" s="1"/>
  <c r="EL16" i="2" s="1"/>
  <c r="EM16" i="2" s="1"/>
  <c r="EN16" i="2" s="1"/>
  <c r="EO16" i="2" s="1"/>
  <c r="EP16" i="2" s="1"/>
  <c r="EQ16" i="2" s="1"/>
  <c r="ER16" i="2" s="1"/>
  <c r="ES16" i="2" s="1"/>
  <c r="ET16" i="2" s="1"/>
  <c r="EU16" i="2" s="1"/>
  <c r="EV16" i="2" s="1"/>
  <c r="AJ21" i="2"/>
  <c r="EW16" i="2" l="1"/>
  <c r="EX16" i="2" s="1"/>
  <c r="EY16" i="2" s="1"/>
  <c r="EZ16" i="2" l="1"/>
  <c r="FA16" i="2" s="1"/>
  <c r="FB16" i="2" s="1"/>
  <c r="FC16" i="2" s="1"/>
  <c r="FD16" i="2" s="1"/>
  <c r="FE16" i="2" s="1"/>
  <c r="FF16" i="2" s="1"/>
  <c r="FG16" i="2" s="1"/>
  <c r="FH16" i="2" s="1"/>
  <c r="FI16" i="2" s="1"/>
  <c r="FJ16" i="2" s="1"/>
  <c r="FK16" i="2" s="1"/>
  <c r="FL16" i="2" s="1"/>
  <c r="FM16" i="2" s="1"/>
  <c r="FN16" i="2" s="1"/>
  <c r="FO16" i="2" s="1"/>
  <c r="FP16" i="2" s="1"/>
  <c r="FQ16" i="2" s="1"/>
  <c r="FR16" i="2" s="1"/>
  <c r="FS16" i="2" s="1"/>
  <c r="FT16" i="2" s="1"/>
  <c r="FU16" i="2" s="1"/>
  <c r="FV16" i="2" s="1"/>
  <c r="FW16" i="2" s="1"/>
  <c r="FX16" i="2" s="1"/>
  <c r="FY16" i="2" s="1"/>
  <c r="FZ16" i="2" s="1"/>
  <c r="GA16" i="2" s="1"/>
  <c r="GB16" i="2" s="1"/>
  <c r="GC16" i="2" s="1"/>
  <c r="GD16" i="2" s="1"/>
  <c r="GE16" i="2" s="1"/>
  <c r="GF16" i="2" s="1"/>
  <c r="GG16" i="2" s="1"/>
  <c r="GH16" i="2" s="1"/>
  <c r="GI16" i="2" s="1"/>
  <c r="GJ16" i="2" s="1"/>
  <c r="GK16" i="2" s="1"/>
  <c r="GL16" i="2" s="1"/>
  <c r="GM16" i="2" s="1"/>
  <c r="GN16" i="2" s="1"/>
  <c r="GO16" i="2" s="1"/>
  <c r="GP16" i="2" s="1"/>
  <c r="GQ16" i="2" s="1"/>
  <c r="GR16" i="2" s="1"/>
  <c r="GS16" i="2" s="1"/>
  <c r="GT16" i="2" s="1"/>
  <c r="GU16" i="2" s="1"/>
  <c r="GV16" i="2" s="1"/>
  <c r="GW16" i="2" s="1"/>
  <c r="GX16" i="2" s="1"/>
  <c r="GY16" i="2" s="1"/>
  <c r="GZ16" i="2" s="1"/>
  <c r="HA16" i="2" s="1"/>
  <c r="HB16" i="2" s="1"/>
  <c r="HC16" i="2" s="1"/>
  <c r="HD16" i="2" s="1"/>
  <c r="HE16" i="2" s="1"/>
  <c r="HF16" i="2" s="1"/>
  <c r="HG16" i="2" s="1"/>
  <c r="HH16" i="2" s="1"/>
  <c r="HI16" i="2" s="1"/>
  <c r="HJ16" i="2" s="1"/>
  <c r="HK16" i="2" s="1"/>
  <c r="HL16" i="2" s="1"/>
  <c r="HM16" i="2" s="1"/>
  <c r="HN16" i="2" s="1"/>
  <c r="HO16" i="2" s="1"/>
  <c r="HP16" i="2" s="1"/>
  <c r="HQ16" i="2" s="1"/>
  <c r="HR16" i="2" s="1"/>
  <c r="HS16" i="2" s="1"/>
  <c r="HT16" i="2" s="1"/>
  <c r="HU16" i="2" s="1"/>
  <c r="HV16" i="2" s="1"/>
  <c r="HW16" i="2" s="1"/>
  <c r="HX16" i="2" s="1"/>
  <c r="HY16" i="2" s="1"/>
  <c r="HZ16" i="2" s="1"/>
  <c r="IA16" i="2" l="1"/>
  <c r="IB16" i="2" l="1"/>
  <c r="AN24" i="2"/>
  <c r="AN26" i="2" s="1"/>
  <c r="AN28" i="2" s="1"/>
</calcChain>
</file>

<file path=xl/sharedStrings.xml><?xml version="1.0" encoding="utf-8"?>
<sst xmlns="http://schemas.openxmlformats.org/spreadsheetml/2006/main" count="77" uniqueCount="72">
  <si>
    <t>P</t>
  </si>
  <si>
    <t>S</t>
  </si>
  <si>
    <t>MC</t>
  </si>
  <si>
    <t>C</t>
  </si>
  <si>
    <t>D</t>
  </si>
  <si>
    <t>EV</t>
  </si>
  <si>
    <t xml:space="preserve">CEO </t>
  </si>
  <si>
    <t xml:space="preserve">CFO </t>
  </si>
  <si>
    <t xml:space="preserve">Connect modem to Antenna </t>
  </si>
  <si>
    <t>Q124</t>
  </si>
  <si>
    <t>Q224</t>
  </si>
  <si>
    <t>Q324</t>
  </si>
  <si>
    <t>Q424</t>
  </si>
  <si>
    <t>Q125</t>
  </si>
  <si>
    <t>Q225</t>
  </si>
  <si>
    <t>Q325</t>
  </si>
  <si>
    <t>Q425</t>
  </si>
  <si>
    <t>Q126</t>
  </si>
  <si>
    <t>Q226</t>
  </si>
  <si>
    <t>Q326</t>
  </si>
  <si>
    <t>Q426</t>
  </si>
  <si>
    <t>Revenue</t>
  </si>
  <si>
    <t>Costs</t>
  </si>
  <si>
    <t>GP</t>
  </si>
  <si>
    <t>R&amp;D</t>
  </si>
  <si>
    <t>Sga</t>
  </si>
  <si>
    <t xml:space="preserve">Op Income </t>
  </si>
  <si>
    <t>Interest Exp</t>
  </si>
  <si>
    <t>Other income</t>
  </si>
  <si>
    <t>EBT</t>
  </si>
  <si>
    <t>Taxes</t>
  </si>
  <si>
    <t xml:space="preserve">Net Income </t>
  </si>
  <si>
    <t>Diluted</t>
  </si>
  <si>
    <t>EPS</t>
  </si>
  <si>
    <t>GM%</t>
  </si>
  <si>
    <t>Growth Analysis YY</t>
  </si>
  <si>
    <t>Apple</t>
  </si>
  <si>
    <t>During fiscal 2024, fiscal 2023, and fiscal 2022, Apple, through sales to multiple distributors, contract manufacturers, and direct sales for multiple applications including smartphones, tablets, desktop, and notebook computers, watches and other devices, in the aggregate accounted for 69%, 66%, and 58% of the Company’s net revenue, respectively.</t>
  </si>
  <si>
    <t>Press</t>
  </si>
  <si>
    <t>Tx Rate</t>
  </si>
  <si>
    <t>term</t>
  </si>
  <si>
    <t>discount</t>
  </si>
  <si>
    <t>Npv</t>
  </si>
  <si>
    <t>Estimate</t>
  </si>
  <si>
    <t>Curr</t>
  </si>
  <si>
    <t>OM</t>
  </si>
  <si>
    <t>HQ: Irvine, CA</t>
  </si>
  <si>
    <t xml:space="preserve">Cash </t>
  </si>
  <si>
    <t>A/R</t>
  </si>
  <si>
    <t xml:space="preserve">Inventory </t>
  </si>
  <si>
    <t>PPE</t>
  </si>
  <si>
    <t>Goodwill</t>
  </si>
  <si>
    <t>OA</t>
  </si>
  <si>
    <t xml:space="preserve">Total Assets </t>
  </si>
  <si>
    <t>A/P</t>
  </si>
  <si>
    <t>Accrued</t>
  </si>
  <si>
    <t>Debt</t>
  </si>
  <si>
    <t>Equity</t>
  </si>
  <si>
    <t>TL + E</t>
  </si>
  <si>
    <t>CFFO</t>
  </si>
  <si>
    <t>Capex</t>
  </si>
  <si>
    <t>FCF</t>
  </si>
  <si>
    <t>4Q Moving FCF</t>
  </si>
  <si>
    <t>4Q Moving NI</t>
  </si>
  <si>
    <t xml:space="preserve">NI </t>
  </si>
  <si>
    <t>Shares</t>
  </si>
  <si>
    <t xml:space="preserve">Net Cash </t>
  </si>
  <si>
    <t>DPO</t>
  </si>
  <si>
    <t>DSO</t>
  </si>
  <si>
    <t>DIO</t>
  </si>
  <si>
    <t>CC</t>
  </si>
  <si>
    <t>ROIC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</si>
</sst>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quot;$&quot;#,##0_);[Red]\(&quot;$&quot;#,##0\)"/>
    <numFmt numFmtId="164" formatCode="#,##0.0"/>
    <numFmt numFmtId="165" formatCode="0.0%"/>
    <numFmt numFmtId="168" formatCode="m/d;@"/>
  </numFmts>
  <fonts count="4" x14ac:knownFonts="1">
    <font>
      <sz val="12"/>
      <color theme="1"/>
      <name val="Aptos Narrow"/>
      <family val="2"/>
      <scheme val="minor"/>
    </font>
    <font>
      <u/>
      <sz val="12"/>
      <color theme="10"/>
      <name val="Aptos Narrow"/>
      <family val="2"/>
      <scheme val="minor"/>
    </font>
    <font>
      <b/>
      <sz val="12"/>
      <color theme="1"/>
      <name val="Aptos Narrow"/>
      <scheme val="minor"/>
    </font>
    <font>
      <sz val="12"/>
      <color rgb="FF000000"/>
      <name val="Aptos Narrow"/>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23">
    <xf numFmtId="0" fontId="0" fillId="0" borderId="0" xfId="0"/>
    <xf numFmtId="1" fontId="0" fillId="0" borderId="0" xfId="0" applyNumberFormat="1"/>
    <xf numFmtId="164" fontId="0" fillId="0" borderId="0" xfId="0" applyNumberFormat="1"/>
    <xf numFmtId="3" fontId="0" fillId="0" borderId="0" xfId="0" applyNumberFormat="1"/>
    <xf numFmtId="9" fontId="0" fillId="0" borderId="0" xfId="0" applyNumberFormat="1"/>
    <xf numFmtId="165" fontId="0" fillId="0" borderId="0" xfId="0" applyNumberFormat="1"/>
    <xf numFmtId="3" fontId="1" fillId="0" borderId="0" xfId="1" applyNumberFormat="1"/>
    <xf numFmtId="9" fontId="2" fillId="0" borderId="0" xfId="0" applyNumberFormat="1" applyFont="1"/>
    <xf numFmtId="1" fontId="2" fillId="0" borderId="0" xfId="0" applyNumberFormat="1" applyFont="1"/>
    <xf numFmtId="6" fontId="0" fillId="0" borderId="0" xfId="0" applyNumberFormat="1"/>
    <xf numFmtId="168" fontId="0" fillId="0" borderId="0" xfId="0" applyNumberFormat="1"/>
    <xf numFmtId="168" fontId="0" fillId="0" borderId="0" xfId="0" applyNumberFormat="1" applyAlignment="1">
      <alignment horizontal="right"/>
    </xf>
    <xf numFmtId="1" fontId="0" fillId="0" borderId="0" xfId="0" applyNumberFormat="1" applyAlignment="1">
      <alignment horizontal="right"/>
    </xf>
    <xf numFmtId="9" fontId="0" fillId="0" borderId="0" xfId="0" applyNumberFormat="1" applyAlignment="1">
      <alignment horizontal="right"/>
    </xf>
    <xf numFmtId="3" fontId="0" fillId="0" borderId="0" xfId="0" applyNumberFormat="1" applyAlignment="1">
      <alignment horizontal="right"/>
    </xf>
    <xf numFmtId="164" fontId="0" fillId="0" borderId="0" xfId="0" applyNumberFormat="1" applyAlignment="1">
      <alignment horizontal="right"/>
    </xf>
    <xf numFmtId="165" fontId="0" fillId="0" borderId="0" xfId="0" applyNumberFormat="1" applyAlignment="1">
      <alignment horizontal="right"/>
    </xf>
    <xf numFmtId="164" fontId="0" fillId="0" borderId="1" xfId="0" applyNumberFormat="1" applyBorder="1"/>
    <xf numFmtId="164" fontId="0" fillId="0" borderId="1" xfId="0" applyNumberFormat="1" applyBorder="1" applyAlignment="1">
      <alignment horizontal="right"/>
    </xf>
    <xf numFmtId="164" fontId="2" fillId="0" borderId="0" xfId="0" applyNumberFormat="1" applyFont="1"/>
    <xf numFmtId="164" fontId="3" fillId="0" borderId="0" xfId="0" applyNumberFormat="1" applyFont="1" applyAlignment="1">
      <alignment horizontal="right"/>
    </xf>
    <xf numFmtId="164" fontId="0" fillId="2" borderId="0" xfId="0" applyNumberFormat="1" applyFill="1" applyAlignment="1">
      <alignment horizontal="right"/>
    </xf>
    <xf numFmtId="164" fontId="3" fillId="2" borderId="0" xfId="0" applyNumberFormat="1" applyFont="1" applyFill="1" applyAlignment="1">
      <alignment horizontal="right"/>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10</xdr:col>
      <xdr:colOff>508000</xdr:colOff>
      <xdr:row>0</xdr:row>
      <xdr:rowOff>12700</xdr:rowOff>
    </xdr:from>
    <xdr:to>
      <xdr:col>11</xdr:col>
      <xdr:colOff>12700</xdr:colOff>
      <xdr:row>73</xdr:row>
      <xdr:rowOff>12700</xdr:rowOff>
    </xdr:to>
    <xdr:cxnSp macro="">
      <xdr:nvCxnSpPr>
        <xdr:cNvPr id="3" name="Straight Connector 2">
          <a:extLst>
            <a:ext uri="{FF2B5EF4-FFF2-40B4-BE49-F238E27FC236}">
              <a16:creationId xmlns:a16="http://schemas.microsoft.com/office/drawing/2014/main" id="{E24F87A7-5A3E-51F8-EADF-535BFB5DE763}"/>
            </a:ext>
          </a:extLst>
        </xdr:cNvPr>
        <xdr:cNvCxnSpPr/>
      </xdr:nvCxnSpPr>
      <xdr:spPr>
        <a:xfrm flipH="1">
          <a:off x="6299200" y="12700"/>
          <a:ext cx="50800" cy="1219200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26</xdr:col>
      <xdr:colOff>520700</xdr:colOff>
      <xdr:row>0</xdr:row>
      <xdr:rowOff>0</xdr:rowOff>
    </xdr:from>
    <xdr:to>
      <xdr:col>27</xdr:col>
      <xdr:colOff>25400</xdr:colOff>
      <xdr:row>73</xdr:row>
      <xdr:rowOff>0</xdr:rowOff>
    </xdr:to>
    <xdr:cxnSp macro="">
      <xdr:nvCxnSpPr>
        <xdr:cNvPr id="4" name="Straight Connector 3">
          <a:extLst>
            <a:ext uri="{FF2B5EF4-FFF2-40B4-BE49-F238E27FC236}">
              <a16:creationId xmlns:a16="http://schemas.microsoft.com/office/drawing/2014/main" id="{20A785D7-A78C-644F-BD11-35424E120D10}"/>
            </a:ext>
          </a:extLst>
        </xdr:cNvPr>
        <xdr:cNvCxnSpPr/>
      </xdr:nvCxnSpPr>
      <xdr:spPr>
        <a:xfrm flipH="1">
          <a:off x="14262100" y="0"/>
          <a:ext cx="50800" cy="1259840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investors.skyworksinc.com/news-releases/news-release-details/skyworks-reports-q3-fiscal-2025-results"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2208B4-D5F3-2D42-AF5A-21BE16CD29C2}">
  <dimension ref="B2:G16"/>
  <sheetViews>
    <sheetView zoomScale="150" workbookViewId="0">
      <selection activeCell="F8" sqref="F8"/>
    </sheetView>
  </sheetViews>
  <sheetFormatPr baseColWidth="10" defaultColWidth="30.33203125" defaultRowHeight="16" x14ac:dyDescent="0.2"/>
  <cols>
    <col min="1" max="1" width="3.83203125" style="3" customWidth="1"/>
    <col min="2" max="2" width="8.83203125" style="3" customWidth="1"/>
    <col min="3" max="4" width="30.33203125" style="3"/>
    <col min="5" max="5" width="4" style="3" bestFit="1" customWidth="1"/>
    <col min="6" max="6" width="6.6640625" style="3" bestFit="1" customWidth="1"/>
    <col min="7" max="7" width="5.33203125" style="3" customWidth="1"/>
    <col min="8" max="16384" width="30.33203125" style="3"/>
  </cols>
  <sheetData>
    <row r="2" spans="2:7" x14ac:dyDescent="0.2">
      <c r="B2" s="3" t="s">
        <v>6</v>
      </c>
    </row>
    <row r="3" spans="2:7" x14ac:dyDescent="0.2">
      <c r="B3" s="3" t="s">
        <v>7</v>
      </c>
      <c r="E3" s="3" t="s">
        <v>0</v>
      </c>
      <c r="F3" s="3">
        <v>74.510000000000005</v>
      </c>
    </row>
    <row r="4" spans="2:7" x14ac:dyDescent="0.2">
      <c r="B4" s="3" t="s">
        <v>46</v>
      </c>
      <c r="E4" s="3" t="s">
        <v>1</v>
      </c>
      <c r="F4" s="3">
        <v>150.37361200000001</v>
      </c>
      <c r="G4" s="3" t="s">
        <v>17</v>
      </c>
    </row>
    <row r="5" spans="2:7" x14ac:dyDescent="0.2">
      <c r="E5" s="3" t="s">
        <v>2</v>
      </c>
      <c r="F5" s="3">
        <f>+F3*F4</f>
        <v>11204.337830120001</v>
      </c>
    </row>
    <row r="6" spans="2:7" x14ac:dyDescent="0.2">
      <c r="E6" s="3" t="s">
        <v>3</v>
      </c>
      <c r="F6" s="3">
        <f>1550.4+8.3</f>
        <v>1558.7</v>
      </c>
      <c r="G6" s="3" t="str">
        <f>+G4</f>
        <v>Q126</v>
      </c>
    </row>
    <row r="7" spans="2:7" x14ac:dyDescent="0.2">
      <c r="E7" s="3" t="s">
        <v>4</v>
      </c>
      <c r="F7" s="3">
        <f>499.6+496.6</f>
        <v>996.2</v>
      </c>
      <c r="G7" s="3" t="str">
        <f>+G6</f>
        <v>Q126</v>
      </c>
    </row>
    <row r="8" spans="2:7" x14ac:dyDescent="0.2">
      <c r="B8" s="3" t="s">
        <v>8</v>
      </c>
      <c r="E8" s="3" t="s">
        <v>5</v>
      </c>
      <c r="F8" s="3">
        <f>+F5-F6+F7</f>
        <v>10641.837830120001</v>
      </c>
    </row>
    <row r="13" spans="2:7" x14ac:dyDescent="0.2">
      <c r="B13" s="3" t="s">
        <v>37</v>
      </c>
    </row>
    <row r="15" spans="2:7" x14ac:dyDescent="0.2">
      <c r="B15" s="3" t="s">
        <v>38</v>
      </c>
    </row>
    <row r="16" spans="2:7" x14ac:dyDescent="0.2">
      <c r="B16" s="6" t="s">
        <v>15</v>
      </c>
    </row>
  </sheetData>
  <hyperlinks>
    <hyperlink ref="B16" r:id="rId1" xr:uid="{2105306F-9E96-6649-98DB-7F415FAB346C}"/>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0BAA6-AB93-1A44-BE3C-6AF20F9000FE}">
  <dimension ref="B2:XFD65"/>
  <sheetViews>
    <sheetView showGridLines="0" tabSelected="1" workbookViewId="0">
      <pane xSplit="2" ySplit="3" topLeftCell="G4" activePane="bottomRight" state="frozen"/>
      <selection pane="topRight" activeCell="C1" sqref="C1"/>
      <selection pane="bottomLeft" activeCell="A4" sqref="A4"/>
      <selection pane="bottomRight" activeCell="Y25" sqref="Y25"/>
    </sheetView>
  </sheetViews>
  <sheetFormatPr baseColWidth="10" defaultRowHeight="16" x14ac:dyDescent="0.2"/>
  <cols>
    <col min="1" max="1" width="3.5" style="2" customWidth="1"/>
    <col min="2" max="2" width="16.5" style="2" bestFit="1" customWidth="1"/>
    <col min="3" max="4" width="7.1640625" style="15" bestFit="1" customWidth="1"/>
    <col min="5" max="5" width="6.1640625" style="15" bestFit="1" customWidth="1"/>
    <col min="6" max="9" width="7.1640625" style="15" bestFit="1" customWidth="1"/>
    <col min="10" max="10" width="8.1640625" style="15" bestFit="1" customWidth="1"/>
    <col min="11" max="11" width="7.1640625" style="15" bestFit="1" customWidth="1"/>
    <col min="12" max="14" width="5.5" style="15" bestFit="1" customWidth="1"/>
    <col min="15" max="16" width="10.83203125" style="2"/>
    <col min="17" max="23" width="5.1640625" style="2" bestFit="1" customWidth="1"/>
    <col min="24" max="36" width="7.1640625" style="2" bestFit="1" customWidth="1"/>
    <col min="37" max="38" width="5.6640625" style="2" bestFit="1" customWidth="1"/>
    <col min="39" max="39" width="8.1640625" style="2" bestFit="1" customWidth="1"/>
    <col min="40" max="40" width="9.83203125" style="2" bestFit="1" customWidth="1"/>
    <col min="41" max="85" width="5.6640625" style="2" bestFit="1" customWidth="1"/>
    <col min="86" max="236" width="7.1640625" style="2" bestFit="1" customWidth="1"/>
    <col min="237" max="16383" width="10.83203125" style="2"/>
    <col min="16384" max="16384" width="3.6640625" style="2" bestFit="1" customWidth="1"/>
  </cols>
  <sheetData>
    <row r="2" spans="2:236 16384:16384" s="10" customFormat="1" x14ac:dyDescent="0.2">
      <c r="C2" s="11"/>
      <c r="D2" s="11">
        <v>45380</v>
      </c>
      <c r="E2" s="11">
        <f>+I2-365</f>
        <v>45470</v>
      </c>
      <c r="F2" s="11">
        <v>45562</v>
      </c>
      <c r="G2" s="11">
        <v>45653</v>
      </c>
      <c r="H2" s="11">
        <v>45744</v>
      </c>
      <c r="I2" s="11">
        <v>45835</v>
      </c>
      <c r="J2" s="11">
        <v>45933</v>
      </c>
      <c r="K2" s="11">
        <v>46055</v>
      </c>
      <c r="L2" s="11"/>
      <c r="M2" s="11"/>
      <c r="N2" s="11"/>
    </row>
    <row r="3" spans="2:236 16384:16384" s="1" customFormat="1" x14ac:dyDescent="0.2">
      <c r="C3" s="12" t="s">
        <v>9</v>
      </c>
      <c r="D3" s="12" t="s">
        <v>10</v>
      </c>
      <c r="E3" s="12" t="s">
        <v>11</v>
      </c>
      <c r="F3" s="12" t="s">
        <v>12</v>
      </c>
      <c r="G3" s="12" t="s">
        <v>13</v>
      </c>
      <c r="H3" s="12" t="s">
        <v>14</v>
      </c>
      <c r="I3" s="12" t="s">
        <v>15</v>
      </c>
      <c r="J3" s="12" t="s">
        <v>16</v>
      </c>
      <c r="K3" s="12" t="s">
        <v>17</v>
      </c>
      <c r="L3" s="12" t="s">
        <v>18</v>
      </c>
      <c r="M3" s="12" t="s">
        <v>19</v>
      </c>
      <c r="N3" s="12" t="s">
        <v>20</v>
      </c>
      <c r="Q3" s="1">
        <v>2015</v>
      </c>
      <c r="R3" s="1">
        <f>+Q3+1</f>
        <v>2016</v>
      </c>
      <c r="S3" s="1">
        <f t="shared" ref="S3:AK3" si="0">+R3+1</f>
        <v>2017</v>
      </c>
      <c r="T3" s="1">
        <f t="shared" si="0"/>
        <v>2018</v>
      </c>
      <c r="U3" s="1">
        <f t="shared" si="0"/>
        <v>2019</v>
      </c>
      <c r="V3" s="1">
        <f t="shared" si="0"/>
        <v>2020</v>
      </c>
      <c r="W3" s="1">
        <f t="shared" si="0"/>
        <v>2021</v>
      </c>
      <c r="X3" s="1">
        <f t="shared" si="0"/>
        <v>2022</v>
      </c>
      <c r="Y3" s="1">
        <f t="shared" si="0"/>
        <v>2023</v>
      </c>
      <c r="Z3" s="1">
        <f t="shared" si="0"/>
        <v>2024</v>
      </c>
      <c r="AA3" s="1">
        <f t="shared" si="0"/>
        <v>2025</v>
      </c>
      <c r="AB3" s="1">
        <f t="shared" si="0"/>
        <v>2026</v>
      </c>
      <c r="AC3" s="1">
        <f t="shared" si="0"/>
        <v>2027</v>
      </c>
      <c r="AD3" s="1">
        <f t="shared" si="0"/>
        <v>2028</v>
      </c>
      <c r="AE3" s="1">
        <f t="shared" si="0"/>
        <v>2029</v>
      </c>
      <c r="AF3" s="1">
        <f t="shared" si="0"/>
        <v>2030</v>
      </c>
      <c r="AG3" s="1">
        <f t="shared" si="0"/>
        <v>2031</v>
      </c>
      <c r="AH3" s="1">
        <f t="shared" si="0"/>
        <v>2032</v>
      </c>
      <c r="AI3" s="1">
        <f t="shared" si="0"/>
        <v>2033</v>
      </c>
      <c r="AJ3" s="1">
        <f t="shared" si="0"/>
        <v>2034</v>
      </c>
      <c r="AK3" s="1">
        <f t="shared" si="0"/>
        <v>2035</v>
      </c>
      <c r="AL3" s="1">
        <f t="shared" ref="AL3:CW3" si="1">+AK3+1</f>
        <v>2036</v>
      </c>
      <c r="AM3" s="1">
        <f t="shared" si="1"/>
        <v>2037</v>
      </c>
      <c r="AN3" s="1">
        <f t="shared" si="1"/>
        <v>2038</v>
      </c>
      <c r="AO3" s="1">
        <f t="shared" si="1"/>
        <v>2039</v>
      </c>
      <c r="AP3" s="1">
        <f t="shared" si="1"/>
        <v>2040</v>
      </c>
      <c r="AQ3" s="1">
        <f t="shared" si="1"/>
        <v>2041</v>
      </c>
      <c r="AR3" s="1">
        <f t="shared" si="1"/>
        <v>2042</v>
      </c>
      <c r="AS3" s="1">
        <f t="shared" si="1"/>
        <v>2043</v>
      </c>
      <c r="AT3" s="1">
        <f t="shared" si="1"/>
        <v>2044</v>
      </c>
      <c r="AU3" s="1">
        <f t="shared" si="1"/>
        <v>2045</v>
      </c>
      <c r="AV3" s="1">
        <f t="shared" si="1"/>
        <v>2046</v>
      </c>
      <c r="AW3" s="1">
        <f t="shared" si="1"/>
        <v>2047</v>
      </c>
      <c r="AX3" s="1">
        <f t="shared" si="1"/>
        <v>2048</v>
      </c>
      <c r="AY3" s="1">
        <f t="shared" si="1"/>
        <v>2049</v>
      </c>
      <c r="AZ3" s="1">
        <f t="shared" si="1"/>
        <v>2050</v>
      </c>
      <c r="BA3" s="1">
        <f t="shared" si="1"/>
        <v>2051</v>
      </c>
      <c r="BB3" s="1">
        <f t="shared" si="1"/>
        <v>2052</v>
      </c>
      <c r="BC3" s="1">
        <f t="shared" si="1"/>
        <v>2053</v>
      </c>
      <c r="BD3" s="1">
        <f t="shared" si="1"/>
        <v>2054</v>
      </c>
      <c r="BE3" s="1">
        <f t="shared" si="1"/>
        <v>2055</v>
      </c>
      <c r="BF3" s="1">
        <f t="shared" si="1"/>
        <v>2056</v>
      </c>
      <c r="BG3" s="1">
        <f t="shared" si="1"/>
        <v>2057</v>
      </c>
      <c r="BH3" s="1">
        <f t="shared" si="1"/>
        <v>2058</v>
      </c>
      <c r="BI3" s="1">
        <f t="shared" si="1"/>
        <v>2059</v>
      </c>
      <c r="BJ3" s="1">
        <f t="shared" si="1"/>
        <v>2060</v>
      </c>
      <c r="BK3" s="1">
        <f t="shared" si="1"/>
        <v>2061</v>
      </c>
      <c r="BL3" s="1">
        <f t="shared" si="1"/>
        <v>2062</v>
      </c>
      <c r="BM3" s="1">
        <f t="shared" si="1"/>
        <v>2063</v>
      </c>
      <c r="BN3" s="1">
        <f t="shared" si="1"/>
        <v>2064</v>
      </c>
      <c r="BO3" s="1">
        <f t="shared" si="1"/>
        <v>2065</v>
      </c>
      <c r="BP3" s="1">
        <f t="shared" si="1"/>
        <v>2066</v>
      </c>
      <c r="BQ3" s="1">
        <f t="shared" si="1"/>
        <v>2067</v>
      </c>
      <c r="BR3" s="1">
        <f t="shared" si="1"/>
        <v>2068</v>
      </c>
      <c r="BS3" s="1">
        <f t="shared" si="1"/>
        <v>2069</v>
      </c>
      <c r="BT3" s="1">
        <f t="shared" si="1"/>
        <v>2070</v>
      </c>
      <c r="BU3" s="1">
        <f t="shared" si="1"/>
        <v>2071</v>
      </c>
      <c r="BV3" s="1">
        <f t="shared" si="1"/>
        <v>2072</v>
      </c>
      <c r="BW3" s="1">
        <f t="shared" si="1"/>
        <v>2073</v>
      </c>
      <c r="BX3" s="1">
        <f t="shared" si="1"/>
        <v>2074</v>
      </c>
      <c r="BY3" s="1">
        <f t="shared" si="1"/>
        <v>2075</v>
      </c>
      <c r="BZ3" s="1">
        <f t="shared" si="1"/>
        <v>2076</v>
      </c>
      <c r="CA3" s="1">
        <f t="shared" si="1"/>
        <v>2077</v>
      </c>
      <c r="CB3" s="1">
        <f t="shared" si="1"/>
        <v>2078</v>
      </c>
      <c r="CC3" s="1">
        <f t="shared" si="1"/>
        <v>2079</v>
      </c>
      <c r="CD3" s="1">
        <f t="shared" si="1"/>
        <v>2080</v>
      </c>
      <c r="CE3" s="1">
        <f t="shared" si="1"/>
        <v>2081</v>
      </c>
      <c r="CF3" s="1">
        <f t="shared" si="1"/>
        <v>2082</v>
      </c>
      <c r="CG3" s="1">
        <f t="shared" si="1"/>
        <v>2083</v>
      </c>
      <c r="CH3" s="1">
        <f t="shared" si="1"/>
        <v>2084</v>
      </c>
      <c r="CI3" s="1">
        <f t="shared" si="1"/>
        <v>2085</v>
      </c>
      <c r="CJ3" s="1">
        <f t="shared" si="1"/>
        <v>2086</v>
      </c>
      <c r="CK3" s="1">
        <f t="shared" si="1"/>
        <v>2087</v>
      </c>
      <c r="CL3" s="1">
        <f t="shared" si="1"/>
        <v>2088</v>
      </c>
      <c r="CM3" s="1">
        <f t="shared" si="1"/>
        <v>2089</v>
      </c>
      <c r="CN3" s="1">
        <f t="shared" si="1"/>
        <v>2090</v>
      </c>
      <c r="CO3" s="1">
        <f t="shared" si="1"/>
        <v>2091</v>
      </c>
      <c r="CP3" s="1">
        <f t="shared" si="1"/>
        <v>2092</v>
      </c>
      <c r="CQ3" s="1">
        <f t="shared" si="1"/>
        <v>2093</v>
      </c>
      <c r="CR3" s="1">
        <f t="shared" si="1"/>
        <v>2094</v>
      </c>
      <c r="CS3" s="1">
        <f t="shared" si="1"/>
        <v>2095</v>
      </c>
      <c r="CT3" s="1">
        <f t="shared" si="1"/>
        <v>2096</v>
      </c>
      <c r="CU3" s="1">
        <f t="shared" si="1"/>
        <v>2097</v>
      </c>
      <c r="CV3" s="1">
        <f t="shared" si="1"/>
        <v>2098</v>
      </c>
      <c r="CW3" s="1">
        <f t="shared" si="1"/>
        <v>2099</v>
      </c>
      <c r="CX3" s="1">
        <f t="shared" ref="CX3:FC3" si="2">+CW3+1</f>
        <v>2100</v>
      </c>
      <c r="CY3" s="1">
        <f t="shared" si="2"/>
        <v>2101</v>
      </c>
      <c r="CZ3" s="1">
        <f t="shared" si="2"/>
        <v>2102</v>
      </c>
      <c r="DA3" s="1">
        <f t="shared" si="2"/>
        <v>2103</v>
      </c>
      <c r="DB3" s="1">
        <f t="shared" si="2"/>
        <v>2104</v>
      </c>
      <c r="DC3" s="1">
        <f t="shared" si="2"/>
        <v>2105</v>
      </c>
      <c r="DD3" s="1">
        <f t="shared" si="2"/>
        <v>2106</v>
      </c>
      <c r="DE3" s="1">
        <f t="shared" si="2"/>
        <v>2107</v>
      </c>
      <c r="DF3" s="1">
        <f t="shared" si="2"/>
        <v>2108</v>
      </c>
      <c r="DG3" s="1">
        <f t="shared" si="2"/>
        <v>2109</v>
      </c>
      <c r="DH3" s="1">
        <f t="shared" si="2"/>
        <v>2110</v>
      </c>
      <c r="DI3" s="1">
        <f t="shared" si="2"/>
        <v>2111</v>
      </c>
      <c r="DJ3" s="1">
        <f t="shared" si="2"/>
        <v>2112</v>
      </c>
      <c r="DK3" s="1">
        <f t="shared" si="2"/>
        <v>2113</v>
      </c>
      <c r="DL3" s="1">
        <f t="shared" si="2"/>
        <v>2114</v>
      </c>
      <c r="DM3" s="1">
        <f t="shared" si="2"/>
        <v>2115</v>
      </c>
      <c r="DN3" s="1">
        <f t="shared" si="2"/>
        <v>2116</v>
      </c>
      <c r="DO3" s="1">
        <f t="shared" si="2"/>
        <v>2117</v>
      </c>
      <c r="DP3" s="1">
        <f t="shared" si="2"/>
        <v>2118</v>
      </c>
      <c r="DQ3" s="1">
        <f t="shared" si="2"/>
        <v>2119</v>
      </c>
      <c r="DR3" s="1">
        <f t="shared" si="2"/>
        <v>2120</v>
      </c>
      <c r="DS3" s="1">
        <f t="shared" si="2"/>
        <v>2121</v>
      </c>
      <c r="DT3" s="1">
        <f t="shared" si="2"/>
        <v>2122</v>
      </c>
      <c r="DU3" s="1">
        <f t="shared" si="2"/>
        <v>2123</v>
      </c>
      <c r="DV3" s="1">
        <f t="shared" si="2"/>
        <v>2124</v>
      </c>
      <c r="DW3" s="1">
        <f t="shared" si="2"/>
        <v>2125</v>
      </c>
      <c r="DX3" s="1">
        <f t="shared" si="2"/>
        <v>2126</v>
      </c>
      <c r="DY3" s="1">
        <f t="shared" si="2"/>
        <v>2127</v>
      </c>
      <c r="DZ3" s="1">
        <f t="shared" si="2"/>
        <v>2128</v>
      </c>
      <c r="EA3" s="1">
        <f t="shared" si="2"/>
        <v>2129</v>
      </c>
      <c r="EB3" s="1">
        <f t="shared" si="2"/>
        <v>2130</v>
      </c>
      <c r="EC3" s="1">
        <f t="shared" si="2"/>
        <v>2131</v>
      </c>
      <c r="ED3" s="1">
        <f t="shared" si="2"/>
        <v>2132</v>
      </c>
      <c r="EE3" s="1">
        <f t="shared" si="2"/>
        <v>2133</v>
      </c>
      <c r="EF3" s="1">
        <f t="shared" si="2"/>
        <v>2134</v>
      </c>
      <c r="EG3" s="1">
        <f t="shared" si="2"/>
        <v>2135</v>
      </c>
      <c r="EH3" s="1">
        <f t="shared" si="2"/>
        <v>2136</v>
      </c>
      <c r="EI3" s="1">
        <f t="shared" si="2"/>
        <v>2137</v>
      </c>
      <c r="EJ3" s="1">
        <f t="shared" si="2"/>
        <v>2138</v>
      </c>
      <c r="EK3" s="1">
        <f t="shared" si="2"/>
        <v>2139</v>
      </c>
      <c r="EL3" s="1">
        <f t="shared" si="2"/>
        <v>2140</v>
      </c>
      <c r="EM3" s="1">
        <f t="shared" si="2"/>
        <v>2141</v>
      </c>
      <c r="EN3" s="1">
        <f t="shared" si="2"/>
        <v>2142</v>
      </c>
      <c r="EO3" s="1">
        <f t="shared" si="2"/>
        <v>2143</v>
      </c>
      <c r="EP3" s="1">
        <f t="shared" si="2"/>
        <v>2144</v>
      </c>
      <c r="EQ3" s="1">
        <f t="shared" si="2"/>
        <v>2145</v>
      </c>
      <c r="ER3" s="1">
        <f t="shared" si="2"/>
        <v>2146</v>
      </c>
      <c r="ES3" s="1">
        <f t="shared" si="2"/>
        <v>2147</v>
      </c>
      <c r="ET3" s="1">
        <f t="shared" si="2"/>
        <v>2148</v>
      </c>
      <c r="EU3" s="1">
        <f t="shared" si="2"/>
        <v>2149</v>
      </c>
      <c r="EV3" s="1">
        <f t="shared" si="2"/>
        <v>2150</v>
      </c>
      <c r="EW3" s="1">
        <f t="shared" si="2"/>
        <v>2151</v>
      </c>
      <c r="EX3" s="1">
        <f t="shared" si="2"/>
        <v>2152</v>
      </c>
      <c r="EY3" s="1">
        <f t="shared" si="2"/>
        <v>2153</v>
      </c>
      <c r="EZ3" s="1">
        <f t="shared" si="2"/>
        <v>2154</v>
      </c>
      <c r="FA3" s="1">
        <f t="shared" si="2"/>
        <v>2155</v>
      </c>
      <c r="FB3" s="1">
        <f t="shared" si="2"/>
        <v>2156</v>
      </c>
      <c r="FC3" s="1">
        <f t="shared" si="2"/>
        <v>2157</v>
      </c>
      <c r="FD3" s="1">
        <f t="shared" ref="FD3:GP3" si="3">+FC3+1</f>
        <v>2158</v>
      </c>
      <c r="FE3" s="1">
        <f t="shared" si="3"/>
        <v>2159</v>
      </c>
      <c r="FF3" s="1">
        <f t="shared" si="3"/>
        <v>2160</v>
      </c>
      <c r="FG3" s="1">
        <f t="shared" si="3"/>
        <v>2161</v>
      </c>
      <c r="FH3" s="1">
        <f t="shared" si="3"/>
        <v>2162</v>
      </c>
      <c r="FI3" s="1">
        <f t="shared" si="3"/>
        <v>2163</v>
      </c>
      <c r="FJ3" s="1">
        <f t="shared" si="3"/>
        <v>2164</v>
      </c>
      <c r="FK3" s="1">
        <f t="shared" si="3"/>
        <v>2165</v>
      </c>
      <c r="FL3" s="1">
        <f t="shared" si="3"/>
        <v>2166</v>
      </c>
      <c r="FM3" s="1">
        <f t="shared" si="3"/>
        <v>2167</v>
      </c>
      <c r="FN3" s="1">
        <f t="shared" si="3"/>
        <v>2168</v>
      </c>
      <c r="FO3" s="1">
        <f t="shared" si="3"/>
        <v>2169</v>
      </c>
      <c r="FP3" s="1">
        <f t="shared" si="3"/>
        <v>2170</v>
      </c>
      <c r="FQ3" s="1">
        <f t="shared" si="3"/>
        <v>2171</v>
      </c>
      <c r="FR3" s="1">
        <f t="shared" si="3"/>
        <v>2172</v>
      </c>
      <c r="FS3" s="1">
        <f t="shared" si="3"/>
        <v>2173</v>
      </c>
      <c r="FT3" s="1">
        <f t="shared" si="3"/>
        <v>2174</v>
      </c>
      <c r="FU3" s="1">
        <f t="shared" si="3"/>
        <v>2175</v>
      </c>
      <c r="FV3" s="1">
        <f t="shared" si="3"/>
        <v>2176</v>
      </c>
      <c r="FW3" s="1">
        <f t="shared" si="3"/>
        <v>2177</v>
      </c>
      <c r="FX3" s="1">
        <f t="shared" si="3"/>
        <v>2178</v>
      </c>
      <c r="FY3" s="1">
        <f t="shared" si="3"/>
        <v>2179</v>
      </c>
      <c r="FZ3" s="1">
        <f t="shared" si="3"/>
        <v>2180</v>
      </c>
      <c r="GA3" s="1">
        <f t="shared" si="3"/>
        <v>2181</v>
      </c>
      <c r="GB3" s="1">
        <f t="shared" si="3"/>
        <v>2182</v>
      </c>
      <c r="GC3" s="1">
        <f t="shared" si="3"/>
        <v>2183</v>
      </c>
      <c r="GD3" s="1">
        <f t="shared" si="3"/>
        <v>2184</v>
      </c>
      <c r="GE3" s="1">
        <f t="shared" si="3"/>
        <v>2185</v>
      </c>
      <c r="GF3" s="1">
        <f t="shared" si="3"/>
        <v>2186</v>
      </c>
      <c r="GG3" s="1">
        <f t="shared" si="3"/>
        <v>2187</v>
      </c>
      <c r="GH3" s="1">
        <f t="shared" si="3"/>
        <v>2188</v>
      </c>
      <c r="GI3" s="1">
        <f t="shared" si="3"/>
        <v>2189</v>
      </c>
      <c r="GJ3" s="1">
        <f t="shared" si="3"/>
        <v>2190</v>
      </c>
      <c r="GK3" s="1">
        <f t="shared" si="3"/>
        <v>2191</v>
      </c>
      <c r="GL3" s="1">
        <f t="shared" si="3"/>
        <v>2192</v>
      </c>
      <c r="GM3" s="1">
        <f t="shared" si="3"/>
        <v>2193</v>
      </c>
      <c r="GN3" s="1">
        <f t="shared" si="3"/>
        <v>2194</v>
      </c>
      <c r="GO3" s="1">
        <f t="shared" si="3"/>
        <v>2195</v>
      </c>
      <c r="GP3" s="1">
        <f t="shared" si="3"/>
        <v>2196</v>
      </c>
      <c r="GQ3" s="1">
        <f t="shared" ref="GQ3:HX3" si="4">+GP3+1</f>
        <v>2197</v>
      </c>
      <c r="GR3" s="1">
        <f t="shared" si="4"/>
        <v>2198</v>
      </c>
      <c r="GS3" s="1">
        <f t="shared" si="4"/>
        <v>2199</v>
      </c>
      <c r="GT3" s="1">
        <f t="shared" si="4"/>
        <v>2200</v>
      </c>
      <c r="GU3" s="1">
        <f t="shared" si="4"/>
        <v>2201</v>
      </c>
      <c r="GV3" s="1">
        <f t="shared" si="4"/>
        <v>2202</v>
      </c>
      <c r="GW3" s="1">
        <f t="shared" si="4"/>
        <v>2203</v>
      </c>
      <c r="GX3" s="1">
        <f t="shared" si="4"/>
        <v>2204</v>
      </c>
      <c r="GY3" s="1">
        <f t="shared" si="4"/>
        <v>2205</v>
      </c>
      <c r="GZ3" s="1">
        <f t="shared" si="4"/>
        <v>2206</v>
      </c>
      <c r="HA3" s="1">
        <f t="shared" si="4"/>
        <v>2207</v>
      </c>
      <c r="HB3" s="1">
        <f t="shared" si="4"/>
        <v>2208</v>
      </c>
      <c r="HC3" s="1">
        <f t="shared" si="4"/>
        <v>2209</v>
      </c>
      <c r="HD3" s="1">
        <f t="shared" si="4"/>
        <v>2210</v>
      </c>
      <c r="HE3" s="1">
        <f t="shared" si="4"/>
        <v>2211</v>
      </c>
      <c r="HF3" s="1">
        <f t="shared" si="4"/>
        <v>2212</v>
      </c>
      <c r="HG3" s="1">
        <f t="shared" si="4"/>
        <v>2213</v>
      </c>
      <c r="HH3" s="1">
        <f t="shared" si="4"/>
        <v>2214</v>
      </c>
      <c r="HI3" s="1">
        <f t="shared" si="4"/>
        <v>2215</v>
      </c>
      <c r="HJ3" s="1">
        <f t="shared" si="4"/>
        <v>2216</v>
      </c>
      <c r="HK3" s="1">
        <f t="shared" si="4"/>
        <v>2217</v>
      </c>
      <c r="HL3" s="1">
        <f t="shared" si="4"/>
        <v>2218</v>
      </c>
      <c r="HM3" s="1">
        <f t="shared" si="4"/>
        <v>2219</v>
      </c>
      <c r="HN3" s="1">
        <f t="shared" si="4"/>
        <v>2220</v>
      </c>
      <c r="HO3" s="1">
        <f t="shared" si="4"/>
        <v>2221</v>
      </c>
      <c r="HP3" s="1">
        <f t="shared" si="4"/>
        <v>2222</v>
      </c>
      <c r="HQ3" s="1">
        <f t="shared" si="4"/>
        <v>2223</v>
      </c>
      <c r="HR3" s="1">
        <f t="shared" si="4"/>
        <v>2224</v>
      </c>
      <c r="HS3" s="1">
        <f t="shared" si="4"/>
        <v>2225</v>
      </c>
      <c r="HT3" s="1">
        <f t="shared" si="4"/>
        <v>2226</v>
      </c>
      <c r="HU3" s="1">
        <f t="shared" si="4"/>
        <v>2227</v>
      </c>
      <c r="HV3" s="1">
        <f t="shared" si="4"/>
        <v>2228</v>
      </c>
      <c r="HW3" s="1">
        <f t="shared" si="4"/>
        <v>2229</v>
      </c>
      <c r="HX3" s="1">
        <f t="shared" si="4"/>
        <v>2230</v>
      </c>
      <c r="HY3" s="1">
        <f t="shared" ref="HY3:IB3" si="5">+HX3+1</f>
        <v>2231</v>
      </c>
      <c r="HZ3" s="1">
        <f t="shared" si="5"/>
        <v>2232</v>
      </c>
      <c r="IA3" s="1">
        <f t="shared" si="5"/>
        <v>2233</v>
      </c>
      <c r="IB3" s="1">
        <f t="shared" si="5"/>
        <v>2234</v>
      </c>
      <c r="XFD3" s="1">
        <f t="shared" ref="XFD3" si="6">+XFC3+1</f>
        <v>1</v>
      </c>
    </row>
    <row r="4" spans="2:236 16384:16384" s="4" customFormat="1" x14ac:dyDescent="0.2">
      <c r="B4" s="4" t="s">
        <v>36</v>
      </c>
      <c r="C4" s="13"/>
      <c r="D4" s="13"/>
      <c r="E4" s="13"/>
      <c r="F4" s="13"/>
      <c r="G4" s="13"/>
      <c r="H4" s="13"/>
      <c r="I4" s="13"/>
      <c r="J4" s="13"/>
      <c r="K4" s="13"/>
      <c r="L4" s="13"/>
      <c r="M4" s="13"/>
      <c r="N4" s="13"/>
      <c r="X4" s="4">
        <v>0.57999999999999996</v>
      </c>
      <c r="Y4" s="4">
        <v>0.66</v>
      </c>
      <c r="Z4" s="4">
        <v>0.69</v>
      </c>
    </row>
    <row r="5" spans="2:236 16384:16384" s="3" customFormat="1" x14ac:dyDescent="0.2">
      <c r="C5" s="14"/>
      <c r="D5" s="14"/>
      <c r="E5" s="14"/>
      <c r="F5" s="14"/>
      <c r="G5" s="14"/>
      <c r="H5" s="14"/>
      <c r="I5" s="14"/>
      <c r="J5" s="14"/>
      <c r="K5" s="14"/>
      <c r="L5" s="14"/>
      <c r="M5" s="14"/>
      <c r="N5" s="14"/>
    </row>
    <row r="6" spans="2:236 16384:16384" x14ac:dyDescent="0.2">
      <c r="B6" s="17" t="s">
        <v>21</v>
      </c>
      <c r="C6" s="18">
        <v>1201.5</v>
      </c>
      <c r="D6" s="18">
        <v>1046</v>
      </c>
      <c r="E6" s="18">
        <v>905.5</v>
      </c>
      <c r="F6" s="18">
        <f>+Z6-SUM(C6:E6)</f>
        <v>1025</v>
      </c>
      <c r="G6" s="18">
        <v>1068.5</v>
      </c>
      <c r="H6" s="18">
        <v>953.2</v>
      </c>
      <c r="I6" s="18">
        <v>965</v>
      </c>
      <c r="J6" s="18">
        <v>1100.2</v>
      </c>
      <c r="K6" s="18">
        <v>1035.4000000000001</v>
      </c>
      <c r="L6" s="18">
        <f>AVERAGE(875,925)</f>
        <v>900</v>
      </c>
      <c r="M6" s="18">
        <f>+I6</f>
        <v>965</v>
      </c>
      <c r="N6" s="18">
        <f>+M6</f>
        <v>965</v>
      </c>
      <c r="O6" s="17"/>
      <c r="P6" s="17"/>
      <c r="Q6" s="17"/>
      <c r="R6" s="17"/>
      <c r="S6" s="17"/>
      <c r="T6" s="17"/>
      <c r="U6" s="17"/>
      <c r="V6" s="17"/>
      <c r="W6" s="17"/>
      <c r="X6" s="17">
        <v>5485.5</v>
      </c>
      <c r="Y6" s="17">
        <v>4772.3999999999996</v>
      </c>
      <c r="Z6" s="17">
        <v>4178</v>
      </c>
      <c r="AA6" s="17">
        <f>SUM(G6:J6)</f>
        <v>4086.8999999999996</v>
      </c>
      <c r="AB6" s="17">
        <f>+AA6*0.98</f>
        <v>4005.1619999999994</v>
      </c>
      <c r="AC6" s="17">
        <f t="shared" ref="AC6:AJ6" si="7">+AB6*0.98</f>
        <v>3925.0587599999994</v>
      </c>
      <c r="AD6" s="17">
        <f t="shared" si="7"/>
        <v>3846.5575847999994</v>
      </c>
      <c r="AE6" s="17">
        <f t="shared" si="7"/>
        <v>3769.6264331039993</v>
      </c>
      <c r="AF6" s="17">
        <f t="shared" si="7"/>
        <v>3694.2339044419191</v>
      </c>
      <c r="AG6" s="17">
        <f t="shared" si="7"/>
        <v>3620.3492263530807</v>
      </c>
      <c r="AH6" s="17">
        <f t="shared" si="7"/>
        <v>3547.9422418260192</v>
      </c>
      <c r="AI6" s="17">
        <f t="shared" si="7"/>
        <v>3476.9833969894989</v>
      </c>
      <c r="AJ6" s="17">
        <f t="shared" si="7"/>
        <v>3407.443729049709</v>
      </c>
      <c r="AK6" s="17"/>
      <c r="AL6" s="17"/>
      <c r="AM6" s="17"/>
      <c r="AN6" s="17"/>
    </row>
    <row r="7" spans="2:236 16384:16384" x14ac:dyDescent="0.2">
      <c r="B7" s="2" t="s">
        <v>22</v>
      </c>
      <c r="C7" s="15">
        <v>694.9</v>
      </c>
      <c r="D7" s="15">
        <v>625.70000000000005</v>
      </c>
      <c r="E7" s="15">
        <v>541.4</v>
      </c>
      <c r="F7" s="15">
        <f t="shared" ref="F7:F16" si="8">+Z7-SUM(C7:E7)</f>
        <v>595.19999999999982</v>
      </c>
      <c r="G7" s="15">
        <v>626.6</v>
      </c>
      <c r="H7" s="15">
        <v>561.6</v>
      </c>
      <c r="I7" s="15">
        <v>564</v>
      </c>
      <c r="J7" s="15">
        <v>652.6</v>
      </c>
      <c r="K7" s="15">
        <v>608.20000000000005</v>
      </c>
      <c r="L7" s="15">
        <f>+L$6*(G7/G$6)</f>
        <v>527.78661675245667</v>
      </c>
      <c r="X7" s="2">
        <v>2881.2</v>
      </c>
      <c r="Y7" s="2">
        <v>2665.1</v>
      </c>
      <c r="Z7" s="2">
        <v>2457.1999999999998</v>
      </c>
      <c r="AA7" s="2">
        <f t="shared" ref="AA7:AA16" si="9">SUM(G7:J7)</f>
        <v>2404.8000000000002</v>
      </c>
      <c r="AB7" s="2">
        <f>+AB$6*(AA7/AA$6)</f>
        <v>2356.7039999999997</v>
      </c>
      <c r="AC7" s="2">
        <f t="shared" ref="AC7:AJ13" si="10">+AC$6*(AB7/AB$6)</f>
        <v>2309.5699199999999</v>
      </c>
      <c r="AD7" s="2">
        <f t="shared" si="10"/>
        <v>2263.3785216000001</v>
      </c>
      <c r="AE7" s="2">
        <f t="shared" si="10"/>
        <v>2218.1109511679997</v>
      </c>
      <c r="AF7" s="2">
        <f t="shared" si="10"/>
        <v>2173.7487321446397</v>
      </c>
      <c r="AG7" s="2">
        <f t="shared" si="10"/>
        <v>2130.2737575017468</v>
      </c>
      <c r="AH7" s="2">
        <f t="shared" si="10"/>
        <v>2087.6682823517122</v>
      </c>
      <c r="AI7" s="2">
        <f t="shared" si="10"/>
        <v>2045.914916704678</v>
      </c>
      <c r="AJ7" s="2">
        <f t="shared" si="10"/>
        <v>2004.9966183705844</v>
      </c>
    </row>
    <row r="8" spans="2:236 16384:16384" x14ac:dyDescent="0.2">
      <c r="B8" s="2" t="s">
        <v>23</v>
      </c>
      <c r="C8" s="15">
        <f>+C6-C7</f>
        <v>506.6</v>
      </c>
      <c r="D8" s="15">
        <f>+D6-D7</f>
        <v>420.29999999999995</v>
      </c>
      <c r="E8" s="15">
        <f>+E6-E7</f>
        <v>364.1</v>
      </c>
      <c r="F8" s="15">
        <f t="shared" si="8"/>
        <v>429.80000000000018</v>
      </c>
      <c r="G8" s="15">
        <f>+G6-G7</f>
        <v>441.9</v>
      </c>
      <c r="H8" s="15">
        <f>+H6-H7</f>
        <v>391.6</v>
      </c>
      <c r="I8" s="15">
        <f>+I6-I7</f>
        <v>401</v>
      </c>
      <c r="J8" s="15">
        <f>+J6-J7</f>
        <v>447.6</v>
      </c>
      <c r="K8" s="15">
        <f>+K6-K7</f>
        <v>427.20000000000005</v>
      </c>
      <c r="L8" s="15">
        <f>+L6-L7</f>
        <v>372.21338324754333</v>
      </c>
      <c r="X8" s="2">
        <f>+X6-X7</f>
        <v>2604.3000000000002</v>
      </c>
      <c r="Y8" s="2">
        <f>+Y6-Y7</f>
        <v>2107.2999999999997</v>
      </c>
      <c r="Z8" s="2">
        <f>+Z6-Z7</f>
        <v>1720.8000000000002</v>
      </c>
      <c r="AA8" s="2">
        <f t="shared" si="9"/>
        <v>1682.1</v>
      </c>
      <c r="AB8" s="2">
        <f>+AB6-AB7</f>
        <v>1648.4579999999996</v>
      </c>
      <c r="AC8" s="2">
        <f t="shared" ref="AC8:AJ8" si="11">+AC6-AC7</f>
        <v>1615.4888399999995</v>
      </c>
      <c r="AD8" s="2">
        <f t="shared" si="11"/>
        <v>1583.1790631999993</v>
      </c>
      <c r="AE8" s="2">
        <f t="shared" si="11"/>
        <v>1551.5154819359996</v>
      </c>
      <c r="AF8" s="2">
        <f t="shared" si="11"/>
        <v>1520.4851722972794</v>
      </c>
      <c r="AG8" s="2">
        <f t="shared" si="11"/>
        <v>1490.0754688513339</v>
      </c>
      <c r="AH8" s="2">
        <f t="shared" si="11"/>
        <v>1460.273959474307</v>
      </c>
      <c r="AI8" s="2">
        <f t="shared" si="11"/>
        <v>1431.0684802848209</v>
      </c>
      <c r="AJ8" s="2">
        <f t="shared" si="11"/>
        <v>1402.4471106791245</v>
      </c>
    </row>
    <row r="9" spans="2:236 16384:16384" x14ac:dyDescent="0.2">
      <c r="B9" s="2" t="s">
        <v>24</v>
      </c>
      <c r="C9" s="15">
        <v>153.1</v>
      </c>
      <c r="D9" s="15">
        <v>154.4</v>
      </c>
      <c r="E9" s="15">
        <v>160.69999999999999</v>
      </c>
      <c r="F9" s="15">
        <f t="shared" si="8"/>
        <v>163.50000000000006</v>
      </c>
      <c r="G9" s="15">
        <v>176.4</v>
      </c>
      <c r="H9" s="15">
        <v>186.5</v>
      </c>
      <c r="I9" s="15">
        <v>199.4</v>
      </c>
      <c r="J9" s="15">
        <v>223.1</v>
      </c>
      <c r="K9" s="15">
        <v>203.4</v>
      </c>
      <c r="L9" s="15">
        <f>+L$6*(G9/G$6)</f>
        <v>148.58212447356107</v>
      </c>
      <c r="X9" s="2">
        <v>617.9</v>
      </c>
      <c r="Y9" s="2">
        <v>606.79999999999995</v>
      </c>
      <c r="Z9" s="2">
        <v>631.70000000000005</v>
      </c>
      <c r="AA9" s="2">
        <f t="shared" si="9"/>
        <v>785.4</v>
      </c>
      <c r="AB9" s="2">
        <f>+AB$6*(AA9/AA$6)</f>
        <v>769.69199999999989</v>
      </c>
      <c r="AC9" s="2">
        <f t="shared" si="10"/>
        <v>754.29815999999994</v>
      </c>
      <c r="AD9" s="2">
        <f t="shared" si="10"/>
        <v>739.2121967999999</v>
      </c>
      <c r="AE9" s="2">
        <f t="shared" si="10"/>
        <v>724.42795286399985</v>
      </c>
      <c r="AF9" s="2">
        <f t="shared" si="10"/>
        <v>709.93939380671986</v>
      </c>
      <c r="AG9" s="2">
        <f t="shared" si="10"/>
        <v>695.74060593058539</v>
      </c>
      <c r="AH9" s="2">
        <f t="shared" si="10"/>
        <v>681.82579381197365</v>
      </c>
      <c r="AI9" s="2">
        <f t="shared" si="10"/>
        <v>668.18927793573425</v>
      </c>
      <c r="AJ9" s="2">
        <f t="shared" si="10"/>
        <v>654.82549237701949</v>
      </c>
    </row>
    <row r="10" spans="2:236 16384:16384" x14ac:dyDescent="0.2">
      <c r="B10" s="2" t="s">
        <v>25</v>
      </c>
      <c r="C10" s="15">
        <v>78.8</v>
      </c>
      <c r="D10" s="15">
        <v>76.8</v>
      </c>
      <c r="E10" s="15">
        <v>71.2</v>
      </c>
      <c r="F10" s="15">
        <f t="shared" si="8"/>
        <v>74</v>
      </c>
      <c r="G10" s="15">
        <v>82.6</v>
      </c>
      <c r="H10" s="15">
        <v>88</v>
      </c>
      <c r="I10" s="15">
        <v>89.3</v>
      </c>
      <c r="J10" s="15">
        <v>111.7</v>
      </c>
      <c r="K10" s="15">
        <v>108.4</v>
      </c>
      <c r="L10" s="15">
        <f>+L$6*(G10/G$6)</f>
        <v>69.574169396350015</v>
      </c>
      <c r="X10" s="2">
        <v>329.8</v>
      </c>
      <c r="Y10" s="2">
        <v>314</v>
      </c>
      <c r="Z10" s="2">
        <v>300.8</v>
      </c>
      <c r="AA10" s="2">
        <f t="shared" si="9"/>
        <v>371.59999999999997</v>
      </c>
      <c r="AB10" s="2">
        <f>+AB$6*(AA10/AA$6)</f>
        <v>364.16799999999995</v>
      </c>
      <c r="AC10" s="2">
        <f t="shared" si="10"/>
        <v>356.88463999999993</v>
      </c>
      <c r="AD10" s="2">
        <f t="shared" si="10"/>
        <v>349.74694719999997</v>
      </c>
      <c r="AE10" s="2">
        <f t="shared" si="10"/>
        <v>342.75200825599995</v>
      </c>
      <c r="AF10" s="2">
        <f t="shared" si="10"/>
        <v>335.89696809087991</v>
      </c>
      <c r="AG10" s="2">
        <f t="shared" si="10"/>
        <v>329.17902872906234</v>
      </c>
      <c r="AH10" s="2">
        <f t="shared" si="10"/>
        <v>322.59544815448106</v>
      </c>
      <c r="AI10" s="2">
        <f t="shared" si="10"/>
        <v>316.14353919139148</v>
      </c>
      <c r="AJ10" s="2">
        <f t="shared" si="10"/>
        <v>309.82066840756363</v>
      </c>
    </row>
    <row r="11" spans="2:236 16384:16384" x14ac:dyDescent="0.2">
      <c r="B11" s="2" t="s">
        <v>26</v>
      </c>
      <c r="C11" s="15">
        <f>+C8-SUM(C9:C10)</f>
        <v>274.70000000000005</v>
      </c>
      <c r="D11" s="15">
        <f>+D8-SUM(D9:D10)</f>
        <v>189.09999999999997</v>
      </c>
      <c r="E11" s="15">
        <f>+E8-SUM(E9:E10)</f>
        <v>132.20000000000005</v>
      </c>
      <c r="F11" s="15">
        <f t="shared" si="8"/>
        <v>192.30000000000018</v>
      </c>
      <c r="G11" s="15">
        <f>+G8-SUM(G9:G10)</f>
        <v>182.89999999999998</v>
      </c>
      <c r="H11" s="15">
        <f>+H8-SUM(H9:H10)</f>
        <v>117.10000000000002</v>
      </c>
      <c r="I11" s="15">
        <f>+I8-SUM(I9:I10)</f>
        <v>112.30000000000001</v>
      </c>
      <c r="J11" s="15">
        <f>+J8-SUM(J9:J10)</f>
        <v>112.80000000000001</v>
      </c>
      <c r="K11" s="15">
        <f>+K8-SUM(K9:K10)</f>
        <v>115.40000000000003</v>
      </c>
      <c r="L11" s="15">
        <f>+L8-SUM(L9:L10)</f>
        <v>154.05708937763225</v>
      </c>
      <c r="X11" s="2">
        <f>+X8-SUM(X9:X10)</f>
        <v>1656.6000000000001</v>
      </c>
      <c r="Y11" s="2">
        <f>+Y8-SUM(Y9:Y10)</f>
        <v>1186.4999999999998</v>
      </c>
      <c r="Z11" s="2">
        <f>+Z8-SUM(Z9:Z10)</f>
        <v>788.30000000000018</v>
      </c>
      <c r="AA11" s="2">
        <f t="shared" si="9"/>
        <v>525.1</v>
      </c>
      <c r="AB11" s="2">
        <f>+AB8-SUM(AB9:AB10)</f>
        <v>514.59799999999973</v>
      </c>
      <c r="AC11" s="2">
        <f t="shared" ref="AC11:AJ11" si="12">+AC8-SUM(AC9:AC10)</f>
        <v>504.30603999999971</v>
      </c>
      <c r="AD11" s="2">
        <f t="shared" si="12"/>
        <v>494.21991919999937</v>
      </c>
      <c r="AE11" s="2">
        <f t="shared" si="12"/>
        <v>484.33552081599964</v>
      </c>
      <c r="AF11" s="2">
        <f t="shared" si="12"/>
        <v>474.64881039967963</v>
      </c>
      <c r="AG11" s="2">
        <f t="shared" si="12"/>
        <v>465.15583419168615</v>
      </c>
      <c r="AH11" s="2">
        <f t="shared" si="12"/>
        <v>455.85271750785228</v>
      </c>
      <c r="AI11" s="2">
        <f t="shared" si="12"/>
        <v>446.73566315769517</v>
      </c>
      <c r="AJ11" s="2">
        <f t="shared" si="12"/>
        <v>437.80094989454142</v>
      </c>
    </row>
    <row r="12" spans="2:236 16384:16384" x14ac:dyDescent="0.2">
      <c r="B12" s="2" t="s">
        <v>27</v>
      </c>
      <c r="C12" s="15">
        <v>-10</v>
      </c>
      <c r="D12" s="15">
        <v>-7.1</v>
      </c>
      <c r="E12" s="15">
        <v>-6.6</v>
      </c>
      <c r="F12" s="15">
        <f t="shared" si="8"/>
        <v>-6.9999999999999964</v>
      </c>
      <c r="G12" s="15">
        <v>-6.8</v>
      </c>
      <c r="H12" s="15">
        <v>-6.8</v>
      </c>
      <c r="I12" s="15">
        <v>-6.6</v>
      </c>
      <c r="J12" s="15">
        <v>-6.8</v>
      </c>
      <c r="K12" s="15">
        <v>-6.3</v>
      </c>
      <c r="L12" s="15">
        <f>+L$11*(G12/G$11)</f>
        <v>-5.7276555919513363</v>
      </c>
      <c r="X12" s="2">
        <v>-47.9</v>
      </c>
      <c r="Y12" s="2">
        <v>-64.400000000000006</v>
      </c>
      <c r="Z12" s="2">
        <v>-30.7</v>
      </c>
      <c r="AA12" s="2">
        <f t="shared" si="9"/>
        <v>-27</v>
      </c>
      <c r="AB12" s="2">
        <f>+AB$6*(AA12/AA$6)</f>
        <v>-26.459999999999997</v>
      </c>
      <c r="AC12" s="2">
        <f t="shared" si="10"/>
        <v>-25.930799999999998</v>
      </c>
      <c r="AD12" s="2">
        <f t="shared" si="10"/>
        <v>-25.412183999999996</v>
      </c>
      <c r="AE12" s="2">
        <f t="shared" si="10"/>
        <v>-24.903940319999997</v>
      </c>
      <c r="AF12" s="2">
        <f t="shared" si="10"/>
        <v>-24.405861513599994</v>
      </c>
      <c r="AG12" s="2">
        <f t="shared" si="10"/>
        <v>-23.917744283327995</v>
      </c>
      <c r="AH12" s="2">
        <f t="shared" si="10"/>
        <v>-23.439389397661436</v>
      </c>
      <c r="AI12" s="2">
        <f t="shared" si="10"/>
        <v>-22.970601609708208</v>
      </c>
      <c r="AJ12" s="2">
        <f t="shared" si="10"/>
        <v>-22.511189577514042</v>
      </c>
    </row>
    <row r="13" spans="2:236 16384:16384" x14ac:dyDescent="0.2">
      <c r="B13" s="2" t="s">
        <v>28</v>
      </c>
      <c r="C13" s="15">
        <v>3.4</v>
      </c>
      <c r="D13" s="15">
        <v>10.8</v>
      </c>
      <c r="E13" s="15">
        <v>9.6</v>
      </c>
      <c r="F13" s="15">
        <f t="shared" si="8"/>
        <v>5.8999999999999986</v>
      </c>
      <c r="G13" s="15">
        <v>16.100000000000001</v>
      </c>
      <c r="H13" s="15">
        <v>11.9</v>
      </c>
      <c r="I13" s="15">
        <v>8</v>
      </c>
      <c r="J13" s="15">
        <v>17.8</v>
      </c>
      <c r="K13" s="15">
        <v>12.2</v>
      </c>
      <c r="L13" s="15">
        <f>+L$11*(G13/G$11)</f>
        <v>13.561066916237726</v>
      </c>
      <c r="X13" s="2">
        <v>-2.5</v>
      </c>
      <c r="Y13" s="2">
        <v>18.2</v>
      </c>
      <c r="Z13" s="2">
        <v>29.7</v>
      </c>
      <c r="AA13" s="2">
        <f t="shared" si="9"/>
        <v>53.8</v>
      </c>
      <c r="AB13" s="2">
        <f>+AB$6*(AA13/AA$6)</f>
        <v>52.72399999999999</v>
      </c>
      <c r="AC13" s="2">
        <f t="shared" si="10"/>
        <v>51.669519999999991</v>
      </c>
      <c r="AD13" s="2">
        <f t="shared" si="10"/>
        <v>50.636129599999997</v>
      </c>
      <c r="AE13" s="2">
        <f t="shared" si="10"/>
        <v>49.623407007999994</v>
      </c>
      <c r="AF13" s="2">
        <f t="shared" si="10"/>
        <v>48.630938867839987</v>
      </c>
      <c r="AG13" s="2">
        <f t="shared" si="10"/>
        <v>47.658320090483187</v>
      </c>
      <c r="AH13" s="2">
        <f t="shared" si="10"/>
        <v>46.705153688673526</v>
      </c>
      <c r="AI13" s="2">
        <f t="shared" si="10"/>
        <v>45.771050614900055</v>
      </c>
      <c r="AJ13" s="2">
        <f t="shared" si="10"/>
        <v>44.85562960260205</v>
      </c>
    </row>
    <row r="14" spans="2:236 16384:16384" x14ac:dyDescent="0.2">
      <c r="B14" s="2" t="s">
        <v>29</v>
      </c>
      <c r="C14" s="15">
        <f>+SUM(C11:C13)</f>
        <v>268.10000000000002</v>
      </c>
      <c r="D14" s="15">
        <f>+SUM(D11:D13)</f>
        <v>192.79999999999998</v>
      </c>
      <c r="E14" s="15">
        <f>+SUM(E11:E13)</f>
        <v>135.20000000000005</v>
      </c>
      <c r="F14" s="15">
        <f t="shared" si="8"/>
        <v>191.20000000000016</v>
      </c>
      <c r="G14" s="15">
        <f>+SUM(G11:G13)</f>
        <v>192.19999999999996</v>
      </c>
      <c r="H14" s="15">
        <f>+SUM(H11:H13)</f>
        <v>122.20000000000003</v>
      </c>
      <c r="I14" s="15">
        <f>+SUM(I11:I13)</f>
        <v>113.70000000000002</v>
      </c>
      <c r="J14" s="15">
        <f>+SUM(J11:J13)</f>
        <v>123.80000000000001</v>
      </c>
      <c r="K14" s="15">
        <f>+SUM(K11:K13)</f>
        <v>121.30000000000004</v>
      </c>
      <c r="L14" s="15">
        <f>+SUM(L11:L13)</f>
        <v>161.89050070191865</v>
      </c>
      <c r="X14" s="2">
        <f>+SUM(X11:X13)</f>
        <v>1606.2</v>
      </c>
      <c r="Y14" s="2">
        <f>+SUM(Y11:Y13)</f>
        <v>1140.2999999999997</v>
      </c>
      <c r="Z14" s="2">
        <f>+SUM(Z11:Z13)</f>
        <v>787.30000000000018</v>
      </c>
      <c r="AA14" s="2">
        <f t="shared" si="9"/>
        <v>551.90000000000009</v>
      </c>
      <c r="AB14" s="2">
        <f>+SUM(AB11:AB13)</f>
        <v>540.86199999999974</v>
      </c>
      <c r="AC14" s="2">
        <f t="shared" ref="AC14:AJ14" si="13">+SUM(AC11:AC13)</f>
        <v>530.04475999999977</v>
      </c>
      <c r="AD14" s="2">
        <f t="shared" si="13"/>
        <v>519.44386479999935</v>
      </c>
      <c r="AE14" s="2">
        <f t="shared" si="13"/>
        <v>509.05498750399966</v>
      </c>
      <c r="AF14" s="2">
        <f t="shared" si="13"/>
        <v>498.87388775391963</v>
      </c>
      <c r="AG14" s="2">
        <f t="shared" si="13"/>
        <v>488.89640999884136</v>
      </c>
      <c r="AH14" s="2">
        <f t="shared" si="13"/>
        <v>479.11848179886437</v>
      </c>
      <c r="AI14" s="2">
        <f t="shared" si="13"/>
        <v>469.53611216288704</v>
      </c>
      <c r="AJ14" s="2">
        <f t="shared" si="13"/>
        <v>460.14538991962945</v>
      </c>
    </row>
    <row r="15" spans="2:236 16384:16384" x14ac:dyDescent="0.2">
      <c r="B15" s="2" t="s">
        <v>30</v>
      </c>
      <c r="C15" s="15">
        <v>20.399999999999999</v>
      </c>
      <c r="D15" s="15">
        <v>9.3000000000000007</v>
      </c>
      <c r="E15" s="15">
        <v>12.5</v>
      </c>
      <c r="F15" s="15">
        <f t="shared" si="8"/>
        <v>-1.8000000000000043</v>
      </c>
      <c r="G15" s="15">
        <v>28.4</v>
      </c>
      <c r="H15" s="15">
        <v>33.700000000000003</v>
      </c>
      <c r="I15" s="15">
        <v>7</v>
      </c>
      <c r="J15" s="15">
        <v>-19.399999999999999</v>
      </c>
      <c r="K15" s="15">
        <v>30.5</v>
      </c>
      <c r="L15" s="15">
        <f>+L14*0.25</f>
        <v>40.472625175479664</v>
      </c>
      <c r="X15" s="2">
        <v>201.4</v>
      </c>
      <c r="Y15" s="2">
        <v>96</v>
      </c>
      <c r="Z15" s="2">
        <v>40.4</v>
      </c>
      <c r="AA15" s="2">
        <f t="shared" si="9"/>
        <v>49.699999999999996</v>
      </c>
      <c r="AB15" s="2">
        <f>+AB14*(AA15/AA14)</f>
        <v>48.705999999999968</v>
      </c>
      <c r="AC15" s="2">
        <f t="shared" ref="AC15:AJ15" si="14">+AC14*(AB15/AB14)</f>
        <v>47.731879999999968</v>
      </c>
      <c r="AD15" s="2">
        <f t="shared" si="14"/>
        <v>46.777242399999935</v>
      </c>
      <c r="AE15" s="2">
        <f t="shared" si="14"/>
        <v>45.841697551999957</v>
      </c>
      <c r="AF15" s="2">
        <f t="shared" si="14"/>
        <v>44.924863600959959</v>
      </c>
      <c r="AG15" s="2">
        <f t="shared" si="14"/>
        <v>44.026366328940767</v>
      </c>
      <c r="AH15" s="2">
        <f t="shared" si="14"/>
        <v>43.145839002361939</v>
      </c>
      <c r="AI15" s="2">
        <f t="shared" si="14"/>
        <v>42.282922222314696</v>
      </c>
      <c r="AJ15" s="2">
        <f t="shared" si="14"/>
        <v>41.437263777868417</v>
      </c>
    </row>
    <row r="16" spans="2:236 16384:16384" x14ac:dyDescent="0.2">
      <c r="B16" s="2" t="s">
        <v>31</v>
      </c>
      <c r="C16" s="15">
        <f>+C14-C15</f>
        <v>247.70000000000002</v>
      </c>
      <c r="D16" s="15">
        <f>+D14-D15</f>
        <v>183.49999999999997</v>
      </c>
      <c r="E16" s="15">
        <f>+E14-E15</f>
        <v>122.70000000000005</v>
      </c>
      <c r="F16" s="15">
        <f t="shared" si="8"/>
        <v>193.00000000000011</v>
      </c>
      <c r="G16" s="15">
        <f>+G14-G15</f>
        <v>163.79999999999995</v>
      </c>
      <c r="H16" s="15">
        <f>+H14-H15</f>
        <v>88.500000000000028</v>
      </c>
      <c r="I16" s="15">
        <f>+I14-I15</f>
        <v>106.70000000000002</v>
      </c>
      <c r="J16" s="15">
        <f>+J14-J15</f>
        <v>143.20000000000002</v>
      </c>
      <c r="K16" s="15">
        <f>+K14-K15</f>
        <v>90.80000000000004</v>
      </c>
      <c r="L16" s="15">
        <f>+L14-L15</f>
        <v>121.41787552643899</v>
      </c>
      <c r="X16" s="2">
        <f>+X14-X15</f>
        <v>1404.8</v>
      </c>
      <c r="Y16" s="2">
        <f>+Y14-Y15</f>
        <v>1044.2999999999997</v>
      </c>
      <c r="Z16" s="2">
        <f>+Z14-Z15</f>
        <v>746.9000000000002</v>
      </c>
      <c r="AA16" s="2">
        <f t="shared" si="9"/>
        <v>502.20000000000005</v>
      </c>
      <c r="AB16" s="2">
        <f>+AB14-AB15</f>
        <v>492.15599999999978</v>
      </c>
      <c r="AC16" s="2">
        <f t="shared" ref="AC16:AJ16" si="15">+AC14-AC15</f>
        <v>482.31287999999978</v>
      </c>
      <c r="AD16" s="2">
        <f t="shared" si="15"/>
        <v>472.66662239999943</v>
      </c>
      <c r="AE16" s="2">
        <f t="shared" si="15"/>
        <v>463.21328995199968</v>
      </c>
      <c r="AF16" s="2">
        <f t="shared" si="15"/>
        <v>453.94902415295968</v>
      </c>
      <c r="AG16" s="2">
        <f t="shared" si="15"/>
        <v>444.87004366990061</v>
      </c>
      <c r="AH16" s="2">
        <f t="shared" si="15"/>
        <v>435.97264279650244</v>
      </c>
      <c r="AI16" s="2">
        <f t="shared" si="15"/>
        <v>427.25318994057233</v>
      </c>
      <c r="AJ16" s="2">
        <f t="shared" si="15"/>
        <v>418.70812614176106</v>
      </c>
      <c r="AK16" s="2">
        <f>+AJ16*(1+$AN$22)</f>
        <v>422.89520740317869</v>
      </c>
      <c r="AL16" s="2">
        <f t="shared" ref="AL16:CW16" si="16">+AK16*(1+$AN$22)</f>
        <v>427.12415947721047</v>
      </c>
      <c r="AM16" s="2">
        <f t="shared" si="16"/>
        <v>431.39540107198258</v>
      </c>
      <c r="AN16" s="2">
        <f t="shared" si="16"/>
        <v>435.70935508270242</v>
      </c>
      <c r="AO16" s="2">
        <f t="shared" si="16"/>
        <v>440.06644863352943</v>
      </c>
      <c r="AP16" s="2">
        <f t="shared" si="16"/>
        <v>444.46711311986473</v>
      </c>
      <c r="AQ16" s="2">
        <f t="shared" si="16"/>
        <v>448.91178425106341</v>
      </c>
      <c r="AR16" s="2">
        <f t="shared" si="16"/>
        <v>453.40090209357408</v>
      </c>
      <c r="AS16" s="2">
        <f t="shared" si="16"/>
        <v>457.93491111450982</v>
      </c>
      <c r="AT16" s="2">
        <f t="shared" si="16"/>
        <v>462.51426022565494</v>
      </c>
      <c r="AU16" s="2">
        <f t="shared" si="16"/>
        <v>467.13940282791151</v>
      </c>
      <c r="AV16" s="2">
        <f t="shared" si="16"/>
        <v>471.81079685619062</v>
      </c>
      <c r="AW16" s="2">
        <f t="shared" si="16"/>
        <v>476.52890482475254</v>
      </c>
      <c r="AX16" s="2">
        <f t="shared" si="16"/>
        <v>481.2941938730001</v>
      </c>
      <c r="AY16" s="2">
        <f t="shared" si="16"/>
        <v>486.10713581173007</v>
      </c>
      <c r="AZ16" s="2">
        <f t="shared" si="16"/>
        <v>490.9682071698474</v>
      </c>
      <c r="BA16" s="2">
        <f t="shared" si="16"/>
        <v>495.87788924154586</v>
      </c>
      <c r="BB16" s="2">
        <f t="shared" si="16"/>
        <v>500.83666813396133</v>
      </c>
      <c r="BC16" s="2">
        <f t="shared" si="16"/>
        <v>505.84503481530095</v>
      </c>
      <c r="BD16" s="2">
        <f t="shared" si="16"/>
        <v>510.90348516345398</v>
      </c>
      <c r="BE16" s="2">
        <f t="shared" si="16"/>
        <v>516.01252001508851</v>
      </c>
      <c r="BF16" s="2">
        <f t="shared" si="16"/>
        <v>521.17264521523941</v>
      </c>
      <c r="BG16" s="2">
        <f t="shared" si="16"/>
        <v>526.38437166739186</v>
      </c>
      <c r="BH16" s="2">
        <f t="shared" si="16"/>
        <v>531.64821538406579</v>
      </c>
      <c r="BI16" s="2">
        <f t="shared" si="16"/>
        <v>536.96469753790643</v>
      </c>
      <c r="BJ16" s="2">
        <f t="shared" si="16"/>
        <v>542.33434451328549</v>
      </c>
      <c r="BK16" s="2">
        <f t="shared" si="16"/>
        <v>547.75768795841839</v>
      </c>
      <c r="BL16" s="2">
        <f t="shared" si="16"/>
        <v>553.23526483800254</v>
      </c>
      <c r="BM16" s="2">
        <f t="shared" si="16"/>
        <v>558.76761748638262</v>
      </c>
      <c r="BN16" s="2">
        <f t="shared" si="16"/>
        <v>564.35529366124649</v>
      </c>
      <c r="BO16" s="2">
        <f t="shared" si="16"/>
        <v>569.99884659785891</v>
      </c>
      <c r="BP16" s="2">
        <f t="shared" si="16"/>
        <v>575.69883506383746</v>
      </c>
      <c r="BQ16" s="2">
        <f t="shared" si="16"/>
        <v>581.45582341447584</v>
      </c>
      <c r="BR16" s="2">
        <f t="shared" si="16"/>
        <v>587.27038164862063</v>
      </c>
      <c r="BS16" s="2">
        <f t="shared" si="16"/>
        <v>593.14308546510688</v>
      </c>
      <c r="BT16" s="2">
        <f t="shared" si="16"/>
        <v>599.074516319758</v>
      </c>
      <c r="BU16" s="2">
        <f t="shared" si="16"/>
        <v>605.06526148295563</v>
      </c>
      <c r="BV16" s="2">
        <f t="shared" si="16"/>
        <v>611.11591409778521</v>
      </c>
      <c r="BW16" s="2">
        <f t="shared" si="16"/>
        <v>617.22707323876307</v>
      </c>
      <c r="BX16" s="2">
        <f t="shared" si="16"/>
        <v>623.39934397115076</v>
      </c>
      <c r="BY16" s="2">
        <f t="shared" si="16"/>
        <v>629.63333741086228</v>
      </c>
      <c r="BZ16" s="2">
        <f t="shared" si="16"/>
        <v>635.92967078497088</v>
      </c>
      <c r="CA16" s="2">
        <f t="shared" si="16"/>
        <v>642.28896749282057</v>
      </c>
      <c r="CB16" s="2">
        <f t="shared" si="16"/>
        <v>648.7118571677488</v>
      </c>
      <c r="CC16" s="2">
        <f t="shared" si="16"/>
        <v>655.19897573942626</v>
      </c>
      <c r="CD16" s="2">
        <f t="shared" si="16"/>
        <v>661.75096549682053</v>
      </c>
      <c r="CE16" s="2">
        <f t="shared" si="16"/>
        <v>668.36847515178874</v>
      </c>
      <c r="CF16" s="2">
        <f t="shared" si="16"/>
        <v>675.05215990330669</v>
      </c>
      <c r="CG16" s="2">
        <f t="shared" si="16"/>
        <v>681.80268150233974</v>
      </c>
      <c r="CH16" s="2">
        <f t="shared" si="16"/>
        <v>688.6207083173631</v>
      </c>
      <c r="CI16" s="2">
        <f t="shared" si="16"/>
        <v>695.50691540053674</v>
      </c>
      <c r="CJ16" s="2">
        <f t="shared" si="16"/>
        <v>702.46198455454214</v>
      </c>
      <c r="CK16" s="2">
        <f t="shared" si="16"/>
        <v>709.48660440008757</v>
      </c>
      <c r="CL16" s="2">
        <f t="shared" si="16"/>
        <v>716.5814704440885</v>
      </c>
      <c r="CM16" s="2">
        <f t="shared" si="16"/>
        <v>723.74728514852939</v>
      </c>
      <c r="CN16" s="2">
        <f t="shared" si="16"/>
        <v>730.98475800001472</v>
      </c>
      <c r="CO16" s="2">
        <f t="shared" si="16"/>
        <v>738.29460558001483</v>
      </c>
      <c r="CP16" s="2">
        <f t="shared" si="16"/>
        <v>745.67755163581501</v>
      </c>
      <c r="CQ16" s="2">
        <f t="shared" si="16"/>
        <v>753.13432715217311</v>
      </c>
      <c r="CR16" s="2">
        <f t="shared" si="16"/>
        <v>760.66567042369491</v>
      </c>
      <c r="CS16" s="2">
        <f t="shared" si="16"/>
        <v>768.27232712793182</v>
      </c>
      <c r="CT16" s="2">
        <f t="shared" si="16"/>
        <v>775.95505039921113</v>
      </c>
      <c r="CU16" s="2">
        <f t="shared" si="16"/>
        <v>783.71460090320329</v>
      </c>
      <c r="CV16" s="2">
        <f t="shared" si="16"/>
        <v>791.55174691223533</v>
      </c>
      <c r="CW16" s="2">
        <f t="shared" si="16"/>
        <v>799.46726438135772</v>
      </c>
      <c r="CX16" s="2">
        <f t="shared" ref="CX16:FC16" si="17">+CW16*(1+$AN$22)</f>
        <v>807.46193702517132</v>
      </c>
      <c r="CY16" s="2">
        <f t="shared" si="17"/>
        <v>815.53655639542308</v>
      </c>
      <c r="CZ16" s="2">
        <f t="shared" si="17"/>
        <v>823.69192195937728</v>
      </c>
      <c r="DA16" s="2">
        <f t="shared" si="17"/>
        <v>831.92884117897108</v>
      </c>
      <c r="DB16" s="2">
        <f t="shared" si="17"/>
        <v>840.24812959076075</v>
      </c>
      <c r="DC16" s="2">
        <f t="shared" si="17"/>
        <v>848.65061088666835</v>
      </c>
      <c r="DD16" s="2">
        <f t="shared" si="17"/>
        <v>857.13711699553505</v>
      </c>
      <c r="DE16" s="2">
        <f t="shared" si="17"/>
        <v>865.70848816549039</v>
      </c>
      <c r="DF16" s="2">
        <f t="shared" si="17"/>
        <v>874.36557304714529</v>
      </c>
      <c r="DG16" s="2">
        <f t="shared" si="17"/>
        <v>883.10922877761675</v>
      </c>
      <c r="DH16" s="2">
        <f t="shared" si="17"/>
        <v>891.94032106539294</v>
      </c>
      <c r="DI16" s="2">
        <f t="shared" si="17"/>
        <v>900.8597242760469</v>
      </c>
      <c r="DJ16" s="2">
        <f t="shared" si="17"/>
        <v>909.86832151880742</v>
      </c>
      <c r="DK16" s="2">
        <f t="shared" si="17"/>
        <v>918.96700473399551</v>
      </c>
      <c r="DL16" s="2">
        <f t="shared" si="17"/>
        <v>928.15667478133548</v>
      </c>
      <c r="DM16" s="2">
        <f t="shared" si="17"/>
        <v>937.43824152914885</v>
      </c>
      <c r="DN16" s="2">
        <f t="shared" si="17"/>
        <v>946.81262394444036</v>
      </c>
      <c r="DO16" s="2">
        <f t="shared" si="17"/>
        <v>956.28075018388472</v>
      </c>
      <c r="DP16" s="2">
        <f t="shared" si="17"/>
        <v>965.84355768572357</v>
      </c>
      <c r="DQ16" s="2">
        <f t="shared" si="17"/>
        <v>975.50199326258087</v>
      </c>
      <c r="DR16" s="2">
        <f t="shared" si="17"/>
        <v>985.2570131952067</v>
      </c>
      <c r="DS16" s="2">
        <f t="shared" si="17"/>
        <v>995.10958332715882</v>
      </c>
      <c r="DT16" s="2">
        <f t="shared" si="17"/>
        <v>1005.0606791604304</v>
      </c>
      <c r="DU16" s="2">
        <f t="shared" si="17"/>
        <v>1015.1112859520347</v>
      </c>
      <c r="DV16" s="2">
        <f t="shared" si="17"/>
        <v>1025.2623988115549</v>
      </c>
      <c r="DW16" s="2">
        <f t="shared" si="17"/>
        <v>1035.5150227996705</v>
      </c>
      <c r="DX16" s="2">
        <f t="shared" si="17"/>
        <v>1045.8701730276673</v>
      </c>
      <c r="DY16" s="2">
        <f t="shared" si="17"/>
        <v>1056.328874757944</v>
      </c>
      <c r="DZ16" s="2">
        <f t="shared" si="17"/>
        <v>1066.8921635055235</v>
      </c>
      <c r="EA16" s="2">
        <f t="shared" si="17"/>
        <v>1077.5610851405788</v>
      </c>
      <c r="EB16" s="2">
        <f t="shared" si="17"/>
        <v>1088.3366959919847</v>
      </c>
      <c r="EC16" s="2">
        <f t="shared" si="17"/>
        <v>1099.2200629519045</v>
      </c>
      <c r="ED16" s="2">
        <f t="shared" si="17"/>
        <v>1110.2122635814235</v>
      </c>
      <c r="EE16" s="2">
        <f t="shared" si="17"/>
        <v>1121.3143862172378</v>
      </c>
      <c r="EF16" s="2">
        <f t="shared" si="17"/>
        <v>1132.5275300794103</v>
      </c>
      <c r="EG16" s="2">
        <f t="shared" si="17"/>
        <v>1143.8528053802045</v>
      </c>
      <c r="EH16" s="2">
        <f t="shared" si="17"/>
        <v>1155.2913334340064</v>
      </c>
      <c r="EI16" s="2">
        <f t="shared" si="17"/>
        <v>1166.8442467683465</v>
      </c>
      <c r="EJ16" s="2">
        <f t="shared" si="17"/>
        <v>1178.5126892360299</v>
      </c>
      <c r="EK16" s="2">
        <f t="shared" si="17"/>
        <v>1190.2978161283902</v>
      </c>
      <c r="EL16" s="2">
        <f t="shared" si="17"/>
        <v>1202.2007942896741</v>
      </c>
      <c r="EM16" s="2">
        <f t="shared" si="17"/>
        <v>1214.222802232571</v>
      </c>
      <c r="EN16" s="2">
        <f t="shared" si="17"/>
        <v>1226.3650302548967</v>
      </c>
      <c r="EO16" s="2">
        <f t="shared" si="17"/>
        <v>1238.6286805574457</v>
      </c>
      <c r="EP16" s="2">
        <f t="shared" si="17"/>
        <v>1251.0149673630201</v>
      </c>
      <c r="EQ16" s="2">
        <f t="shared" si="17"/>
        <v>1263.5251170366503</v>
      </c>
      <c r="ER16" s="2">
        <f t="shared" si="17"/>
        <v>1276.1603682070167</v>
      </c>
      <c r="ES16" s="2">
        <f t="shared" si="17"/>
        <v>1288.921971889087</v>
      </c>
      <c r="ET16" s="2">
        <f t="shared" si="17"/>
        <v>1301.8111916079779</v>
      </c>
      <c r="EU16" s="2">
        <f t="shared" si="17"/>
        <v>1314.8293035240577</v>
      </c>
      <c r="EV16" s="2">
        <f t="shared" si="17"/>
        <v>1327.9775965592983</v>
      </c>
      <c r="EW16" s="2">
        <f t="shared" si="17"/>
        <v>1341.2573725248913</v>
      </c>
      <c r="EX16" s="2">
        <f t="shared" si="17"/>
        <v>1354.6699462501401</v>
      </c>
      <c r="EY16" s="2">
        <f t="shared" si="17"/>
        <v>1368.2166457126416</v>
      </c>
      <c r="EZ16" s="2">
        <f t="shared" si="17"/>
        <v>1381.898812169768</v>
      </c>
      <c r="FA16" s="2">
        <f t="shared" si="17"/>
        <v>1395.7178002914657</v>
      </c>
      <c r="FB16" s="2">
        <f t="shared" si="17"/>
        <v>1409.6749782943803</v>
      </c>
      <c r="FC16" s="2">
        <f t="shared" si="17"/>
        <v>1423.771728077324</v>
      </c>
      <c r="FD16" s="2">
        <f t="shared" ref="FD16:GP16" si="18">+FC16*(1+$AN$22)</f>
        <v>1438.0094453580973</v>
      </c>
      <c r="FE16" s="2">
        <f t="shared" si="18"/>
        <v>1452.3895398116783</v>
      </c>
      <c r="FF16" s="2">
        <f t="shared" si="18"/>
        <v>1466.9134352097951</v>
      </c>
      <c r="FG16" s="2">
        <f t="shared" si="18"/>
        <v>1481.582569561893</v>
      </c>
      <c r="FH16" s="2">
        <f t="shared" si="18"/>
        <v>1496.398395257512</v>
      </c>
      <c r="FI16" s="2">
        <f t="shared" si="18"/>
        <v>1511.3623792100871</v>
      </c>
      <c r="FJ16" s="2">
        <f t="shared" si="18"/>
        <v>1526.476003002188</v>
      </c>
      <c r="FK16" s="2">
        <f t="shared" si="18"/>
        <v>1541.74076303221</v>
      </c>
      <c r="FL16" s="2">
        <f t="shared" si="18"/>
        <v>1557.158170662532</v>
      </c>
      <c r="FM16" s="2">
        <f t="shared" si="18"/>
        <v>1572.7297523691573</v>
      </c>
      <c r="FN16" s="2">
        <f t="shared" si="18"/>
        <v>1588.4570498928488</v>
      </c>
      <c r="FO16" s="2">
        <f t="shared" si="18"/>
        <v>1604.3416203917773</v>
      </c>
      <c r="FP16" s="2">
        <f t="shared" si="18"/>
        <v>1620.3850365956951</v>
      </c>
      <c r="FQ16" s="2">
        <f t="shared" si="18"/>
        <v>1636.588886961652</v>
      </c>
      <c r="FR16" s="2">
        <f t="shared" si="18"/>
        <v>1652.9547758312685</v>
      </c>
      <c r="FS16" s="2">
        <f t="shared" si="18"/>
        <v>1669.4843235895812</v>
      </c>
      <c r="FT16" s="2">
        <f t="shared" si="18"/>
        <v>1686.1791668254771</v>
      </c>
      <c r="FU16" s="2">
        <f t="shared" si="18"/>
        <v>1703.0409584937318</v>
      </c>
      <c r="FV16" s="2">
        <f t="shared" si="18"/>
        <v>1720.0713680786691</v>
      </c>
      <c r="FW16" s="2">
        <f t="shared" si="18"/>
        <v>1737.2720817594559</v>
      </c>
      <c r="FX16" s="2">
        <f t="shared" si="18"/>
        <v>1754.6448025770505</v>
      </c>
      <c r="FY16" s="2">
        <f t="shared" si="18"/>
        <v>1772.1912506028211</v>
      </c>
      <c r="FZ16" s="2">
        <f t="shared" si="18"/>
        <v>1789.9131631088494</v>
      </c>
      <c r="GA16" s="2">
        <f t="shared" si="18"/>
        <v>1807.8122947399379</v>
      </c>
      <c r="GB16" s="2">
        <f t="shared" si="18"/>
        <v>1825.8904176873373</v>
      </c>
      <c r="GC16" s="2">
        <f t="shared" si="18"/>
        <v>1844.1493218642106</v>
      </c>
      <c r="GD16" s="2">
        <f t="shared" si="18"/>
        <v>1862.5908150828527</v>
      </c>
      <c r="GE16" s="2">
        <f t="shared" si="18"/>
        <v>1881.2167232336813</v>
      </c>
      <c r="GF16" s="2">
        <f t="shared" si="18"/>
        <v>1900.0288904660181</v>
      </c>
      <c r="GG16" s="2">
        <f t="shared" si="18"/>
        <v>1919.0291793706783</v>
      </c>
      <c r="GH16" s="2">
        <f t="shared" si="18"/>
        <v>1938.2194711643851</v>
      </c>
      <c r="GI16" s="2">
        <f t="shared" si="18"/>
        <v>1957.6016658760291</v>
      </c>
      <c r="GJ16" s="2">
        <f t="shared" si="18"/>
        <v>1977.1776825347895</v>
      </c>
      <c r="GK16" s="2">
        <f t="shared" si="18"/>
        <v>1996.9494593601373</v>
      </c>
      <c r="GL16" s="2">
        <f t="shared" si="18"/>
        <v>2016.9189539537388</v>
      </c>
      <c r="GM16" s="2">
        <f t="shared" si="18"/>
        <v>2037.0881434932762</v>
      </c>
      <c r="GN16" s="2">
        <f t="shared" si="18"/>
        <v>2057.4590249282091</v>
      </c>
      <c r="GO16" s="2">
        <f t="shared" si="18"/>
        <v>2078.0336151774914</v>
      </c>
      <c r="GP16" s="2">
        <f t="shared" si="18"/>
        <v>2098.8139513292663</v>
      </c>
      <c r="GQ16" s="2">
        <f t="shared" ref="GQ16:HX16" si="19">+GP16*(1+$AN$22)</f>
        <v>2119.8020908425588</v>
      </c>
      <c r="GR16" s="2">
        <f t="shared" si="19"/>
        <v>2141.0001117509842</v>
      </c>
      <c r="GS16" s="2">
        <f t="shared" si="19"/>
        <v>2162.4101128684938</v>
      </c>
      <c r="GT16" s="2">
        <f t="shared" si="19"/>
        <v>2184.0342139971785</v>
      </c>
      <c r="GU16" s="2">
        <f t="shared" si="19"/>
        <v>2205.8745561371502</v>
      </c>
      <c r="GV16" s="2">
        <f t="shared" si="19"/>
        <v>2227.9333016985215</v>
      </c>
      <c r="GW16" s="2">
        <f t="shared" si="19"/>
        <v>2250.2126347155067</v>
      </c>
      <c r="GX16" s="2">
        <f t="shared" si="19"/>
        <v>2272.7147610626616</v>
      </c>
      <c r="GY16" s="2">
        <f t="shared" si="19"/>
        <v>2295.4419086732883</v>
      </c>
      <c r="GZ16" s="2">
        <f t="shared" si="19"/>
        <v>2318.396327760021</v>
      </c>
      <c r="HA16" s="2">
        <f t="shared" si="19"/>
        <v>2341.580291037621</v>
      </c>
      <c r="HB16" s="2">
        <f t="shared" si="19"/>
        <v>2364.9960939479975</v>
      </c>
      <c r="HC16" s="2">
        <f t="shared" si="19"/>
        <v>2388.6460548874775</v>
      </c>
      <c r="HD16" s="2">
        <f t="shared" si="19"/>
        <v>2412.5325154363522</v>
      </c>
      <c r="HE16" s="2">
        <f t="shared" si="19"/>
        <v>2436.6578405907158</v>
      </c>
      <c r="HF16" s="2">
        <f t="shared" si="19"/>
        <v>2461.0244189966229</v>
      </c>
      <c r="HG16" s="2">
        <f t="shared" si="19"/>
        <v>2485.634663186589</v>
      </c>
      <c r="HH16" s="2">
        <f t="shared" si="19"/>
        <v>2510.491009818455</v>
      </c>
      <c r="HI16" s="2">
        <f t="shared" si="19"/>
        <v>2535.5959199166396</v>
      </c>
      <c r="HJ16" s="2">
        <f t="shared" si="19"/>
        <v>2560.9518791158062</v>
      </c>
      <c r="HK16" s="2">
        <f t="shared" si="19"/>
        <v>2586.5613979069644</v>
      </c>
      <c r="HL16" s="2">
        <f t="shared" si="19"/>
        <v>2612.4270118860341</v>
      </c>
      <c r="HM16" s="2">
        <f t="shared" si="19"/>
        <v>2638.5512820048943</v>
      </c>
      <c r="HN16" s="2">
        <f t="shared" si="19"/>
        <v>2664.9367948249433</v>
      </c>
      <c r="HO16" s="2">
        <f t="shared" si="19"/>
        <v>2691.5861627731929</v>
      </c>
      <c r="HP16" s="2">
        <f t="shared" si="19"/>
        <v>2718.5020244009247</v>
      </c>
      <c r="HQ16" s="2">
        <f t="shared" si="19"/>
        <v>2745.6870446449338</v>
      </c>
      <c r="HR16" s="2">
        <f t="shared" si="19"/>
        <v>2773.1439150913834</v>
      </c>
      <c r="HS16" s="2">
        <f t="shared" si="19"/>
        <v>2800.8753542422974</v>
      </c>
      <c r="HT16" s="2">
        <f t="shared" si="19"/>
        <v>2828.8841077847205</v>
      </c>
      <c r="HU16" s="2">
        <f t="shared" si="19"/>
        <v>2857.1729488625679</v>
      </c>
      <c r="HV16" s="2">
        <f t="shared" si="19"/>
        <v>2885.7446783511937</v>
      </c>
      <c r="HW16" s="2">
        <f t="shared" si="19"/>
        <v>2914.6021251347056</v>
      </c>
      <c r="HX16" s="2">
        <f t="shared" si="19"/>
        <v>2943.7481463860527</v>
      </c>
      <c r="HY16" s="2">
        <f t="shared" ref="HY16:IB16" si="20">+HX16*(1+$AN$22)</f>
        <v>2973.1856278499131</v>
      </c>
      <c r="HZ16" s="2">
        <f t="shared" si="20"/>
        <v>3002.9174841284121</v>
      </c>
      <c r="IA16" s="2">
        <f t="shared" si="20"/>
        <v>3032.9466589696963</v>
      </c>
      <c r="IB16" s="2">
        <f t="shared" si="20"/>
        <v>3063.2761255593932</v>
      </c>
      <c r="XFD16" s="2">
        <f t="shared" ref="XFD16" si="21">+XFC16*(1+$AN$22)</f>
        <v>0</v>
      </c>
    </row>
    <row r="17" spans="2:40" x14ac:dyDescent="0.2">
      <c r="B17" s="2" t="s">
        <v>32</v>
      </c>
    </row>
    <row r="18" spans="2:40" x14ac:dyDescent="0.2">
      <c r="B18" s="2" t="s">
        <v>33</v>
      </c>
    </row>
    <row r="20" spans="2:40" s="5" customFormat="1" x14ac:dyDescent="0.2">
      <c r="B20" s="5" t="s">
        <v>34</v>
      </c>
      <c r="C20" s="16">
        <f t="shared" ref="C20:J20" si="22">+C8/C6</f>
        <v>0.42163961714523512</v>
      </c>
      <c r="D20" s="16">
        <f t="shared" si="22"/>
        <v>0.40181644359464624</v>
      </c>
      <c r="E20" s="16">
        <f t="shared" si="22"/>
        <v>0.40209828823854227</v>
      </c>
      <c r="F20" s="16">
        <f t="shared" si="22"/>
        <v>0.41931707317073186</v>
      </c>
      <c r="G20" s="16">
        <f t="shared" si="22"/>
        <v>0.41357042583060361</v>
      </c>
      <c r="H20" s="16">
        <f t="shared" si="22"/>
        <v>0.4108266890474192</v>
      </c>
      <c r="I20" s="16">
        <f t="shared" si="22"/>
        <v>0.41554404145077722</v>
      </c>
      <c r="J20" s="16">
        <f t="shared" si="22"/>
        <v>0.40683512088711143</v>
      </c>
      <c r="K20" s="16">
        <f t="shared" ref="K20" si="23">+K8/K6</f>
        <v>0.4125941665056983</v>
      </c>
      <c r="L20" s="16"/>
      <c r="M20" s="16"/>
      <c r="N20" s="16"/>
      <c r="X20" s="5">
        <f>+X8/X6</f>
        <v>0.47476073284112663</v>
      </c>
      <c r="Y20" s="5">
        <f t="shared" ref="Y20:AJ20" si="24">+Y8/Y6</f>
        <v>0.44155980219596008</v>
      </c>
      <c r="Z20" s="5">
        <f t="shared" si="24"/>
        <v>0.41187170895165154</v>
      </c>
      <c r="AA20" s="5">
        <f t="shared" si="24"/>
        <v>0.41158335168465099</v>
      </c>
      <c r="AB20" s="5">
        <f t="shared" si="24"/>
        <v>0.41158335168465093</v>
      </c>
      <c r="AC20" s="5">
        <f t="shared" si="24"/>
        <v>0.41158335168465088</v>
      </c>
      <c r="AD20" s="5">
        <f t="shared" si="24"/>
        <v>0.41158335168465082</v>
      </c>
      <c r="AE20" s="5">
        <f t="shared" si="24"/>
        <v>0.41158335168465093</v>
      </c>
      <c r="AF20" s="5">
        <f t="shared" si="24"/>
        <v>0.41158335168465088</v>
      </c>
      <c r="AG20" s="5">
        <f t="shared" si="24"/>
        <v>0.41158335168465093</v>
      </c>
      <c r="AH20" s="5">
        <f t="shared" si="24"/>
        <v>0.41158335168465088</v>
      </c>
      <c r="AI20" s="5">
        <f t="shared" si="24"/>
        <v>0.41158335168465082</v>
      </c>
      <c r="AJ20" s="5">
        <f t="shared" si="24"/>
        <v>0.41158335168465088</v>
      </c>
    </row>
    <row r="21" spans="2:40" s="5" customFormat="1" x14ac:dyDescent="0.2">
      <c r="B21" s="5" t="s">
        <v>39</v>
      </c>
      <c r="C21" s="16">
        <f>+C15/C14</f>
        <v>7.6091010816859372E-2</v>
      </c>
      <c r="D21" s="16">
        <f t="shared" ref="D21:J21" si="25">+D15/D14</f>
        <v>4.8236514522821586E-2</v>
      </c>
      <c r="E21" s="16">
        <f t="shared" si="25"/>
        <v>9.2455621301775121E-2</v>
      </c>
      <c r="F21" s="16">
        <f t="shared" si="25"/>
        <v>-9.4142259414226083E-3</v>
      </c>
      <c r="G21" s="16">
        <f t="shared" si="25"/>
        <v>0.14776274713839752</v>
      </c>
      <c r="H21" s="16">
        <f t="shared" si="25"/>
        <v>0.27577741407528639</v>
      </c>
      <c r="I21" s="16">
        <f t="shared" si="25"/>
        <v>6.1565523306948103E-2</v>
      </c>
      <c r="J21" s="16">
        <f t="shared" si="25"/>
        <v>-0.15670436187399028</v>
      </c>
      <c r="K21" s="16">
        <f t="shared" ref="K21" si="26">+K15/K14</f>
        <v>0.25144270403957125</v>
      </c>
      <c r="L21" s="16"/>
      <c r="M21" s="16"/>
      <c r="N21" s="16"/>
      <c r="X21" s="16">
        <f t="shared" ref="X21:AJ21" si="27">+X15/X14</f>
        <v>0.12538911717096252</v>
      </c>
      <c r="Y21" s="16">
        <f t="shared" si="27"/>
        <v>8.4188371481189184E-2</v>
      </c>
      <c r="Z21" s="16">
        <f t="shared" si="27"/>
        <v>5.131461958592657E-2</v>
      </c>
      <c r="AA21" s="16">
        <f t="shared" si="27"/>
        <v>9.0052545751041838E-2</v>
      </c>
      <c r="AB21" s="16">
        <f t="shared" si="27"/>
        <v>9.0052545751041838E-2</v>
      </c>
      <c r="AC21" s="16">
        <f t="shared" si="27"/>
        <v>9.0052545751041838E-2</v>
      </c>
      <c r="AD21" s="16">
        <f t="shared" si="27"/>
        <v>9.0052545751041838E-2</v>
      </c>
      <c r="AE21" s="16">
        <f t="shared" si="27"/>
        <v>9.0052545751041838E-2</v>
      </c>
      <c r="AF21" s="16">
        <f t="shared" si="27"/>
        <v>9.0052545751041838E-2</v>
      </c>
      <c r="AG21" s="16">
        <f t="shared" si="27"/>
        <v>9.0052545751041838E-2</v>
      </c>
      <c r="AH21" s="16">
        <f t="shared" si="27"/>
        <v>9.0052545751041838E-2</v>
      </c>
      <c r="AI21" s="16">
        <f t="shared" si="27"/>
        <v>9.0052545751041838E-2</v>
      </c>
      <c r="AJ21" s="16">
        <f t="shared" si="27"/>
        <v>9.0052545751041838E-2</v>
      </c>
      <c r="AM21" s="5" t="s">
        <v>71</v>
      </c>
    </row>
    <row r="22" spans="2:40" x14ac:dyDescent="0.2">
      <c r="B22" s="2" t="s">
        <v>45</v>
      </c>
      <c r="C22" s="13">
        <f>+C11/C6</f>
        <v>0.22863087806908036</v>
      </c>
      <c r="D22" s="13">
        <f t="shared" ref="D22:J22" si="28">+D11/D6</f>
        <v>0.1807839388145315</v>
      </c>
      <c r="E22" s="13">
        <f t="shared" si="28"/>
        <v>0.14599668691330761</v>
      </c>
      <c r="F22" s="13">
        <f t="shared" si="28"/>
        <v>0.18760975609756114</v>
      </c>
      <c r="G22" s="13">
        <f t="shared" si="28"/>
        <v>0.17117454375292465</v>
      </c>
      <c r="H22" s="13">
        <f t="shared" si="28"/>
        <v>0.12284934955937896</v>
      </c>
      <c r="I22" s="13">
        <f t="shared" si="28"/>
        <v>0.11637305699481866</v>
      </c>
      <c r="J22" s="13">
        <f t="shared" si="28"/>
        <v>0.10252681330667152</v>
      </c>
      <c r="K22" s="13">
        <f t="shared" ref="K22" si="29">+K11/K6</f>
        <v>0.11145451033417039</v>
      </c>
      <c r="X22" s="4">
        <f t="shared" ref="X22:AJ22" si="30">+X11/X6</f>
        <v>0.30199617172545806</v>
      </c>
      <c r="Y22" s="4">
        <f t="shared" si="30"/>
        <v>0.24861704802615034</v>
      </c>
      <c r="Z22" s="4">
        <f t="shared" si="30"/>
        <v>0.1886787936811872</v>
      </c>
      <c r="AA22" s="4">
        <f t="shared" si="30"/>
        <v>0.12848369179573763</v>
      </c>
      <c r="AB22" s="4">
        <f t="shared" si="30"/>
        <v>0.12848369179573754</v>
      </c>
      <c r="AC22" s="4">
        <f t="shared" si="30"/>
        <v>0.12848369179573754</v>
      </c>
      <c r="AD22" s="4">
        <f t="shared" si="30"/>
        <v>0.12848369179573746</v>
      </c>
      <c r="AE22" s="4">
        <f t="shared" si="30"/>
        <v>0.12848369179573754</v>
      </c>
      <c r="AF22" s="4">
        <f t="shared" si="30"/>
        <v>0.12848369179573754</v>
      </c>
      <c r="AG22" s="4">
        <f t="shared" si="30"/>
        <v>0.12848369179573757</v>
      </c>
      <c r="AH22" s="4">
        <f t="shared" si="30"/>
        <v>0.12848369179573751</v>
      </c>
      <c r="AI22" s="4">
        <f t="shared" si="30"/>
        <v>0.12848369179573749</v>
      </c>
      <c r="AJ22" s="4">
        <f t="shared" si="30"/>
        <v>0.12848369179573754</v>
      </c>
      <c r="AM22" s="2" t="s">
        <v>40</v>
      </c>
      <c r="AN22" s="5">
        <v>0.01</v>
      </c>
    </row>
    <row r="23" spans="2:40" x14ac:dyDescent="0.2">
      <c r="B23" s="19" t="s">
        <v>35</v>
      </c>
      <c r="AM23" s="2" t="s">
        <v>41</v>
      </c>
      <c r="AN23" s="5">
        <v>0.06</v>
      </c>
    </row>
    <row r="24" spans="2:40" s="4" customFormat="1" x14ac:dyDescent="0.2">
      <c r="B24" s="2" t="s">
        <v>21</v>
      </c>
      <c r="C24" s="13"/>
      <c r="D24" s="13"/>
      <c r="E24" s="13"/>
      <c r="F24" s="13"/>
      <c r="G24" s="16">
        <f t="shared" ref="G24:L26" si="31">+G6/C6-1</f>
        <v>-0.11069496462754891</v>
      </c>
      <c r="H24" s="16">
        <f t="shared" si="31"/>
        <v>-8.8718929254302026E-2</v>
      </c>
      <c r="I24" s="16">
        <f t="shared" si="31"/>
        <v>6.5709552733296483E-2</v>
      </c>
      <c r="J24" s="16">
        <f t="shared" si="31"/>
        <v>7.3365853658536651E-2</v>
      </c>
      <c r="K24" s="16">
        <f t="shared" si="31"/>
        <v>-3.0978006551239945E-2</v>
      </c>
      <c r="L24" s="16">
        <f t="shared" si="31"/>
        <v>-5.5812001678556489E-2</v>
      </c>
      <c r="M24" s="13"/>
      <c r="N24" s="13"/>
      <c r="Y24" s="4">
        <f>+Y6/X6-1</f>
        <v>-0.12999726551818436</v>
      </c>
      <c r="Z24" s="4">
        <f>+Z6/Y6-1</f>
        <v>-0.12454949291760953</v>
      </c>
      <c r="AA24" s="4">
        <f>+AA6/Z6-1</f>
        <v>-2.1804691239827756E-2</v>
      </c>
      <c r="AB24" s="4">
        <f>+AB6/AA6-1</f>
        <v>-2.0000000000000018E-2</v>
      </c>
      <c r="AC24" s="4">
        <f>+AC6/AB6-1</f>
        <v>-2.0000000000000018E-2</v>
      </c>
      <c r="AD24" s="4">
        <f>+AD6/AC6-1</f>
        <v>-2.0000000000000018E-2</v>
      </c>
      <c r="AE24" s="4">
        <f>+AE6/AD6-1</f>
        <v>-2.0000000000000018E-2</v>
      </c>
      <c r="AF24" s="4">
        <f>+AF6/AE6-1</f>
        <v>-2.0000000000000018E-2</v>
      </c>
      <c r="AG24" s="4">
        <f>+AG6/AF6-1</f>
        <v>-2.0000000000000018E-2</v>
      </c>
      <c r="AH24" s="4">
        <f>+AH6/AG6-1</f>
        <v>-1.9999999999999907E-2</v>
      </c>
      <c r="AI24" s="4">
        <f t="shared" ref="AB24:AJ24" si="32">+AI6/AH6-1</f>
        <v>-2.0000000000000018E-2</v>
      </c>
      <c r="AJ24" s="4">
        <f t="shared" si="32"/>
        <v>-2.0000000000000018E-2</v>
      </c>
      <c r="AM24" s="4" t="s">
        <v>42</v>
      </c>
      <c r="AN24" s="9">
        <f>NPV(AN23,AA16:IB16)</f>
        <v>8135.9450964679827</v>
      </c>
    </row>
    <row r="25" spans="2:40" s="4" customFormat="1" x14ac:dyDescent="0.2">
      <c r="B25" s="2" t="s">
        <v>22</v>
      </c>
      <c r="C25" s="13"/>
      <c r="D25" s="13"/>
      <c r="E25" s="13"/>
      <c r="F25" s="13"/>
      <c r="G25" s="16">
        <f t="shared" si="31"/>
        <v>-9.8287523384659625E-2</v>
      </c>
      <c r="H25" s="16">
        <f t="shared" si="31"/>
        <v>-0.10244526130733578</v>
      </c>
      <c r="I25" s="16">
        <f t="shared" si="31"/>
        <v>4.1743627632065072E-2</v>
      </c>
      <c r="J25" s="16">
        <f t="shared" si="31"/>
        <v>9.6438172043011194E-2</v>
      </c>
      <c r="K25" s="16">
        <f t="shared" si="31"/>
        <v>-2.9364826045323977E-2</v>
      </c>
      <c r="L25" s="13"/>
      <c r="M25" s="13"/>
      <c r="N25" s="13"/>
      <c r="Y25" s="4">
        <f>+Y7/X7-1</f>
        <v>-7.5003470776065506E-2</v>
      </c>
      <c r="Z25" s="4">
        <f>+Z7/Y7-1</f>
        <v>-7.8008329893812678E-2</v>
      </c>
      <c r="AA25" s="4">
        <f>+AA7/Z7-1</f>
        <v>-2.1325085463128612E-2</v>
      </c>
      <c r="AB25" s="4">
        <f>+AB7/AA7-1</f>
        <v>-2.000000000000024E-2</v>
      </c>
      <c r="AC25" s="4">
        <f>+AC7/AB7-1</f>
        <v>-1.9999999999999907E-2</v>
      </c>
      <c r="AD25" s="4">
        <f>+AD7/AC7-1</f>
        <v>-1.9999999999999907E-2</v>
      </c>
      <c r="AE25" s="4">
        <f>+AE7/AD7-1</f>
        <v>-2.0000000000000129E-2</v>
      </c>
      <c r="AF25" s="4">
        <f>+AF7/AE7-1</f>
        <v>-2.0000000000000018E-2</v>
      </c>
      <c r="AG25" s="4">
        <f>+AG7/AF7-1</f>
        <v>-2.0000000000000018E-2</v>
      </c>
      <c r="AH25" s="4">
        <f>+AH7/AG7-1</f>
        <v>-1.9999999999999907E-2</v>
      </c>
      <c r="AM25" s="4" t="s">
        <v>65</v>
      </c>
      <c r="AN25" s="1">
        <f>+Main!F4</f>
        <v>150.37361200000001</v>
      </c>
    </row>
    <row r="26" spans="2:40" s="4" customFormat="1" x14ac:dyDescent="0.2">
      <c r="B26" s="2" t="s">
        <v>23</v>
      </c>
      <c r="C26" s="13"/>
      <c r="D26" s="13"/>
      <c r="E26" s="13"/>
      <c r="F26" s="13"/>
      <c r="G26" s="16">
        <f t="shared" si="31"/>
        <v>-0.12771417291748921</v>
      </c>
      <c r="H26" s="16">
        <f t="shared" si="31"/>
        <v>-6.8284558648584182E-2</v>
      </c>
      <c r="I26" s="16">
        <f t="shared" si="31"/>
        <v>0.10134578412524031</v>
      </c>
      <c r="J26" s="16">
        <f t="shared" si="31"/>
        <v>4.141461144718428E-2</v>
      </c>
      <c r="K26" s="16">
        <f t="shared" si="31"/>
        <v>-3.3265444670739885E-2</v>
      </c>
      <c r="L26" s="13"/>
      <c r="M26" s="13"/>
      <c r="N26" s="13"/>
      <c r="Y26" s="4">
        <f>+Y8/X8-1</f>
        <v>-0.19083822908267112</v>
      </c>
      <c r="Z26" s="4">
        <f>+Z8/Y8-1</f>
        <v>-0.18341005077587413</v>
      </c>
      <c r="AA26" s="4">
        <f>+AA8/Z8-1</f>
        <v>-2.2489539748954179E-2</v>
      </c>
      <c r="AB26" s="4">
        <f>+AB8/AA8-1</f>
        <v>-2.0000000000000129E-2</v>
      </c>
      <c r="AC26" s="4">
        <f>+AC8/AB8-1</f>
        <v>-2.0000000000000018E-2</v>
      </c>
      <c r="AD26" s="4">
        <f>+AD8/AC8-1</f>
        <v>-2.0000000000000129E-2</v>
      </c>
      <c r="AE26" s="4">
        <f>+AE8/AD8-1</f>
        <v>-1.9999999999999796E-2</v>
      </c>
      <c r="AF26" s="4">
        <f>+AF8/AE8-1</f>
        <v>-2.0000000000000129E-2</v>
      </c>
      <c r="AG26" s="4">
        <f>+AG8/AF8-1</f>
        <v>-1.9999999999999907E-2</v>
      </c>
      <c r="AH26" s="4">
        <f>+AH8/AG8-1</f>
        <v>-2.0000000000000129E-2</v>
      </c>
      <c r="AM26" s="7" t="s">
        <v>43</v>
      </c>
      <c r="AN26" s="8">
        <f>+AN24/AN25</f>
        <v>54.104872445758517</v>
      </c>
    </row>
    <row r="27" spans="2:40" x14ac:dyDescent="0.2">
      <c r="AM27" s="2" t="s">
        <v>44</v>
      </c>
      <c r="AN27" s="2">
        <f>+Main!F3</f>
        <v>74.510000000000005</v>
      </c>
    </row>
    <row r="28" spans="2:40" x14ac:dyDescent="0.2">
      <c r="AN28" s="4">
        <f>+AN26/AN27-1</f>
        <v>-0.27385757018174051</v>
      </c>
    </row>
    <row r="29" spans="2:40" s="4" customFormat="1" x14ac:dyDescent="0.2">
      <c r="C29" s="13">
        <f t="shared" ref="C29:H29" si="33">+C9/C$6</f>
        <v>0.12742405326674988</v>
      </c>
      <c r="D29" s="13">
        <f t="shared" si="33"/>
        <v>0.14760994263862334</v>
      </c>
      <c r="E29" s="13">
        <f t="shared" si="33"/>
        <v>0.17747101049144118</v>
      </c>
      <c r="F29" s="13">
        <f t="shared" si="33"/>
        <v>0.15951219512195128</v>
      </c>
      <c r="G29" s="13">
        <f t="shared" si="33"/>
        <v>0.16509124941506786</v>
      </c>
      <c r="H29" s="13">
        <f t="shared" si="33"/>
        <v>0.19565673520772134</v>
      </c>
      <c r="I29" s="13">
        <f>+I9/I$6</f>
        <v>0.20663212435233161</v>
      </c>
      <c r="J29" s="13">
        <f>+J9/J$6</f>
        <v>0.20278131248863843</v>
      </c>
      <c r="K29" s="13">
        <f>+K9/K$6</f>
        <v>0.19644581804133668</v>
      </c>
      <c r="L29" s="13"/>
      <c r="M29" s="13"/>
      <c r="N29" s="13"/>
      <c r="X29" s="4">
        <f t="shared" ref="X29:AB30" si="34">+X9/X$6</f>
        <v>0.11264242092790082</v>
      </c>
      <c r="Y29" s="4">
        <f t="shared" si="34"/>
        <v>0.12714776632302405</v>
      </c>
      <c r="Z29" s="4">
        <f t="shared" si="34"/>
        <v>0.15119674485399714</v>
      </c>
      <c r="AA29" s="4">
        <f t="shared" si="34"/>
        <v>0.19217499816486824</v>
      </c>
      <c r="AB29" s="4">
        <f t="shared" si="34"/>
        <v>0.19217499816486824</v>
      </c>
      <c r="AC29" s="4">
        <f t="shared" ref="AC29:AJ29" si="35">+AC9/AC$6</f>
        <v>0.19217499816486824</v>
      </c>
      <c r="AD29" s="4">
        <f t="shared" si="35"/>
        <v>0.19217499816486824</v>
      </c>
      <c r="AE29" s="4">
        <f t="shared" si="35"/>
        <v>0.19217499816486824</v>
      </c>
      <c r="AF29" s="4">
        <f t="shared" si="35"/>
        <v>0.19217499816486824</v>
      </c>
      <c r="AG29" s="4">
        <f t="shared" si="35"/>
        <v>0.19217499816486822</v>
      </c>
      <c r="AH29" s="4">
        <f t="shared" si="35"/>
        <v>0.19217499816486822</v>
      </c>
      <c r="AI29" s="4">
        <f t="shared" si="35"/>
        <v>0.19217499816486822</v>
      </c>
      <c r="AJ29" s="4">
        <f t="shared" si="35"/>
        <v>0.19217499816486822</v>
      </c>
    </row>
    <row r="30" spans="2:40" s="4" customFormat="1" x14ac:dyDescent="0.2">
      <c r="C30" s="13">
        <f t="shared" ref="C30:H30" si="36">+C10/C$6</f>
        <v>6.5584685809404908E-2</v>
      </c>
      <c r="D30" s="13">
        <f t="shared" si="36"/>
        <v>7.3422562141491399E-2</v>
      </c>
      <c r="E30" s="13">
        <f t="shared" si="36"/>
        <v>7.8630590833793493E-2</v>
      </c>
      <c r="F30" s="13">
        <f t="shared" si="36"/>
        <v>7.2195121951219507E-2</v>
      </c>
      <c r="G30" s="13">
        <f t="shared" si="36"/>
        <v>7.7304632662611131E-2</v>
      </c>
      <c r="H30" s="13">
        <f t="shared" si="36"/>
        <v>9.2320604280318921E-2</v>
      </c>
      <c r="I30" s="13">
        <f>+I10/I$6</f>
        <v>9.2538860103626941E-2</v>
      </c>
      <c r="J30" s="13">
        <f>+J10/J$6</f>
        <v>0.10152699509180149</v>
      </c>
      <c r="K30" s="13">
        <f>+K10/K$6</f>
        <v>0.10469383813019123</v>
      </c>
      <c r="L30" s="13"/>
      <c r="M30" s="13"/>
      <c r="N30" s="13"/>
      <c r="X30" s="4">
        <f t="shared" si="34"/>
        <v>6.012214018776775E-2</v>
      </c>
      <c r="Y30" s="4">
        <f t="shared" si="34"/>
        <v>6.5794987846785682E-2</v>
      </c>
      <c r="Z30" s="4">
        <f t="shared" si="34"/>
        <v>7.1996170416467206E-2</v>
      </c>
      <c r="AA30" s="4">
        <f t="shared" si="34"/>
        <v>9.0924661724045119E-2</v>
      </c>
      <c r="AB30" s="4">
        <f t="shared" si="34"/>
        <v>9.0924661724045119E-2</v>
      </c>
      <c r="AC30" s="4">
        <f t="shared" ref="AC30:AJ30" si="37">+AC10/AC$6</f>
        <v>9.0924661724045119E-2</v>
      </c>
      <c r="AD30" s="4">
        <f t="shared" si="37"/>
        <v>9.0924661724045119E-2</v>
      </c>
      <c r="AE30" s="4">
        <f t="shared" si="37"/>
        <v>9.0924661724045119E-2</v>
      </c>
      <c r="AF30" s="4">
        <f t="shared" si="37"/>
        <v>9.0924661724045119E-2</v>
      </c>
      <c r="AG30" s="4">
        <f t="shared" si="37"/>
        <v>9.0924661724045119E-2</v>
      </c>
      <c r="AH30" s="4">
        <f t="shared" si="37"/>
        <v>9.0924661724045119E-2</v>
      </c>
      <c r="AI30" s="4">
        <f t="shared" si="37"/>
        <v>9.0924661724045119E-2</v>
      </c>
      <c r="AJ30" s="4">
        <f t="shared" si="37"/>
        <v>9.0924661724045119E-2</v>
      </c>
    </row>
    <row r="31" spans="2:40" s="4" customFormat="1" x14ac:dyDescent="0.2">
      <c r="C31" s="13"/>
      <c r="D31" s="13"/>
      <c r="E31" s="13"/>
      <c r="F31" s="13"/>
      <c r="G31" s="13"/>
      <c r="H31" s="13"/>
      <c r="I31" s="13"/>
      <c r="J31" s="13"/>
      <c r="K31" s="13"/>
      <c r="L31" s="13"/>
      <c r="M31" s="13"/>
      <c r="N31" s="13"/>
    </row>
    <row r="32" spans="2:40" x14ac:dyDescent="0.2">
      <c r="B32" s="2" t="s">
        <v>66</v>
      </c>
      <c r="F32" s="15">
        <f>+F33-F43</f>
        <v>579.79999999999995</v>
      </c>
      <c r="G32" s="15">
        <f>+G33-G43</f>
        <v>760.09999999999991</v>
      </c>
      <c r="H32" s="15">
        <f>+H33-H43</f>
        <v>532.6</v>
      </c>
      <c r="I32" s="15">
        <f>+I33-I43</f>
        <v>341.30000000000007</v>
      </c>
      <c r="J32" s="15">
        <f>+J33-J43</f>
        <v>392.60000000000014</v>
      </c>
      <c r="K32" s="15">
        <f>+K33-K43</f>
        <v>572.39999999999986</v>
      </c>
      <c r="AA32" s="2">
        <f>+K32</f>
        <v>572.39999999999986</v>
      </c>
    </row>
    <row r="33" spans="2:11" x14ac:dyDescent="0.2">
      <c r="B33" s="2" t="s">
        <v>47</v>
      </c>
      <c r="F33" s="21">
        <v>1574.1</v>
      </c>
      <c r="G33" s="21">
        <v>1754.8</v>
      </c>
      <c r="H33" s="21">
        <v>1527.7</v>
      </c>
      <c r="I33" s="21">
        <v>1336.7</v>
      </c>
      <c r="J33" s="21">
        <v>1388.4</v>
      </c>
      <c r="K33" s="21">
        <v>1568.6</v>
      </c>
    </row>
    <row r="34" spans="2:11" x14ac:dyDescent="0.2">
      <c r="B34" s="2" t="s">
        <v>48</v>
      </c>
      <c r="F34" s="15">
        <v>508.8</v>
      </c>
      <c r="G34" s="15">
        <v>520</v>
      </c>
      <c r="H34" s="15">
        <v>371.9</v>
      </c>
      <c r="I34" s="15">
        <v>396.2</v>
      </c>
      <c r="J34" s="15">
        <v>598.1</v>
      </c>
      <c r="K34" s="15">
        <v>398.4</v>
      </c>
    </row>
    <row r="35" spans="2:11" x14ac:dyDescent="0.2">
      <c r="B35" s="2" t="s">
        <v>49</v>
      </c>
      <c r="F35" s="15">
        <v>784.8</v>
      </c>
      <c r="G35" s="15">
        <v>699.7</v>
      </c>
      <c r="H35" s="15">
        <v>678.3</v>
      </c>
      <c r="I35" s="15">
        <v>706.5</v>
      </c>
      <c r="J35" s="15">
        <v>754.7</v>
      </c>
      <c r="K35" s="15">
        <v>767.5</v>
      </c>
    </row>
    <row r="36" spans="2:11" x14ac:dyDescent="0.2">
      <c r="B36" s="2" t="s">
        <v>50</v>
      </c>
      <c r="F36" s="15">
        <v>1280.3</v>
      </c>
      <c r="G36" s="15">
        <v>1247</v>
      </c>
      <c r="H36" s="15">
        <v>1231.7</v>
      </c>
      <c r="I36" s="15">
        <v>1213.8</v>
      </c>
      <c r="J36" s="15">
        <v>1194.5999999999999</v>
      </c>
      <c r="K36" s="15">
        <v>1179</v>
      </c>
    </row>
    <row r="37" spans="2:11" x14ac:dyDescent="0.2">
      <c r="B37" s="2" t="s">
        <v>51</v>
      </c>
      <c r="F37" s="15">
        <v>3077.2</v>
      </c>
      <c r="G37" s="15">
        <v>3060.7</v>
      </c>
      <c r="H37" s="15">
        <v>3015.5</v>
      </c>
      <c r="I37" s="15">
        <v>3028.9</v>
      </c>
      <c r="J37" s="15">
        <v>2985.7</v>
      </c>
      <c r="K37" s="15">
        <v>2941.2</v>
      </c>
    </row>
    <row r="38" spans="2:11" x14ac:dyDescent="0.2">
      <c r="B38" s="2" t="s">
        <v>52</v>
      </c>
      <c r="F38" s="15">
        <v>1058.0999999999999</v>
      </c>
      <c r="G38" s="15">
        <v>1048.9000000000001</v>
      </c>
      <c r="H38" s="15">
        <v>1060.5999999999999</v>
      </c>
      <c r="I38" s="15">
        <v>1032.5</v>
      </c>
      <c r="J38" s="15">
        <v>995.6</v>
      </c>
      <c r="K38" s="15">
        <v>1013.2</v>
      </c>
    </row>
    <row r="39" spans="2:11" x14ac:dyDescent="0.2">
      <c r="B39" s="2" t="s">
        <v>53</v>
      </c>
      <c r="F39" s="15">
        <f>+SUM(F33:F38)</f>
        <v>8283.2999999999993</v>
      </c>
      <c r="G39" s="15">
        <f>+SUM(G33:G38)</f>
        <v>8331.1</v>
      </c>
      <c r="H39" s="15">
        <f>+SUM(H33:H38)</f>
        <v>7885.6999999999989</v>
      </c>
      <c r="I39" s="15">
        <f>+SUM(I33:I38)</f>
        <v>7714.6</v>
      </c>
      <c r="J39" s="15">
        <f>+SUM(J33:J38)</f>
        <v>7917.1</v>
      </c>
      <c r="K39" s="15">
        <f>+SUM(K33:K38)</f>
        <v>7867.9</v>
      </c>
    </row>
    <row r="41" spans="2:11" x14ac:dyDescent="0.2">
      <c r="B41" s="2" t="s">
        <v>54</v>
      </c>
      <c r="F41" s="15">
        <v>171.8</v>
      </c>
      <c r="G41" s="15">
        <v>147.19999999999999</v>
      </c>
      <c r="H41" s="15">
        <v>193.1</v>
      </c>
      <c r="I41" s="15">
        <v>205.5</v>
      </c>
      <c r="J41" s="15">
        <v>236</v>
      </c>
      <c r="K41" s="15">
        <v>209.3</v>
      </c>
    </row>
    <row r="42" spans="2:11" x14ac:dyDescent="0.2">
      <c r="B42" s="2" t="s">
        <v>55</v>
      </c>
      <c r="F42" s="15">
        <v>780.5</v>
      </c>
      <c r="G42" s="15">
        <v>788.5</v>
      </c>
      <c r="H42" s="15">
        <v>757.2</v>
      </c>
      <c r="I42" s="15">
        <v>861.2</v>
      </c>
      <c r="J42" s="15">
        <v>928.1</v>
      </c>
      <c r="K42" s="15">
        <v>903.5</v>
      </c>
    </row>
    <row r="43" spans="2:11" x14ac:dyDescent="0.2">
      <c r="B43" s="2" t="s">
        <v>56</v>
      </c>
      <c r="F43" s="15">
        <v>994.3</v>
      </c>
      <c r="G43" s="15">
        <v>994.7</v>
      </c>
      <c r="H43" s="15">
        <v>995.1</v>
      </c>
      <c r="I43" s="15">
        <v>995.4</v>
      </c>
      <c r="J43" s="15">
        <v>995.8</v>
      </c>
      <c r="K43" s="15">
        <v>996.2</v>
      </c>
    </row>
    <row r="44" spans="2:11" x14ac:dyDescent="0.2">
      <c r="B44" s="2" t="s">
        <v>57</v>
      </c>
      <c r="F44" s="15">
        <v>6336.7</v>
      </c>
      <c r="G44" s="15">
        <v>6400.7</v>
      </c>
      <c r="H44" s="15">
        <v>5940.3</v>
      </c>
      <c r="I44" s="15">
        <v>5652.5</v>
      </c>
      <c r="J44" s="15">
        <v>5757.1</v>
      </c>
      <c r="K44" s="15">
        <v>5758.9</v>
      </c>
    </row>
    <row r="45" spans="2:11" x14ac:dyDescent="0.2">
      <c r="B45" s="2" t="s">
        <v>58</v>
      </c>
      <c r="F45" s="15">
        <f>+SUM(F41:F44)</f>
        <v>8283.2999999999993</v>
      </c>
      <c r="G45" s="15">
        <f>+SUM(G41:G44)</f>
        <v>8331.1</v>
      </c>
      <c r="H45" s="15">
        <f>+SUM(H41:H44)</f>
        <v>7885.7000000000007</v>
      </c>
      <c r="I45" s="15">
        <f>+SUM(I41:I44)</f>
        <v>7714.6</v>
      </c>
      <c r="J45" s="15">
        <f>+SUM(J41:J44)</f>
        <v>7917</v>
      </c>
      <c r="K45" s="15">
        <f>+SUM(K41:K44)</f>
        <v>7867.9</v>
      </c>
    </row>
    <row r="47" spans="2:11" x14ac:dyDescent="0.2">
      <c r="B47" s="2" t="s">
        <v>68</v>
      </c>
      <c r="F47" s="15">
        <f>(F34/SUM(C6:F6)*365)</f>
        <v>44.449976065102916</v>
      </c>
      <c r="G47" s="15">
        <f>(G34/SUM(D6:G6)*365)</f>
        <v>46.922126081582199</v>
      </c>
      <c r="H47" s="20">
        <v>35.9</v>
      </c>
      <c r="I47" s="15">
        <f>(I34/SUM(F6:I6)*365)</f>
        <v>36.047810155295757</v>
      </c>
      <c r="J47" s="15">
        <f>(J34/SUM(G6:J6)*365)</f>
        <v>53.416158946879065</v>
      </c>
      <c r="K47" s="15">
        <f>(K34/SUM(H6:K6)*365)</f>
        <v>35.871527949084808</v>
      </c>
    </row>
    <row r="48" spans="2:11" x14ac:dyDescent="0.2">
      <c r="B48" s="2" t="s">
        <v>69</v>
      </c>
      <c r="F48" s="21">
        <f>(F35/SUM(C7:F7)) * 365</f>
        <v>116.57659124206414</v>
      </c>
      <c r="G48" s="21">
        <f>(G35/SUM(D7:G7)) * 365</f>
        <v>106.90715392021436</v>
      </c>
      <c r="H48" s="22">
        <v>117.4</v>
      </c>
      <c r="I48" s="21">
        <f>(I35/SUM(F7:I7)) * 365</f>
        <v>109.85451989435121</v>
      </c>
      <c r="J48" s="21">
        <f>(J35/SUM(G7:J7)) * 365</f>
        <v>114.54819527611443</v>
      </c>
      <c r="K48" s="21">
        <f>(K35/SUM(H7:K7)) * 365</f>
        <v>117.38916359369763</v>
      </c>
    </row>
    <row r="49" spans="2:11" x14ac:dyDescent="0.2">
      <c r="B49" s="2" t="s">
        <v>67</v>
      </c>
      <c r="F49" s="15">
        <f>+(F41/SUM(C7:F7)) * 365</f>
        <v>25.519697216343808</v>
      </c>
      <c r="G49" s="15">
        <f>+(G41/SUM(D7:G7)) * 365</f>
        <v>22.490686089832142</v>
      </c>
      <c r="H49" s="20">
        <v>32</v>
      </c>
      <c r="I49" s="15">
        <f>+(I41/SUM(F7:I7)) * 365</f>
        <v>31.953437846127635</v>
      </c>
      <c r="J49" s="15">
        <f>+(J41/SUM(G7:J7)) * 365</f>
        <v>35.820026613439786</v>
      </c>
      <c r="K49" s="15">
        <f>+(K41/SUM(H7:K7)) * 365</f>
        <v>32.012445524639631</v>
      </c>
    </row>
    <row r="50" spans="2:11" x14ac:dyDescent="0.2">
      <c r="B50" s="2" t="s">
        <v>70</v>
      </c>
      <c r="F50" s="15">
        <f>+F47+F48-F49</f>
        <v>135.50687009082324</v>
      </c>
      <c r="G50" s="15">
        <f>+G47+G48-G49</f>
        <v>131.33859391196441</v>
      </c>
      <c r="H50" s="20">
        <v>121.2</v>
      </c>
      <c r="I50" s="15">
        <f>+I47+I48-I49</f>
        <v>113.94889220351934</v>
      </c>
      <c r="J50" s="15">
        <f>+J47+J48-J49</f>
        <v>132.14432760955373</v>
      </c>
      <c r="K50" s="15">
        <f>+K47+K48-K49</f>
        <v>121.24824601814281</v>
      </c>
    </row>
    <row r="58" spans="2:11" x14ac:dyDescent="0.2">
      <c r="B58" s="2" t="s">
        <v>59</v>
      </c>
      <c r="C58" s="15">
        <v>774.9</v>
      </c>
      <c r="D58" s="15">
        <v>300.2</v>
      </c>
      <c r="E58" s="15">
        <v>273.5</v>
      </c>
      <c r="F58" s="15">
        <v>476</v>
      </c>
      <c r="G58" s="15">
        <v>377.2</v>
      </c>
      <c r="H58" s="15">
        <v>409.5</v>
      </c>
      <c r="I58" s="15">
        <v>314.10000000000002</v>
      </c>
      <c r="J58" s="15">
        <v>200</v>
      </c>
      <c r="K58" s="15">
        <v>395.5</v>
      </c>
    </row>
    <row r="59" spans="2:11" x14ac:dyDescent="0.2">
      <c r="B59" s="2" t="s">
        <v>60</v>
      </c>
      <c r="C59" s="15">
        <v>-22.2</v>
      </c>
      <c r="D59" s="15">
        <v>-27.6</v>
      </c>
      <c r="E59" s="15">
        <v>-24.4</v>
      </c>
      <c r="F59" s="15">
        <v>-82.8</v>
      </c>
      <c r="G59" s="15">
        <v>-39</v>
      </c>
      <c r="H59" s="15">
        <v>-38.5</v>
      </c>
      <c r="I59" s="15">
        <v>-61.4</v>
      </c>
      <c r="J59" s="15">
        <v>-56</v>
      </c>
      <c r="K59" s="15">
        <v>-56.5</v>
      </c>
    </row>
    <row r="60" spans="2:11" x14ac:dyDescent="0.2">
      <c r="B60" s="2" t="s">
        <v>61</v>
      </c>
      <c r="C60" s="15">
        <f t="shared" ref="C60:J60" si="38">+C58+C59</f>
        <v>752.69999999999993</v>
      </c>
      <c r="D60" s="15">
        <f t="shared" si="38"/>
        <v>272.59999999999997</v>
      </c>
      <c r="E60" s="15">
        <f t="shared" si="38"/>
        <v>249.1</v>
      </c>
      <c r="F60" s="15">
        <f t="shared" si="38"/>
        <v>393.2</v>
      </c>
      <c r="G60" s="15">
        <f t="shared" si="38"/>
        <v>338.2</v>
      </c>
      <c r="H60" s="15">
        <f t="shared" si="38"/>
        <v>371</v>
      </c>
      <c r="I60" s="15">
        <f t="shared" si="38"/>
        <v>252.70000000000002</v>
      </c>
      <c r="J60" s="15">
        <f t="shared" si="38"/>
        <v>144</v>
      </c>
      <c r="K60" s="15">
        <f>+K58+K59</f>
        <v>339</v>
      </c>
    </row>
    <row r="61" spans="2:11" x14ac:dyDescent="0.2">
      <c r="B61" s="2" t="s">
        <v>64</v>
      </c>
      <c r="C61" s="15">
        <f>+C16</f>
        <v>247.70000000000002</v>
      </c>
      <c r="D61" s="15">
        <f t="shared" ref="D61:K61" si="39">+D16</f>
        <v>183.49999999999997</v>
      </c>
      <c r="E61" s="15">
        <f t="shared" si="39"/>
        <v>122.70000000000005</v>
      </c>
      <c r="F61" s="15">
        <f t="shared" si="39"/>
        <v>193.00000000000011</v>
      </c>
      <c r="G61" s="15">
        <f t="shared" si="39"/>
        <v>163.79999999999995</v>
      </c>
      <c r="H61" s="15">
        <f t="shared" si="39"/>
        <v>88.500000000000028</v>
      </c>
      <c r="I61" s="15">
        <f t="shared" si="39"/>
        <v>106.70000000000002</v>
      </c>
      <c r="J61" s="15">
        <f t="shared" si="39"/>
        <v>143.20000000000002</v>
      </c>
      <c r="K61" s="15">
        <f t="shared" si="39"/>
        <v>90.80000000000004</v>
      </c>
    </row>
    <row r="64" spans="2:11" x14ac:dyDescent="0.2">
      <c r="B64" s="2" t="s">
        <v>62</v>
      </c>
      <c r="F64" s="15">
        <f t="shared" ref="F64:J64" si="40">+SUM(C60:F60)</f>
        <v>1667.6</v>
      </c>
      <c r="G64" s="15">
        <f t="shared" si="40"/>
        <v>1253.0999999999999</v>
      </c>
      <c r="H64" s="15">
        <f t="shared" si="40"/>
        <v>1351.5</v>
      </c>
      <c r="I64" s="15">
        <f t="shared" si="40"/>
        <v>1355.1000000000001</v>
      </c>
      <c r="J64" s="15">
        <f t="shared" si="40"/>
        <v>1105.9000000000001</v>
      </c>
      <c r="K64" s="15">
        <f>+SUM(H60:K60)</f>
        <v>1106.7</v>
      </c>
    </row>
    <row r="65" spans="2:11" x14ac:dyDescent="0.2">
      <c r="B65" s="2" t="s">
        <v>63</v>
      </c>
      <c r="F65" s="15">
        <f t="shared" ref="F65:J65" si="41">+SUM(C61:F61)</f>
        <v>746.9000000000002</v>
      </c>
      <c r="G65" s="15">
        <f t="shared" si="41"/>
        <v>663.00000000000011</v>
      </c>
      <c r="H65" s="15">
        <f t="shared" si="41"/>
        <v>568.00000000000011</v>
      </c>
      <c r="I65" s="15">
        <f t="shared" si="41"/>
        <v>552.00000000000011</v>
      </c>
      <c r="J65" s="15">
        <f t="shared" si="41"/>
        <v>502.20000000000005</v>
      </c>
      <c r="K65" s="15">
        <f>+SUM(H61:K61)</f>
        <v>429.20000000000016</v>
      </c>
    </row>
  </sheetData>
  <pageMargins left="0.7" right="0.7" top="0.75" bottom="0.75" header="0.3" footer="0.3"/>
  <ignoredErrors>
    <ignoredError sqref="F17:W23 AA22:AO22 AL8:AO20 F8:K8 O8:W8 F9:K9 O9:W9 F10:K10 O10:W10 F11:K11 O11:W11 F12:K12 O12:W12 F13:K13 O13:W13 F14:K14 O14:W14 F15:K15 O15:W15 F16:K16 O16:W16 F25:W27 F24:K24 M24:W24 AL21 AN21:AO21" formula="1"/>
    <ignoredError sqref="AA7:AK7 AK6 H47:K49 AA6" formulaRange="1"/>
    <ignoredError sqref="AA8:AK20 AK21" formula="1" formulaRange="1"/>
  </ignoredErrors>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Main</vt:lpstr>
      <vt:lpstr>Model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Jameel Brannon</dc:creator>
  <cp:lastModifiedBy>Jameel Brannon</cp:lastModifiedBy>
  <dcterms:created xsi:type="dcterms:W3CDTF">2025-08-17T02:43:23Z</dcterms:created>
  <dcterms:modified xsi:type="dcterms:W3CDTF">2026-02-12T07:00:52Z</dcterms:modified>
</cp:coreProperties>
</file>