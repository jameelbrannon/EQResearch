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28456329-CEFC-A54B-9777-A97142C56BBD}" xr6:coauthVersionLast="47" xr6:coauthVersionMax="47" xr10:uidLastSave="{00000000-0000-0000-0000-000000000000}"/>
  <bookViews>
    <workbookView xWindow="11400" yWindow="2420" windowWidth="31900" windowHeight="22820" xr2:uid="{DA8D4B79-A384-7242-8C1C-B3615569444D}"/>
  </bookViews>
  <sheets>
    <sheet name="Main" sheetId="1" r:id="rId1"/>
    <sheet name="Game Theory Payoff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3" l="1"/>
  <c r="D67" i="3"/>
  <c r="D65" i="3"/>
  <c r="M25" i="2"/>
  <c r="AL24" i="2"/>
  <c r="HQ3" i="2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HQ2" i="2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IB2" i="2" s="1"/>
  <c r="AM3" i="2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AM2" i="2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AL2" i="2"/>
  <c r="AL3" i="2"/>
  <c r="AK3" i="2"/>
  <c r="AA19" i="2"/>
  <c r="AJ3" i="2"/>
  <c r="AI3" i="2"/>
  <c r="D61" i="3"/>
  <c r="D60" i="3"/>
  <c r="D59" i="3"/>
  <c r="C17" i="1"/>
  <c r="C18" i="1" s="1"/>
  <c r="I17" i="2"/>
  <c r="I15" i="2"/>
  <c r="I14" i="2"/>
  <c r="I12" i="2"/>
  <c r="I11" i="2"/>
  <c r="I10" i="2"/>
  <c r="I9" i="2"/>
  <c r="I8" i="2"/>
  <c r="I6" i="2"/>
  <c r="I5" i="2"/>
  <c r="I4" i="2"/>
  <c r="X29" i="2"/>
  <c r="X28" i="2"/>
  <c r="Y24" i="2"/>
  <c r="Y23" i="2"/>
  <c r="Y22" i="2"/>
  <c r="Z24" i="2"/>
  <c r="Z23" i="2"/>
  <c r="Z22" i="2"/>
  <c r="X13" i="2"/>
  <c r="X16" i="2" s="1"/>
  <c r="X18" i="2" s="1"/>
  <c r="G7" i="2"/>
  <c r="K24" i="2"/>
  <c r="K23" i="2"/>
  <c r="K22" i="2"/>
  <c r="K7" i="2"/>
  <c r="L7" i="2"/>
  <c r="L28" i="2" s="1"/>
  <c r="L22" i="2"/>
  <c r="L24" i="2"/>
  <c r="L23" i="2"/>
  <c r="L5" i="1"/>
  <c r="L6" i="1" s="1"/>
  <c r="H7" i="2"/>
  <c r="H13" i="2" s="1"/>
  <c r="E7" i="2"/>
  <c r="Z7" i="2"/>
  <c r="Y7" i="2"/>
  <c r="F7" i="2"/>
  <c r="F13" i="2" s="1"/>
  <c r="F16" i="2" s="1"/>
  <c r="F18" i="2" s="1"/>
  <c r="J7" i="2"/>
  <c r="J22" i="2"/>
  <c r="J24" i="2"/>
  <c r="J23" i="2"/>
  <c r="Q3" i="2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K4" i="1"/>
  <c r="K7" i="1" s="1"/>
  <c r="H16" i="2" l="1"/>
  <c r="H18" i="2" s="1"/>
  <c r="H29" i="2"/>
  <c r="K28" i="2"/>
  <c r="K13" i="2"/>
  <c r="Z28" i="2"/>
  <c r="Z25" i="2"/>
  <c r="Z13" i="2"/>
  <c r="Y28" i="2"/>
  <c r="Y25" i="2"/>
  <c r="Y13" i="2"/>
  <c r="J13" i="2"/>
  <c r="J29" i="2" s="1"/>
  <c r="J28" i="2"/>
  <c r="I7" i="2"/>
  <c r="M7" i="2" s="1"/>
  <c r="K25" i="2"/>
  <c r="G13" i="2"/>
  <c r="G29" i="2" s="1"/>
  <c r="L25" i="2"/>
  <c r="L13" i="2"/>
  <c r="J25" i="2"/>
  <c r="M12" i="2" l="1"/>
  <c r="AA12" i="2" s="1"/>
  <c r="M11" i="2"/>
  <c r="AA11" i="2" s="1"/>
  <c r="M10" i="2"/>
  <c r="AA10" i="2" s="1"/>
  <c r="M8" i="2"/>
  <c r="M9" i="2"/>
  <c r="AA9" i="2" s="1"/>
  <c r="AA7" i="2"/>
  <c r="K29" i="2"/>
  <c r="K16" i="2"/>
  <c r="K18" i="2" s="1"/>
  <c r="Z29" i="2"/>
  <c r="Z16" i="2"/>
  <c r="Z18" i="2" s="1"/>
  <c r="Y29" i="2"/>
  <c r="Y16" i="2"/>
  <c r="Y18" i="2" s="1"/>
  <c r="J16" i="2"/>
  <c r="J18" i="2" s="1"/>
  <c r="L16" i="2"/>
  <c r="L18" i="2" s="1"/>
  <c r="L29" i="2"/>
  <c r="I13" i="2"/>
  <c r="G16" i="2"/>
  <c r="G18" i="2" s="1"/>
  <c r="AB7" i="2" l="1"/>
  <c r="AA25" i="2"/>
  <c r="AA8" i="2"/>
  <c r="M13" i="2"/>
  <c r="I16" i="2"/>
  <c r="I18" i="2" s="1"/>
  <c r="I29" i="2"/>
  <c r="AC7" i="2" l="1"/>
  <c r="AB25" i="2"/>
  <c r="AB9" i="2"/>
  <c r="AB10" i="2"/>
  <c r="AB8" i="2"/>
  <c r="AB12" i="2"/>
  <c r="AB11" i="2"/>
  <c r="AA13" i="2"/>
  <c r="M15" i="2"/>
  <c r="M14" i="2"/>
  <c r="AA14" i="2" s="1"/>
  <c r="AC11" i="2" l="1"/>
  <c r="AD11" i="2" s="1"/>
  <c r="AC12" i="2"/>
  <c r="AD12" i="2" s="1"/>
  <c r="AC8" i="2"/>
  <c r="AC13" i="2" s="1"/>
  <c r="AC9" i="2"/>
  <c r="AD9" i="2" s="1"/>
  <c r="AC10" i="2"/>
  <c r="AD10" i="2" s="1"/>
  <c r="AC25" i="2"/>
  <c r="AD7" i="2"/>
  <c r="AB13" i="2"/>
  <c r="AA15" i="2"/>
  <c r="M16" i="2"/>
  <c r="AD8" i="2" l="1"/>
  <c r="AD13" i="2" s="1"/>
  <c r="AD25" i="2"/>
  <c r="AE7" i="2"/>
  <c r="AB15" i="2"/>
  <c r="AB14" i="2"/>
  <c r="AC14" i="2" s="1"/>
  <c r="M17" i="2"/>
  <c r="AA17" i="2" s="1"/>
  <c r="M18" i="2"/>
  <c r="AA18" i="2" s="1"/>
  <c r="AA16" i="2"/>
  <c r="AD14" i="2" l="1"/>
  <c r="AD16" i="2" s="1"/>
  <c r="AD15" i="2"/>
  <c r="AE12" i="2"/>
  <c r="AF12" i="2" s="1"/>
  <c r="AE9" i="2"/>
  <c r="AE10" i="2"/>
  <c r="AF10" i="2" s="1"/>
  <c r="AE11" i="2"/>
  <c r="AE8" i="2"/>
  <c r="AE25" i="2"/>
  <c r="AF7" i="2"/>
  <c r="AC15" i="2"/>
  <c r="AC16" i="2" s="1"/>
  <c r="AB16" i="2"/>
  <c r="AB17" i="2" s="1"/>
  <c r="AB18" i="2" s="1"/>
  <c r="AF25" i="2" l="1"/>
  <c r="AG7" i="2"/>
  <c r="AF11" i="2"/>
  <c r="AG11" i="2" s="1"/>
  <c r="AF8" i="2"/>
  <c r="AC17" i="2"/>
  <c r="AF9" i="2"/>
  <c r="AE13" i="2"/>
  <c r="AG10" i="2" l="1"/>
  <c r="AG12" i="2"/>
  <c r="AG9" i="2"/>
  <c r="AG13" i="2"/>
  <c r="AH7" i="2"/>
  <c r="AD17" i="2"/>
  <c r="AD18" i="2" s="1"/>
  <c r="AC18" i="2"/>
  <c r="AE15" i="2"/>
  <c r="AE14" i="2"/>
  <c r="AE16" i="2"/>
  <c r="AE17" i="2" s="1"/>
  <c r="AE18" i="2" s="1"/>
  <c r="AG8" i="2"/>
  <c r="AF13" i="2"/>
  <c r="AG14" i="2" l="1"/>
  <c r="AG16" i="2" s="1"/>
  <c r="AG17" i="2" s="1"/>
  <c r="AG18" i="2" s="1"/>
  <c r="AH8" i="2"/>
  <c r="AH11" i="2"/>
  <c r="AI7" i="2"/>
  <c r="AF15" i="2"/>
  <c r="AG15" i="2" s="1"/>
  <c r="AF14" i="2"/>
  <c r="AF16" i="2"/>
  <c r="AF17" i="2" s="1"/>
  <c r="AF18" i="2" s="1"/>
  <c r="AH10" i="2"/>
  <c r="AI10" i="2" s="1"/>
  <c r="AH12" i="2"/>
  <c r="AI12" i="2" s="1"/>
  <c r="AH9" i="2"/>
  <c r="AJ7" i="2" l="1"/>
  <c r="AI8" i="2"/>
  <c r="AI13" i="2" s="1"/>
  <c r="AI11" i="2"/>
  <c r="AI9" i="2"/>
  <c r="AH13" i="2"/>
  <c r="AI14" i="2" l="1"/>
  <c r="AI16" i="2" s="1"/>
  <c r="AI15" i="2"/>
  <c r="AJ9" i="2"/>
  <c r="AJ10" i="2"/>
  <c r="AJ12" i="2"/>
  <c r="AH15" i="2"/>
  <c r="AH14" i="2"/>
  <c r="AH16" i="2"/>
  <c r="AH17" i="2" s="1"/>
  <c r="AH18" i="2" s="1"/>
  <c r="AJ8" i="2"/>
  <c r="AJ13" i="2" s="1"/>
  <c r="AJ11" i="2"/>
  <c r="AI17" i="2" l="1"/>
  <c r="AI18" i="2" s="1"/>
  <c r="AL23" i="2" s="1"/>
  <c r="AL25" i="2" s="1"/>
  <c r="AJ14" i="2"/>
  <c r="AJ16" i="2" s="1"/>
  <c r="AJ17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Y18" i="2" s="1"/>
  <c r="GZ18" i="2" s="1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K18" i="2" s="1"/>
  <c r="HL18" i="2" s="1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W18" i="2" s="1"/>
  <c r="HX18" i="2" s="1"/>
  <c r="HY18" i="2" s="1"/>
  <c r="HZ18" i="2" s="1"/>
  <c r="IA18" i="2" s="1"/>
  <c r="IB18" i="2" s="1"/>
  <c r="AJ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L24" authorId="0" shapeId="0" xr:uid="{94CD6AD5-CF7E-FA42-B07C-3D237311C9FC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 increase in revenue attributable to increased content in flagship and premium tiers of smartphones and a decrease in revenue from our products in the Android ecosystem. This is consistent with our decision to strategically reduce our exposure in mass-market Android smartphones and narrow our focus to the flagship and premium tiers of smartphones.</t>
        </r>
      </text>
    </comment>
  </commentList>
</comments>
</file>

<file path=xl/sharedStrings.xml><?xml version="1.0" encoding="utf-8"?>
<sst xmlns="http://schemas.openxmlformats.org/spreadsheetml/2006/main" count="158" uniqueCount="143">
  <si>
    <t>P</t>
  </si>
  <si>
    <t>S</t>
  </si>
  <si>
    <t>MC</t>
  </si>
  <si>
    <t>C</t>
  </si>
  <si>
    <t>D</t>
  </si>
  <si>
    <t>EV</t>
  </si>
  <si>
    <t>Q126</t>
  </si>
  <si>
    <t>Q124</t>
  </si>
  <si>
    <t>Q224</t>
  </si>
  <si>
    <t>Q324</t>
  </si>
  <si>
    <t>Q125</t>
  </si>
  <si>
    <t>Q225</t>
  </si>
  <si>
    <t>Q325</t>
  </si>
  <si>
    <t>Q425</t>
  </si>
  <si>
    <t>Q226</t>
  </si>
  <si>
    <t>Q326</t>
  </si>
  <si>
    <t>Connectivity &amp; Sensors</t>
  </si>
  <si>
    <t>Advanced Cellular</t>
  </si>
  <si>
    <t>High Performance Analog</t>
  </si>
  <si>
    <t xml:space="preserve">Revenue </t>
  </si>
  <si>
    <t>$K</t>
  </si>
  <si>
    <t>M</t>
  </si>
  <si>
    <t>COGS</t>
  </si>
  <si>
    <t>R&amp;D</t>
  </si>
  <si>
    <t>Other Opex</t>
  </si>
  <si>
    <t>Op Income</t>
  </si>
  <si>
    <t xml:space="preserve">Interest Expense </t>
  </si>
  <si>
    <t xml:space="preserve">Other Income </t>
  </si>
  <si>
    <t xml:space="preserve">EBT </t>
  </si>
  <si>
    <t>Taxes</t>
  </si>
  <si>
    <t xml:space="preserve">Net Income </t>
  </si>
  <si>
    <t>Diluted</t>
  </si>
  <si>
    <t>G&amp;A</t>
  </si>
  <si>
    <t xml:space="preserve">Marketing </t>
  </si>
  <si>
    <t xml:space="preserve">Growth YY </t>
  </si>
  <si>
    <t>GM%</t>
  </si>
  <si>
    <t>OM%</t>
  </si>
  <si>
    <t xml:space="preserve">CEO </t>
  </si>
  <si>
    <t xml:space="preserve">CFO </t>
  </si>
  <si>
    <t>Connectivity and Sensor Group</t>
  </si>
  <si>
    <t xml:space="preserve">Advanced Cellular Group </t>
  </si>
  <si>
    <t>Segment</t>
  </si>
  <si>
    <t>HQ: San Jose, CA</t>
  </si>
  <si>
    <t>High power array radar</t>
  </si>
  <si>
    <t xml:space="preserve">Serves mobile market </t>
  </si>
  <si>
    <t>Primary End Markets</t>
  </si>
  <si>
    <t xml:space="preserve">Core Products </t>
  </si>
  <si>
    <t>Main Applications</t>
  </si>
  <si>
    <t xml:space="preserve">sells radio frequency &amp; power mgmt chips that control, amplify, filter, and connect wireless signals inside devices </t>
  </si>
  <si>
    <t>phone has to</t>
  </si>
  <si>
    <t>1. send a signal to cell tower</t>
  </si>
  <si>
    <t xml:space="preserve">2. receive data back </t>
  </si>
  <si>
    <t>3. manage battery power efficiently</t>
  </si>
  <si>
    <t xml:space="preserve">4. keep wi-fi, bluetooth, gps from interfering with each other </t>
  </si>
  <si>
    <t xml:space="preserve">Qorvo sells the chips that handle the radio signal part of that process </t>
  </si>
  <si>
    <t>Notes</t>
  </si>
  <si>
    <t xml:space="preserve">Inside the phone </t>
  </si>
  <si>
    <t xml:space="preserve">Application Processors (CPU/GPU) --&gt; thinks </t>
  </si>
  <si>
    <t xml:space="preserve">Modem--&gt; speaks digital cellular language </t>
  </si>
  <si>
    <t xml:space="preserve">Qorvo RF chips --&gt; handles the radio waves </t>
  </si>
  <si>
    <t xml:space="preserve">What the chips do </t>
  </si>
  <si>
    <t>Power Amplifier (PA) --&gt; boosts outgoing signal so the tower can hear you</t>
  </si>
  <si>
    <t>Filters --&gt; blocks unwanted frequencies so signals don't interfere</t>
  </si>
  <si>
    <t xml:space="preserve">Switches --&gt; route signals to the right antenna </t>
  </si>
  <si>
    <t>Antenna Tuners --&gt; adjusts signal depending onhow you'reholding the phone</t>
  </si>
  <si>
    <t xml:space="preserve">Envelope tracking PMIC --&gt; makes the power amplifier more battery efficient </t>
  </si>
  <si>
    <r>
      <rPr>
        <b/>
        <sz val="12"/>
        <color theme="1"/>
        <rFont val="Aptos Narrow"/>
        <scheme val="minor"/>
      </rPr>
      <t>advanced cellular group example:</t>
    </r>
    <r>
      <rPr>
        <sz val="12"/>
        <color theme="1"/>
        <rFont val="Aptos Narrow"/>
        <family val="2"/>
        <scheme val="minor"/>
      </rPr>
      <t xml:space="preserve"> you open instagram and hit refresh </t>
    </r>
  </si>
  <si>
    <t xml:space="preserve">Margins </t>
  </si>
  <si>
    <t xml:space="preserve">Cash </t>
  </si>
  <si>
    <t>Press Releases</t>
  </si>
  <si>
    <t xml:space="preserve">Contains </t>
  </si>
  <si>
    <t>Skyworks &amp; Qoro to merge t10/28/2025</t>
  </si>
  <si>
    <t xml:space="preserve">Skyworks &amp; Qoro to merge </t>
  </si>
  <si>
    <t>Shareholders</t>
  </si>
  <si>
    <t>32.50 in cash + 0.960 in Skyworks shares</t>
  </si>
  <si>
    <t>SWKS</t>
  </si>
  <si>
    <t xml:space="preserve">M&amp;A Math, Transaction Details </t>
  </si>
  <si>
    <t>Qrvo Shareholders Get ---&gt;</t>
  </si>
  <si>
    <t xml:space="preserve">Current Qrvo Implied Value </t>
  </si>
  <si>
    <t>Arbitrage Upside When Closed</t>
  </si>
  <si>
    <t xml:space="preserve">Players </t>
  </si>
  <si>
    <t xml:space="preserve">Skyworks Management </t>
  </si>
  <si>
    <t xml:space="preserve">Qorvo Management </t>
  </si>
  <si>
    <t>Shareholders (both sides)</t>
  </si>
  <si>
    <t>Regulators (US..maybe China)</t>
  </si>
  <si>
    <t xml:space="preserve">Apple </t>
  </si>
  <si>
    <t>Broadcom</t>
  </si>
  <si>
    <t>Broadcom (rival)</t>
  </si>
  <si>
    <t xml:space="preserve">Incentives </t>
  </si>
  <si>
    <t>scale</t>
  </si>
  <si>
    <t xml:space="preserve">cost synergies </t>
  </si>
  <si>
    <t>diversification</t>
  </si>
  <si>
    <t xml:space="preserve">accepts integration risk </t>
  </si>
  <si>
    <t xml:space="preserve">Skyworks </t>
  </si>
  <si>
    <t xml:space="preserve">Qorvo </t>
  </si>
  <si>
    <t xml:space="preserve">premium </t>
  </si>
  <si>
    <t xml:space="preserve">diversifies handset exposure </t>
  </si>
  <si>
    <t xml:space="preserve">Activist </t>
  </si>
  <si>
    <t xml:space="preserve">Starboard (owns ~8%) -- signed voting agreement </t>
  </si>
  <si>
    <t>Regulators</t>
  </si>
  <si>
    <t xml:space="preserve">Does this meanginfully reduce competition in RF front-end for smartphones </t>
  </si>
  <si>
    <t xml:space="preserve">remaining competitors </t>
  </si>
  <si>
    <t>Murata</t>
  </si>
  <si>
    <t>Qualcomm</t>
  </si>
  <si>
    <t>MediaTek</t>
  </si>
  <si>
    <t xml:space="preserve">Chinese RF vendors </t>
  </si>
  <si>
    <t>Note: market isn't a duopoly, stillplenty competition</t>
  </si>
  <si>
    <t>apple likes multiple suppliers</t>
  </si>
  <si>
    <t>pricing leverage</t>
  </si>
  <si>
    <t>competition</t>
  </si>
  <si>
    <t xml:space="preserve">If RF consolidates, apple loses leverage </t>
  </si>
  <si>
    <t xml:space="preserve">Apple would still have Broadcom  as a big supplier </t>
  </si>
  <si>
    <t>notes: Apple likely stays neutral</t>
  </si>
  <si>
    <t xml:space="preserve">Conclusion </t>
  </si>
  <si>
    <t xml:space="preserve">deal is defensive conoslidation </t>
  </si>
  <si>
    <t xml:space="preserve">no monopoly threat </t>
  </si>
  <si>
    <t xml:space="preserve">activist backing </t>
  </si>
  <si>
    <t xml:space="preserve">financing secured </t>
  </si>
  <si>
    <t>market is pricng ~9% spread as of 2.12.26</t>
  </si>
  <si>
    <t xml:space="preserve">market likely thinks 80-90% success of deal closing… to confirm with bayesian below </t>
  </si>
  <si>
    <t xml:space="preserve">Bayesian Expected Value </t>
  </si>
  <si>
    <t xml:space="preserve">Implied Deal Value </t>
  </si>
  <si>
    <t xml:space="preserve">Current Price </t>
  </si>
  <si>
    <t>Spread</t>
  </si>
  <si>
    <t>Assumes</t>
  </si>
  <si>
    <t>If deal closes, then QRVO --&gt; $90.34/shr</t>
  </si>
  <si>
    <t xml:space="preserve">If deal fails, then QRVO drops to standalone value </t>
  </si>
  <si>
    <t xml:space="preserve">Terminal </t>
  </si>
  <si>
    <t>Discount</t>
  </si>
  <si>
    <t>NPV</t>
  </si>
  <si>
    <t>Shares</t>
  </si>
  <si>
    <t xml:space="preserve">Estimate </t>
  </si>
  <si>
    <t xml:space="preserve">Standalone Value </t>
  </si>
  <si>
    <t xml:space="preserve">Scenarios </t>
  </si>
  <si>
    <t xml:space="preserve">Close </t>
  </si>
  <si>
    <t xml:space="preserve">Breakeven </t>
  </si>
  <si>
    <t>Expected Value = p(close) * 90.34 (1-p) * 65</t>
  </si>
  <si>
    <t>82.90=p * 90.34 + (1-p) * 65</t>
  </si>
  <si>
    <t>82.90 = 90.34p + 65 - 65p</t>
  </si>
  <si>
    <t>82.90 = 25.34p + 65</t>
  </si>
  <si>
    <t>17.9 = 25.34p</t>
  </si>
  <si>
    <t>p = 71%</t>
  </si>
  <si>
    <t>note: marketing pricing in ~71% probability of deal close undera $65 breakeven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</si>
</sst>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6" formatCode="m/d;@"/>
    <numFmt numFmtId="167" formatCode="#,##0.0"/>
    <numFmt numFmtId="169" formatCode="0.0%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b/>
      <sz val="12"/>
      <color theme="10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1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6" fontId="0" fillId="0" borderId="0" xfId="0" applyNumberFormat="1"/>
    <xf numFmtId="9" fontId="0" fillId="0" borderId="0" xfId="0" applyNumberFormat="1"/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9" fontId="0" fillId="0" borderId="0" xfId="1" applyNumberFormat="1" applyFont="1" applyAlignment="1">
      <alignment horizontal="right"/>
    </xf>
    <xf numFmtId="9" fontId="2" fillId="0" borderId="0" xfId="0" applyNumberFormat="1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4" fillId="0" borderId="0" xfId="0" applyFont="1"/>
    <xf numFmtId="3" fontId="0" fillId="0" borderId="0" xfId="0" applyNumberFormat="1" applyAlignment="1">
      <alignment horizontal="left" indent="1"/>
    </xf>
    <xf numFmtId="3" fontId="2" fillId="0" borderId="7" xfId="0" applyNumberFormat="1" applyFont="1" applyBorder="1"/>
    <xf numFmtId="3" fontId="2" fillId="0" borderId="7" xfId="0" applyNumberFormat="1" applyFont="1" applyBorder="1" applyAlignment="1">
      <alignment horizontal="right"/>
    </xf>
    <xf numFmtId="3" fontId="0" fillId="0" borderId="7" xfId="0" applyNumberFormat="1" applyBorder="1"/>
    <xf numFmtId="3" fontId="0" fillId="0" borderId="7" xfId="0" applyNumberFormat="1" applyBorder="1" applyAlignment="1">
      <alignment horizontal="right"/>
    </xf>
    <xf numFmtId="9" fontId="0" fillId="0" borderId="7" xfId="0" applyNumberFormat="1" applyBorder="1" applyAlignment="1">
      <alignment horizontal="right"/>
    </xf>
    <xf numFmtId="14" fontId="3" fillId="0" borderId="0" xfId="2" applyNumberForma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14" fontId="9" fillId="0" borderId="0" xfId="2" applyNumberFormat="1" applyFont="1" applyAlignment="1">
      <alignment horizontal="left"/>
    </xf>
    <xf numFmtId="14" fontId="10" fillId="0" borderId="0" xfId="2" applyNumberFormat="1" applyFont="1" applyAlignment="1">
      <alignment horizontal="left"/>
    </xf>
    <xf numFmtId="0" fontId="11" fillId="0" borderId="0" xfId="0" applyFont="1"/>
    <xf numFmtId="0" fontId="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2" fontId="0" fillId="0" borderId="0" xfId="0" applyNumberFormat="1"/>
    <xf numFmtId="8" fontId="0" fillId="0" borderId="0" xfId="0" applyNumberFormat="1"/>
    <xf numFmtId="169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699213</xdr:colOff>
      <xdr:row>0</xdr:row>
      <xdr:rowOff>57079</xdr:rowOff>
    </xdr:from>
    <xdr:to>
      <xdr:col>26</xdr:col>
      <xdr:colOff>42809</xdr:colOff>
      <xdr:row>40</xdr:row>
      <xdr:rowOff>171236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AA43F48-994C-FC0F-B9C3-7AE6AE97D71D}"/>
            </a:ext>
          </a:extLst>
        </xdr:cNvPr>
        <xdr:cNvCxnSpPr/>
      </xdr:nvCxnSpPr>
      <xdr:spPr>
        <a:xfrm>
          <a:off x="15432640" y="57079"/>
          <a:ext cx="42809" cy="810516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qorvo.com/newsroom/news/2025/skyworks-and-qorvo-to-combine-to-create-22-billion-us-based-lead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6672-01BF-524C-B69C-F1189B48B8B7}">
  <dimension ref="A1:L55"/>
  <sheetViews>
    <sheetView showGridLines="0" tabSelected="1" topLeftCell="C1" zoomScale="200" workbookViewId="0">
      <selection activeCell="C8" sqref="C8"/>
    </sheetView>
  </sheetViews>
  <sheetFormatPr baseColWidth="10" defaultRowHeight="16" x14ac:dyDescent="0.2"/>
  <cols>
    <col min="1" max="1" width="2" customWidth="1"/>
    <col min="2" max="2" width="26.33203125" bestFit="1" customWidth="1"/>
    <col min="3" max="3" width="19.5" bestFit="1" customWidth="1"/>
    <col min="4" max="6" width="19.5" customWidth="1"/>
    <col min="9" max="9" width="2.6640625" bestFit="1" customWidth="1"/>
    <col min="10" max="10" width="4" bestFit="1" customWidth="1"/>
    <col min="11" max="11" width="5.6640625" bestFit="1" customWidth="1"/>
    <col min="12" max="12" width="5.5" bestFit="1" customWidth="1"/>
  </cols>
  <sheetData>
    <row r="1" spans="1:12" x14ac:dyDescent="0.2">
      <c r="A1" s="1"/>
      <c r="J1" t="s">
        <v>75</v>
      </c>
      <c r="K1">
        <v>60.25</v>
      </c>
    </row>
    <row r="2" spans="1:12" x14ac:dyDescent="0.2">
      <c r="B2" t="s">
        <v>42</v>
      </c>
      <c r="J2" t="s">
        <v>0</v>
      </c>
      <c r="K2" s="2">
        <v>82.9</v>
      </c>
    </row>
    <row r="3" spans="1:12" x14ac:dyDescent="0.2">
      <c r="B3" t="s">
        <v>37</v>
      </c>
      <c r="I3" t="s">
        <v>21</v>
      </c>
      <c r="J3" t="s">
        <v>1</v>
      </c>
      <c r="K3" s="2">
        <v>92.705679000000003</v>
      </c>
      <c r="L3" t="s">
        <v>15</v>
      </c>
    </row>
    <row r="4" spans="1:12" x14ac:dyDescent="0.2">
      <c r="B4" t="s">
        <v>38</v>
      </c>
      <c r="J4" t="s">
        <v>2</v>
      </c>
      <c r="K4" s="2">
        <f>+K3*K2</f>
        <v>7685.3007891000007</v>
      </c>
    </row>
    <row r="5" spans="1:12" x14ac:dyDescent="0.2">
      <c r="I5" t="s">
        <v>21</v>
      </c>
      <c r="J5" t="s">
        <v>3</v>
      </c>
      <c r="K5" s="2">
        <v>1318.51</v>
      </c>
      <c r="L5" t="str">
        <f>+L3</f>
        <v>Q326</v>
      </c>
    </row>
    <row r="6" spans="1:12" x14ac:dyDescent="0.2">
      <c r="B6" s="20" t="s">
        <v>41</v>
      </c>
      <c r="C6" s="21" t="s">
        <v>45</v>
      </c>
      <c r="D6" s="21" t="s">
        <v>46</v>
      </c>
      <c r="E6" s="22" t="s">
        <v>47</v>
      </c>
      <c r="I6" t="s">
        <v>21</v>
      </c>
      <c r="J6" t="s">
        <v>4</v>
      </c>
      <c r="K6" s="2">
        <v>1549.17</v>
      </c>
      <c r="L6" t="str">
        <f>+L5</f>
        <v>Q326</v>
      </c>
    </row>
    <row r="7" spans="1:12" x14ac:dyDescent="0.2">
      <c r="B7" s="14" t="s">
        <v>18</v>
      </c>
      <c r="C7" s="15" t="s">
        <v>43</v>
      </c>
      <c r="D7" s="15"/>
      <c r="E7" s="16"/>
      <c r="J7" t="s">
        <v>5</v>
      </c>
      <c r="K7" s="2">
        <f>+K4-K5+K6</f>
        <v>7915.9607891000005</v>
      </c>
    </row>
    <row r="8" spans="1:12" x14ac:dyDescent="0.2">
      <c r="B8" s="14" t="s">
        <v>39</v>
      </c>
      <c r="C8" s="15" t="s">
        <v>44</v>
      </c>
      <c r="D8" s="15"/>
      <c r="E8" s="16"/>
    </row>
    <row r="9" spans="1:12" x14ac:dyDescent="0.2">
      <c r="B9" s="17" t="s">
        <v>40</v>
      </c>
      <c r="C9" s="18" t="s">
        <v>44</v>
      </c>
      <c r="D9" s="18"/>
      <c r="E9" s="19"/>
    </row>
    <row r="10" spans="1:12" x14ac:dyDescent="0.2">
      <c r="K10" t="s">
        <v>71</v>
      </c>
    </row>
    <row r="11" spans="1:12" x14ac:dyDescent="0.2">
      <c r="B11" s="23" t="s">
        <v>69</v>
      </c>
      <c r="C11" t="s">
        <v>70</v>
      </c>
    </row>
    <row r="12" spans="1:12" x14ac:dyDescent="0.2">
      <c r="B12" s="34">
        <v>45958</v>
      </c>
      <c r="C12" t="s">
        <v>72</v>
      </c>
    </row>
    <row r="13" spans="1:12" x14ac:dyDescent="0.2">
      <c r="B13" s="34"/>
    </row>
    <row r="14" spans="1:12" x14ac:dyDescent="0.2">
      <c r="B14" s="38" t="s">
        <v>76</v>
      </c>
    </row>
    <row r="15" spans="1:12" x14ac:dyDescent="0.2">
      <c r="B15" s="37" t="s">
        <v>73</v>
      </c>
    </row>
    <row r="16" spans="1:12" x14ac:dyDescent="0.2">
      <c r="B16" s="35" t="s">
        <v>77</v>
      </c>
      <c r="C16" t="s">
        <v>74</v>
      </c>
    </row>
    <row r="17" spans="2:3" x14ac:dyDescent="0.2">
      <c r="B17" s="35" t="s">
        <v>78</v>
      </c>
      <c r="C17">
        <f>32.5+(0.96*K1)</f>
        <v>90.34</v>
      </c>
    </row>
    <row r="18" spans="2:3" x14ac:dyDescent="0.2">
      <c r="B18" s="36" t="s">
        <v>79</v>
      </c>
      <c r="C18" s="5">
        <f>+C17/K2-1</f>
        <v>8.974668275030151E-2</v>
      </c>
    </row>
    <row r="35" spans="2:2" x14ac:dyDescent="0.2">
      <c r="B35" s="23" t="s">
        <v>55</v>
      </c>
    </row>
    <row r="36" spans="2:2" x14ac:dyDescent="0.2">
      <c r="B36" t="s">
        <v>48</v>
      </c>
    </row>
    <row r="37" spans="2:2" x14ac:dyDescent="0.2">
      <c r="B37" s="27" t="s">
        <v>66</v>
      </c>
    </row>
    <row r="38" spans="2:2" x14ac:dyDescent="0.2">
      <c r="B38" t="s">
        <v>49</v>
      </c>
    </row>
    <row r="39" spans="2:2" x14ac:dyDescent="0.2">
      <c r="B39" s="24" t="s">
        <v>50</v>
      </c>
    </row>
    <row r="40" spans="2:2" x14ac:dyDescent="0.2">
      <c r="B40" s="24" t="s">
        <v>51</v>
      </c>
    </row>
    <row r="41" spans="2:2" x14ac:dyDescent="0.2">
      <c r="B41" s="24" t="s">
        <v>52</v>
      </c>
    </row>
    <row r="42" spans="2:2" x14ac:dyDescent="0.2">
      <c r="B42" s="24" t="s">
        <v>53</v>
      </c>
    </row>
    <row r="43" spans="2:2" x14ac:dyDescent="0.2">
      <c r="B43" s="23" t="s">
        <v>54</v>
      </c>
    </row>
    <row r="45" spans="2:2" x14ac:dyDescent="0.2">
      <c r="B45" s="24" t="s">
        <v>56</v>
      </c>
    </row>
    <row r="46" spans="2:2" x14ac:dyDescent="0.2">
      <c r="B46" s="25" t="s">
        <v>57</v>
      </c>
    </row>
    <row r="47" spans="2:2" x14ac:dyDescent="0.2">
      <c r="B47" s="25" t="s">
        <v>58</v>
      </c>
    </row>
    <row r="48" spans="2:2" x14ac:dyDescent="0.2">
      <c r="B48" s="25" t="s">
        <v>59</v>
      </c>
    </row>
    <row r="50" spans="2:2" x14ac:dyDescent="0.2">
      <c r="B50" s="25" t="s">
        <v>60</v>
      </c>
    </row>
    <row r="51" spans="2:2" x14ac:dyDescent="0.2">
      <c r="B51" s="26" t="s">
        <v>61</v>
      </c>
    </row>
    <row r="52" spans="2:2" x14ac:dyDescent="0.2">
      <c r="B52" s="26" t="s">
        <v>62</v>
      </c>
    </row>
    <row r="53" spans="2:2" x14ac:dyDescent="0.2">
      <c r="B53" s="26" t="s">
        <v>63</v>
      </c>
    </row>
    <row r="54" spans="2:2" x14ac:dyDescent="0.2">
      <c r="B54" s="26" t="s">
        <v>64</v>
      </c>
    </row>
    <row r="55" spans="2:2" x14ac:dyDescent="0.2">
      <c r="B55" s="26" t="s">
        <v>65</v>
      </c>
    </row>
  </sheetData>
  <hyperlinks>
    <hyperlink ref="B12" r:id="rId1" display="https://www.qorvo.com/newsroom/news/2025/skyworks-and-qorvo-to-combine-to-create-22-billion-us-based-leader" xr:uid="{0EAA8A76-582B-1844-858C-5027198F3D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AC60-BAD1-5C4F-93FA-6963D63E9E8C}">
  <dimension ref="C5:D77"/>
  <sheetViews>
    <sheetView topLeftCell="A9" zoomScale="150" workbookViewId="0">
      <selection activeCell="C5" sqref="C5"/>
    </sheetView>
  </sheetViews>
  <sheetFormatPr baseColWidth="10" defaultRowHeight="16" x14ac:dyDescent="0.2"/>
  <cols>
    <col min="3" max="3" width="16.83203125" customWidth="1"/>
    <col min="4" max="4" width="17.5" bestFit="1" customWidth="1"/>
  </cols>
  <sheetData>
    <row r="5" spans="3:3" x14ac:dyDescent="0.2">
      <c r="C5" s="23" t="s">
        <v>80</v>
      </c>
    </row>
    <row r="6" spans="3:3" x14ac:dyDescent="0.2">
      <c r="C6" t="s">
        <v>81</v>
      </c>
    </row>
    <row r="7" spans="3:3" x14ac:dyDescent="0.2">
      <c r="C7" t="s">
        <v>82</v>
      </c>
    </row>
    <row r="8" spans="3:3" x14ac:dyDescent="0.2">
      <c r="C8" t="s">
        <v>83</v>
      </c>
    </row>
    <row r="9" spans="3:3" x14ac:dyDescent="0.2">
      <c r="C9" t="s">
        <v>84</v>
      </c>
    </row>
    <row r="10" spans="3:3" x14ac:dyDescent="0.2">
      <c r="C10" t="s">
        <v>85</v>
      </c>
    </row>
    <row r="11" spans="3:3" x14ac:dyDescent="0.2">
      <c r="C11" t="s">
        <v>87</v>
      </c>
    </row>
    <row r="14" spans="3:3" x14ac:dyDescent="0.2">
      <c r="C14" s="27" t="s">
        <v>88</v>
      </c>
    </row>
    <row r="15" spans="3:3" x14ac:dyDescent="0.2">
      <c r="C15" s="23" t="s">
        <v>93</v>
      </c>
    </row>
    <row r="16" spans="3:3" x14ac:dyDescent="0.2">
      <c r="C16" s="24" t="s">
        <v>89</v>
      </c>
    </row>
    <row r="17" spans="3:3" x14ac:dyDescent="0.2">
      <c r="C17" s="24" t="s">
        <v>90</v>
      </c>
    </row>
    <row r="18" spans="3:3" x14ac:dyDescent="0.2">
      <c r="C18" s="24" t="s">
        <v>91</v>
      </c>
    </row>
    <row r="19" spans="3:3" x14ac:dyDescent="0.2">
      <c r="C19" s="24" t="s">
        <v>92</v>
      </c>
    </row>
    <row r="21" spans="3:3" x14ac:dyDescent="0.2">
      <c r="C21" s="23" t="s">
        <v>94</v>
      </c>
    </row>
    <row r="22" spans="3:3" x14ac:dyDescent="0.2">
      <c r="C22" s="24" t="s">
        <v>95</v>
      </c>
    </row>
    <row r="23" spans="3:3" x14ac:dyDescent="0.2">
      <c r="C23" s="24" t="s">
        <v>89</v>
      </c>
    </row>
    <row r="24" spans="3:3" x14ac:dyDescent="0.2">
      <c r="C24" s="24" t="s">
        <v>96</v>
      </c>
    </row>
    <row r="25" spans="3:3" x14ac:dyDescent="0.2">
      <c r="C25" s="24"/>
    </row>
    <row r="26" spans="3:3" x14ac:dyDescent="0.2">
      <c r="C26" s="40" t="s">
        <v>97</v>
      </c>
    </row>
    <row r="27" spans="3:3" x14ac:dyDescent="0.2">
      <c r="C27" s="24" t="s">
        <v>98</v>
      </c>
    </row>
    <row r="30" spans="3:3" x14ac:dyDescent="0.2">
      <c r="C30" s="23" t="s">
        <v>99</v>
      </c>
    </row>
    <row r="31" spans="3:3" x14ac:dyDescent="0.2">
      <c r="C31" s="27" t="s">
        <v>100</v>
      </c>
    </row>
    <row r="32" spans="3:3" x14ac:dyDescent="0.2">
      <c r="C32" t="s">
        <v>101</v>
      </c>
    </row>
    <row r="33" spans="3:3" x14ac:dyDescent="0.2">
      <c r="C33" s="24" t="s">
        <v>86</v>
      </c>
    </row>
    <row r="34" spans="3:3" x14ac:dyDescent="0.2">
      <c r="C34" s="24" t="s">
        <v>102</v>
      </c>
    </row>
    <row r="35" spans="3:3" x14ac:dyDescent="0.2">
      <c r="C35" s="24" t="s">
        <v>103</v>
      </c>
    </row>
    <row r="36" spans="3:3" x14ac:dyDescent="0.2">
      <c r="C36" s="24" t="s">
        <v>104</v>
      </c>
    </row>
    <row r="37" spans="3:3" x14ac:dyDescent="0.2">
      <c r="C37" s="24" t="s">
        <v>105</v>
      </c>
    </row>
    <row r="38" spans="3:3" x14ac:dyDescent="0.2">
      <c r="C38" s="41" t="s">
        <v>106</v>
      </c>
    </row>
    <row r="41" spans="3:3" x14ac:dyDescent="0.2">
      <c r="C41" s="23" t="s">
        <v>85</v>
      </c>
    </row>
    <row r="42" spans="3:3" x14ac:dyDescent="0.2">
      <c r="C42" t="s">
        <v>107</v>
      </c>
    </row>
    <row r="43" spans="3:3" x14ac:dyDescent="0.2">
      <c r="C43" t="s">
        <v>108</v>
      </c>
    </row>
    <row r="44" spans="3:3" x14ac:dyDescent="0.2">
      <c r="C44" t="s">
        <v>109</v>
      </c>
    </row>
    <row r="45" spans="3:3" x14ac:dyDescent="0.2">
      <c r="C45" t="s">
        <v>110</v>
      </c>
    </row>
    <row r="46" spans="3:3" x14ac:dyDescent="0.2">
      <c r="C46" t="s">
        <v>111</v>
      </c>
    </row>
    <row r="47" spans="3:3" x14ac:dyDescent="0.2">
      <c r="C47" s="39" t="s">
        <v>112</v>
      </c>
    </row>
    <row r="49" spans="3:4" x14ac:dyDescent="0.2">
      <c r="C49" t="s">
        <v>113</v>
      </c>
    </row>
    <row r="50" spans="3:4" x14ac:dyDescent="0.2">
      <c r="C50" t="s">
        <v>114</v>
      </c>
    </row>
    <row r="51" spans="3:4" x14ac:dyDescent="0.2">
      <c r="C51" t="s">
        <v>115</v>
      </c>
    </row>
    <row r="52" spans="3:4" x14ac:dyDescent="0.2">
      <c r="C52" t="s">
        <v>116</v>
      </c>
    </row>
    <row r="53" spans="3:4" x14ac:dyDescent="0.2">
      <c r="C53" t="s">
        <v>117</v>
      </c>
    </row>
    <row r="54" spans="3:4" x14ac:dyDescent="0.2">
      <c r="C54" s="39" t="s">
        <v>118</v>
      </c>
    </row>
    <row r="55" spans="3:4" x14ac:dyDescent="0.2">
      <c r="C55" s="39" t="s">
        <v>119</v>
      </c>
    </row>
    <row r="58" spans="3:4" x14ac:dyDescent="0.2">
      <c r="C58" s="23" t="s">
        <v>120</v>
      </c>
    </row>
    <row r="59" spans="3:4" x14ac:dyDescent="0.2">
      <c r="C59" t="s">
        <v>121</v>
      </c>
      <c r="D59" s="42">
        <f>+Main!C17</f>
        <v>90.34</v>
      </c>
    </row>
    <row r="60" spans="3:4" x14ac:dyDescent="0.2">
      <c r="C60" t="s">
        <v>122</v>
      </c>
      <c r="D60" s="42">
        <f>+Main!K2</f>
        <v>82.9</v>
      </c>
    </row>
    <row r="61" spans="3:4" x14ac:dyDescent="0.2">
      <c r="C61" t="s">
        <v>123</v>
      </c>
      <c r="D61" s="42">
        <f>+D59-D60</f>
        <v>7.4399999999999977</v>
      </c>
    </row>
    <row r="62" spans="3:4" x14ac:dyDescent="0.2">
      <c r="C62" t="s">
        <v>124</v>
      </c>
    </row>
    <row r="63" spans="3:4" x14ac:dyDescent="0.2">
      <c r="C63" s="39" t="s">
        <v>125</v>
      </c>
    </row>
    <row r="64" spans="3:4" x14ac:dyDescent="0.2">
      <c r="C64" s="39" t="s">
        <v>126</v>
      </c>
    </row>
    <row r="65" spans="3:4" x14ac:dyDescent="0.2">
      <c r="C65" t="s">
        <v>132</v>
      </c>
      <c r="D65" s="1">
        <f>+Model!AL25</f>
        <v>65.415428022300787</v>
      </c>
    </row>
    <row r="66" spans="3:4" x14ac:dyDescent="0.2">
      <c r="C66" s="23" t="s">
        <v>133</v>
      </c>
      <c r="D66" s="23"/>
    </row>
    <row r="67" spans="3:4" x14ac:dyDescent="0.2">
      <c r="C67" t="s">
        <v>134</v>
      </c>
      <c r="D67" s="42">
        <f>+D61</f>
        <v>7.4399999999999977</v>
      </c>
    </row>
    <row r="68" spans="3:4" x14ac:dyDescent="0.2">
      <c r="C68" t="s">
        <v>135</v>
      </c>
      <c r="D68" s="42">
        <f>+D65-D60</f>
        <v>-17.484571977699218</v>
      </c>
    </row>
    <row r="70" spans="3:4" x14ac:dyDescent="0.2">
      <c r="C70" t="s">
        <v>136</v>
      </c>
    </row>
    <row r="72" spans="3:4" x14ac:dyDescent="0.2">
      <c r="D72" t="s">
        <v>137</v>
      </c>
    </row>
    <row r="73" spans="3:4" x14ac:dyDescent="0.2">
      <c r="D73" t="s">
        <v>138</v>
      </c>
    </row>
    <row r="74" spans="3:4" x14ac:dyDescent="0.2">
      <c r="D74" t="s">
        <v>139</v>
      </c>
    </row>
    <row r="75" spans="3:4" x14ac:dyDescent="0.2">
      <c r="D75" t="s">
        <v>140</v>
      </c>
    </row>
    <row r="76" spans="3:4" x14ac:dyDescent="0.2">
      <c r="D76" t="s">
        <v>141</v>
      </c>
    </row>
    <row r="77" spans="3:4" x14ac:dyDescent="0.2">
      <c r="D77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F355-A88E-AA42-AB80-3868D305CB56}">
  <dimension ref="B2:ID35"/>
  <sheetViews>
    <sheetView showGridLines="0" zoomScale="178" workbookViewId="0">
      <pane xSplit="2" ySplit="3" topLeftCell="G4" activePane="bottomRight" state="frozen"/>
      <selection pane="topRight" activeCell="C1" sqref="C1"/>
      <selection pane="bottomLeft" activeCell="A3" sqref="A3"/>
      <selection pane="bottomRight" activeCell="L7" sqref="I7:L7"/>
    </sheetView>
  </sheetViews>
  <sheetFormatPr baseColWidth="10" defaultRowHeight="16" x14ac:dyDescent="0.2"/>
  <cols>
    <col min="1" max="1" width="1.33203125" style="2" customWidth="1"/>
    <col min="2" max="2" width="22.5" style="2" bestFit="1" customWidth="1"/>
    <col min="3" max="4" width="5.5" style="8" bestFit="1" customWidth="1"/>
    <col min="5" max="5" width="9.1640625" style="8" bestFit="1" customWidth="1"/>
    <col min="6" max="6" width="8.33203125" style="8" bestFit="1" customWidth="1"/>
    <col min="7" max="7" width="9.1640625" style="8" bestFit="1" customWidth="1"/>
    <col min="8" max="8" width="7.6640625" style="8" bestFit="1" customWidth="1"/>
    <col min="9" max="9" width="9.1640625" style="8" bestFit="1" customWidth="1"/>
    <col min="10" max="10" width="7.6640625" style="8" bestFit="1" customWidth="1"/>
    <col min="11" max="11" width="9.1640625" style="8" bestFit="1" customWidth="1"/>
    <col min="12" max="12" width="7.6640625" style="8" bestFit="1" customWidth="1"/>
    <col min="13" max="13" width="9.1640625" style="8" bestFit="1" customWidth="1"/>
    <col min="14" max="15" width="10.83203125" style="2"/>
    <col min="16" max="23" width="5.1640625" style="2" bestFit="1" customWidth="1"/>
    <col min="24" max="36" width="9.1640625" style="2" bestFit="1" customWidth="1"/>
    <col min="37" max="37" width="10.83203125" style="2"/>
    <col min="38" max="38" width="14.33203125" style="2" bestFit="1" customWidth="1"/>
    <col min="39" max="16384" width="10.83203125" style="2"/>
  </cols>
  <sheetData>
    <row r="2" spans="2:238" s="4" customFormat="1" x14ac:dyDescent="0.2">
      <c r="B2" s="4" t="s">
        <v>20</v>
      </c>
      <c r="C2" s="6"/>
      <c r="D2" s="6"/>
      <c r="E2" s="6"/>
      <c r="F2" s="6">
        <v>45471</v>
      </c>
      <c r="G2" s="6">
        <v>45563</v>
      </c>
      <c r="H2" s="6">
        <v>45654</v>
      </c>
      <c r="I2" s="6"/>
      <c r="J2" s="6">
        <v>45836</v>
      </c>
      <c r="K2" s="6">
        <v>45927</v>
      </c>
      <c r="L2" s="6">
        <v>46018</v>
      </c>
      <c r="M2" s="6"/>
      <c r="AK2" s="42">
        <v>1</v>
      </c>
      <c r="AL2" s="42">
        <f>+AK2+1</f>
        <v>2</v>
      </c>
      <c r="AM2" s="42">
        <f t="shared" ref="AM2:CX3" si="0">+AL2+1</f>
        <v>3</v>
      </c>
      <c r="AN2" s="42">
        <f t="shared" si="0"/>
        <v>4</v>
      </c>
      <c r="AO2" s="42">
        <f t="shared" si="0"/>
        <v>5</v>
      </c>
      <c r="AP2" s="42">
        <f t="shared" si="0"/>
        <v>6</v>
      </c>
      <c r="AQ2" s="42">
        <f t="shared" si="0"/>
        <v>7</v>
      </c>
      <c r="AR2" s="42">
        <f t="shared" si="0"/>
        <v>8</v>
      </c>
      <c r="AS2" s="42">
        <f t="shared" si="0"/>
        <v>9</v>
      </c>
      <c r="AT2" s="42">
        <f t="shared" si="0"/>
        <v>10</v>
      </c>
      <c r="AU2" s="42">
        <f t="shared" si="0"/>
        <v>11</v>
      </c>
      <c r="AV2" s="42">
        <f t="shared" si="0"/>
        <v>12</v>
      </c>
      <c r="AW2" s="42">
        <f t="shared" si="0"/>
        <v>13</v>
      </c>
      <c r="AX2" s="42">
        <f t="shared" si="0"/>
        <v>14</v>
      </c>
      <c r="AY2" s="42">
        <f t="shared" si="0"/>
        <v>15</v>
      </c>
      <c r="AZ2" s="42">
        <f t="shared" si="0"/>
        <v>16</v>
      </c>
      <c r="BA2" s="42">
        <f t="shared" si="0"/>
        <v>17</v>
      </c>
      <c r="BB2" s="42">
        <f t="shared" si="0"/>
        <v>18</v>
      </c>
      <c r="BC2" s="42">
        <f t="shared" si="0"/>
        <v>19</v>
      </c>
      <c r="BD2" s="42">
        <f t="shared" si="0"/>
        <v>20</v>
      </c>
      <c r="BE2" s="42">
        <f t="shared" si="0"/>
        <v>21</v>
      </c>
      <c r="BF2" s="42">
        <f t="shared" si="0"/>
        <v>22</v>
      </c>
      <c r="BG2" s="42">
        <f t="shared" si="0"/>
        <v>23</v>
      </c>
      <c r="BH2" s="42">
        <f t="shared" si="0"/>
        <v>24</v>
      </c>
      <c r="BI2" s="42">
        <f t="shared" si="0"/>
        <v>25</v>
      </c>
      <c r="BJ2" s="42">
        <f t="shared" si="0"/>
        <v>26</v>
      </c>
      <c r="BK2" s="42">
        <f t="shared" si="0"/>
        <v>27</v>
      </c>
      <c r="BL2" s="42">
        <f t="shared" si="0"/>
        <v>28</v>
      </c>
      <c r="BM2" s="42">
        <f t="shared" si="0"/>
        <v>29</v>
      </c>
      <c r="BN2" s="42">
        <f t="shared" si="0"/>
        <v>30</v>
      </c>
      <c r="BO2" s="42">
        <f t="shared" si="0"/>
        <v>31</v>
      </c>
      <c r="BP2" s="42">
        <f t="shared" si="0"/>
        <v>32</v>
      </c>
      <c r="BQ2" s="42">
        <f t="shared" si="0"/>
        <v>33</v>
      </c>
      <c r="BR2" s="42">
        <f t="shared" si="0"/>
        <v>34</v>
      </c>
      <c r="BS2" s="42">
        <f t="shared" si="0"/>
        <v>35</v>
      </c>
      <c r="BT2" s="42">
        <f t="shared" si="0"/>
        <v>36</v>
      </c>
      <c r="BU2" s="42">
        <f t="shared" si="0"/>
        <v>37</v>
      </c>
      <c r="BV2" s="42">
        <f t="shared" si="0"/>
        <v>38</v>
      </c>
      <c r="BW2" s="42">
        <f t="shared" si="0"/>
        <v>39</v>
      </c>
      <c r="BX2" s="42">
        <f t="shared" si="0"/>
        <v>40</v>
      </c>
      <c r="BY2" s="42">
        <f t="shared" si="0"/>
        <v>41</v>
      </c>
      <c r="BZ2" s="42">
        <f t="shared" si="0"/>
        <v>42</v>
      </c>
      <c r="CA2" s="42">
        <f t="shared" si="0"/>
        <v>43</v>
      </c>
      <c r="CB2" s="42">
        <f t="shared" si="0"/>
        <v>44</v>
      </c>
      <c r="CC2" s="42">
        <f t="shared" si="0"/>
        <v>45</v>
      </c>
      <c r="CD2" s="42">
        <f t="shared" si="0"/>
        <v>46</v>
      </c>
      <c r="CE2" s="42">
        <f t="shared" si="0"/>
        <v>47</v>
      </c>
      <c r="CF2" s="42">
        <f t="shared" si="0"/>
        <v>48</v>
      </c>
      <c r="CG2" s="42">
        <f t="shared" si="0"/>
        <v>49</v>
      </c>
      <c r="CH2" s="42">
        <f t="shared" si="0"/>
        <v>50</v>
      </c>
      <c r="CI2" s="42">
        <f t="shared" si="0"/>
        <v>51</v>
      </c>
      <c r="CJ2" s="42">
        <f t="shared" si="0"/>
        <v>52</v>
      </c>
      <c r="CK2" s="42">
        <f t="shared" si="0"/>
        <v>53</v>
      </c>
      <c r="CL2" s="42">
        <f t="shared" si="0"/>
        <v>54</v>
      </c>
      <c r="CM2" s="42">
        <f t="shared" si="0"/>
        <v>55</v>
      </c>
      <c r="CN2" s="42">
        <f t="shared" si="0"/>
        <v>56</v>
      </c>
      <c r="CO2" s="42">
        <f t="shared" si="0"/>
        <v>57</v>
      </c>
      <c r="CP2" s="42">
        <f t="shared" si="0"/>
        <v>58</v>
      </c>
      <c r="CQ2" s="42">
        <f t="shared" si="0"/>
        <v>59</v>
      </c>
      <c r="CR2" s="42">
        <f t="shared" si="0"/>
        <v>60</v>
      </c>
      <c r="CS2" s="42">
        <f t="shared" si="0"/>
        <v>61</v>
      </c>
      <c r="CT2" s="42">
        <f t="shared" si="0"/>
        <v>62</v>
      </c>
      <c r="CU2" s="42">
        <f t="shared" si="0"/>
        <v>63</v>
      </c>
      <c r="CV2" s="42">
        <f t="shared" si="0"/>
        <v>64</v>
      </c>
      <c r="CW2" s="42">
        <f t="shared" si="0"/>
        <v>65</v>
      </c>
      <c r="CX2" s="42">
        <f t="shared" si="0"/>
        <v>66</v>
      </c>
      <c r="CY2" s="42">
        <f t="shared" ref="CY2:FJ3" si="1">+CX2+1</f>
        <v>67</v>
      </c>
      <c r="CZ2" s="42">
        <f t="shared" si="1"/>
        <v>68</v>
      </c>
      <c r="DA2" s="42">
        <f t="shared" si="1"/>
        <v>69</v>
      </c>
      <c r="DB2" s="42">
        <f t="shared" si="1"/>
        <v>70</v>
      </c>
      <c r="DC2" s="42">
        <f t="shared" si="1"/>
        <v>71</v>
      </c>
      <c r="DD2" s="42">
        <f t="shared" si="1"/>
        <v>72</v>
      </c>
      <c r="DE2" s="42">
        <f t="shared" si="1"/>
        <v>73</v>
      </c>
      <c r="DF2" s="42">
        <f t="shared" si="1"/>
        <v>74</v>
      </c>
      <c r="DG2" s="42">
        <f t="shared" si="1"/>
        <v>75</v>
      </c>
      <c r="DH2" s="42">
        <f t="shared" si="1"/>
        <v>76</v>
      </c>
      <c r="DI2" s="42">
        <f t="shared" si="1"/>
        <v>77</v>
      </c>
      <c r="DJ2" s="42">
        <f t="shared" si="1"/>
        <v>78</v>
      </c>
      <c r="DK2" s="42">
        <f t="shared" si="1"/>
        <v>79</v>
      </c>
      <c r="DL2" s="42">
        <f t="shared" si="1"/>
        <v>80</v>
      </c>
      <c r="DM2" s="42">
        <f t="shared" si="1"/>
        <v>81</v>
      </c>
      <c r="DN2" s="42">
        <f t="shared" si="1"/>
        <v>82</v>
      </c>
      <c r="DO2" s="42">
        <f t="shared" si="1"/>
        <v>83</v>
      </c>
      <c r="DP2" s="42">
        <f t="shared" si="1"/>
        <v>84</v>
      </c>
      <c r="DQ2" s="42">
        <f t="shared" si="1"/>
        <v>85</v>
      </c>
      <c r="DR2" s="42">
        <f t="shared" si="1"/>
        <v>86</v>
      </c>
      <c r="DS2" s="42">
        <f t="shared" si="1"/>
        <v>87</v>
      </c>
      <c r="DT2" s="42">
        <f t="shared" si="1"/>
        <v>88</v>
      </c>
      <c r="DU2" s="42">
        <f t="shared" si="1"/>
        <v>89</v>
      </c>
      <c r="DV2" s="42">
        <f t="shared" si="1"/>
        <v>90</v>
      </c>
      <c r="DW2" s="42">
        <f t="shared" si="1"/>
        <v>91</v>
      </c>
      <c r="DX2" s="42">
        <f t="shared" si="1"/>
        <v>92</v>
      </c>
      <c r="DY2" s="42">
        <f t="shared" si="1"/>
        <v>93</v>
      </c>
      <c r="DZ2" s="42">
        <f t="shared" si="1"/>
        <v>94</v>
      </c>
      <c r="EA2" s="42">
        <f t="shared" si="1"/>
        <v>95</v>
      </c>
      <c r="EB2" s="42">
        <f t="shared" si="1"/>
        <v>96</v>
      </c>
      <c r="EC2" s="42">
        <f t="shared" si="1"/>
        <v>97</v>
      </c>
      <c r="ED2" s="42">
        <f t="shared" si="1"/>
        <v>98</v>
      </c>
      <c r="EE2" s="42">
        <f t="shared" si="1"/>
        <v>99</v>
      </c>
      <c r="EF2" s="42">
        <f t="shared" si="1"/>
        <v>100</v>
      </c>
      <c r="EG2" s="42">
        <f t="shared" si="1"/>
        <v>101</v>
      </c>
      <c r="EH2" s="42">
        <f t="shared" si="1"/>
        <v>102</v>
      </c>
      <c r="EI2" s="42">
        <f t="shared" si="1"/>
        <v>103</v>
      </c>
      <c r="EJ2" s="42">
        <f t="shared" si="1"/>
        <v>104</v>
      </c>
      <c r="EK2" s="42">
        <f t="shared" si="1"/>
        <v>105</v>
      </c>
      <c r="EL2" s="42">
        <f t="shared" si="1"/>
        <v>106</v>
      </c>
      <c r="EM2" s="42">
        <f t="shared" si="1"/>
        <v>107</v>
      </c>
      <c r="EN2" s="42">
        <f t="shared" si="1"/>
        <v>108</v>
      </c>
      <c r="EO2" s="42">
        <f t="shared" si="1"/>
        <v>109</v>
      </c>
      <c r="EP2" s="42">
        <f t="shared" si="1"/>
        <v>110</v>
      </c>
      <c r="EQ2" s="42">
        <f t="shared" si="1"/>
        <v>111</v>
      </c>
      <c r="ER2" s="42">
        <f t="shared" si="1"/>
        <v>112</v>
      </c>
      <c r="ES2" s="42">
        <f t="shared" si="1"/>
        <v>113</v>
      </c>
      <c r="ET2" s="42">
        <f t="shared" si="1"/>
        <v>114</v>
      </c>
      <c r="EU2" s="42">
        <f t="shared" si="1"/>
        <v>115</v>
      </c>
      <c r="EV2" s="42">
        <f t="shared" si="1"/>
        <v>116</v>
      </c>
      <c r="EW2" s="42">
        <f t="shared" si="1"/>
        <v>117</v>
      </c>
      <c r="EX2" s="42">
        <f t="shared" si="1"/>
        <v>118</v>
      </c>
      <c r="EY2" s="42">
        <f t="shared" si="1"/>
        <v>119</v>
      </c>
      <c r="EZ2" s="42">
        <f t="shared" si="1"/>
        <v>120</v>
      </c>
      <c r="FA2" s="42">
        <f t="shared" si="1"/>
        <v>121</v>
      </c>
      <c r="FB2" s="42">
        <f t="shared" si="1"/>
        <v>122</v>
      </c>
      <c r="FC2" s="42">
        <f t="shared" si="1"/>
        <v>123</v>
      </c>
      <c r="FD2" s="42">
        <f t="shared" si="1"/>
        <v>124</v>
      </c>
      <c r="FE2" s="42">
        <f t="shared" si="1"/>
        <v>125</v>
      </c>
      <c r="FF2" s="42">
        <f t="shared" si="1"/>
        <v>126</v>
      </c>
      <c r="FG2" s="42">
        <f t="shared" si="1"/>
        <v>127</v>
      </c>
      <c r="FH2" s="42">
        <f t="shared" si="1"/>
        <v>128</v>
      </c>
      <c r="FI2" s="42">
        <f t="shared" si="1"/>
        <v>129</v>
      </c>
      <c r="FJ2" s="42">
        <f t="shared" si="1"/>
        <v>130</v>
      </c>
      <c r="FK2" s="42">
        <f t="shared" ref="FK2:HP3" si="2">+FJ2+1</f>
        <v>131</v>
      </c>
      <c r="FL2" s="42">
        <f t="shared" si="2"/>
        <v>132</v>
      </c>
      <c r="FM2" s="42">
        <f t="shared" si="2"/>
        <v>133</v>
      </c>
      <c r="FN2" s="42">
        <f t="shared" si="2"/>
        <v>134</v>
      </c>
      <c r="FO2" s="42">
        <f t="shared" si="2"/>
        <v>135</v>
      </c>
      <c r="FP2" s="42">
        <f t="shared" si="2"/>
        <v>136</v>
      </c>
      <c r="FQ2" s="42">
        <f t="shared" si="2"/>
        <v>137</v>
      </c>
      <c r="FR2" s="42">
        <f t="shared" si="2"/>
        <v>138</v>
      </c>
      <c r="FS2" s="42">
        <f t="shared" si="2"/>
        <v>139</v>
      </c>
      <c r="FT2" s="42">
        <f t="shared" si="2"/>
        <v>140</v>
      </c>
      <c r="FU2" s="42">
        <f t="shared" si="2"/>
        <v>141</v>
      </c>
      <c r="FV2" s="42">
        <f t="shared" si="2"/>
        <v>142</v>
      </c>
      <c r="FW2" s="42">
        <f t="shared" si="2"/>
        <v>143</v>
      </c>
      <c r="FX2" s="42">
        <f t="shared" si="2"/>
        <v>144</v>
      </c>
      <c r="FY2" s="42">
        <f t="shared" si="2"/>
        <v>145</v>
      </c>
      <c r="FZ2" s="42">
        <f t="shared" si="2"/>
        <v>146</v>
      </c>
      <c r="GA2" s="42">
        <f t="shared" si="2"/>
        <v>147</v>
      </c>
      <c r="GB2" s="42">
        <f t="shared" si="2"/>
        <v>148</v>
      </c>
      <c r="GC2" s="42">
        <f t="shared" si="2"/>
        <v>149</v>
      </c>
      <c r="GD2" s="42">
        <f t="shared" si="2"/>
        <v>150</v>
      </c>
      <c r="GE2" s="42">
        <f t="shared" si="2"/>
        <v>151</v>
      </c>
      <c r="GF2" s="42">
        <f t="shared" si="2"/>
        <v>152</v>
      </c>
      <c r="GG2" s="42">
        <f t="shared" si="2"/>
        <v>153</v>
      </c>
      <c r="GH2" s="42">
        <f t="shared" si="2"/>
        <v>154</v>
      </c>
      <c r="GI2" s="42">
        <f t="shared" si="2"/>
        <v>155</v>
      </c>
      <c r="GJ2" s="42">
        <f t="shared" si="2"/>
        <v>156</v>
      </c>
      <c r="GK2" s="42">
        <f t="shared" si="2"/>
        <v>157</v>
      </c>
      <c r="GL2" s="42">
        <f t="shared" si="2"/>
        <v>158</v>
      </c>
      <c r="GM2" s="42">
        <f t="shared" si="2"/>
        <v>159</v>
      </c>
      <c r="GN2" s="42">
        <f t="shared" si="2"/>
        <v>160</v>
      </c>
      <c r="GO2" s="42">
        <f t="shared" si="2"/>
        <v>161</v>
      </c>
      <c r="GP2" s="42">
        <f t="shared" si="2"/>
        <v>162</v>
      </c>
      <c r="GQ2" s="42">
        <f t="shared" si="2"/>
        <v>163</v>
      </c>
      <c r="GR2" s="42">
        <f t="shared" si="2"/>
        <v>164</v>
      </c>
      <c r="GS2" s="42">
        <f t="shared" si="2"/>
        <v>165</v>
      </c>
      <c r="GT2" s="42">
        <f t="shared" si="2"/>
        <v>166</v>
      </c>
      <c r="GU2" s="42">
        <f t="shared" si="2"/>
        <v>167</v>
      </c>
      <c r="GV2" s="42">
        <f t="shared" si="2"/>
        <v>168</v>
      </c>
      <c r="GW2" s="42">
        <f t="shared" si="2"/>
        <v>169</v>
      </c>
      <c r="GX2" s="42">
        <f t="shared" si="2"/>
        <v>170</v>
      </c>
      <c r="GY2" s="42">
        <f t="shared" si="2"/>
        <v>171</v>
      </c>
      <c r="GZ2" s="42">
        <f t="shared" si="2"/>
        <v>172</v>
      </c>
      <c r="HA2" s="42">
        <f t="shared" si="2"/>
        <v>173</v>
      </c>
      <c r="HB2" s="42">
        <f t="shared" si="2"/>
        <v>174</v>
      </c>
      <c r="HC2" s="42">
        <f t="shared" si="2"/>
        <v>175</v>
      </c>
      <c r="HD2" s="42">
        <f t="shared" si="2"/>
        <v>176</v>
      </c>
      <c r="HE2" s="42">
        <f t="shared" si="2"/>
        <v>177</v>
      </c>
      <c r="HF2" s="42">
        <f t="shared" si="2"/>
        <v>178</v>
      </c>
      <c r="HG2" s="42">
        <f t="shared" si="2"/>
        <v>179</v>
      </c>
      <c r="HH2" s="42">
        <f t="shared" si="2"/>
        <v>180</v>
      </c>
      <c r="HI2" s="42">
        <f t="shared" si="2"/>
        <v>181</v>
      </c>
      <c r="HJ2" s="42">
        <f t="shared" si="2"/>
        <v>182</v>
      </c>
      <c r="HK2" s="42">
        <f t="shared" si="2"/>
        <v>183</v>
      </c>
      <c r="HL2" s="42">
        <f t="shared" si="2"/>
        <v>184</v>
      </c>
      <c r="HM2" s="42">
        <f t="shared" si="2"/>
        <v>185</v>
      </c>
      <c r="HN2" s="42">
        <f t="shared" si="2"/>
        <v>186</v>
      </c>
      <c r="HO2" s="42">
        <f t="shared" si="2"/>
        <v>187</v>
      </c>
      <c r="HP2" s="42">
        <f t="shared" si="2"/>
        <v>188</v>
      </c>
      <c r="HQ2" s="42">
        <f t="shared" ref="HQ2:ID2" si="3">+HP2+1</f>
        <v>189</v>
      </c>
      <c r="HR2" s="42">
        <f t="shared" si="3"/>
        <v>190</v>
      </c>
      <c r="HS2" s="42">
        <f t="shared" si="3"/>
        <v>191</v>
      </c>
      <c r="HT2" s="42">
        <f t="shared" si="3"/>
        <v>192</v>
      </c>
      <c r="HU2" s="42">
        <f t="shared" si="3"/>
        <v>193</v>
      </c>
      <c r="HV2" s="42">
        <f t="shared" si="3"/>
        <v>194</v>
      </c>
      <c r="HW2" s="42">
        <f t="shared" si="3"/>
        <v>195</v>
      </c>
      <c r="HX2" s="42">
        <f t="shared" si="3"/>
        <v>196</v>
      </c>
      <c r="HY2" s="42">
        <f t="shared" si="3"/>
        <v>197</v>
      </c>
      <c r="HZ2" s="42">
        <f t="shared" si="3"/>
        <v>198</v>
      </c>
      <c r="IA2" s="42">
        <f t="shared" si="3"/>
        <v>199</v>
      </c>
      <c r="IB2" s="42">
        <f t="shared" si="3"/>
        <v>200</v>
      </c>
      <c r="IC2" s="42"/>
      <c r="ID2" s="42"/>
    </row>
    <row r="3" spans="2:238" s="1" customFormat="1" x14ac:dyDescent="0.2"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6</v>
      </c>
      <c r="K3" s="7" t="s">
        <v>14</v>
      </c>
      <c r="L3" s="7" t="s">
        <v>15</v>
      </c>
      <c r="M3" s="7" t="s">
        <v>13</v>
      </c>
      <c r="P3" s="1">
        <v>2015</v>
      </c>
      <c r="Q3" s="1">
        <f>+P3+1</f>
        <v>2016</v>
      </c>
      <c r="R3" s="1">
        <f t="shared" ref="R3:AJ3" si="4">+Q3+1</f>
        <v>2017</v>
      </c>
      <c r="S3" s="1">
        <f t="shared" si="4"/>
        <v>2018</v>
      </c>
      <c r="T3" s="1">
        <f t="shared" si="4"/>
        <v>2019</v>
      </c>
      <c r="U3" s="1">
        <f t="shared" si="4"/>
        <v>2020</v>
      </c>
      <c r="V3" s="1">
        <f t="shared" si="4"/>
        <v>2021</v>
      </c>
      <c r="W3" s="1">
        <f t="shared" si="4"/>
        <v>2022</v>
      </c>
      <c r="X3" s="1">
        <f t="shared" si="4"/>
        <v>2023</v>
      </c>
      <c r="Y3" s="1">
        <f t="shared" si="4"/>
        <v>2024</v>
      </c>
      <c r="Z3" s="1">
        <f t="shared" si="4"/>
        <v>2025</v>
      </c>
      <c r="AA3" s="1">
        <f t="shared" si="4"/>
        <v>2026</v>
      </c>
      <c r="AB3" s="1">
        <f t="shared" si="4"/>
        <v>2027</v>
      </c>
      <c r="AC3" s="1">
        <f t="shared" si="4"/>
        <v>2028</v>
      </c>
      <c r="AD3" s="1">
        <f t="shared" si="4"/>
        <v>2029</v>
      </c>
      <c r="AE3" s="1">
        <f t="shared" si="4"/>
        <v>2030</v>
      </c>
      <c r="AF3" s="1">
        <f t="shared" si="4"/>
        <v>2031</v>
      </c>
      <c r="AG3" s="1">
        <f t="shared" si="4"/>
        <v>2032</v>
      </c>
      <c r="AH3" s="1">
        <f t="shared" si="4"/>
        <v>2033</v>
      </c>
      <c r="AI3" s="1">
        <f t="shared" si="4"/>
        <v>2034</v>
      </c>
      <c r="AJ3" s="1">
        <f t="shared" si="4"/>
        <v>2035</v>
      </c>
      <c r="AK3" s="1">
        <f>+AJ3+1</f>
        <v>2036</v>
      </c>
      <c r="AL3" s="1">
        <f t="shared" ref="AL3:CW3" si="5">+AK3+1</f>
        <v>2037</v>
      </c>
      <c r="AM3" s="1">
        <f t="shared" si="5"/>
        <v>2038</v>
      </c>
      <c r="AN3" s="1">
        <f t="shared" si="5"/>
        <v>2039</v>
      </c>
      <c r="AO3" s="1">
        <f t="shared" si="5"/>
        <v>2040</v>
      </c>
      <c r="AP3" s="1">
        <f t="shared" si="5"/>
        <v>2041</v>
      </c>
      <c r="AQ3" s="1">
        <f t="shared" si="5"/>
        <v>2042</v>
      </c>
      <c r="AR3" s="1">
        <f t="shared" si="5"/>
        <v>2043</v>
      </c>
      <c r="AS3" s="1">
        <f t="shared" si="5"/>
        <v>2044</v>
      </c>
      <c r="AT3" s="1">
        <f t="shared" si="5"/>
        <v>2045</v>
      </c>
      <c r="AU3" s="1">
        <f t="shared" si="5"/>
        <v>2046</v>
      </c>
      <c r="AV3" s="1">
        <f t="shared" si="5"/>
        <v>2047</v>
      </c>
      <c r="AW3" s="1">
        <f t="shared" si="5"/>
        <v>2048</v>
      </c>
      <c r="AX3" s="1">
        <f t="shared" si="5"/>
        <v>2049</v>
      </c>
      <c r="AY3" s="1">
        <f t="shared" si="5"/>
        <v>2050</v>
      </c>
      <c r="AZ3" s="1">
        <f t="shared" si="5"/>
        <v>2051</v>
      </c>
      <c r="BA3" s="1">
        <f t="shared" si="5"/>
        <v>2052</v>
      </c>
      <c r="BB3" s="1">
        <f t="shared" si="5"/>
        <v>2053</v>
      </c>
      <c r="BC3" s="1">
        <f t="shared" si="5"/>
        <v>2054</v>
      </c>
      <c r="BD3" s="1">
        <f t="shared" si="5"/>
        <v>2055</v>
      </c>
      <c r="BE3" s="1">
        <f t="shared" si="5"/>
        <v>2056</v>
      </c>
      <c r="BF3" s="1">
        <f t="shared" si="5"/>
        <v>2057</v>
      </c>
      <c r="BG3" s="1">
        <f t="shared" si="5"/>
        <v>2058</v>
      </c>
      <c r="BH3" s="1">
        <f t="shared" si="5"/>
        <v>2059</v>
      </c>
      <c r="BI3" s="1">
        <f t="shared" si="5"/>
        <v>2060</v>
      </c>
      <c r="BJ3" s="1">
        <f t="shared" si="5"/>
        <v>2061</v>
      </c>
      <c r="BK3" s="1">
        <f t="shared" si="5"/>
        <v>2062</v>
      </c>
      <c r="BL3" s="1">
        <f t="shared" si="5"/>
        <v>2063</v>
      </c>
      <c r="BM3" s="1">
        <f t="shared" si="5"/>
        <v>2064</v>
      </c>
      <c r="BN3" s="1">
        <f t="shared" si="5"/>
        <v>2065</v>
      </c>
      <c r="BO3" s="1">
        <f t="shared" si="5"/>
        <v>2066</v>
      </c>
      <c r="BP3" s="1">
        <f t="shared" si="5"/>
        <v>2067</v>
      </c>
      <c r="BQ3" s="1">
        <f t="shared" si="5"/>
        <v>2068</v>
      </c>
      <c r="BR3" s="1">
        <f t="shared" si="5"/>
        <v>2069</v>
      </c>
      <c r="BS3" s="1">
        <f t="shared" si="5"/>
        <v>2070</v>
      </c>
      <c r="BT3" s="1">
        <f t="shared" si="5"/>
        <v>2071</v>
      </c>
      <c r="BU3" s="1">
        <f t="shared" si="5"/>
        <v>2072</v>
      </c>
      <c r="BV3" s="1">
        <f t="shared" si="5"/>
        <v>2073</v>
      </c>
      <c r="BW3" s="1">
        <f t="shared" si="5"/>
        <v>2074</v>
      </c>
      <c r="BX3" s="1">
        <f t="shared" si="5"/>
        <v>2075</v>
      </c>
      <c r="BY3" s="1">
        <f t="shared" si="5"/>
        <v>2076</v>
      </c>
      <c r="BZ3" s="1">
        <f t="shared" si="5"/>
        <v>2077</v>
      </c>
      <c r="CA3" s="1">
        <f t="shared" si="5"/>
        <v>2078</v>
      </c>
      <c r="CB3" s="1">
        <f t="shared" si="5"/>
        <v>2079</v>
      </c>
      <c r="CC3" s="1">
        <f t="shared" si="5"/>
        <v>2080</v>
      </c>
      <c r="CD3" s="1">
        <f t="shared" si="5"/>
        <v>2081</v>
      </c>
      <c r="CE3" s="1">
        <f t="shared" si="5"/>
        <v>2082</v>
      </c>
      <c r="CF3" s="1">
        <f t="shared" si="5"/>
        <v>2083</v>
      </c>
      <c r="CG3" s="1">
        <f t="shared" si="5"/>
        <v>2084</v>
      </c>
      <c r="CH3" s="1">
        <f t="shared" si="5"/>
        <v>2085</v>
      </c>
      <c r="CI3" s="1">
        <f t="shared" si="5"/>
        <v>2086</v>
      </c>
      <c r="CJ3" s="1">
        <f t="shared" si="5"/>
        <v>2087</v>
      </c>
      <c r="CK3" s="1">
        <f t="shared" si="5"/>
        <v>2088</v>
      </c>
      <c r="CL3" s="1">
        <f t="shared" si="5"/>
        <v>2089</v>
      </c>
      <c r="CM3" s="1">
        <f t="shared" si="5"/>
        <v>2090</v>
      </c>
      <c r="CN3" s="1">
        <f t="shared" si="5"/>
        <v>2091</v>
      </c>
      <c r="CO3" s="1">
        <f t="shared" si="5"/>
        <v>2092</v>
      </c>
      <c r="CP3" s="1">
        <f t="shared" si="5"/>
        <v>2093</v>
      </c>
      <c r="CQ3" s="1">
        <f t="shared" si="5"/>
        <v>2094</v>
      </c>
      <c r="CR3" s="1">
        <f t="shared" si="5"/>
        <v>2095</v>
      </c>
      <c r="CS3" s="1">
        <f t="shared" si="5"/>
        <v>2096</v>
      </c>
      <c r="CT3" s="1">
        <f t="shared" si="5"/>
        <v>2097</v>
      </c>
      <c r="CU3" s="1">
        <f t="shared" si="5"/>
        <v>2098</v>
      </c>
      <c r="CV3" s="1">
        <f t="shared" si="5"/>
        <v>2099</v>
      </c>
      <c r="CW3" s="1">
        <f t="shared" si="5"/>
        <v>2100</v>
      </c>
      <c r="CX3" s="1">
        <f t="shared" si="0"/>
        <v>2101</v>
      </c>
      <c r="CY3" s="1">
        <f t="shared" si="1"/>
        <v>2102</v>
      </c>
      <c r="CZ3" s="1">
        <f t="shared" si="1"/>
        <v>2103</v>
      </c>
      <c r="DA3" s="1">
        <f t="shared" si="1"/>
        <v>2104</v>
      </c>
      <c r="DB3" s="1">
        <f t="shared" si="1"/>
        <v>2105</v>
      </c>
      <c r="DC3" s="1">
        <f t="shared" si="1"/>
        <v>2106</v>
      </c>
      <c r="DD3" s="1">
        <f t="shared" si="1"/>
        <v>2107</v>
      </c>
      <c r="DE3" s="1">
        <f t="shared" si="1"/>
        <v>2108</v>
      </c>
      <c r="DF3" s="1">
        <f t="shared" si="1"/>
        <v>2109</v>
      </c>
      <c r="DG3" s="1">
        <f t="shared" si="1"/>
        <v>2110</v>
      </c>
      <c r="DH3" s="1">
        <f t="shared" si="1"/>
        <v>2111</v>
      </c>
      <c r="DI3" s="1">
        <f t="shared" si="1"/>
        <v>2112</v>
      </c>
      <c r="DJ3" s="1">
        <f t="shared" si="1"/>
        <v>2113</v>
      </c>
      <c r="DK3" s="1">
        <f t="shared" si="1"/>
        <v>2114</v>
      </c>
      <c r="DL3" s="1">
        <f t="shared" si="1"/>
        <v>2115</v>
      </c>
      <c r="DM3" s="1">
        <f t="shared" si="1"/>
        <v>2116</v>
      </c>
      <c r="DN3" s="1">
        <f t="shared" si="1"/>
        <v>2117</v>
      </c>
      <c r="DO3" s="1">
        <f t="shared" si="1"/>
        <v>2118</v>
      </c>
      <c r="DP3" s="1">
        <f t="shared" si="1"/>
        <v>2119</v>
      </c>
      <c r="DQ3" s="1">
        <f t="shared" si="1"/>
        <v>2120</v>
      </c>
      <c r="DR3" s="1">
        <f t="shared" si="1"/>
        <v>2121</v>
      </c>
      <c r="DS3" s="1">
        <f t="shared" si="1"/>
        <v>2122</v>
      </c>
      <c r="DT3" s="1">
        <f t="shared" si="1"/>
        <v>2123</v>
      </c>
      <c r="DU3" s="1">
        <f t="shared" si="1"/>
        <v>2124</v>
      </c>
      <c r="DV3" s="1">
        <f t="shared" si="1"/>
        <v>2125</v>
      </c>
      <c r="DW3" s="1">
        <f t="shared" si="1"/>
        <v>2126</v>
      </c>
      <c r="DX3" s="1">
        <f t="shared" si="1"/>
        <v>2127</v>
      </c>
      <c r="DY3" s="1">
        <f t="shared" si="1"/>
        <v>2128</v>
      </c>
      <c r="DZ3" s="1">
        <f t="shared" si="1"/>
        <v>2129</v>
      </c>
      <c r="EA3" s="1">
        <f t="shared" si="1"/>
        <v>2130</v>
      </c>
      <c r="EB3" s="1">
        <f t="shared" si="1"/>
        <v>2131</v>
      </c>
      <c r="EC3" s="1">
        <f t="shared" si="1"/>
        <v>2132</v>
      </c>
      <c r="ED3" s="1">
        <f t="shared" si="1"/>
        <v>2133</v>
      </c>
      <c r="EE3" s="1">
        <f t="shared" si="1"/>
        <v>2134</v>
      </c>
      <c r="EF3" s="1">
        <f t="shared" si="1"/>
        <v>2135</v>
      </c>
      <c r="EG3" s="1">
        <f t="shared" si="1"/>
        <v>2136</v>
      </c>
      <c r="EH3" s="1">
        <f t="shared" si="1"/>
        <v>2137</v>
      </c>
      <c r="EI3" s="1">
        <f t="shared" si="1"/>
        <v>2138</v>
      </c>
      <c r="EJ3" s="1">
        <f t="shared" si="1"/>
        <v>2139</v>
      </c>
      <c r="EK3" s="1">
        <f t="shared" si="1"/>
        <v>2140</v>
      </c>
      <c r="EL3" s="1">
        <f t="shared" si="1"/>
        <v>2141</v>
      </c>
      <c r="EM3" s="1">
        <f t="shared" si="1"/>
        <v>2142</v>
      </c>
      <c r="EN3" s="1">
        <f t="shared" si="1"/>
        <v>2143</v>
      </c>
      <c r="EO3" s="1">
        <f t="shared" si="1"/>
        <v>2144</v>
      </c>
      <c r="EP3" s="1">
        <f t="shared" si="1"/>
        <v>2145</v>
      </c>
      <c r="EQ3" s="1">
        <f t="shared" si="1"/>
        <v>2146</v>
      </c>
      <c r="ER3" s="1">
        <f t="shared" si="1"/>
        <v>2147</v>
      </c>
      <c r="ES3" s="1">
        <f t="shared" si="1"/>
        <v>2148</v>
      </c>
      <c r="ET3" s="1">
        <f t="shared" si="1"/>
        <v>2149</v>
      </c>
      <c r="EU3" s="1">
        <f t="shared" si="1"/>
        <v>2150</v>
      </c>
      <c r="EV3" s="1">
        <f t="shared" si="1"/>
        <v>2151</v>
      </c>
      <c r="EW3" s="1">
        <f t="shared" si="1"/>
        <v>2152</v>
      </c>
      <c r="EX3" s="1">
        <f t="shared" si="1"/>
        <v>2153</v>
      </c>
      <c r="EY3" s="1">
        <f t="shared" si="1"/>
        <v>2154</v>
      </c>
      <c r="EZ3" s="1">
        <f t="shared" si="1"/>
        <v>2155</v>
      </c>
      <c r="FA3" s="1">
        <f t="shared" si="1"/>
        <v>2156</v>
      </c>
      <c r="FB3" s="1">
        <f t="shared" si="1"/>
        <v>2157</v>
      </c>
      <c r="FC3" s="1">
        <f t="shared" si="1"/>
        <v>2158</v>
      </c>
      <c r="FD3" s="1">
        <f t="shared" si="1"/>
        <v>2159</v>
      </c>
      <c r="FE3" s="1">
        <f t="shared" si="1"/>
        <v>2160</v>
      </c>
      <c r="FF3" s="1">
        <f t="shared" si="1"/>
        <v>2161</v>
      </c>
      <c r="FG3" s="1">
        <f t="shared" si="1"/>
        <v>2162</v>
      </c>
      <c r="FH3" s="1">
        <f t="shared" si="1"/>
        <v>2163</v>
      </c>
      <c r="FI3" s="1">
        <f t="shared" si="1"/>
        <v>2164</v>
      </c>
      <c r="FJ3" s="1">
        <f t="shared" si="1"/>
        <v>2165</v>
      </c>
      <c r="FK3" s="1">
        <f t="shared" si="2"/>
        <v>2166</v>
      </c>
      <c r="FL3" s="1">
        <f t="shared" si="2"/>
        <v>2167</v>
      </c>
      <c r="FM3" s="1">
        <f t="shared" si="2"/>
        <v>2168</v>
      </c>
      <c r="FN3" s="1">
        <f t="shared" si="2"/>
        <v>2169</v>
      </c>
      <c r="FO3" s="1">
        <f t="shared" si="2"/>
        <v>2170</v>
      </c>
      <c r="FP3" s="1">
        <f t="shared" si="2"/>
        <v>2171</v>
      </c>
      <c r="FQ3" s="1">
        <f t="shared" si="2"/>
        <v>2172</v>
      </c>
      <c r="FR3" s="1">
        <f t="shared" si="2"/>
        <v>2173</v>
      </c>
      <c r="FS3" s="1">
        <f t="shared" si="2"/>
        <v>2174</v>
      </c>
      <c r="FT3" s="1">
        <f t="shared" si="2"/>
        <v>2175</v>
      </c>
      <c r="FU3" s="1">
        <f t="shared" si="2"/>
        <v>2176</v>
      </c>
      <c r="FV3" s="1">
        <f t="shared" si="2"/>
        <v>2177</v>
      </c>
      <c r="FW3" s="1">
        <f t="shared" si="2"/>
        <v>2178</v>
      </c>
      <c r="FX3" s="1">
        <f t="shared" si="2"/>
        <v>2179</v>
      </c>
      <c r="FY3" s="1">
        <f t="shared" si="2"/>
        <v>2180</v>
      </c>
      <c r="FZ3" s="1">
        <f t="shared" si="2"/>
        <v>2181</v>
      </c>
      <c r="GA3" s="1">
        <f t="shared" si="2"/>
        <v>2182</v>
      </c>
      <c r="GB3" s="1">
        <f t="shared" si="2"/>
        <v>2183</v>
      </c>
      <c r="GC3" s="1">
        <f t="shared" si="2"/>
        <v>2184</v>
      </c>
      <c r="GD3" s="1">
        <f t="shared" si="2"/>
        <v>2185</v>
      </c>
      <c r="GE3" s="1">
        <f t="shared" si="2"/>
        <v>2186</v>
      </c>
      <c r="GF3" s="1">
        <f t="shared" si="2"/>
        <v>2187</v>
      </c>
      <c r="GG3" s="1">
        <f t="shared" si="2"/>
        <v>2188</v>
      </c>
      <c r="GH3" s="1">
        <f t="shared" si="2"/>
        <v>2189</v>
      </c>
      <c r="GI3" s="1">
        <f t="shared" si="2"/>
        <v>2190</v>
      </c>
      <c r="GJ3" s="1">
        <f t="shared" si="2"/>
        <v>2191</v>
      </c>
      <c r="GK3" s="1">
        <f t="shared" si="2"/>
        <v>2192</v>
      </c>
      <c r="GL3" s="1">
        <f t="shared" si="2"/>
        <v>2193</v>
      </c>
      <c r="GM3" s="1">
        <f t="shared" si="2"/>
        <v>2194</v>
      </c>
      <c r="GN3" s="1">
        <f t="shared" si="2"/>
        <v>2195</v>
      </c>
      <c r="GO3" s="1">
        <f t="shared" si="2"/>
        <v>2196</v>
      </c>
      <c r="GP3" s="1">
        <f t="shared" si="2"/>
        <v>2197</v>
      </c>
      <c r="GQ3" s="1">
        <f t="shared" si="2"/>
        <v>2198</v>
      </c>
      <c r="GR3" s="1">
        <f t="shared" si="2"/>
        <v>2199</v>
      </c>
      <c r="GS3" s="1">
        <f t="shared" si="2"/>
        <v>2200</v>
      </c>
      <c r="GT3" s="1">
        <f t="shared" si="2"/>
        <v>2201</v>
      </c>
      <c r="GU3" s="1">
        <f t="shared" si="2"/>
        <v>2202</v>
      </c>
      <c r="GV3" s="1">
        <f t="shared" si="2"/>
        <v>2203</v>
      </c>
      <c r="GW3" s="1">
        <f t="shared" si="2"/>
        <v>2204</v>
      </c>
      <c r="GX3" s="1">
        <f t="shared" si="2"/>
        <v>2205</v>
      </c>
      <c r="GY3" s="1">
        <f t="shared" si="2"/>
        <v>2206</v>
      </c>
      <c r="GZ3" s="1">
        <f t="shared" si="2"/>
        <v>2207</v>
      </c>
      <c r="HA3" s="1">
        <f t="shared" si="2"/>
        <v>2208</v>
      </c>
      <c r="HB3" s="1">
        <f t="shared" si="2"/>
        <v>2209</v>
      </c>
      <c r="HC3" s="1">
        <f t="shared" si="2"/>
        <v>2210</v>
      </c>
      <c r="HD3" s="1">
        <f t="shared" si="2"/>
        <v>2211</v>
      </c>
      <c r="HE3" s="1">
        <f t="shared" si="2"/>
        <v>2212</v>
      </c>
      <c r="HF3" s="1">
        <f t="shared" si="2"/>
        <v>2213</v>
      </c>
      <c r="HG3" s="1">
        <f t="shared" si="2"/>
        <v>2214</v>
      </c>
      <c r="HH3" s="1">
        <f t="shared" si="2"/>
        <v>2215</v>
      </c>
      <c r="HI3" s="1">
        <f t="shared" si="2"/>
        <v>2216</v>
      </c>
      <c r="HJ3" s="1">
        <f t="shared" si="2"/>
        <v>2217</v>
      </c>
      <c r="HK3" s="1">
        <f t="shared" si="2"/>
        <v>2218</v>
      </c>
      <c r="HL3" s="1">
        <f t="shared" si="2"/>
        <v>2219</v>
      </c>
      <c r="HM3" s="1">
        <f t="shared" si="2"/>
        <v>2220</v>
      </c>
      <c r="HN3" s="1">
        <f t="shared" si="2"/>
        <v>2221</v>
      </c>
      <c r="HO3" s="1">
        <f t="shared" si="2"/>
        <v>2222</v>
      </c>
      <c r="HP3" s="1">
        <f t="shared" si="2"/>
        <v>2223</v>
      </c>
      <c r="HQ3" s="1">
        <f t="shared" ref="HQ3:ID3" si="6">+HP3+1</f>
        <v>2224</v>
      </c>
      <c r="HR3" s="1">
        <f t="shared" si="6"/>
        <v>2225</v>
      </c>
      <c r="HS3" s="1">
        <f t="shared" si="6"/>
        <v>2226</v>
      </c>
      <c r="HT3" s="1">
        <f t="shared" si="6"/>
        <v>2227</v>
      </c>
      <c r="HU3" s="1">
        <f t="shared" si="6"/>
        <v>2228</v>
      </c>
      <c r="HV3" s="1">
        <f t="shared" si="6"/>
        <v>2229</v>
      </c>
      <c r="HW3" s="1">
        <f t="shared" si="6"/>
        <v>2230</v>
      </c>
      <c r="HX3" s="1">
        <f t="shared" si="6"/>
        <v>2231</v>
      </c>
      <c r="HY3" s="1">
        <f t="shared" si="6"/>
        <v>2232</v>
      </c>
      <c r="HZ3" s="1">
        <f t="shared" si="6"/>
        <v>2233</v>
      </c>
      <c r="IA3" s="1">
        <f t="shared" si="6"/>
        <v>2234</v>
      </c>
      <c r="IB3" s="1">
        <f t="shared" si="6"/>
        <v>2235</v>
      </c>
    </row>
    <row r="4" spans="2:238" x14ac:dyDescent="0.2">
      <c r="B4" s="2" t="s">
        <v>18</v>
      </c>
      <c r="E4" s="8">
        <v>118890</v>
      </c>
      <c r="F4" s="8">
        <v>129468</v>
      </c>
      <c r="G4" s="8">
        <v>148251</v>
      </c>
      <c r="H4" s="8">
        <v>171678</v>
      </c>
      <c r="I4" s="8">
        <f>+Z4-SUM(F4:H4)</f>
        <v>187864</v>
      </c>
      <c r="J4" s="8">
        <v>137395</v>
      </c>
      <c r="K4" s="8">
        <v>174615</v>
      </c>
      <c r="L4" s="8">
        <v>190899</v>
      </c>
      <c r="X4" s="2">
        <v>572953</v>
      </c>
      <c r="Y4" s="2">
        <v>572953</v>
      </c>
      <c r="Z4" s="2">
        <v>637261</v>
      </c>
    </row>
    <row r="5" spans="2:238" x14ac:dyDescent="0.2">
      <c r="B5" s="2" t="s">
        <v>16</v>
      </c>
      <c r="E5" s="8">
        <v>108898</v>
      </c>
      <c r="F5" s="8">
        <v>114853</v>
      </c>
      <c r="G5" s="8">
        <v>146822</v>
      </c>
      <c r="H5" s="8">
        <v>109567</v>
      </c>
      <c r="I5" s="8">
        <f>+Z5-SUM(F5:H5)</f>
        <v>101279</v>
      </c>
      <c r="J5" s="8">
        <v>110153</v>
      </c>
      <c r="K5" s="8">
        <v>106924</v>
      </c>
      <c r="L5" s="8">
        <v>111301</v>
      </c>
      <c r="X5" s="2">
        <v>434537</v>
      </c>
      <c r="Y5" s="2">
        <v>434537</v>
      </c>
      <c r="Z5" s="2">
        <v>472521</v>
      </c>
    </row>
    <row r="6" spans="2:238" x14ac:dyDescent="0.2">
      <c r="B6" s="2" t="s">
        <v>17</v>
      </c>
      <c r="E6" s="8">
        <v>846073</v>
      </c>
      <c r="F6" s="8">
        <v>642350</v>
      </c>
      <c r="G6" s="8">
        <v>751436</v>
      </c>
      <c r="H6" s="8">
        <v>635072</v>
      </c>
      <c r="I6" s="8">
        <f>+Z6-SUM(F6:H6)</f>
        <v>580331</v>
      </c>
      <c r="J6" s="8">
        <v>571230</v>
      </c>
      <c r="K6" s="8">
        <v>776964</v>
      </c>
      <c r="L6" s="8">
        <v>690759</v>
      </c>
      <c r="M6" s="9"/>
      <c r="X6" s="2">
        <v>2762016</v>
      </c>
      <c r="Y6" s="2">
        <v>2762016</v>
      </c>
      <c r="Z6" s="2">
        <v>2609189</v>
      </c>
    </row>
    <row r="7" spans="2:238" s="3" customFormat="1" x14ac:dyDescent="0.2">
      <c r="B7" s="29" t="s">
        <v>19</v>
      </c>
      <c r="C7" s="30"/>
      <c r="D7" s="30"/>
      <c r="E7" s="30">
        <f>SUM(E4:E6)</f>
        <v>1073861</v>
      </c>
      <c r="F7" s="30">
        <f>SUM(F4:F6)</f>
        <v>886671</v>
      </c>
      <c r="G7" s="30">
        <f>SUM(G4:G6)</f>
        <v>1046509</v>
      </c>
      <c r="H7" s="30">
        <f>SUM(H4:H6)</f>
        <v>916317</v>
      </c>
      <c r="I7" s="30">
        <f>SUM(I4:I6)</f>
        <v>869474</v>
      </c>
      <c r="J7" s="30">
        <f>SUM(J4:J6)</f>
        <v>818778</v>
      </c>
      <c r="K7" s="30">
        <f>SUM(K4:K6)</f>
        <v>1058503</v>
      </c>
      <c r="L7" s="30">
        <f>SUM(L4:L6)</f>
        <v>992959</v>
      </c>
      <c r="M7" s="30">
        <f>+I7*1.03</f>
        <v>895558.22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>
        <v>3569399</v>
      </c>
      <c r="Y7" s="29">
        <f>SUM(Y4:Y6)</f>
        <v>3769506</v>
      </c>
      <c r="Z7" s="29">
        <f>SUM(Z4:Z6)</f>
        <v>3718971</v>
      </c>
      <c r="AA7" s="29">
        <f>SUM(J7:M7)</f>
        <v>3765798.2199999997</v>
      </c>
      <c r="AB7" s="29">
        <f>+AA7*1.01</f>
        <v>3803456.2021999997</v>
      </c>
      <c r="AC7" s="29">
        <f t="shared" ref="AC7:AJ7" si="7">+AB7*1.01</f>
        <v>3841490.7642219998</v>
      </c>
      <c r="AD7" s="29">
        <f t="shared" si="7"/>
        <v>3879905.6718642199</v>
      </c>
      <c r="AE7" s="29">
        <f t="shared" si="7"/>
        <v>3918704.7285828623</v>
      </c>
      <c r="AF7" s="29">
        <f t="shared" si="7"/>
        <v>3957891.775868691</v>
      </c>
      <c r="AG7" s="29">
        <f t="shared" si="7"/>
        <v>3997470.693627378</v>
      </c>
      <c r="AH7" s="29">
        <f t="shared" si="7"/>
        <v>4037445.4005636517</v>
      </c>
      <c r="AI7" s="29">
        <f t="shared" si="7"/>
        <v>4077819.8545692884</v>
      </c>
      <c r="AJ7" s="29">
        <f t="shared" si="7"/>
        <v>4118598.0531149814</v>
      </c>
    </row>
    <row r="8" spans="2:238" x14ac:dyDescent="0.2">
      <c r="B8" s="2" t="s">
        <v>22</v>
      </c>
      <c r="F8" s="8">
        <v>554367</v>
      </c>
      <c r="G8" s="8">
        <v>601203</v>
      </c>
      <c r="H8" s="8">
        <v>524901</v>
      </c>
      <c r="I8" s="8">
        <f>+Z8-SUM(F8:H8)</f>
        <v>502911</v>
      </c>
      <c r="J8" s="8">
        <v>486976</v>
      </c>
      <c r="K8" s="8">
        <v>561415</v>
      </c>
      <c r="L8" s="8">
        <v>528768</v>
      </c>
      <c r="M8" s="8">
        <f>+M$7*(I8/I$7)</f>
        <v>517998.32999999996</v>
      </c>
      <c r="X8" s="2">
        <v>2359546</v>
      </c>
      <c r="Y8" s="8">
        <v>2281011</v>
      </c>
      <c r="Z8" s="8">
        <v>2183382</v>
      </c>
      <c r="AA8" s="2">
        <f>SUM(J8:M8)</f>
        <v>2095157.33</v>
      </c>
      <c r="AB8" s="2">
        <f>+AB$7*(AA8/AA$7)</f>
        <v>2116108.9033000004</v>
      </c>
      <c r="AC8" s="2">
        <f t="shared" ref="AC8:AJ8" si="8">+AC$7*(AB8/AB$7)</f>
        <v>2137269.9923330001</v>
      </c>
      <c r="AD8" s="2">
        <f t="shared" si="8"/>
        <v>2158642.6922563305</v>
      </c>
      <c r="AE8" s="2">
        <f t="shared" si="8"/>
        <v>2180229.1191788935</v>
      </c>
      <c r="AF8" s="2">
        <f t="shared" si="8"/>
        <v>2202031.4103706828</v>
      </c>
      <c r="AG8" s="2">
        <f t="shared" si="8"/>
        <v>2224051.7244743896</v>
      </c>
      <c r="AH8" s="2">
        <f t="shared" si="8"/>
        <v>2246292.2417191332</v>
      </c>
      <c r="AI8" s="2">
        <f t="shared" si="8"/>
        <v>2268755.164136325</v>
      </c>
      <c r="AJ8" s="2">
        <f t="shared" si="8"/>
        <v>2291442.7157776882</v>
      </c>
    </row>
    <row r="9" spans="2:238" x14ac:dyDescent="0.2">
      <c r="B9" s="2" t="s">
        <v>23</v>
      </c>
      <c r="F9" s="8">
        <v>187602</v>
      </c>
      <c r="G9" s="8">
        <v>201050</v>
      </c>
      <c r="H9" s="8">
        <v>179126</v>
      </c>
      <c r="I9" s="8">
        <f t="shared" ref="I9:I17" si="9">+Z9-SUM(F9:H9)</f>
        <v>179931</v>
      </c>
      <c r="J9" s="8">
        <v>179244</v>
      </c>
      <c r="K9" s="8">
        <v>198424</v>
      </c>
      <c r="L9" s="8">
        <v>178066</v>
      </c>
      <c r="M9" s="8">
        <f>+M$7*(I9/I$7)</f>
        <v>185328.93</v>
      </c>
      <c r="X9" s="2">
        <v>623636</v>
      </c>
      <c r="Y9" s="8">
        <v>682249</v>
      </c>
      <c r="Z9" s="8">
        <v>747709</v>
      </c>
      <c r="AA9" s="2">
        <f t="shared" ref="AA9:AB19" si="10">SUM(J9:M9)</f>
        <v>741062.92999999993</v>
      </c>
      <c r="AB9" s="2">
        <f>+AB$7*(AA9/AA$7)</f>
        <v>748473.55929999996</v>
      </c>
      <c r="AC9" s="2">
        <f t="shared" ref="AC9:AJ9" si="11">+AC$7*(AB9/AB$7)</f>
        <v>755958.29489299993</v>
      </c>
      <c r="AD9" s="2">
        <f t="shared" si="11"/>
        <v>763517.87784193002</v>
      </c>
      <c r="AE9" s="2">
        <f t="shared" si="11"/>
        <v>771153.05662034929</v>
      </c>
      <c r="AF9" s="2">
        <f t="shared" si="11"/>
        <v>778864.58718655282</v>
      </c>
      <c r="AG9" s="2">
        <f t="shared" si="11"/>
        <v>786653.23305841838</v>
      </c>
      <c r="AH9" s="2">
        <f t="shared" si="11"/>
        <v>794519.76538900251</v>
      </c>
      <c r="AI9" s="2">
        <f t="shared" si="11"/>
        <v>802464.96304289263</v>
      </c>
      <c r="AJ9" s="2">
        <f t="shared" si="11"/>
        <v>810489.61267332151</v>
      </c>
    </row>
    <row r="10" spans="2:238" x14ac:dyDescent="0.2">
      <c r="B10" s="2" t="s">
        <v>33</v>
      </c>
      <c r="F10" s="8">
        <v>59816</v>
      </c>
      <c r="G10" s="8">
        <v>60054</v>
      </c>
      <c r="H10" s="8">
        <v>56525</v>
      </c>
      <c r="I10" s="8">
        <f t="shared" si="9"/>
        <v>55517</v>
      </c>
      <c r="J10" s="8">
        <v>56891</v>
      </c>
      <c r="K10" s="8">
        <v>59644</v>
      </c>
      <c r="L10" s="8">
        <v>49424</v>
      </c>
      <c r="M10" s="8">
        <f>+M$7*(I10/I$7)</f>
        <v>57182.509999999995</v>
      </c>
      <c r="X10" s="2">
        <v>0</v>
      </c>
      <c r="Y10" s="8">
        <v>217273</v>
      </c>
      <c r="Z10" s="8">
        <v>231912</v>
      </c>
      <c r="AA10" s="2">
        <f t="shared" si="10"/>
        <v>223141.51</v>
      </c>
      <c r="AB10" s="2">
        <f>+AB$7*(AA10/AA$7)</f>
        <v>225372.92509999999</v>
      </c>
      <c r="AC10" s="2">
        <f t="shared" ref="AC10:AJ10" si="12">+AC$7*(AB10/AB$7)</f>
        <v>227626.654351</v>
      </c>
      <c r="AD10" s="2">
        <f t="shared" si="12"/>
        <v>229902.92089451003</v>
      </c>
      <c r="AE10" s="2">
        <f t="shared" si="12"/>
        <v>232201.95010345514</v>
      </c>
      <c r="AF10" s="2">
        <f t="shared" si="12"/>
        <v>234523.96960448968</v>
      </c>
      <c r="AG10" s="2">
        <f t="shared" si="12"/>
        <v>236869.2093005346</v>
      </c>
      <c r="AH10" s="2">
        <f t="shared" si="12"/>
        <v>239237.90139353994</v>
      </c>
      <c r="AI10" s="2">
        <f t="shared" si="12"/>
        <v>241630.28040747534</v>
      </c>
      <c r="AJ10" s="2">
        <f t="shared" si="12"/>
        <v>244046.58321155011</v>
      </c>
    </row>
    <row r="11" spans="2:238" x14ac:dyDescent="0.2">
      <c r="B11" s="2" t="s">
        <v>32</v>
      </c>
      <c r="F11" s="8">
        <v>55107</v>
      </c>
      <c r="G11" s="8">
        <v>47706</v>
      </c>
      <c r="H11" s="8">
        <v>33835</v>
      </c>
      <c r="I11" s="8">
        <f t="shared" si="9"/>
        <v>35064</v>
      </c>
      <c r="J11" s="8">
        <v>50998</v>
      </c>
      <c r="K11" s="8">
        <v>47680</v>
      </c>
      <c r="L11" s="8">
        <v>32007</v>
      </c>
      <c r="M11" s="8">
        <f>+M$7*(I11/I$7)</f>
        <v>36115.919999999998</v>
      </c>
      <c r="X11" s="2">
        <v>349718</v>
      </c>
      <c r="Y11" s="8">
        <v>171867</v>
      </c>
      <c r="Z11" s="8">
        <v>171712</v>
      </c>
      <c r="AA11" s="2">
        <f t="shared" si="10"/>
        <v>166800.91999999998</v>
      </c>
      <c r="AB11" s="2">
        <f>+AB$7*(AA11/AA$7)</f>
        <v>168468.92919999996</v>
      </c>
      <c r="AC11" s="2">
        <f t="shared" ref="AC11:AJ11" si="13">+AC$7*(AB11/AB$7)</f>
        <v>170153.61849199995</v>
      </c>
      <c r="AD11" s="2">
        <f t="shared" si="13"/>
        <v>171855.15467691995</v>
      </c>
      <c r="AE11" s="2">
        <f t="shared" si="13"/>
        <v>173573.70622368917</v>
      </c>
      <c r="AF11" s="2">
        <f t="shared" si="13"/>
        <v>175309.44328592604</v>
      </c>
      <c r="AG11" s="2">
        <f t="shared" si="13"/>
        <v>177062.53771878529</v>
      </c>
      <c r="AH11" s="2">
        <f t="shared" si="13"/>
        <v>178833.16309597314</v>
      </c>
      <c r="AI11" s="2">
        <f t="shared" si="13"/>
        <v>180621.49472693287</v>
      </c>
      <c r="AJ11" s="2">
        <f t="shared" si="13"/>
        <v>182427.70967420223</v>
      </c>
    </row>
    <row r="12" spans="2:238" x14ac:dyDescent="0.2">
      <c r="B12" s="2" t="s">
        <v>24</v>
      </c>
      <c r="F12" s="8">
        <v>25173</v>
      </c>
      <c r="G12" s="8">
        <v>13755</v>
      </c>
      <c r="H12" s="8">
        <v>68905</v>
      </c>
      <c r="I12" s="8">
        <f t="shared" si="9"/>
        <v>-11673</v>
      </c>
      <c r="J12" s="8">
        <v>14583</v>
      </c>
      <c r="K12" s="8">
        <v>33657</v>
      </c>
      <c r="L12" s="8">
        <v>12553</v>
      </c>
      <c r="M12" s="8">
        <f>+M$7*(I12/I$7)</f>
        <v>-12023.19</v>
      </c>
      <c r="X12" s="2">
        <v>92732</v>
      </c>
      <c r="Y12" s="8">
        <v>103991</v>
      </c>
      <c r="Z12" s="8">
        <v>96160</v>
      </c>
      <c r="AA12" s="2">
        <f t="shared" si="10"/>
        <v>48769.81</v>
      </c>
      <c r="AB12" s="2">
        <f>+AB$7*(AA12/AA$7)</f>
        <v>49257.508099999999</v>
      </c>
      <c r="AC12" s="2">
        <f t="shared" ref="AC12:AJ12" si="14">+AC$7*(AB12/AB$7)</f>
        <v>49750.083181000002</v>
      </c>
      <c r="AD12" s="2">
        <f t="shared" si="14"/>
        <v>50247.584012810003</v>
      </c>
      <c r="AE12" s="2">
        <f t="shared" si="14"/>
        <v>50750.059852938102</v>
      </c>
      <c r="AF12" s="2">
        <f t="shared" si="14"/>
        <v>51257.560451467485</v>
      </c>
      <c r="AG12" s="2">
        <f t="shared" si="14"/>
        <v>51770.136055982162</v>
      </c>
      <c r="AH12" s="2">
        <f t="shared" si="14"/>
        <v>52287.837416541981</v>
      </c>
      <c r="AI12" s="2">
        <f t="shared" si="14"/>
        <v>52810.715790707407</v>
      </c>
      <c r="AJ12" s="2">
        <f t="shared" si="14"/>
        <v>53338.822948614477</v>
      </c>
    </row>
    <row r="13" spans="2:238" x14ac:dyDescent="0.2">
      <c r="B13" s="2" t="s">
        <v>25</v>
      </c>
      <c r="F13" s="8">
        <f>+F7-SUM(F8:F12)</f>
        <v>4606</v>
      </c>
      <c r="G13" s="8">
        <f>+G7-SUM(G8:G12)</f>
        <v>122741</v>
      </c>
      <c r="H13" s="8">
        <f>+H7-SUM(H8:H12)</f>
        <v>53025</v>
      </c>
      <c r="I13" s="8">
        <f t="shared" si="9"/>
        <v>107724</v>
      </c>
      <c r="J13" s="8">
        <f>+J7-SUM(J8:J12)</f>
        <v>30086</v>
      </c>
      <c r="K13" s="8">
        <f>+K7-SUM(K8:K12)</f>
        <v>157683</v>
      </c>
      <c r="L13" s="8">
        <f>+L7-SUM(L8:L12)</f>
        <v>192141</v>
      </c>
      <c r="M13" s="8">
        <f>+M7-SUM(M8:M12)</f>
        <v>110955.71999999986</v>
      </c>
      <c r="X13" s="8">
        <f>+X7-SUM(X8:X12)</f>
        <v>143767</v>
      </c>
      <c r="Y13" s="8">
        <f>+Y7-SUM(Y8:Y12)</f>
        <v>313115</v>
      </c>
      <c r="Z13" s="8">
        <f>+Z7-SUM(Z8:Z12)</f>
        <v>288096</v>
      </c>
      <c r="AA13" s="2">
        <f t="shared" si="10"/>
        <v>490865.71999999986</v>
      </c>
      <c r="AB13" s="8">
        <f>+AB7-SUM(AB8:AB12)</f>
        <v>495774.37719999906</v>
      </c>
      <c r="AC13" s="8">
        <f t="shared" ref="AC13:AJ13" si="15">+AC7-SUM(AC8:AC12)</f>
        <v>500732.12097200006</v>
      </c>
      <c r="AD13" s="8">
        <f t="shared" si="15"/>
        <v>505739.44218171947</v>
      </c>
      <c r="AE13" s="8">
        <f t="shared" si="15"/>
        <v>510796.8366035372</v>
      </c>
      <c r="AF13" s="8">
        <f t="shared" si="15"/>
        <v>515904.80496957153</v>
      </c>
      <c r="AG13" s="8">
        <f t="shared" si="15"/>
        <v>521063.85301926732</v>
      </c>
      <c r="AH13" s="8">
        <f t="shared" si="15"/>
        <v>526274.49154946161</v>
      </c>
      <c r="AI13" s="8">
        <f t="shared" si="15"/>
        <v>531537.23646495491</v>
      </c>
      <c r="AJ13" s="8">
        <f t="shared" si="15"/>
        <v>536852.60882960493</v>
      </c>
    </row>
    <row r="14" spans="2:238" x14ac:dyDescent="0.2">
      <c r="B14" s="2" t="s">
        <v>26</v>
      </c>
      <c r="F14" s="8">
        <v>-17094</v>
      </c>
      <c r="G14" s="8">
        <v>-22594</v>
      </c>
      <c r="H14" s="8">
        <v>-18655</v>
      </c>
      <c r="I14" s="8">
        <f t="shared" si="9"/>
        <v>-19985</v>
      </c>
      <c r="J14" s="8">
        <v>-18787</v>
      </c>
      <c r="K14" s="8">
        <v>-18483</v>
      </c>
      <c r="L14" s="8">
        <v>-18024</v>
      </c>
      <c r="M14" s="8">
        <f>+M$13*(L14/L$13)</f>
        <v>-10408.32460162067</v>
      </c>
      <c r="X14" s="8">
        <v>-68463</v>
      </c>
      <c r="Y14" s="8">
        <v>-69245</v>
      </c>
      <c r="Z14" s="8">
        <v>-78328</v>
      </c>
      <c r="AA14" s="2">
        <f t="shared" si="10"/>
        <v>-65702.324601620669</v>
      </c>
      <c r="AB14" s="2">
        <f>+AB$13*(AA14/AA$13)</f>
        <v>-66359.34784763676</v>
      </c>
      <c r="AC14" s="2">
        <f t="shared" ref="AC14:AJ14" si="16">+AC$13*(AB14/AB$13)</f>
        <v>-67022.941326113272</v>
      </c>
      <c r="AD14" s="2">
        <f t="shared" si="16"/>
        <v>-67693.170739374327</v>
      </c>
      <c r="AE14" s="2">
        <f t="shared" si="16"/>
        <v>-68370.102446768142</v>
      </c>
      <c r="AF14" s="2">
        <f t="shared" si="16"/>
        <v>-69053.803471235675</v>
      </c>
      <c r="AG14" s="2">
        <f t="shared" si="16"/>
        <v>-69744.341505948047</v>
      </c>
      <c r="AH14" s="2">
        <f t="shared" si="16"/>
        <v>-70441.78492100774</v>
      </c>
      <c r="AI14" s="2">
        <f t="shared" si="16"/>
        <v>-71146.202770217642</v>
      </c>
      <c r="AJ14" s="2">
        <f t="shared" si="16"/>
        <v>-71857.66479791989</v>
      </c>
    </row>
    <row r="15" spans="2:238" x14ac:dyDescent="0.2">
      <c r="B15" s="2" t="s">
        <v>27</v>
      </c>
      <c r="F15" s="8">
        <v>11765</v>
      </c>
      <c r="G15" s="8">
        <v>15422</v>
      </c>
      <c r="H15" s="8">
        <v>14526</v>
      </c>
      <c r="I15" s="8">
        <f t="shared" si="9"/>
        <v>6987</v>
      </c>
      <c r="J15" s="8">
        <v>20386</v>
      </c>
      <c r="K15" s="8">
        <v>15895</v>
      </c>
      <c r="L15" s="8">
        <v>15686</v>
      </c>
      <c r="M15" s="8">
        <f>+M$13*(L15/L$13)</f>
        <v>9058.1990513216733</v>
      </c>
      <c r="X15" s="8">
        <v>9924</v>
      </c>
      <c r="Y15" s="8">
        <v>51104</v>
      </c>
      <c r="Z15" s="8">
        <v>48700</v>
      </c>
      <c r="AA15" s="2">
        <f t="shared" si="10"/>
        <v>61025.199051321673</v>
      </c>
      <c r="AB15" s="2">
        <f>+AB$13*(AA15/AA$13)</f>
        <v>61635.451041834793</v>
      </c>
      <c r="AC15" s="2">
        <f t="shared" ref="AC15:AJ15" si="17">+AC$13*(AB15/AB$13)</f>
        <v>62251.805552253267</v>
      </c>
      <c r="AD15" s="2">
        <f t="shared" si="17"/>
        <v>62874.323607775725</v>
      </c>
      <c r="AE15" s="2">
        <f t="shared" si="17"/>
        <v>63503.06684385355</v>
      </c>
      <c r="AF15" s="2">
        <f t="shared" si="17"/>
        <v>64138.097512291955</v>
      </c>
      <c r="AG15" s="2">
        <f t="shared" si="17"/>
        <v>64779.478487414883</v>
      </c>
      <c r="AH15" s="2">
        <f t="shared" si="17"/>
        <v>65427.273272289232</v>
      </c>
      <c r="AI15" s="2">
        <f t="shared" si="17"/>
        <v>66081.546005011958</v>
      </c>
      <c r="AJ15" s="2">
        <f t="shared" si="17"/>
        <v>66742.361465062131</v>
      </c>
    </row>
    <row r="16" spans="2:238" x14ac:dyDescent="0.2">
      <c r="B16" s="2" t="s">
        <v>28</v>
      </c>
      <c r="F16" s="8">
        <f>SUM(F13:F15)</f>
        <v>-723</v>
      </c>
      <c r="G16" s="8">
        <f>SUM(G13:G15)</f>
        <v>115569</v>
      </c>
      <c r="H16" s="8">
        <f>SUM(H13:H15)</f>
        <v>48896</v>
      </c>
      <c r="I16" s="8">
        <f>SUM(I13:I15)</f>
        <v>94726</v>
      </c>
      <c r="J16" s="8">
        <f>SUM(J13:J15)</f>
        <v>31685</v>
      </c>
      <c r="K16" s="8">
        <f>SUM(K13:K15)</f>
        <v>155095</v>
      </c>
      <c r="L16" s="8">
        <f>SUM(L13:L15)</f>
        <v>189803</v>
      </c>
      <c r="M16" s="8">
        <f>SUM(M13:M15)</f>
        <v>109605.59444970086</v>
      </c>
      <c r="X16" s="8">
        <f>SUM(X13:X15)</f>
        <v>85228</v>
      </c>
      <c r="Y16" s="8">
        <f>SUM(Y13:Y15)</f>
        <v>294974</v>
      </c>
      <c r="Z16" s="8">
        <f>SUM(Z13:Z15)</f>
        <v>258468</v>
      </c>
      <c r="AA16" s="2">
        <f t="shared" si="10"/>
        <v>486188.59444970085</v>
      </c>
      <c r="AB16" s="8">
        <f>SUM(AB13:AB15)</f>
        <v>491050.48039419705</v>
      </c>
      <c r="AC16" s="8">
        <f t="shared" ref="AC16:AJ16" si="18">SUM(AC13:AC15)</f>
        <v>495960.98519814003</v>
      </c>
      <c r="AD16" s="8">
        <f t="shared" si="18"/>
        <v>500920.59505012084</v>
      </c>
      <c r="AE16" s="8">
        <f t="shared" si="18"/>
        <v>505929.80100062262</v>
      </c>
      <c r="AF16" s="8">
        <f t="shared" si="18"/>
        <v>510989.09901062783</v>
      </c>
      <c r="AG16" s="8">
        <f t="shared" si="18"/>
        <v>516098.99000073416</v>
      </c>
      <c r="AH16" s="8">
        <f t="shared" si="18"/>
        <v>521259.97990074311</v>
      </c>
      <c r="AI16" s="8">
        <f t="shared" si="18"/>
        <v>526472.57969974924</v>
      </c>
      <c r="AJ16" s="8">
        <f t="shared" si="18"/>
        <v>531737.30549674714</v>
      </c>
    </row>
    <row r="17" spans="2:236" x14ac:dyDescent="0.2">
      <c r="B17" s="2" t="s">
        <v>29</v>
      </c>
      <c r="F17" s="8">
        <v>1137</v>
      </c>
      <c r="G17" s="8">
        <v>-19938</v>
      </c>
      <c r="H17" s="8">
        <v>-7625</v>
      </c>
      <c r="I17" s="8">
        <f t="shared" si="9"/>
        <v>16142</v>
      </c>
      <c r="J17" s="8">
        <v>-6091</v>
      </c>
      <c r="K17" s="8">
        <v>-35492</v>
      </c>
      <c r="L17" s="8">
        <v>-12741</v>
      </c>
      <c r="M17" s="8">
        <f>+M16*(L17/L16)</f>
        <v>-7357.5490318047587</v>
      </c>
      <c r="X17" s="8">
        <v>-21477</v>
      </c>
      <c r="Y17" s="8">
        <v>-143882</v>
      </c>
      <c r="Z17" s="8">
        <v>-10284</v>
      </c>
      <c r="AA17" s="2">
        <f t="shared" si="10"/>
        <v>-61681.54903180476</v>
      </c>
      <c r="AB17" s="2">
        <f>+AB16*(AA17/AA16)</f>
        <v>-62298.364522122713</v>
      </c>
      <c r="AC17" s="2">
        <f t="shared" ref="AC17:AJ17" si="19">+AC16*(AB17/AB16)</f>
        <v>-62921.348167344062</v>
      </c>
      <c r="AD17" s="2">
        <f t="shared" si="19"/>
        <v>-63550.561649017429</v>
      </c>
      <c r="AE17" s="2">
        <f t="shared" si="19"/>
        <v>-64186.067265507678</v>
      </c>
      <c r="AF17" s="2">
        <f t="shared" si="19"/>
        <v>-64827.927938162626</v>
      </c>
      <c r="AG17" s="2">
        <f t="shared" si="19"/>
        <v>-65476.207217544259</v>
      </c>
      <c r="AH17" s="2">
        <f t="shared" si="19"/>
        <v>-66130.969289719898</v>
      </c>
      <c r="AI17" s="2">
        <f t="shared" si="19"/>
        <v>-66792.278982616946</v>
      </c>
      <c r="AJ17" s="2">
        <f t="shared" si="19"/>
        <v>-67460.201772443164</v>
      </c>
    </row>
    <row r="18" spans="2:236" x14ac:dyDescent="0.2">
      <c r="B18" s="2" t="s">
        <v>30</v>
      </c>
      <c r="F18" s="8">
        <f>+SUM(F16:F17)</f>
        <v>414</v>
      </c>
      <c r="G18" s="8">
        <f>+SUM(G16:G17)</f>
        <v>95631</v>
      </c>
      <c r="H18" s="8">
        <f>+SUM(H16:H17)</f>
        <v>41271</v>
      </c>
      <c r="I18" s="8">
        <f>+SUM(I16:I17)</f>
        <v>110868</v>
      </c>
      <c r="J18" s="8">
        <f>+SUM(J16:J17)</f>
        <v>25594</v>
      </c>
      <c r="K18" s="8">
        <f>+SUM(K16:K17)</f>
        <v>119603</v>
      </c>
      <c r="L18" s="8">
        <f>+SUM(L16:L17)</f>
        <v>177062</v>
      </c>
      <c r="M18" s="8">
        <f>+SUM(M16:M17)</f>
        <v>102248.04541789611</v>
      </c>
      <c r="X18" s="8">
        <f>+SUM(X16:X17)</f>
        <v>63751</v>
      </c>
      <c r="Y18" s="8">
        <f>+SUM(Y16:Y17)</f>
        <v>151092</v>
      </c>
      <c r="Z18" s="8">
        <f>+SUM(Z16:Z17)</f>
        <v>248184</v>
      </c>
      <c r="AA18" s="2">
        <f t="shared" si="10"/>
        <v>424507.04541789612</v>
      </c>
      <c r="AB18" s="8">
        <f>+SUM(AB16:AB17)</f>
        <v>428752.11587207433</v>
      </c>
      <c r="AC18" s="8">
        <f t="shared" ref="AC18:AJ18" si="20">+SUM(AC16:AC17)</f>
        <v>433039.63703079597</v>
      </c>
      <c r="AD18" s="8">
        <f t="shared" si="20"/>
        <v>437370.0334011034</v>
      </c>
      <c r="AE18" s="8">
        <f t="shared" si="20"/>
        <v>441743.73373511492</v>
      </c>
      <c r="AF18" s="8">
        <f t="shared" si="20"/>
        <v>446161.17107246519</v>
      </c>
      <c r="AG18" s="8">
        <f t="shared" si="20"/>
        <v>450622.7827831899</v>
      </c>
      <c r="AH18" s="8">
        <f t="shared" si="20"/>
        <v>455129.01061102323</v>
      </c>
      <c r="AI18" s="8">
        <f t="shared" si="20"/>
        <v>459680.30071713228</v>
      </c>
      <c r="AJ18" s="8">
        <f t="shared" si="20"/>
        <v>464277.103724304</v>
      </c>
      <c r="AK18" s="2">
        <f>+AJ18*(1+$AL$21)</f>
        <v>468919.87476154702</v>
      </c>
      <c r="AL18" s="2">
        <f t="shared" ref="AL18:CW18" si="21">+AK18*(1+$AL$21)</f>
        <v>473609.07350916247</v>
      </c>
      <c r="AM18" s="2">
        <f t="shared" si="21"/>
        <v>478345.16424425412</v>
      </c>
      <c r="AN18" s="2">
        <f t="shared" si="21"/>
        <v>483128.61588669667</v>
      </c>
      <c r="AO18" s="2">
        <f t="shared" si="21"/>
        <v>487959.90204556362</v>
      </c>
      <c r="AP18" s="2">
        <f t="shared" si="21"/>
        <v>492839.50106601923</v>
      </c>
      <c r="AQ18" s="2">
        <f t="shared" si="21"/>
        <v>497767.8960766794</v>
      </c>
      <c r="AR18" s="2">
        <f t="shared" si="21"/>
        <v>502745.57503744622</v>
      </c>
      <c r="AS18" s="2">
        <f t="shared" si="21"/>
        <v>507773.03078782069</v>
      </c>
      <c r="AT18" s="2">
        <f t="shared" si="21"/>
        <v>512850.76109569892</v>
      </c>
      <c r="AU18" s="2">
        <f t="shared" si="21"/>
        <v>517979.26870665594</v>
      </c>
      <c r="AV18" s="2">
        <f t="shared" si="21"/>
        <v>523159.06139372248</v>
      </c>
      <c r="AW18" s="2">
        <f t="shared" si="21"/>
        <v>528390.65200765966</v>
      </c>
      <c r="AX18" s="2">
        <f t="shared" si="21"/>
        <v>533674.55852773623</v>
      </c>
      <c r="AY18" s="2">
        <f t="shared" si="21"/>
        <v>539011.30411301355</v>
      </c>
      <c r="AZ18" s="2">
        <f t="shared" si="21"/>
        <v>544401.41715414368</v>
      </c>
      <c r="BA18" s="2">
        <f t="shared" si="21"/>
        <v>549845.43132568512</v>
      </c>
      <c r="BB18" s="2">
        <f t="shared" si="21"/>
        <v>555343.88563894201</v>
      </c>
      <c r="BC18" s="2">
        <f t="shared" si="21"/>
        <v>560897.32449533138</v>
      </c>
      <c r="BD18" s="2">
        <f t="shared" si="21"/>
        <v>566506.2977402847</v>
      </c>
      <c r="BE18" s="2">
        <f t="shared" si="21"/>
        <v>572171.36071768752</v>
      </c>
      <c r="BF18" s="2">
        <f t="shared" si="21"/>
        <v>577893.07432486443</v>
      </c>
      <c r="BG18" s="2">
        <f t="shared" si="21"/>
        <v>583672.0050681131</v>
      </c>
      <c r="BH18" s="2">
        <f t="shared" si="21"/>
        <v>589508.72511879425</v>
      </c>
      <c r="BI18" s="2">
        <f t="shared" si="21"/>
        <v>595403.81236998225</v>
      </c>
      <c r="BJ18" s="2">
        <f t="shared" si="21"/>
        <v>601357.85049368208</v>
      </c>
      <c r="BK18" s="2">
        <f t="shared" si="21"/>
        <v>607371.42899861885</v>
      </c>
      <c r="BL18" s="2">
        <f t="shared" si="21"/>
        <v>613445.14328860503</v>
      </c>
      <c r="BM18" s="2">
        <f t="shared" si="21"/>
        <v>619579.5947214911</v>
      </c>
      <c r="BN18" s="2">
        <f t="shared" si="21"/>
        <v>625775.39066870604</v>
      </c>
      <c r="BO18" s="2">
        <f t="shared" si="21"/>
        <v>632033.14457539306</v>
      </c>
      <c r="BP18" s="2">
        <f t="shared" si="21"/>
        <v>638353.47602114698</v>
      </c>
      <c r="BQ18" s="2">
        <f t="shared" si="21"/>
        <v>644737.01078135846</v>
      </c>
      <c r="BR18" s="2">
        <f t="shared" si="21"/>
        <v>651184.38088917208</v>
      </c>
      <c r="BS18" s="2">
        <f t="shared" si="21"/>
        <v>657696.2246980638</v>
      </c>
      <c r="BT18" s="2">
        <f t="shared" si="21"/>
        <v>664273.18694504444</v>
      </c>
      <c r="BU18" s="2">
        <f t="shared" si="21"/>
        <v>670915.91881449486</v>
      </c>
      <c r="BV18" s="2">
        <f t="shared" si="21"/>
        <v>677625.07800263981</v>
      </c>
      <c r="BW18" s="2">
        <f t="shared" si="21"/>
        <v>684401.32878266624</v>
      </c>
      <c r="BX18" s="2">
        <f t="shared" si="21"/>
        <v>691245.34207049292</v>
      </c>
      <c r="BY18" s="2">
        <f t="shared" si="21"/>
        <v>698157.79549119784</v>
      </c>
      <c r="BZ18" s="2">
        <f t="shared" si="21"/>
        <v>705139.37344610982</v>
      </c>
      <c r="CA18" s="2">
        <f t="shared" si="21"/>
        <v>712190.76718057098</v>
      </c>
      <c r="CB18" s="2">
        <f t="shared" si="21"/>
        <v>719312.67485237669</v>
      </c>
      <c r="CC18" s="2">
        <f t="shared" si="21"/>
        <v>726505.80160090048</v>
      </c>
      <c r="CD18" s="2">
        <f t="shared" si="21"/>
        <v>733770.85961690953</v>
      </c>
      <c r="CE18" s="2">
        <f t="shared" si="21"/>
        <v>741108.56821307866</v>
      </c>
      <c r="CF18" s="2">
        <f t="shared" si="21"/>
        <v>748519.65389520943</v>
      </c>
      <c r="CG18" s="2">
        <f t="shared" si="21"/>
        <v>756004.85043416149</v>
      </c>
      <c r="CH18" s="2">
        <f t="shared" si="21"/>
        <v>763564.89893850312</v>
      </c>
      <c r="CI18" s="2">
        <f t="shared" si="21"/>
        <v>771200.54792788811</v>
      </c>
      <c r="CJ18" s="2">
        <f t="shared" si="21"/>
        <v>778912.55340716697</v>
      </c>
      <c r="CK18" s="2">
        <f t="shared" si="21"/>
        <v>786701.67894123867</v>
      </c>
      <c r="CL18" s="2">
        <f t="shared" si="21"/>
        <v>794568.69573065103</v>
      </c>
      <c r="CM18" s="2">
        <f t="shared" si="21"/>
        <v>802514.38268795749</v>
      </c>
      <c r="CN18" s="2">
        <f t="shared" si="21"/>
        <v>810539.52651483705</v>
      </c>
      <c r="CO18" s="2">
        <f t="shared" si="21"/>
        <v>818644.92177998542</v>
      </c>
      <c r="CP18" s="2">
        <f t="shared" si="21"/>
        <v>826831.37099778524</v>
      </c>
      <c r="CQ18" s="2">
        <f t="shared" si="21"/>
        <v>835099.68470776314</v>
      </c>
      <c r="CR18" s="2">
        <f t="shared" si="21"/>
        <v>843450.68155484076</v>
      </c>
      <c r="CS18" s="2">
        <f t="shared" si="21"/>
        <v>851885.18837038917</v>
      </c>
      <c r="CT18" s="2">
        <f t="shared" si="21"/>
        <v>860404.04025409301</v>
      </c>
      <c r="CU18" s="2">
        <f t="shared" si="21"/>
        <v>869008.08065663395</v>
      </c>
      <c r="CV18" s="2">
        <f t="shared" si="21"/>
        <v>877698.16146320035</v>
      </c>
      <c r="CW18" s="2">
        <f t="shared" si="21"/>
        <v>886475.14307783241</v>
      </c>
      <c r="CX18" s="2">
        <f t="shared" ref="CX18:FI18" si="22">+CW18*(1+$AL$21)</f>
        <v>895339.89450861071</v>
      </c>
      <c r="CY18" s="2">
        <f t="shared" si="22"/>
        <v>904293.29345369688</v>
      </c>
      <c r="CZ18" s="2">
        <f t="shared" si="22"/>
        <v>913336.22638823383</v>
      </c>
      <c r="DA18" s="2">
        <f t="shared" si="22"/>
        <v>922469.58865211613</v>
      </c>
      <c r="DB18" s="2">
        <f t="shared" si="22"/>
        <v>931694.28453863726</v>
      </c>
      <c r="DC18" s="2">
        <f t="shared" si="22"/>
        <v>941011.2273840236</v>
      </c>
      <c r="DD18" s="2">
        <f t="shared" si="22"/>
        <v>950421.33965786383</v>
      </c>
      <c r="DE18" s="2">
        <f t="shared" si="22"/>
        <v>959925.55305444251</v>
      </c>
      <c r="DF18" s="2">
        <f t="shared" si="22"/>
        <v>969524.80858498695</v>
      </c>
      <c r="DG18" s="2">
        <f t="shared" si="22"/>
        <v>979220.05667083687</v>
      </c>
      <c r="DH18" s="2">
        <f t="shared" si="22"/>
        <v>989012.25723754521</v>
      </c>
      <c r="DI18" s="2">
        <f t="shared" si="22"/>
        <v>998902.37980992068</v>
      </c>
      <c r="DJ18" s="2">
        <f t="shared" si="22"/>
        <v>1008891.4036080199</v>
      </c>
      <c r="DK18" s="2">
        <f t="shared" si="22"/>
        <v>1018980.3176441002</v>
      </c>
      <c r="DL18" s="2">
        <f t="shared" si="22"/>
        <v>1029170.1208205412</v>
      </c>
      <c r="DM18" s="2">
        <f t="shared" si="22"/>
        <v>1039461.8220287466</v>
      </c>
      <c r="DN18" s="2">
        <f t="shared" si="22"/>
        <v>1049856.440249034</v>
      </c>
      <c r="DO18" s="2">
        <f t="shared" si="22"/>
        <v>1060355.0046515244</v>
      </c>
      <c r="DP18" s="2">
        <f t="shared" si="22"/>
        <v>1070958.5546980395</v>
      </c>
      <c r="DQ18" s="2">
        <f t="shared" si="22"/>
        <v>1081668.1402450199</v>
      </c>
      <c r="DR18" s="2">
        <f t="shared" si="22"/>
        <v>1092484.8216474701</v>
      </c>
      <c r="DS18" s="2">
        <f t="shared" si="22"/>
        <v>1103409.6698639449</v>
      </c>
      <c r="DT18" s="2">
        <f t="shared" si="22"/>
        <v>1114443.7665625843</v>
      </c>
      <c r="DU18" s="2">
        <f t="shared" si="22"/>
        <v>1125588.2042282103</v>
      </c>
      <c r="DV18" s="2">
        <f t="shared" si="22"/>
        <v>1136844.0862704923</v>
      </c>
      <c r="DW18" s="2">
        <f t="shared" si="22"/>
        <v>1148212.5271331973</v>
      </c>
      <c r="DX18" s="2">
        <f t="shared" si="22"/>
        <v>1159694.6524045293</v>
      </c>
      <c r="DY18" s="2">
        <f t="shared" si="22"/>
        <v>1171291.5989285745</v>
      </c>
      <c r="DZ18" s="2">
        <f t="shared" si="22"/>
        <v>1183004.5149178603</v>
      </c>
      <c r="EA18" s="2">
        <f t="shared" si="22"/>
        <v>1194834.560067039</v>
      </c>
      <c r="EB18" s="2">
        <f t="shared" si="22"/>
        <v>1206782.9056677094</v>
      </c>
      <c r="EC18" s="2">
        <f t="shared" si="22"/>
        <v>1218850.7347243866</v>
      </c>
      <c r="ED18" s="2">
        <f t="shared" si="22"/>
        <v>1231039.2420716304</v>
      </c>
      <c r="EE18" s="2">
        <f t="shared" si="22"/>
        <v>1243349.6344923468</v>
      </c>
      <c r="EF18" s="2">
        <f t="shared" si="22"/>
        <v>1255783.1308372703</v>
      </c>
      <c r="EG18" s="2">
        <f t="shared" si="22"/>
        <v>1268340.9621456431</v>
      </c>
      <c r="EH18" s="2">
        <f t="shared" si="22"/>
        <v>1281024.3717670995</v>
      </c>
      <c r="EI18" s="2">
        <f t="shared" si="22"/>
        <v>1293834.6154847704</v>
      </c>
      <c r="EJ18" s="2">
        <f t="shared" si="22"/>
        <v>1306772.961639618</v>
      </c>
      <c r="EK18" s="2">
        <f t="shared" si="22"/>
        <v>1319840.6912560142</v>
      </c>
      <c r="EL18" s="2">
        <f t="shared" si="22"/>
        <v>1333039.0981685743</v>
      </c>
      <c r="EM18" s="2">
        <f t="shared" si="22"/>
        <v>1346369.4891502601</v>
      </c>
      <c r="EN18" s="2">
        <f t="shared" si="22"/>
        <v>1359833.1840417627</v>
      </c>
      <c r="EO18" s="2">
        <f t="shared" si="22"/>
        <v>1373431.5158821803</v>
      </c>
      <c r="EP18" s="2">
        <f t="shared" si="22"/>
        <v>1387165.8310410022</v>
      </c>
      <c r="EQ18" s="2">
        <f t="shared" si="22"/>
        <v>1401037.4893514123</v>
      </c>
      <c r="ER18" s="2">
        <f t="shared" si="22"/>
        <v>1415047.8642449265</v>
      </c>
      <c r="ES18" s="2">
        <f t="shared" si="22"/>
        <v>1429198.3428873757</v>
      </c>
      <c r="ET18" s="2">
        <f t="shared" si="22"/>
        <v>1443490.3263162496</v>
      </c>
      <c r="EU18" s="2">
        <f t="shared" si="22"/>
        <v>1457925.2295794121</v>
      </c>
      <c r="EV18" s="2">
        <f t="shared" si="22"/>
        <v>1472504.4818752063</v>
      </c>
      <c r="EW18" s="2">
        <f t="shared" si="22"/>
        <v>1487229.5266939583</v>
      </c>
      <c r="EX18" s="2">
        <f t="shared" si="22"/>
        <v>1502101.8219608979</v>
      </c>
      <c r="EY18" s="2">
        <f t="shared" si="22"/>
        <v>1517122.8401805069</v>
      </c>
      <c r="EZ18" s="2">
        <f t="shared" si="22"/>
        <v>1532294.068582312</v>
      </c>
      <c r="FA18" s="2">
        <f t="shared" si="22"/>
        <v>1547617.0092681351</v>
      </c>
      <c r="FB18" s="2">
        <f t="shared" si="22"/>
        <v>1563093.1793608165</v>
      </c>
      <c r="FC18" s="2">
        <f t="shared" si="22"/>
        <v>1578724.1111544247</v>
      </c>
      <c r="FD18" s="2">
        <f t="shared" si="22"/>
        <v>1594511.3522659689</v>
      </c>
      <c r="FE18" s="2">
        <f t="shared" si="22"/>
        <v>1610456.4657886287</v>
      </c>
      <c r="FF18" s="2">
        <f t="shared" si="22"/>
        <v>1626561.030446515</v>
      </c>
      <c r="FG18" s="2">
        <f t="shared" si="22"/>
        <v>1642826.64075098</v>
      </c>
      <c r="FH18" s="2">
        <f t="shared" si="22"/>
        <v>1659254.9071584898</v>
      </c>
      <c r="FI18" s="2">
        <f t="shared" si="22"/>
        <v>1675847.4562300746</v>
      </c>
      <c r="FJ18" s="2">
        <f t="shared" ref="FJ18:HP18" si="23">+FI18*(1+$AL$21)</f>
        <v>1692605.9307923755</v>
      </c>
      <c r="FK18" s="2">
        <f t="shared" si="23"/>
        <v>1709531.9901002992</v>
      </c>
      <c r="FL18" s="2">
        <f t="shared" si="23"/>
        <v>1726627.3100013023</v>
      </c>
      <c r="FM18" s="2">
        <f t="shared" si="23"/>
        <v>1743893.5831013154</v>
      </c>
      <c r="FN18" s="2">
        <f t="shared" si="23"/>
        <v>1761332.5189323286</v>
      </c>
      <c r="FO18" s="2">
        <f t="shared" si="23"/>
        <v>1778945.844121652</v>
      </c>
      <c r="FP18" s="2">
        <f t="shared" si="23"/>
        <v>1796735.3025628685</v>
      </c>
      <c r="FQ18" s="2">
        <f t="shared" si="23"/>
        <v>1814702.6555884972</v>
      </c>
      <c r="FR18" s="2">
        <f t="shared" si="23"/>
        <v>1832849.6821443823</v>
      </c>
      <c r="FS18" s="2">
        <f t="shared" si="23"/>
        <v>1851178.1789658261</v>
      </c>
      <c r="FT18" s="2">
        <f t="shared" si="23"/>
        <v>1869689.9607554844</v>
      </c>
      <c r="FU18" s="2">
        <f t="shared" si="23"/>
        <v>1888386.8603630392</v>
      </c>
      <c r="FV18" s="2">
        <f t="shared" si="23"/>
        <v>1907270.7289666696</v>
      </c>
      <c r="FW18" s="2">
        <f t="shared" si="23"/>
        <v>1926343.4362563363</v>
      </c>
      <c r="FX18" s="2">
        <f t="shared" si="23"/>
        <v>1945606.8706188996</v>
      </c>
      <c r="FY18" s="2">
        <f t="shared" si="23"/>
        <v>1965062.9393250886</v>
      </c>
      <c r="FZ18" s="2">
        <f t="shared" si="23"/>
        <v>1984713.5687183395</v>
      </c>
      <c r="GA18" s="2">
        <f t="shared" si="23"/>
        <v>2004560.7044055229</v>
      </c>
      <c r="GB18" s="2">
        <f t="shared" si="23"/>
        <v>2024606.3114495783</v>
      </c>
      <c r="GC18" s="2">
        <f t="shared" si="23"/>
        <v>2044852.374564074</v>
      </c>
      <c r="GD18" s="2">
        <f t="shared" si="23"/>
        <v>2065300.8983097146</v>
      </c>
      <c r="GE18" s="2">
        <f t="shared" si="23"/>
        <v>2085953.9072928119</v>
      </c>
      <c r="GF18" s="2">
        <f t="shared" si="23"/>
        <v>2106813.4463657402</v>
      </c>
      <c r="GG18" s="2">
        <f t="shared" si="23"/>
        <v>2127881.5808293978</v>
      </c>
      <c r="GH18" s="2">
        <f t="shared" si="23"/>
        <v>2149160.3966376917</v>
      </c>
      <c r="GI18" s="2">
        <f t="shared" si="23"/>
        <v>2170652.0006040684</v>
      </c>
      <c r="GJ18" s="2">
        <f t="shared" si="23"/>
        <v>2192358.520610109</v>
      </c>
      <c r="GK18" s="2">
        <f t="shared" si="23"/>
        <v>2214282.1058162102</v>
      </c>
      <c r="GL18" s="2">
        <f t="shared" si="23"/>
        <v>2236424.9268743722</v>
      </c>
      <c r="GM18" s="2">
        <f t="shared" si="23"/>
        <v>2258789.1761431159</v>
      </c>
      <c r="GN18" s="2">
        <f t="shared" si="23"/>
        <v>2281377.0679045469</v>
      </c>
      <c r="GO18" s="2">
        <f t="shared" si="23"/>
        <v>2304190.8385835923</v>
      </c>
      <c r="GP18" s="2">
        <f t="shared" si="23"/>
        <v>2327232.7469694284</v>
      </c>
      <c r="GQ18" s="2">
        <f t="shared" si="23"/>
        <v>2350505.0744391228</v>
      </c>
      <c r="GR18" s="2">
        <f t="shared" si="23"/>
        <v>2374010.1251835139</v>
      </c>
      <c r="GS18" s="2">
        <f t="shared" si="23"/>
        <v>2397750.2264353489</v>
      </c>
      <c r="GT18" s="2">
        <f t="shared" si="23"/>
        <v>2421727.7286997023</v>
      </c>
      <c r="GU18" s="2">
        <f t="shared" si="23"/>
        <v>2445945.0059866994</v>
      </c>
      <c r="GV18" s="2">
        <f t="shared" si="23"/>
        <v>2470404.4560465664</v>
      </c>
      <c r="GW18" s="2">
        <f t="shared" si="23"/>
        <v>2495108.5006070319</v>
      </c>
      <c r="GX18" s="2">
        <f t="shared" si="23"/>
        <v>2520059.5856131022</v>
      </c>
      <c r="GY18" s="2">
        <f t="shared" si="23"/>
        <v>2545260.1814692332</v>
      </c>
      <c r="GZ18" s="2">
        <f t="shared" si="23"/>
        <v>2570712.7832839256</v>
      </c>
      <c r="HA18" s="2">
        <f t="shared" si="23"/>
        <v>2596419.9111167649</v>
      </c>
      <c r="HB18" s="2">
        <f t="shared" si="23"/>
        <v>2622384.1102279327</v>
      </c>
      <c r="HC18" s="2">
        <f t="shared" si="23"/>
        <v>2648607.9513302119</v>
      </c>
      <c r="HD18" s="2">
        <f t="shared" si="23"/>
        <v>2675094.030843514</v>
      </c>
      <c r="HE18" s="2">
        <f t="shared" si="23"/>
        <v>2701844.9711519494</v>
      </c>
      <c r="HF18" s="2">
        <f t="shared" si="23"/>
        <v>2728863.4208634687</v>
      </c>
      <c r="HG18" s="2">
        <f t="shared" si="23"/>
        <v>2756152.0550721032</v>
      </c>
      <c r="HH18" s="2">
        <f t="shared" si="23"/>
        <v>2783713.575622824</v>
      </c>
      <c r="HI18" s="2">
        <f t="shared" si="23"/>
        <v>2811550.7113790521</v>
      </c>
      <c r="HJ18" s="2">
        <f t="shared" si="23"/>
        <v>2839666.2184928427</v>
      </c>
      <c r="HK18" s="2">
        <f t="shared" si="23"/>
        <v>2868062.8806777713</v>
      </c>
      <c r="HL18" s="2">
        <f t="shared" si="23"/>
        <v>2896743.5094845491</v>
      </c>
      <c r="HM18" s="2">
        <f t="shared" si="23"/>
        <v>2925710.9445793945</v>
      </c>
      <c r="HN18" s="2">
        <f t="shared" si="23"/>
        <v>2954968.0540251886</v>
      </c>
      <c r="HO18" s="2">
        <f t="shared" si="23"/>
        <v>2984517.7345654406</v>
      </c>
      <c r="HP18" s="2">
        <f t="shared" si="23"/>
        <v>3014362.911911095</v>
      </c>
      <c r="HQ18" s="2">
        <f t="shared" ref="HQ18:ID18" si="24">+HP18*(1+$AL$21)</f>
        <v>3044506.5410302058</v>
      </c>
      <c r="HR18" s="2">
        <f t="shared" si="24"/>
        <v>3074951.6064405078</v>
      </c>
      <c r="HS18" s="2">
        <f t="shared" si="24"/>
        <v>3105701.1225049128</v>
      </c>
      <c r="HT18" s="2">
        <f t="shared" si="24"/>
        <v>3136758.1337299622</v>
      </c>
      <c r="HU18" s="2">
        <f t="shared" si="24"/>
        <v>3168125.7150672618</v>
      </c>
      <c r="HV18" s="2">
        <f t="shared" si="24"/>
        <v>3199806.9722179347</v>
      </c>
      <c r="HW18" s="2">
        <f t="shared" si="24"/>
        <v>3231805.041940114</v>
      </c>
      <c r="HX18" s="2">
        <f t="shared" si="24"/>
        <v>3264123.0923595154</v>
      </c>
      <c r="HY18" s="2">
        <f t="shared" si="24"/>
        <v>3296764.3232831107</v>
      </c>
      <c r="HZ18" s="2">
        <f t="shared" si="24"/>
        <v>3329731.966515942</v>
      </c>
      <c r="IA18" s="2">
        <f t="shared" si="24"/>
        <v>3363029.2861811016</v>
      </c>
      <c r="IB18" s="2">
        <f t="shared" si="24"/>
        <v>3396659.5790429125</v>
      </c>
    </row>
    <row r="19" spans="2:236" x14ac:dyDescent="0.2">
      <c r="B19" s="2" t="s">
        <v>31</v>
      </c>
      <c r="F19" s="8">
        <v>96510</v>
      </c>
      <c r="G19" s="8">
        <v>94886</v>
      </c>
      <c r="H19" s="8">
        <v>95031</v>
      </c>
      <c r="J19" s="8">
        <v>93770</v>
      </c>
      <c r="K19" s="8">
        <v>93792</v>
      </c>
      <c r="L19" s="8">
        <v>93571</v>
      </c>
      <c r="X19" s="8">
        <v>103019</v>
      </c>
      <c r="Y19" s="8">
        <v>97557</v>
      </c>
      <c r="Z19" s="8">
        <v>95450</v>
      </c>
      <c r="AA19" s="2">
        <f t="shared" si="10"/>
        <v>281133</v>
      </c>
    </row>
    <row r="20" spans="2:236" s="10" customFormat="1" x14ac:dyDescent="0.2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X20" s="11"/>
      <c r="Y20" s="11"/>
      <c r="Z20" s="11"/>
    </row>
    <row r="21" spans="2:236" x14ac:dyDescent="0.2">
      <c r="B21" s="2" t="s">
        <v>34</v>
      </c>
      <c r="AK21" s="2" t="s">
        <v>127</v>
      </c>
      <c r="AL21" s="5">
        <v>0.01</v>
      </c>
    </row>
    <row r="22" spans="2:236" s="5" customFormat="1" x14ac:dyDescent="0.2">
      <c r="B22" s="5" t="s">
        <v>18</v>
      </c>
      <c r="C22" s="9"/>
      <c r="D22" s="9"/>
      <c r="E22" s="9"/>
      <c r="F22" s="9"/>
      <c r="G22" s="9"/>
      <c r="H22" s="9"/>
      <c r="I22" s="9"/>
      <c r="J22" s="12">
        <f>+J4/F4-1</f>
        <v>6.1227484783884734E-2</v>
      </c>
      <c r="K22" s="12">
        <f>+K4/G4-1</f>
        <v>0.1778335390655037</v>
      </c>
      <c r="L22" s="12">
        <f>+L4/H4-1</f>
        <v>0.1119595987837696</v>
      </c>
      <c r="M22" s="9"/>
      <c r="Y22" s="5">
        <f>+Y4/X4-1</f>
        <v>0</v>
      </c>
      <c r="Z22" s="5">
        <f>+Z4/Y4-1</f>
        <v>0.11223957287945074</v>
      </c>
      <c r="AK22" s="5" t="s">
        <v>128</v>
      </c>
      <c r="AL22" s="44">
        <v>0.08</v>
      </c>
    </row>
    <row r="23" spans="2:236" s="5" customFormat="1" x14ac:dyDescent="0.2">
      <c r="B23" s="5" t="s">
        <v>16</v>
      </c>
      <c r="C23" s="9"/>
      <c r="D23" s="9"/>
      <c r="E23" s="9"/>
      <c r="F23" s="9"/>
      <c r="G23" s="9"/>
      <c r="H23" s="9"/>
      <c r="I23" s="9"/>
      <c r="J23" s="12">
        <f>+J5/F5-1</f>
        <v>-4.0921874047695761E-2</v>
      </c>
      <c r="K23" s="12">
        <f>+K5/G5-1</f>
        <v>-0.27174401656427516</v>
      </c>
      <c r="L23" s="12">
        <f>+L5/H5-1</f>
        <v>1.582593299077284E-2</v>
      </c>
      <c r="M23" s="9"/>
      <c r="Y23" s="5">
        <f>+Y5/X5-1</f>
        <v>0</v>
      </c>
      <c r="Z23" s="5">
        <f>+Z5/Y5-1</f>
        <v>8.741257936608382E-2</v>
      </c>
      <c r="AK23" s="5" t="s">
        <v>129</v>
      </c>
      <c r="AL23" s="43">
        <f>+NPV(AL22,AA18:IB18)</f>
        <v>6064381.6718830224</v>
      </c>
    </row>
    <row r="24" spans="2:236" s="5" customFormat="1" x14ac:dyDescent="0.2">
      <c r="B24" s="5" t="s">
        <v>17</v>
      </c>
      <c r="C24" s="9"/>
      <c r="D24" s="9"/>
      <c r="E24" s="9"/>
      <c r="F24" s="9"/>
      <c r="G24" s="9"/>
      <c r="H24" s="9"/>
      <c r="I24" s="9"/>
      <c r="J24" s="12">
        <f>+J6/F6-1</f>
        <v>-0.11071845567058458</v>
      </c>
      <c r="K24" s="12">
        <f>+K6/G6-1</f>
        <v>3.3972287726433015E-2</v>
      </c>
      <c r="L24" s="12">
        <f>+L6/H6-1</f>
        <v>8.7686120628842179E-2</v>
      </c>
      <c r="M24" s="9"/>
      <c r="Y24" s="5">
        <f>+Y6/X6-1</f>
        <v>0</v>
      </c>
      <c r="Z24" s="5">
        <f>+Z6/Y6-1</f>
        <v>-5.5331685261779784E-2</v>
      </c>
      <c r="AK24" s="5" t="s">
        <v>130</v>
      </c>
      <c r="AL24" s="1">
        <f>+Main!K3*1000</f>
        <v>92705.679000000004</v>
      </c>
    </row>
    <row r="25" spans="2:236" s="5" customFormat="1" x14ac:dyDescent="0.2">
      <c r="B25" s="13" t="s">
        <v>19</v>
      </c>
      <c r="C25" s="9"/>
      <c r="D25" s="9"/>
      <c r="E25" s="9"/>
      <c r="F25" s="9"/>
      <c r="G25" s="9"/>
      <c r="H25" s="9"/>
      <c r="I25" s="9"/>
      <c r="J25" s="12">
        <f>+J7/F7-1</f>
        <v>-7.6570678413977689E-2</v>
      </c>
      <c r="K25" s="12">
        <f>+K7/G7-1</f>
        <v>1.1460962113082562E-2</v>
      </c>
      <c r="L25" s="12">
        <f>+L7/H7-1</f>
        <v>8.3641359922384861E-2</v>
      </c>
      <c r="M25" s="12">
        <f>+M7/I7-1</f>
        <v>3.0000000000000027E-2</v>
      </c>
      <c r="Y25" s="5">
        <f>+Y7/X7-1</f>
        <v>5.6061818810393627E-2</v>
      </c>
      <c r="Z25" s="5">
        <f>+Z7/Y7-1</f>
        <v>-1.3406265966946385E-2</v>
      </c>
      <c r="AA25" s="5">
        <f>+AA7/Z7-1</f>
        <v>1.2591445321837647E-2</v>
      </c>
      <c r="AB25" s="5">
        <f>+AB7/AA7-1</f>
        <v>1.0000000000000009E-2</v>
      </c>
      <c r="AC25" s="5">
        <f>+AC7/AB7-1</f>
        <v>1.0000000000000009E-2</v>
      </c>
      <c r="AD25" s="5">
        <f>+AD7/AC7-1</f>
        <v>1.0000000000000009E-2</v>
      </c>
      <c r="AE25" s="5">
        <f>+AE7/AD7-1</f>
        <v>1.0000000000000009E-2</v>
      </c>
      <c r="AF25" s="5">
        <f>+AF7/AE7-1</f>
        <v>1.0000000000000009E-2</v>
      </c>
      <c r="AK25" s="5" t="s">
        <v>131</v>
      </c>
      <c r="AL25" s="1">
        <f>+AL23/AL24</f>
        <v>65.415428022300787</v>
      </c>
    </row>
    <row r="26" spans="2:236" s="5" customFormat="1" x14ac:dyDescent="0.2">
      <c r="B26" s="13"/>
      <c r="C26" s="9"/>
      <c r="D26" s="9"/>
      <c r="E26" s="9"/>
      <c r="F26" s="9"/>
      <c r="G26" s="9"/>
      <c r="H26" s="9"/>
      <c r="I26" s="9"/>
      <c r="J26" s="12"/>
      <c r="K26" s="12"/>
      <c r="L26" s="12"/>
      <c r="M26" s="9"/>
    </row>
    <row r="27" spans="2:236" x14ac:dyDescent="0.2">
      <c r="B27" s="2" t="s">
        <v>67</v>
      </c>
    </row>
    <row r="28" spans="2:236" x14ac:dyDescent="0.2">
      <c r="B28" s="2" t="s">
        <v>35</v>
      </c>
      <c r="J28" s="9">
        <f t="shared" ref="J28:L28" si="25">(J7-J8)/J7</f>
        <v>0.40524049253888111</v>
      </c>
      <c r="K28" s="9">
        <f t="shared" si="25"/>
        <v>0.46961416264290229</v>
      </c>
      <c r="L28" s="9">
        <f>(L7-L8)/L7</f>
        <v>0.46748254459650396</v>
      </c>
      <c r="X28" s="9">
        <f>(X7-X8)/X7</f>
        <v>0.33895145933531107</v>
      </c>
      <c r="Y28" s="9">
        <f>(Y7-Y8)/Y7</f>
        <v>0.39487800258177064</v>
      </c>
      <c r="Z28" s="9">
        <f>(Z7-Z8)/Z7</f>
        <v>0.41290695732771243</v>
      </c>
    </row>
    <row r="29" spans="2:236" x14ac:dyDescent="0.2">
      <c r="B29" s="31" t="s">
        <v>36</v>
      </c>
      <c r="C29" s="32"/>
      <c r="D29" s="32"/>
      <c r="E29" s="32"/>
      <c r="F29" s="32"/>
      <c r="G29" s="33">
        <f>+G13/G7</f>
        <v>0.11728613896297117</v>
      </c>
      <c r="H29" s="33">
        <f>+H13/H7</f>
        <v>5.786752837718824E-2</v>
      </c>
      <c r="I29" s="33">
        <f>+I13/I7</f>
        <v>0.12389559664808839</v>
      </c>
      <c r="J29" s="33">
        <f>+J13/J7</f>
        <v>3.6745002918984145E-2</v>
      </c>
      <c r="K29" s="33">
        <f>+K13/K7</f>
        <v>0.14896792923591148</v>
      </c>
      <c r="L29" s="33">
        <f>+L13/L7</f>
        <v>0.19350345784669862</v>
      </c>
      <c r="X29" s="9">
        <f>+X13/X7</f>
        <v>4.0277648982363697E-2</v>
      </c>
      <c r="Y29" s="9">
        <f>+Y13/Y7</f>
        <v>8.3065261071344626E-2</v>
      </c>
      <c r="Z29" s="9">
        <f>+Z13/Z7</f>
        <v>7.7466589548560616E-2</v>
      </c>
    </row>
    <row r="30" spans="2:236" x14ac:dyDescent="0.2">
      <c r="B30" s="28" t="s">
        <v>18</v>
      </c>
      <c r="F30" s="9">
        <v>3.7999999999999999E-2</v>
      </c>
      <c r="G30" s="9">
        <v>8.7999999999999995E-2</v>
      </c>
      <c r="H30" s="9">
        <v>0.19</v>
      </c>
      <c r="J30" s="9">
        <v>0.157</v>
      </c>
      <c r="K30" s="9">
        <v>0.23899999999999999</v>
      </c>
      <c r="L30" s="9">
        <v>0.29199999999999998</v>
      </c>
    </row>
    <row r="31" spans="2:236" x14ac:dyDescent="0.2">
      <c r="B31" s="28" t="s">
        <v>16</v>
      </c>
      <c r="F31" s="9">
        <v>-0.17</v>
      </c>
      <c r="G31" s="9">
        <v>-6.0999999999999999E-2</v>
      </c>
      <c r="H31" s="9">
        <v>-0.107</v>
      </c>
      <c r="J31" s="9">
        <v>-6.8000000000000005E-2</v>
      </c>
      <c r="K31" s="9">
        <v>-0.20200000000000001</v>
      </c>
      <c r="L31" s="9">
        <v>-5.6000000000000001E-2</v>
      </c>
    </row>
    <row r="32" spans="2:236" x14ac:dyDescent="0.2">
      <c r="B32" s="28" t="s">
        <v>17</v>
      </c>
      <c r="F32" s="9">
        <v>0.18099999999999999</v>
      </c>
      <c r="G32" s="9">
        <v>0.28599999999999998</v>
      </c>
      <c r="H32" s="9">
        <v>0.254</v>
      </c>
      <c r="J32" s="9">
        <v>0.17100000000000001</v>
      </c>
      <c r="K32" s="9">
        <v>0.30499999999999999</v>
      </c>
      <c r="L32" s="9">
        <v>0.29299999999999998</v>
      </c>
    </row>
    <row r="35" spans="2:2" x14ac:dyDescent="0.2">
      <c r="B35" s="2" t="s">
        <v>68</v>
      </c>
    </row>
  </sheetData>
  <pageMargins left="0.7" right="0.7" top="0.75" bottom="0.75" header="0.3" footer="0.3"/>
  <ignoredErrors>
    <ignoredError sqref="I4:I6" formulaRange="1"/>
    <ignoredError sqref="I7:I17" formula="1" formulaRange="1"/>
    <ignoredError sqref="F7:H17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Game Theory Payoff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2025-08-17T02:40:28Z</dcterms:created>
  <dcterms:modified xsi:type="dcterms:W3CDTF">2026-02-13T02:53:47Z</dcterms:modified>
</cp:coreProperties>
</file>