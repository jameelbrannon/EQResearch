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meelbrannon/Library/CloudStorage/Dropbox/models/"/>
    </mc:Choice>
  </mc:AlternateContent>
  <xr:revisionPtr revIDLastSave="0" documentId="13_ncr:1_{8E1D233B-D0D3-0B4F-940A-45729E07A596}" xr6:coauthVersionLast="47" xr6:coauthVersionMax="47" xr10:uidLastSave="{00000000-0000-0000-0000-000000000000}"/>
  <bookViews>
    <workbookView xWindow="22300" yWindow="860" windowWidth="45180" windowHeight="26580" activeTab="1" xr2:uid="{18A14933-2D54-E947-909F-6FBE03556AEE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71" i="2" l="1"/>
  <c r="L72" i="2" s="1"/>
  <c r="K71" i="2"/>
  <c r="K72" i="2" s="1"/>
  <c r="J71" i="2"/>
  <c r="J72" i="2" s="1"/>
  <c r="M72" i="2"/>
  <c r="M71" i="2"/>
  <c r="M76" i="2"/>
  <c r="L76" i="2"/>
  <c r="K76" i="2"/>
  <c r="J76" i="2"/>
  <c r="K75" i="2"/>
  <c r="K62" i="2"/>
  <c r="K64" i="2" s="1"/>
  <c r="K54" i="2"/>
  <c r="L75" i="2"/>
  <c r="L62" i="2"/>
  <c r="L64" i="2" s="1"/>
  <c r="L54" i="2"/>
  <c r="M75" i="2"/>
  <c r="J75" i="2"/>
  <c r="J62" i="2"/>
  <c r="J64" i="2" s="1"/>
  <c r="J54" i="2"/>
  <c r="M74" i="2"/>
  <c r="L74" i="2"/>
  <c r="K74" i="2"/>
  <c r="J74" i="2"/>
  <c r="I74" i="2"/>
  <c r="H74" i="2"/>
  <c r="G74" i="2"/>
  <c r="F74" i="2"/>
  <c r="E74" i="2"/>
  <c r="D74" i="2"/>
  <c r="C74" i="2"/>
  <c r="M67" i="2"/>
  <c r="L67" i="2"/>
  <c r="K67" i="2"/>
  <c r="J67" i="2"/>
  <c r="I67" i="2"/>
  <c r="H67" i="2"/>
  <c r="G67" i="2"/>
  <c r="F67" i="2"/>
  <c r="E67" i="2"/>
  <c r="D67" i="2"/>
  <c r="M66" i="2"/>
  <c r="L66" i="2"/>
  <c r="K66" i="2"/>
  <c r="J66" i="2"/>
  <c r="I66" i="2"/>
  <c r="H66" i="2"/>
  <c r="G66" i="2"/>
  <c r="F66" i="2"/>
  <c r="E66" i="2"/>
  <c r="D66" i="2"/>
  <c r="C67" i="2"/>
  <c r="C66" i="2"/>
  <c r="M62" i="2"/>
  <c r="M64" i="2" s="1"/>
  <c r="M54" i="2"/>
  <c r="K83" i="2"/>
  <c r="M83" i="2"/>
  <c r="L83" i="2"/>
  <c r="L37" i="2"/>
  <c r="L36" i="2"/>
  <c r="L35" i="2"/>
  <c r="L34" i="2"/>
  <c r="L33" i="2"/>
  <c r="L20" i="2"/>
  <c r="M37" i="2"/>
  <c r="M36" i="2"/>
  <c r="M35" i="2"/>
  <c r="M34" i="2"/>
  <c r="M33" i="2"/>
  <c r="M20" i="2"/>
  <c r="M38" i="2" s="1"/>
  <c r="L26" i="2"/>
  <c r="M26" i="2"/>
  <c r="I8" i="1"/>
  <c r="AJ38" i="2"/>
  <c r="AJ36" i="2"/>
  <c r="J81" i="2"/>
  <c r="X37" i="2"/>
  <c r="X36" i="2"/>
  <c r="X35" i="2"/>
  <c r="X34" i="2"/>
  <c r="X33" i="2"/>
  <c r="X26" i="2"/>
  <c r="J26" i="2" s="1"/>
  <c r="J28" i="2"/>
  <c r="J24" i="2"/>
  <c r="J23" i="2"/>
  <c r="J21" i="2"/>
  <c r="M69" i="2" s="1"/>
  <c r="J19" i="2"/>
  <c r="J37" i="2" s="1"/>
  <c r="J18" i="2"/>
  <c r="J36" i="2" s="1"/>
  <c r="J17" i="2"/>
  <c r="J35" i="2" s="1"/>
  <c r="J16" i="2"/>
  <c r="J34" i="2" s="1"/>
  <c r="J15" i="2"/>
  <c r="J33" i="2" s="1"/>
  <c r="X20" i="2"/>
  <c r="K37" i="2"/>
  <c r="K36" i="2"/>
  <c r="K35" i="2"/>
  <c r="K34" i="2"/>
  <c r="K33" i="2"/>
  <c r="K26" i="2"/>
  <c r="K20" i="2"/>
  <c r="G20" i="2"/>
  <c r="K22" i="2"/>
  <c r="K41" i="2" s="1"/>
  <c r="I39" i="2"/>
  <c r="H39" i="2"/>
  <c r="E39" i="2"/>
  <c r="D39" i="2"/>
  <c r="C39" i="2"/>
  <c r="F82" i="2"/>
  <c r="F83" i="2" s="1"/>
  <c r="C82" i="2"/>
  <c r="C83" i="2" s="1"/>
  <c r="G82" i="2"/>
  <c r="D82" i="2"/>
  <c r="D83" i="2" s="1"/>
  <c r="H82" i="2"/>
  <c r="H83" i="2" s="1"/>
  <c r="E82" i="2"/>
  <c r="E83" i="2" s="1"/>
  <c r="I82" i="2"/>
  <c r="I83" i="2" s="1"/>
  <c r="T37" i="2"/>
  <c r="T36" i="2"/>
  <c r="T35" i="2"/>
  <c r="T34" i="2"/>
  <c r="T33" i="2"/>
  <c r="U37" i="2"/>
  <c r="U36" i="2"/>
  <c r="U35" i="2"/>
  <c r="U34" i="2"/>
  <c r="U33" i="2"/>
  <c r="S20" i="2"/>
  <c r="T20" i="2"/>
  <c r="T41" i="2" s="1"/>
  <c r="I34" i="2"/>
  <c r="H34" i="2"/>
  <c r="G34" i="2"/>
  <c r="I37" i="2"/>
  <c r="H37" i="2"/>
  <c r="G37" i="2"/>
  <c r="I36" i="2"/>
  <c r="H36" i="2"/>
  <c r="G36" i="2"/>
  <c r="I35" i="2"/>
  <c r="H35" i="2"/>
  <c r="G35" i="2"/>
  <c r="I33" i="2"/>
  <c r="H33" i="2"/>
  <c r="G33" i="2"/>
  <c r="F28" i="2"/>
  <c r="F24" i="2"/>
  <c r="F23" i="2"/>
  <c r="F21" i="2"/>
  <c r="C22" i="2"/>
  <c r="H38" i="2"/>
  <c r="D22" i="2"/>
  <c r="H22" i="2"/>
  <c r="I38" i="2"/>
  <c r="E22" i="2"/>
  <c r="I22" i="2"/>
  <c r="W26" i="2"/>
  <c r="F26" i="2" s="1"/>
  <c r="U20" i="2"/>
  <c r="U22" i="2" s="1"/>
  <c r="V37" i="2"/>
  <c r="V36" i="2"/>
  <c r="V35" i="2"/>
  <c r="V34" i="2"/>
  <c r="V33" i="2"/>
  <c r="W37" i="2"/>
  <c r="W36" i="2"/>
  <c r="W35" i="2"/>
  <c r="W34" i="2"/>
  <c r="W33" i="2"/>
  <c r="V20" i="2"/>
  <c r="V22" i="2" s="1"/>
  <c r="W20" i="2"/>
  <c r="W22" i="2" s="1"/>
  <c r="V3" i="2"/>
  <c r="W3" i="2" s="1"/>
  <c r="X3" i="2" s="1"/>
  <c r="Y3" i="2" s="1"/>
  <c r="Z3" i="2" s="1"/>
  <c r="AA3" i="2" s="1"/>
  <c r="AB3" i="2" s="1"/>
  <c r="AC3" i="2" s="1"/>
  <c r="AD3" i="2" s="1"/>
  <c r="AE3" i="2" s="1"/>
  <c r="AF3" i="2" s="1"/>
  <c r="AG3" i="2" s="1"/>
  <c r="AH3" i="2" s="1"/>
  <c r="AI3" i="2" s="1"/>
  <c r="AJ3" i="2" s="1"/>
  <c r="AK3" i="2" s="1"/>
  <c r="AL3" i="2" s="1"/>
  <c r="AM3" i="2" s="1"/>
  <c r="AN3" i="2" s="1"/>
  <c r="AO3" i="2" s="1"/>
  <c r="AP3" i="2" s="1"/>
  <c r="AQ3" i="2" s="1"/>
  <c r="AR3" i="2" s="1"/>
  <c r="AS3" i="2" s="1"/>
  <c r="AT3" i="2" s="1"/>
  <c r="AU3" i="2" s="1"/>
  <c r="AV3" i="2" s="1"/>
  <c r="AW3" i="2" s="1"/>
  <c r="AX3" i="2" s="1"/>
  <c r="AY3" i="2" s="1"/>
  <c r="AZ3" i="2" s="1"/>
  <c r="BA3" i="2" s="1"/>
  <c r="BB3" i="2" s="1"/>
  <c r="BC3" i="2" s="1"/>
  <c r="BD3" i="2" s="1"/>
  <c r="BE3" i="2" s="1"/>
  <c r="BF3" i="2" s="1"/>
  <c r="BG3" i="2" s="1"/>
  <c r="BH3" i="2" s="1"/>
  <c r="BI3" i="2" s="1"/>
  <c r="BJ3" i="2" s="1"/>
  <c r="BK3" i="2" s="1"/>
  <c r="BL3" i="2" s="1"/>
  <c r="BM3" i="2" s="1"/>
  <c r="BN3" i="2" s="1"/>
  <c r="BO3" i="2" s="1"/>
  <c r="BP3" i="2" s="1"/>
  <c r="BQ3" i="2" s="1"/>
  <c r="BR3" i="2" s="1"/>
  <c r="BS3" i="2" s="1"/>
  <c r="BT3" i="2" s="1"/>
  <c r="BU3" i="2" s="1"/>
  <c r="BV3" i="2" s="1"/>
  <c r="BW3" i="2" s="1"/>
  <c r="BX3" i="2" s="1"/>
  <c r="BY3" i="2" s="1"/>
  <c r="BZ3" i="2" s="1"/>
  <c r="CA3" i="2" s="1"/>
  <c r="CB3" i="2" s="1"/>
  <c r="CC3" i="2" s="1"/>
  <c r="CD3" i="2" s="1"/>
  <c r="CE3" i="2" s="1"/>
  <c r="CF3" i="2" s="1"/>
  <c r="CG3" i="2" s="1"/>
  <c r="CH3" i="2" s="1"/>
  <c r="CI3" i="2" s="1"/>
  <c r="CJ3" i="2" s="1"/>
  <c r="CK3" i="2" s="1"/>
  <c r="CL3" i="2" s="1"/>
  <c r="CM3" i="2" s="1"/>
  <c r="CN3" i="2" s="1"/>
  <c r="CO3" i="2" s="1"/>
  <c r="CP3" i="2" s="1"/>
  <c r="CQ3" i="2" s="1"/>
  <c r="CR3" i="2" s="1"/>
  <c r="CS3" i="2" s="1"/>
  <c r="CT3" i="2" s="1"/>
  <c r="CU3" i="2" s="1"/>
  <c r="CV3" i="2" s="1"/>
  <c r="CW3" i="2" s="1"/>
  <c r="CX3" i="2" s="1"/>
  <c r="CY3" i="2" s="1"/>
  <c r="CZ3" i="2" s="1"/>
  <c r="DA3" i="2" s="1"/>
  <c r="DB3" i="2" s="1"/>
  <c r="DC3" i="2" s="1"/>
  <c r="DD3" i="2" s="1"/>
  <c r="DE3" i="2" s="1"/>
  <c r="DF3" i="2" s="1"/>
  <c r="DG3" i="2" s="1"/>
  <c r="DH3" i="2" s="1"/>
  <c r="DI3" i="2" s="1"/>
  <c r="DJ3" i="2" s="1"/>
  <c r="DK3" i="2" s="1"/>
  <c r="DL3" i="2" s="1"/>
  <c r="DM3" i="2" s="1"/>
  <c r="DN3" i="2" s="1"/>
  <c r="DO3" i="2" s="1"/>
  <c r="DP3" i="2" s="1"/>
  <c r="DQ3" i="2" s="1"/>
  <c r="DR3" i="2" s="1"/>
  <c r="DS3" i="2" s="1"/>
  <c r="DT3" i="2" s="1"/>
  <c r="DU3" i="2" s="1"/>
  <c r="DV3" i="2" s="1"/>
  <c r="DW3" i="2" s="1"/>
  <c r="DX3" i="2" s="1"/>
  <c r="DY3" i="2" s="1"/>
  <c r="DZ3" i="2" s="1"/>
  <c r="EA3" i="2" s="1"/>
  <c r="EB3" i="2" s="1"/>
  <c r="EC3" i="2" s="1"/>
  <c r="ED3" i="2" s="1"/>
  <c r="EE3" i="2" s="1"/>
  <c r="EF3" i="2" s="1"/>
  <c r="EG3" i="2" s="1"/>
  <c r="EH3" i="2" s="1"/>
  <c r="EI3" i="2" s="1"/>
  <c r="EJ3" i="2" s="1"/>
  <c r="EK3" i="2" s="1"/>
  <c r="EL3" i="2" s="1"/>
  <c r="EM3" i="2" s="1"/>
  <c r="EN3" i="2" s="1"/>
  <c r="EO3" i="2" s="1"/>
  <c r="EP3" i="2" s="1"/>
  <c r="EQ3" i="2" s="1"/>
  <c r="ER3" i="2" s="1"/>
  <c r="ES3" i="2" s="1"/>
  <c r="ET3" i="2" s="1"/>
  <c r="EU3" i="2" s="1"/>
  <c r="EV3" i="2" s="1"/>
  <c r="EW3" i="2" s="1"/>
  <c r="EX3" i="2" s="1"/>
  <c r="EY3" i="2" s="1"/>
  <c r="EZ3" i="2" s="1"/>
  <c r="FA3" i="2" s="1"/>
  <c r="FB3" i="2" s="1"/>
  <c r="FC3" i="2" s="1"/>
  <c r="FD3" i="2" s="1"/>
  <c r="FE3" i="2" s="1"/>
  <c r="FF3" i="2" s="1"/>
  <c r="FG3" i="2" s="1"/>
  <c r="FH3" i="2" s="1"/>
  <c r="FI3" i="2" s="1"/>
  <c r="FJ3" i="2" s="1"/>
  <c r="FK3" i="2" s="1"/>
  <c r="FL3" i="2" s="1"/>
  <c r="FM3" i="2" s="1"/>
  <c r="FN3" i="2" s="1"/>
  <c r="FO3" i="2" s="1"/>
  <c r="FP3" i="2" s="1"/>
  <c r="FQ3" i="2" s="1"/>
  <c r="FR3" i="2" s="1"/>
  <c r="FS3" i="2" s="1"/>
  <c r="FT3" i="2" s="1"/>
  <c r="FU3" i="2" s="1"/>
  <c r="FV3" i="2" s="1"/>
  <c r="FW3" i="2" s="1"/>
  <c r="FX3" i="2" s="1"/>
  <c r="FY3" i="2" s="1"/>
  <c r="FZ3" i="2" s="1"/>
  <c r="GA3" i="2" s="1"/>
  <c r="GB3" i="2" s="1"/>
  <c r="GC3" i="2" s="1"/>
  <c r="GD3" i="2" s="1"/>
  <c r="GE3" i="2" s="1"/>
  <c r="GF3" i="2" s="1"/>
  <c r="GG3" i="2" s="1"/>
  <c r="GH3" i="2" s="1"/>
  <c r="GI3" i="2" s="1"/>
  <c r="GJ3" i="2" s="1"/>
  <c r="GK3" i="2" s="1"/>
  <c r="GL3" i="2" s="1"/>
  <c r="GM3" i="2" s="1"/>
  <c r="GN3" i="2" s="1"/>
  <c r="GO3" i="2" s="1"/>
  <c r="GP3" i="2" s="1"/>
  <c r="GQ3" i="2" s="1"/>
  <c r="GR3" i="2" s="1"/>
  <c r="GS3" i="2" s="1"/>
  <c r="GT3" i="2" s="1"/>
  <c r="GU3" i="2" s="1"/>
  <c r="GV3" i="2" s="1"/>
  <c r="GW3" i="2" s="1"/>
  <c r="GX3" i="2" s="1"/>
  <c r="GY3" i="2" s="1"/>
  <c r="GZ3" i="2" s="1"/>
  <c r="HA3" i="2" s="1"/>
  <c r="HB3" i="2" s="1"/>
  <c r="HC3" i="2" s="1"/>
  <c r="HD3" i="2" s="1"/>
  <c r="HE3" i="2" s="1"/>
  <c r="HF3" i="2" s="1"/>
  <c r="HG3" i="2" s="1"/>
  <c r="HH3" i="2" s="1"/>
  <c r="HI3" i="2" s="1"/>
  <c r="HJ3" i="2" s="1"/>
  <c r="HK3" i="2" s="1"/>
  <c r="HL3" i="2" s="1"/>
  <c r="HM3" i="2" s="1"/>
  <c r="HN3" i="2" s="1"/>
  <c r="HO3" i="2" s="1"/>
  <c r="HP3" i="2" s="1"/>
  <c r="HQ3" i="2" s="1"/>
  <c r="HR3" i="2" s="1"/>
  <c r="HS3" i="2" s="1"/>
  <c r="HT3" i="2" s="1"/>
  <c r="HU3" i="2" s="1"/>
  <c r="HV3" i="2" s="1"/>
  <c r="HW3" i="2" s="1"/>
  <c r="HX3" i="2" s="1"/>
  <c r="HY3" i="2" s="1"/>
  <c r="HZ3" i="2" s="1"/>
  <c r="IA3" i="2" s="1"/>
  <c r="J7" i="1"/>
  <c r="J8" i="1" s="1"/>
  <c r="I6" i="1"/>
  <c r="I9" i="1" s="1"/>
  <c r="AJ79" i="2" s="1"/>
  <c r="J69" i="2" l="1"/>
  <c r="K69" i="2"/>
  <c r="L69" i="2"/>
  <c r="U25" i="2"/>
  <c r="U27" i="2" s="1"/>
  <c r="U29" i="2" s="1"/>
  <c r="U41" i="2"/>
  <c r="V25" i="2"/>
  <c r="V41" i="2"/>
  <c r="W25" i="2"/>
  <c r="W27" i="2" s="1"/>
  <c r="W41" i="2"/>
  <c r="Y20" i="2"/>
  <c r="D25" i="2"/>
  <c r="D41" i="2"/>
  <c r="H25" i="2"/>
  <c r="H27" i="2" s="1"/>
  <c r="H29" i="2" s="1"/>
  <c r="H41" i="2"/>
  <c r="E25" i="2"/>
  <c r="E27" i="2" s="1"/>
  <c r="E29" i="2" s="1"/>
  <c r="E41" i="2"/>
  <c r="I25" i="2"/>
  <c r="I27" i="2" s="1"/>
  <c r="I29" i="2" s="1"/>
  <c r="I41" i="2"/>
  <c r="C25" i="2"/>
  <c r="C27" i="2" s="1"/>
  <c r="C29" i="2" s="1"/>
  <c r="C41" i="2"/>
  <c r="L22" i="2"/>
  <c r="L38" i="2"/>
  <c r="L39" i="2"/>
  <c r="J20" i="2"/>
  <c r="X38" i="2"/>
  <c r="X22" i="2"/>
  <c r="X41" i="2" s="1"/>
  <c r="K39" i="2"/>
  <c r="K38" i="2"/>
  <c r="G22" i="2"/>
  <c r="G39" i="2"/>
  <c r="K25" i="2"/>
  <c r="G83" i="2"/>
  <c r="J82" i="2"/>
  <c r="J83" i="2" s="1"/>
  <c r="M39" i="2"/>
  <c r="M22" i="2"/>
  <c r="M41" i="2" s="1"/>
  <c r="G38" i="2"/>
  <c r="T38" i="2"/>
  <c r="F85" i="2"/>
  <c r="U38" i="2"/>
  <c r="F22" i="2"/>
  <c r="F20" i="2"/>
  <c r="F39" i="2" s="1"/>
  <c r="V27" i="2"/>
  <c r="V29" i="2" s="1"/>
  <c r="W38" i="2"/>
  <c r="V38" i="2"/>
  <c r="L70" i="2" l="1"/>
  <c r="K70" i="2"/>
  <c r="M70" i="2"/>
  <c r="J70" i="2"/>
  <c r="K68" i="2"/>
  <c r="L68" i="2"/>
  <c r="M68" i="2"/>
  <c r="J68" i="2"/>
  <c r="D27" i="2"/>
  <c r="F25" i="2"/>
  <c r="M85" i="2"/>
  <c r="L85" i="2"/>
  <c r="K85" i="2"/>
  <c r="F41" i="2"/>
  <c r="G25" i="2"/>
  <c r="G27" i="2" s="1"/>
  <c r="G29" i="2" s="1"/>
  <c r="G41" i="2"/>
  <c r="L41" i="2"/>
  <c r="L25" i="2"/>
  <c r="L27" i="2" s="1"/>
  <c r="L29" i="2" s="1"/>
  <c r="H85" i="2"/>
  <c r="G85" i="2"/>
  <c r="I85" i="2"/>
  <c r="J39" i="2"/>
  <c r="J38" i="2"/>
  <c r="J22" i="2"/>
  <c r="J41" i="2" s="1"/>
  <c r="X25" i="2"/>
  <c r="K27" i="2"/>
  <c r="J85" i="2"/>
  <c r="M25" i="2"/>
  <c r="W29" i="2"/>
  <c r="D29" i="2" l="1"/>
  <c r="F29" i="2" s="1"/>
  <c r="F27" i="2"/>
  <c r="N21" i="2"/>
  <c r="N22" i="2" s="1"/>
  <c r="N41" i="2" s="1"/>
  <c r="N24" i="2"/>
  <c r="Y24" i="2" s="1"/>
  <c r="Z20" i="2"/>
  <c r="AA20" i="2" s="1"/>
  <c r="AB20" i="2" s="1"/>
  <c r="AC20" i="2" s="1"/>
  <c r="AD20" i="2" s="1"/>
  <c r="AE20" i="2" s="1"/>
  <c r="AF20" i="2" s="1"/>
  <c r="AG20" i="2" s="1"/>
  <c r="AH20" i="2" s="1"/>
  <c r="N23" i="2"/>
  <c r="N38" i="2"/>
  <c r="X27" i="2"/>
  <c r="J25" i="2"/>
  <c r="K29" i="2"/>
  <c r="I86" i="2"/>
  <c r="F86" i="2"/>
  <c r="G86" i="2"/>
  <c r="H86" i="2"/>
  <c r="Y22" i="2" l="1"/>
  <c r="Y41" i="2" s="1"/>
  <c r="N25" i="2"/>
  <c r="Y21" i="2"/>
  <c r="AJ80" i="2"/>
  <c r="Y38" i="2"/>
  <c r="Y23" i="2"/>
  <c r="N39" i="2"/>
  <c r="X29" i="2"/>
  <c r="J29" i="2" s="1"/>
  <c r="J27" i="2"/>
  <c r="M27" i="2"/>
  <c r="J86" i="2" l="1"/>
  <c r="K86" i="2"/>
  <c r="L86" i="2"/>
  <c r="Z38" i="2"/>
  <c r="Z23" i="2"/>
  <c r="Z21" i="2"/>
  <c r="Z22" i="2" s="1"/>
  <c r="Z41" i="2" s="1"/>
  <c r="Z24" i="2"/>
  <c r="Y25" i="2"/>
  <c r="N26" i="2"/>
  <c r="M29" i="2"/>
  <c r="M86" i="2" s="1"/>
  <c r="Z25" i="2" l="1"/>
  <c r="Y26" i="2"/>
  <c r="N27" i="2"/>
  <c r="AA38" i="2"/>
  <c r="AA23" i="2"/>
  <c r="AA24" i="2"/>
  <c r="AA21" i="2"/>
  <c r="AA22" i="2" s="1"/>
  <c r="Z26" i="2" l="1"/>
  <c r="Z27" i="2" s="1"/>
  <c r="AA25" i="2"/>
  <c r="Y27" i="2"/>
  <c r="N28" i="2"/>
  <c r="AB38" i="2"/>
  <c r="AB21" i="2"/>
  <c r="AB22" i="2" s="1"/>
  <c r="AB23" i="2"/>
  <c r="AB24" i="2"/>
  <c r="AA26" i="2" l="1"/>
  <c r="AA27" i="2" s="1"/>
  <c r="Y28" i="2"/>
  <c r="Z28" i="2" s="1"/>
  <c r="N29" i="2"/>
  <c r="Y29" i="2" s="1"/>
  <c r="AB25" i="2"/>
  <c r="AC24" i="2"/>
  <c r="AC38" i="2"/>
  <c r="AC21" i="2"/>
  <c r="AC22" i="2" s="1"/>
  <c r="AC23" i="2"/>
  <c r="Z29" i="2" l="1"/>
  <c r="AA28" i="2"/>
  <c r="AA29" i="2" s="1"/>
  <c r="AB26" i="2"/>
  <c r="AB27" i="2" s="1"/>
  <c r="AC25" i="2"/>
  <c r="AD21" i="2"/>
  <c r="AD22" i="2" s="1"/>
  <c r="AD23" i="2"/>
  <c r="AD38" i="2"/>
  <c r="AD24" i="2"/>
  <c r="AB28" i="2" l="1"/>
  <c r="AB29" i="2" s="1"/>
  <c r="AC26" i="2"/>
  <c r="AC27" i="2" s="1"/>
  <c r="AD25" i="2"/>
  <c r="AE38" i="2"/>
  <c r="AE21" i="2"/>
  <c r="AE22" i="2" s="1"/>
  <c r="AE24" i="2"/>
  <c r="AE23" i="2"/>
  <c r="AC28" i="2" l="1"/>
  <c r="AC29" i="2" s="1"/>
  <c r="AD26" i="2"/>
  <c r="AD27" i="2" s="1"/>
  <c r="AF38" i="2"/>
  <c r="AF23" i="2"/>
  <c r="AF21" i="2"/>
  <c r="AF22" i="2" s="1"/>
  <c r="AF24" i="2"/>
  <c r="AE25" i="2"/>
  <c r="AD28" i="2" l="1"/>
  <c r="AD29" i="2" s="1"/>
  <c r="AE26" i="2"/>
  <c r="AE27" i="2" s="1"/>
  <c r="AG38" i="2"/>
  <c r="AG24" i="2"/>
  <c r="AG21" i="2"/>
  <c r="AG22" i="2" s="1"/>
  <c r="AG23" i="2"/>
  <c r="AF25" i="2"/>
  <c r="AE28" i="2" l="1"/>
  <c r="AE29" i="2" s="1"/>
  <c r="AG25" i="2"/>
  <c r="AF26" i="2"/>
  <c r="AF27" i="2" s="1"/>
  <c r="AH23" i="2"/>
  <c r="AH21" i="2"/>
  <c r="AH22" i="2" s="1"/>
  <c r="AH24" i="2"/>
  <c r="AF28" i="2" l="1"/>
  <c r="AF29" i="2" s="1"/>
  <c r="AG26" i="2"/>
  <c r="AG27" i="2" s="1"/>
  <c r="AH25" i="2"/>
  <c r="AG28" i="2" l="1"/>
  <c r="AG29" i="2" s="1"/>
  <c r="AH26" i="2"/>
  <c r="AH27" i="2" s="1"/>
  <c r="AH28" i="2" l="1"/>
  <c r="AH29" i="2" s="1"/>
  <c r="AI29" i="2" s="1"/>
  <c r="AJ29" i="2" s="1"/>
  <c r="AK29" i="2" s="1"/>
  <c r="AL29" i="2" s="1"/>
  <c r="AM29" i="2" s="1"/>
  <c r="AN29" i="2" s="1"/>
  <c r="AO29" i="2" s="1"/>
  <c r="AP29" i="2" s="1"/>
  <c r="AQ29" i="2" s="1"/>
  <c r="AR29" i="2" s="1"/>
  <c r="AS29" i="2" s="1"/>
  <c r="AT29" i="2" s="1"/>
  <c r="AU29" i="2" s="1"/>
  <c r="AV29" i="2" s="1"/>
  <c r="AW29" i="2" s="1"/>
  <c r="AX29" i="2" s="1"/>
  <c r="AY29" i="2" s="1"/>
  <c r="AZ29" i="2" s="1"/>
  <c r="BA29" i="2" s="1"/>
  <c r="BB29" i="2" s="1"/>
  <c r="BC29" i="2" s="1"/>
  <c r="BD29" i="2" s="1"/>
  <c r="BE29" i="2" s="1"/>
  <c r="BF29" i="2" s="1"/>
  <c r="BG29" i="2" s="1"/>
  <c r="BH29" i="2" s="1"/>
  <c r="BI29" i="2" s="1"/>
  <c r="BJ29" i="2" s="1"/>
  <c r="BK29" i="2" s="1"/>
  <c r="BL29" i="2" s="1"/>
  <c r="BM29" i="2" s="1"/>
  <c r="BN29" i="2" s="1"/>
  <c r="BO29" i="2" s="1"/>
  <c r="BP29" i="2" s="1"/>
  <c r="BQ29" i="2" s="1"/>
  <c r="BR29" i="2" s="1"/>
  <c r="BS29" i="2" s="1"/>
  <c r="BT29" i="2" s="1"/>
  <c r="BU29" i="2" s="1"/>
  <c r="BV29" i="2" s="1"/>
  <c r="BW29" i="2" s="1"/>
  <c r="BX29" i="2" s="1"/>
  <c r="BY29" i="2" s="1"/>
  <c r="BZ29" i="2" s="1"/>
  <c r="CA29" i="2" s="1"/>
  <c r="CB29" i="2" s="1"/>
  <c r="CC29" i="2" s="1"/>
  <c r="CD29" i="2" s="1"/>
  <c r="CE29" i="2" s="1"/>
  <c r="CF29" i="2" s="1"/>
  <c r="CG29" i="2" s="1"/>
  <c r="CH29" i="2" s="1"/>
  <c r="CI29" i="2" s="1"/>
  <c r="CJ29" i="2" s="1"/>
  <c r="CK29" i="2" s="1"/>
  <c r="CL29" i="2" s="1"/>
  <c r="CM29" i="2" s="1"/>
  <c r="CN29" i="2" s="1"/>
  <c r="CO29" i="2" s="1"/>
  <c r="CP29" i="2" s="1"/>
  <c r="CQ29" i="2" s="1"/>
  <c r="CR29" i="2" s="1"/>
  <c r="CS29" i="2" s="1"/>
  <c r="CT29" i="2" s="1"/>
  <c r="CU29" i="2" s="1"/>
  <c r="CV29" i="2" s="1"/>
  <c r="CW29" i="2" s="1"/>
  <c r="CX29" i="2" s="1"/>
  <c r="CY29" i="2" s="1"/>
  <c r="CZ29" i="2" s="1"/>
  <c r="DA29" i="2" s="1"/>
  <c r="DB29" i="2" s="1"/>
  <c r="DC29" i="2" s="1"/>
  <c r="DD29" i="2" s="1"/>
  <c r="DE29" i="2" s="1"/>
  <c r="DF29" i="2" s="1"/>
  <c r="DG29" i="2" s="1"/>
  <c r="DH29" i="2" s="1"/>
  <c r="DI29" i="2" s="1"/>
  <c r="DJ29" i="2" s="1"/>
  <c r="DK29" i="2" s="1"/>
  <c r="DL29" i="2" s="1"/>
  <c r="DM29" i="2" s="1"/>
  <c r="DN29" i="2" s="1"/>
  <c r="DO29" i="2" s="1"/>
  <c r="DP29" i="2" s="1"/>
  <c r="DQ29" i="2" s="1"/>
  <c r="DR29" i="2" s="1"/>
  <c r="DS29" i="2" s="1"/>
  <c r="DT29" i="2" s="1"/>
  <c r="DU29" i="2" s="1"/>
  <c r="DV29" i="2" s="1"/>
  <c r="DW29" i="2" s="1"/>
  <c r="DX29" i="2" s="1"/>
  <c r="DY29" i="2" s="1"/>
  <c r="DZ29" i="2" s="1"/>
  <c r="EA29" i="2" s="1"/>
  <c r="EB29" i="2" s="1"/>
  <c r="EC29" i="2" s="1"/>
  <c r="ED29" i="2" s="1"/>
  <c r="EE29" i="2" s="1"/>
  <c r="EF29" i="2" s="1"/>
  <c r="EG29" i="2" l="1"/>
  <c r="EH29" i="2" s="1"/>
  <c r="EI29" i="2" s="1"/>
  <c r="EJ29" i="2" s="1"/>
  <c r="EK29" i="2" s="1"/>
  <c r="EL29" i="2" s="1"/>
  <c r="EM29" i="2" s="1"/>
  <c r="EN29" i="2" s="1"/>
  <c r="EO29" i="2" s="1"/>
  <c r="EP29" i="2" s="1"/>
  <c r="EQ29" i="2" s="1"/>
  <c r="ER29" i="2" s="1"/>
  <c r="ES29" i="2" s="1"/>
  <c r="ET29" i="2" s="1"/>
  <c r="EU29" i="2" s="1"/>
  <c r="EV29" i="2" s="1"/>
  <c r="EW29" i="2" s="1"/>
  <c r="EX29" i="2" s="1"/>
  <c r="EY29" i="2" s="1"/>
  <c r="EZ29" i="2" s="1"/>
  <c r="FA29" i="2" s="1"/>
  <c r="FB29" i="2" s="1"/>
  <c r="FC29" i="2" s="1"/>
  <c r="FD29" i="2" s="1"/>
  <c r="FE29" i="2" s="1"/>
  <c r="FF29" i="2" s="1"/>
  <c r="FG29" i="2" s="1"/>
  <c r="FH29" i="2" s="1"/>
  <c r="FI29" i="2" s="1"/>
  <c r="FJ29" i="2" s="1"/>
  <c r="FK29" i="2" s="1"/>
  <c r="FL29" i="2" s="1"/>
  <c r="FM29" i="2" s="1"/>
  <c r="FN29" i="2" s="1"/>
  <c r="FO29" i="2" s="1"/>
  <c r="FP29" i="2" s="1"/>
  <c r="FQ29" i="2" s="1"/>
  <c r="FR29" i="2" s="1"/>
  <c r="FS29" i="2" s="1"/>
  <c r="FT29" i="2" l="1"/>
  <c r="FU29" i="2" l="1"/>
  <c r="FV29" i="2" l="1"/>
  <c r="FW29" i="2" s="1"/>
  <c r="FX29" i="2" s="1"/>
  <c r="FY29" i="2" s="1"/>
  <c r="FZ29" i="2" s="1"/>
  <c r="GA29" i="2" s="1"/>
  <c r="GB29" i="2" s="1"/>
  <c r="GC29" i="2" s="1"/>
  <c r="GD29" i="2" s="1"/>
  <c r="GE29" i="2" s="1"/>
  <c r="GF29" i="2" s="1"/>
  <c r="GG29" i="2" s="1"/>
  <c r="GH29" i="2" s="1"/>
  <c r="GI29" i="2" s="1"/>
  <c r="GJ29" i="2" s="1"/>
  <c r="GK29" i="2" s="1"/>
  <c r="GL29" i="2" s="1"/>
  <c r="GM29" i="2" s="1"/>
  <c r="GN29" i="2" s="1"/>
  <c r="GO29" i="2" s="1"/>
  <c r="GP29" i="2" s="1"/>
  <c r="GQ29" i="2" s="1"/>
  <c r="GR29" i="2" s="1"/>
  <c r="GS29" i="2" s="1"/>
  <c r="GT29" i="2" s="1"/>
  <c r="GU29" i="2" s="1"/>
  <c r="GV29" i="2" s="1"/>
  <c r="GW29" i="2" l="1"/>
  <c r="GX29" i="2" s="1"/>
  <c r="GY29" i="2" s="1"/>
  <c r="GZ29" i="2" s="1"/>
  <c r="HA29" i="2" s="1"/>
  <c r="HB29" i="2" s="1"/>
  <c r="HC29" i="2" s="1"/>
  <c r="HD29" i="2" s="1"/>
  <c r="HE29" i="2" s="1"/>
  <c r="HF29" i="2" s="1"/>
  <c r="HG29" i="2" s="1"/>
  <c r="HH29" i="2" l="1"/>
  <c r="HI29" i="2" s="1"/>
  <c r="HJ29" i="2" s="1"/>
  <c r="HK29" i="2" s="1"/>
  <c r="HL29" i="2" s="1"/>
  <c r="HM29" i="2" s="1"/>
  <c r="HN29" i="2" s="1"/>
  <c r="HO29" i="2" s="1"/>
  <c r="HP29" i="2" s="1"/>
  <c r="HQ29" i="2" s="1"/>
  <c r="HR29" i="2" s="1"/>
  <c r="HS29" i="2" s="1"/>
  <c r="HT29" i="2" s="1"/>
  <c r="HU29" i="2" s="1"/>
  <c r="HV29" i="2" s="1"/>
  <c r="HW29" i="2" s="1"/>
  <c r="HX29" i="2" s="1"/>
  <c r="HY29" i="2" s="1"/>
  <c r="HZ29" i="2" s="1"/>
  <c r="IA29" i="2" s="1"/>
  <c r="AJ35" i="2"/>
  <c r="AJ37" i="2" s="1"/>
  <c r="AJ39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jameel</author>
  </authors>
  <commentList>
    <comment ref="I33" authorId="0" shapeId="0" xr:uid="{12FD0868-12C0-6A4E-A093-784CC00A89F0}">
      <text>
        <r>
          <rPr>
            <b/>
            <sz val="10"/>
            <color rgb="FF000000"/>
            <rFont val="Tahoma"/>
            <family val="2"/>
          </rPr>
          <t>jameel: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rialMT"/>
          </rPr>
          <t>benefited from strong AI demand</t>
        </r>
      </text>
    </comment>
  </commentList>
</comments>
</file>

<file path=xl/sharedStrings.xml><?xml version="1.0" encoding="utf-8"?>
<sst xmlns="http://schemas.openxmlformats.org/spreadsheetml/2006/main" count="137" uniqueCount="128">
  <si>
    <t>P</t>
  </si>
  <si>
    <t>S</t>
  </si>
  <si>
    <t>MC</t>
  </si>
  <si>
    <t>C</t>
  </si>
  <si>
    <t>D</t>
  </si>
  <si>
    <t>EV</t>
  </si>
  <si>
    <t xml:space="preserve">CEO </t>
  </si>
  <si>
    <t xml:space="preserve">CFO </t>
  </si>
  <si>
    <t>Q324</t>
  </si>
  <si>
    <t xml:space="preserve">Custom &amp; Semi-Custom Chips </t>
  </si>
  <si>
    <t>Compute Processors (DPUs/CPUs)</t>
  </si>
  <si>
    <t>Storage Controllers</t>
  </si>
  <si>
    <t>Optical Interconnects</t>
  </si>
  <si>
    <t xml:space="preserve">designed for cloud computing and AI workloads </t>
  </si>
  <si>
    <t>data processing units and specialized processors for AI and cloud computing</t>
  </si>
  <si>
    <t xml:space="preserve">chips for SSDs, HSSs, and NVMe storage solutions </t>
  </si>
  <si>
    <t>high speed connectivity solutions for data centers</t>
  </si>
  <si>
    <t xml:space="preserve">Data Center Solutions </t>
  </si>
  <si>
    <t>Q124</t>
  </si>
  <si>
    <t>Q224</t>
  </si>
  <si>
    <t>Q424</t>
  </si>
  <si>
    <t>Data Center</t>
  </si>
  <si>
    <t>Enterprise Networking</t>
  </si>
  <si>
    <t>Consumer</t>
  </si>
  <si>
    <t>Automotive/industrial</t>
  </si>
  <si>
    <t xml:space="preserve">Total Revenue </t>
  </si>
  <si>
    <t>Carrier Infrastructure</t>
  </si>
  <si>
    <t xml:space="preserve">Networking &amp; Connectivity </t>
  </si>
  <si>
    <t>GP</t>
  </si>
  <si>
    <t>R&amp;D</t>
  </si>
  <si>
    <t>SG&amp;A</t>
  </si>
  <si>
    <t xml:space="preserve">Operating Income </t>
  </si>
  <si>
    <t>Interest and Other, Net</t>
  </si>
  <si>
    <t xml:space="preserve">EBT </t>
  </si>
  <si>
    <t>T</t>
  </si>
  <si>
    <t>Net Income</t>
  </si>
  <si>
    <t>Q125</t>
  </si>
  <si>
    <t>Q225</t>
  </si>
  <si>
    <t>Q325</t>
  </si>
  <si>
    <t>Q425</t>
  </si>
  <si>
    <t xml:space="preserve">Optical Interconnect Solutions </t>
  </si>
  <si>
    <t>Coherent Digital Signal Processors (DSPs)</t>
  </si>
  <si>
    <t xml:space="preserve">used in optical transceivers to convert eletrical signals to optical and vice versa </t>
  </si>
  <si>
    <t xml:space="preserve">Silicon Photonics Optical Modules </t>
  </si>
  <si>
    <t xml:space="preserve">makes pluggable optical transceivers for AI data centers </t>
  </si>
  <si>
    <t>Important  why?</t>
  </si>
  <si>
    <t xml:space="preserve">AI models require thousands of GPUs working together in a data center </t>
  </si>
  <si>
    <t>moving data across these GPUs requires ulta high speed netowkring (400G, 800G, and soon 1.6T bandwidth)</t>
  </si>
  <si>
    <t xml:space="preserve">copper based networkng is too slow over long distances, hyperscalers need optical connectiosn for low latency andf high bandwith </t>
  </si>
  <si>
    <t>How Marvell's Products help?</t>
  </si>
  <si>
    <t>DSPs (like PAM4 and ZR/ZR+ optics) allow AI data centers to scale networking speeds from 100G to 800G</t>
  </si>
  <si>
    <t xml:space="preserve">these optical interconnects reduce latency and power consumption for AI workloads </t>
  </si>
  <si>
    <t xml:space="preserve">hyperscalers need faster, longer range networking to efficiently train LLMs and deep learning models </t>
  </si>
  <si>
    <t xml:space="preserve">High Speed  Ethernet Solutions </t>
  </si>
  <si>
    <t xml:space="preserve">Teralynx Ethernet Switch chips </t>
  </si>
  <si>
    <t>Octyeon 10 DPUs</t>
  </si>
  <si>
    <t>PHYs (Physical Layer Chips)</t>
  </si>
  <si>
    <t>enables AI networking at 400G and 800G speeds</t>
  </si>
  <si>
    <t xml:space="preserve">handles networking security and storage functions in AI data centers </t>
  </si>
  <si>
    <t>manages ethernet signals conversion for high speed AI interconnects</t>
  </si>
  <si>
    <t>Why AI Needs This?</t>
  </si>
  <si>
    <t xml:space="preserve">AI training clusters invovle thousands of GPUs exchnaging data </t>
  </si>
  <si>
    <t>AI models need high throughput, low latency connections between nodes</t>
  </si>
  <si>
    <t xml:space="preserve">Ethernet is emerging as an alternative to NVDA InfiniBand for AI networking </t>
  </si>
  <si>
    <t>How Marvell's Products help</t>
  </si>
  <si>
    <t xml:space="preserve">Teralynx Ethernet Switches: allows cloud giants to build scalable, low cost AI netowkring instead of relying on proprietary NVDA InfiniBand </t>
  </si>
  <si>
    <t>Octyeon 10 DPUs: offload data movement, security, and networking tasks from GPUs</t>
  </si>
  <si>
    <t xml:space="preserve">Custom Compute Silicon </t>
  </si>
  <si>
    <t xml:space="preserve">Matt Murphy </t>
  </si>
  <si>
    <t xml:space="preserve">CFFO </t>
  </si>
  <si>
    <t>Capex</t>
  </si>
  <si>
    <t xml:space="preserve">FCF </t>
  </si>
  <si>
    <t>% R&amp;D</t>
  </si>
  <si>
    <t>Q126</t>
  </si>
  <si>
    <t>Q226</t>
  </si>
  <si>
    <t>Q426</t>
  </si>
  <si>
    <t>Q326</t>
  </si>
  <si>
    <t>China</t>
  </si>
  <si>
    <t>Taiwan</t>
  </si>
  <si>
    <t>U.A</t>
  </si>
  <si>
    <t>Aingapore</t>
  </si>
  <si>
    <t>Netherlands</t>
  </si>
  <si>
    <t>Japan</t>
  </si>
  <si>
    <t>Thailand</t>
  </si>
  <si>
    <t>Finland</t>
  </si>
  <si>
    <t xml:space="preserve">Malaysia </t>
  </si>
  <si>
    <t>Other</t>
  </si>
  <si>
    <t>term,</t>
  </si>
  <si>
    <t>disc</t>
  </si>
  <si>
    <t>NPV</t>
  </si>
  <si>
    <t>Shares</t>
  </si>
  <si>
    <t xml:space="preserve">Estimate </t>
  </si>
  <si>
    <t>Current</t>
  </si>
  <si>
    <t xml:space="preserve">Upside </t>
  </si>
  <si>
    <t>GM%</t>
  </si>
  <si>
    <t xml:space="preserve">4Q Moving NI </t>
  </si>
  <si>
    <t>4Q Moving FCF</t>
  </si>
  <si>
    <t>TA</t>
  </si>
  <si>
    <t xml:space="preserve">Cash </t>
  </si>
  <si>
    <t>A/R</t>
  </si>
  <si>
    <t>Inventories</t>
  </si>
  <si>
    <t>Prepaid Exp</t>
  </si>
  <si>
    <t>PPE</t>
  </si>
  <si>
    <t>Goodwill</t>
  </si>
  <si>
    <t>Acquired intangibles</t>
  </si>
  <si>
    <t>Deferred Tx Assets</t>
  </si>
  <si>
    <t>ONCA</t>
  </si>
  <si>
    <t>TL</t>
  </si>
  <si>
    <t>A/P</t>
  </si>
  <si>
    <t>Accrued Liab</t>
  </si>
  <si>
    <t>Accrued employee comp</t>
  </si>
  <si>
    <t xml:space="preserve">Short term debt </t>
  </si>
  <si>
    <t>LTD</t>
  </si>
  <si>
    <t>ONCL</t>
  </si>
  <si>
    <t>E</t>
  </si>
  <si>
    <t>TL + E</t>
  </si>
  <si>
    <t xml:space="preserve">Total Debt </t>
  </si>
  <si>
    <t xml:space="preserve">Total Cash </t>
  </si>
  <si>
    <t>Book Value</t>
  </si>
  <si>
    <t>Current Ratio</t>
  </si>
  <si>
    <t xml:space="preserve">Assets Held 4 sale </t>
  </si>
  <si>
    <t>Growth YY</t>
  </si>
  <si>
    <t>Quick Ratio</t>
  </si>
  <si>
    <t>Inventory / Rev</t>
  </si>
  <si>
    <t>DIO</t>
  </si>
  <si>
    <t xml:space="preserve">DSO </t>
  </si>
  <si>
    <t>DPO</t>
  </si>
  <si>
    <t>CCC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</si>
</sst>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164" formatCode="m/d;@"/>
    <numFmt numFmtId="169" formatCode="0.0\x"/>
  </numFmts>
  <fonts count="10">
    <font>
      <sz val="10"/>
      <color theme="1"/>
      <name val="ArialMT"/>
      <family val="2"/>
    </font>
    <font>
      <u/>
      <sz val="10"/>
      <color theme="1"/>
      <name val="ArialMT"/>
      <family val="2"/>
    </font>
    <font>
      <b/>
      <sz val="10"/>
      <color theme="1"/>
      <name val="ArialMT"/>
    </font>
    <font>
      <sz val="10"/>
      <color theme="1"/>
      <name val="ArialMT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0"/>
      <color rgb="FF000000"/>
      <name val="ArialMT"/>
    </font>
    <font>
      <b/>
      <u/>
      <sz val="10"/>
      <color theme="1"/>
      <name val="ArialMT"/>
    </font>
    <font>
      <b/>
      <i/>
      <sz val="8"/>
      <color theme="1"/>
      <name val="ArialMT"/>
    </font>
    <font>
      <sz val="8"/>
      <color theme="1"/>
      <name val="ArialMT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3" fontId="0" fillId="0" borderId="0" xfId="0" applyNumberFormat="1"/>
    <xf numFmtId="3" fontId="1" fillId="0" borderId="0" xfId="0" applyNumberFormat="1" applyFont="1"/>
    <xf numFmtId="1" fontId="0" fillId="0" borderId="0" xfId="0" applyNumberFormat="1"/>
    <xf numFmtId="9" fontId="0" fillId="0" borderId="0" xfId="0" applyNumberFormat="1"/>
    <xf numFmtId="3" fontId="2" fillId="0" borderId="0" xfId="0" applyNumberFormat="1" applyFont="1"/>
    <xf numFmtId="3" fontId="3" fillId="0" borderId="0" xfId="0" applyNumberFormat="1" applyFont="1"/>
    <xf numFmtId="164" fontId="0" fillId="0" borderId="0" xfId="0" applyNumberFormat="1"/>
    <xf numFmtId="9" fontId="0" fillId="2" borderId="0" xfId="0" applyNumberFormat="1" applyFill="1"/>
    <xf numFmtId="3" fontId="7" fillId="0" borderId="0" xfId="0" applyNumberFormat="1" applyFont="1"/>
    <xf numFmtId="3" fontId="8" fillId="0" borderId="0" xfId="0" applyNumberFormat="1" applyFont="1"/>
    <xf numFmtId="3" fontId="9" fillId="0" borderId="0" xfId="0" applyNumberFormat="1" applyFont="1" applyAlignment="1">
      <alignment horizontal="left" indent="1"/>
    </xf>
    <xf numFmtId="3" fontId="9" fillId="0" borderId="0" xfId="0" applyNumberFormat="1" applyFont="1"/>
    <xf numFmtId="3" fontId="8" fillId="0" borderId="0" xfId="0" applyNumberFormat="1" applyFont="1" applyAlignment="1">
      <alignment horizontal="left" indent="1"/>
    </xf>
    <xf numFmtId="3" fontId="9" fillId="0" borderId="0" xfId="0" applyNumberFormat="1" applyFont="1" applyAlignment="1">
      <alignment horizontal="left" indent="2"/>
    </xf>
    <xf numFmtId="8" fontId="0" fillId="0" borderId="0" xfId="0" applyNumberFormat="1"/>
    <xf numFmtId="2" fontId="0" fillId="0" borderId="0" xfId="0" applyNumberFormat="1"/>
    <xf numFmtId="9" fontId="2" fillId="0" borderId="0" xfId="0" applyNumberFormat="1" applyFont="1"/>
    <xf numFmtId="3" fontId="2" fillId="0" borderId="1" xfId="0" applyNumberFormat="1" applyFont="1" applyBorder="1"/>
    <xf numFmtId="3" fontId="0" fillId="0" borderId="2" xfId="0" applyNumberFormat="1" applyBorder="1"/>
    <xf numFmtId="3" fontId="2" fillId="0" borderId="2" xfId="0" applyNumberFormat="1" applyFont="1" applyBorder="1"/>
    <xf numFmtId="3" fontId="3" fillId="0" borderId="3" xfId="0" applyNumberFormat="1" applyFont="1" applyBorder="1"/>
    <xf numFmtId="169" fontId="3" fillId="0" borderId="3" xfId="0" applyNumberFormat="1" applyFont="1" applyBorder="1"/>
    <xf numFmtId="3" fontId="3" fillId="0" borderId="1" xfId="0" applyNumberFormat="1" applyFont="1" applyBorder="1"/>
    <xf numFmtId="9" fontId="2" fillId="0" borderId="1" xfId="0" applyNumberFormat="1" applyFont="1" applyBorder="1"/>
    <xf numFmtId="169" fontId="3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428171</xdr:colOff>
      <xdr:row>3</xdr:row>
      <xdr:rowOff>7257</xdr:rowOff>
    </xdr:from>
    <xdr:to>
      <xdr:col>24</xdr:col>
      <xdr:colOff>108857</xdr:colOff>
      <xdr:row>111</xdr:row>
      <xdr:rowOff>36286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83A15D02-B30B-A835-2710-B0544E8031D8}"/>
            </a:ext>
          </a:extLst>
        </xdr:cNvPr>
        <xdr:cNvCxnSpPr/>
      </xdr:nvCxnSpPr>
      <xdr:spPr>
        <a:xfrm>
          <a:off x="11903528" y="497114"/>
          <a:ext cx="116115" cy="15867743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497114</xdr:colOff>
      <xdr:row>0</xdr:row>
      <xdr:rowOff>0</xdr:rowOff>
    </xdr:from>
    <xdr:to>
      <xdr:col>13</xdr:col>
      <xdr:colOff>136072</xdr:colOff>
      <xdr:row>117</xdr:row>
      <xdr:rowOff>117928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2F98F054-CFA5-FBD6-7C29-58CF4486EB71}"/>
            </a:ext>
          </a:extLst>
        </xdr:cNvPr>
        <xdr:cNvCxnSpPr/>
      </xdr:nvCxnSpPr>
      <xdr:spPr>
        <a:xfrm>
          <a:off x="6420757" y="0"/>
          <a:ext cx="146958" cy="17426214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F8365-3FF1-814C-8E03-307F96F694BC}">
  <dimension ref="B3:J41"/>
  <sheetViews>
    <sheetView zoomScale="180" workbookViewId="0">
      <selection activeCell="A7" sqref="A7"/>
    </sheetView>
  </sheetViews>
  <sheetFormatPr baseColWidth="10" defaultRowHeight="13"/>
  <cols>
    <col min="1" max="1" width="1.6640625" style="1" customWidth="1"/>
    <col min="2" max="2" width="28.33203125" style="1" bestFit="1" customWidth="1"/>
    <col min="3" max="7" width="10.83203125" style="1"/>
    <col min="8" max="8" width="3.6640625" style="1" bestFit="1" customWidth="1"/>
    <col min="9" max="9" width="7.6640625" style="1" bestFit="1" customWidth="1"/>
    <col min="10" max="10" width="5.5" style="1" bestFit="1" customWidth="1"/>
    <col min="11" max="16384" width="10.83203125" style="1"/>
  </cols>
  <sheetData>
    <row r="3" spans="2:10">
      <c r="B3" s="1" t="s">
        <v>6</v>
      </c>
      <c r="C3" s="1" t="s">
        <v>68</v>
      </c>
    </row>
    <row r="4" spans="2:10">
      <c r="B4" s="1" t="s">
        <v>7</v>
      </c>
      <c r="H4" s="1" t="s">
        <v>0</v>
      </c>
      <c r="I4" s="1">
        <v>82</v>
      </c>
    </row>
    <row r="5" spans="2:10">
      <c r="H5" s="1" t="s">
        <v>1</v>
      </c>
      <c r="I5" s="1">
        <v>848.1</v>
      </c>
      <c r="J5" s="1" t="s">
        <v>76</v>
      </c>
    </row>
    <row r="6" spans="2:10">
      <c r="H6" s="1" t="s">
        <v>2</v>
      </c>
      <c r="I6" s="1">
        <f>+I5*I4</f>
        <v>69544.2</v>
      </c>
    </row>
    <row r="7" spans="2:10">
      <c r="H7" s="1" t="s">
        <v>3</v>
      </c>
      <c r="I7" s="1">
        <v>2714.5</v>
      </c>
      <c r="J7" s="1" t="str">
        <f>+J5</f>
        <v>Q326</v>
      </c>
    </row>
    <row r="8" spans="2:10">
      <c r="B8" s="2" t="s">
        <v>17</v>
      </c>
      <c r="H8" s="1" t="s">
        <v>4</v>
      </c>
      <c r="I8" s="1">
        <f>499.5+3969.4</f>
        <v>4468.8999999999996</v>
      </c>
      <c r="J8" s="1" t="str">
        <f>+J7</f>
        <v>Q326</v>
      </c>
    </row>
    <row r="9" spans="2:10">
      <c r="B9" s="1" t="s">
        <v>9</v>
      </c>
      <c r="C9" s="1" t="s">
        <v>13</v>
      </c>
      <c r="H9" s="1" t="s">
        <v>5</v>
      </c>
      <c r="I9" s="1">
        <f>+I6-I7+I8</f>
        <v>71298.599999999991</v>
      </c>
    </row>
    <row r="10" spans="2:10">
      <c r="B10" s="1" t="s">
        <v>10</v>
      </c>
      <c r="C10" s="1" t="s">
        <v>14</v>
      </c>
    </row>
    <row r="11" spans="2:10">
      <c r="B11" s="1" t="s">
        <v>11</v>
      </c>
      <c r="C11" s="1" t="s">
        <v>15</v>
      </c>
    </row>
    <row r="12" spans="2:10">
      <c r="B12" s="1" t="s">
        <v>12</v>
      </c>
      <c r="C12" s="1" t="s">
        <v>16</v>
      </c>
    </row>
    <row r="14" spans="2:10">
      <c r="B14" s="1" t="s">
        <v>27</v>
      </c>
    </row>
    <row r="17" spans="2:3">
      <c r="B17" s="9" t="s">
        <v>40</v>
      </c>
    </row>
    <row r="18" spans="2:3">
      <c r="B18" s="1" t="s">
        <v>41</v>
      </c>
      <c r="C18" s="1" t="s">
        <v>42</v>
      </c>
    </row>
    <row r="19" spans="2:3">
      <c r="B19" s="1" t="s">
        <v>43</v>
      </c>
      <c r="C19" s="1" t="s">
        <v>44</v>
      </c>
    </row>
    <row r="20" spans="2:3">
      <c r="B20" s="13" t="s">
        <v>45</v>
      </c>
    </row>
    <row r="21" spans="2:3">
      <c r="B21" s="14" t="s">
        <v>46</v>
      </c>
    </row>
    <row r="22" spans="2:3">
      <c r="B22" s="14" t="s">
        <v>47</v>
      </c>
    </row>
    <row r="23" spans="2:3">
      <c r="B23" s="14" t="s">
        <v>48</v>
      </c>
    </row>
    <row r="24" spans="2:3">
      <c r="B24" s="13" t="s">
        <v>49</v>
      </c>
    </row>
    <row r="25" spans="2:3">
      <c r="B25" s="14" t="s">
        <v>50</v>
      </c>
    </row>
    <row r="26" spans="2:3">
      <c r="B26" s="14" t="s">
        <v>51</v>
      </c>
    </row>
    <row r="27" spans="2:3">
      <c r="B27" s="14" t="s">
        <v>52</v>
      </c>
    </row>
    <row r="29" spans="2:3">
      <c r="B29" s="9" t="s">
        <v>53</v>
      </c>
    </row>
    <row r="30" spans="2:3">
      <c r="B30" s="1" t="s">
        <v>54</v>
      </c>
      <c r="C30" s="1" t="s">
        <v>57</v>
      </c>
    </row>
    <row r="31" spans="2:3">
      <c r="B31" s="1" t="s">
        <v>55</v>
      </c>
      <c r="C31" s="1" t="s">
        <v>58</v>
      </c>
    </row>
    <row r="32" spans="2:3">
      <c r="B32" s="1" t="s">
        <v>56</v>
      </c>
      <c r="C32" s="1" t="s">
        <v>59</v>
      </c>
    </row>
    <row r="33" spans="2:2">
      <c r="B33" s="10" t="s">
        <v>60</v>
      </c>
    </row>
    <row r="34" spans="2:2">
      <c r="B34" s="11" t="s">
        <v>61</v>
      </c>
    </row>
    <row r="35" spans="2:2">
      <c r="B35" s="11" t="s">
        <v>62</v>
      </c>
    </row>
    <row r="36" spans="2:2">
      <c r="B36" s="11" t="s">
        <v>63</v>
      </c>
    </row>
    <row r="37" spans="2:2">
      <c r="B37" s="10" t="s">
        <v>64</v>
      </c>
    </row>
    <row r="38" spans="2:2">
      <c r="B38" s="12" t="s">
        <v>65</v>
      </c>
    </row>
    <row r="39" spans="2:2">
      <c r="B39" s="12" t="s">
        <v>66</v>
      </c>
    </row>
    <row r="41" spans="2:2">
      <c r="B41" s="9" t="s">
        <v>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2B788-DF08-3043-8B9E-179193172FFF}">
  <dimension ref="A2:IA86"/>
  <sheetViews>
    <sheetView showGridLines="0" tabSelected="1" zoomScale="140" zoomScaleNormal="140" workbookViewId="0">
      <pane xSplit="2" ySplit="3" topLeftCell="C45" activePane="bottomRight" state="frozen"/>
      <selection pane="topRight" activeCell="C1" sqref="C1"/>
      <selection pane="bottomLeft" activeCell="A3" sqref="A3"/>
      <selection pane="bottomRight" activeCell="M69" sqref="M69"/>
    </sheetView>
  </sheetViews>
  <sheetFormatPr baseColWidth="10" defaultRowHeight="13"/>
  <cols>
    <col min="1" max="1" width="1" style="1" customWidth="1"/>
    <col min="2" max="2" width="19.1640625" style="1" bestFit="1" customWidth="1"/>
    <col min="3" max="8" width="5.6640625" style="1" bestFit="1" customWidth="1"/>
    <col min="9" max="9" width="6.1640625" style="1" bestFit="1" customWidth="1"/>
    <col min="10" max="12" width="6.6640625" style="1" bestFit="1" customWidth="1"/>
    <col min="13" max="13" width="7.6640625" style="1" bestFit="1" customWidth="1"/>
    <col min="14" max="14" width="5.6640625" style="1" bestFit="1" customWidth="1"/>
    <col min="15" max="16" width="10.83203125" style="1"/>
    <col min="17" max="18" width="5.1640625" style="1" bestFit="1" customWidth="1"/>
    <col min="19" max="25" width="5.6640625" style="1" bestFit="1" customWidth="1"/>
    <col min="26" max="34" width="6.6640625" style="1" bestFit="1" customWidth="1"/>
    <col min="35" max="35" width="5.6640625" style="1" bestFit="1" customWidth="1"/>
    <col min="36" max="36" width="10.6640625" style="1" bestFit="1" customWidth="1"/>
    <col min="37" max="41" width="5.1640625" style="1" bestFit="1" customWidth="1"/>
    <col min="42" max="16384" width="10.83203125" style="1"/>
  </cols>
  <sheetData>
    <row r="2" spans="2:235" s="7" customFormat="1">
      <c r="C2" s="7">
        <v>45045</v>
      </c>
      <c r="D2" s="7">
        <v>45136</v>
      </c>
      <c r="E2" s="7">
        <v>45227</v>
      </c>
      <c r="F2" s="7">
        <v>45325</v>
      </c>
      <c r="G2" s="7">
        <v>45416</v>
      </c>
      <c r="H2" s="7">
        <v>45507</v>
      </c>
      <c r="I2" s="7">
        <v>45598</v>
      </c>
      <c r="L2" s="7">
        <v>45871</v>
      </c>
      <c r="M2" s="7">
        <v>47058</v>
      </c>
    </row>
    <row r="3" spans="2:235" s="3" customFormat="1">
      <c r="C3" s="3" t="s">
        <v>18</v>
      </c>
      <c r="D3" s="3" t="s">
        <v>19</v>
      </c>
      <c r="E3" s="3" t="s">
        <v>8</v>
      </c>
      <c r="F3" s="3" t="s">
        <v>20</v>
      </c>
      <c r="G3" s="3" t="s">
        <v>36</v>
      </c>
      <c r="H3" s="3" t="s">
        <v>37</v>
      </c>
      <c r="I3" s="3" t="s">
        <v>38</v>
      </c>
      <c r="J3" s="3" t="s">
        <v>39</v>
      </c>
      <c r="K3" s="3" t="s">
        <v>73</v>
      </c>
      <c r="L3" s="3" t="s">
        <v>74</v>
      </c>
      <c r="M3" s="3" t="s">
        <v>76</v>
      </c>
      <c r="N3" s="3" t="s">
        <v>75</v>
      </c>
      <c r="Q3" s="3">
        <v>2018</v>
      </c>
      <c r="R3" s="3">
        <v>2019</v>
      </c>
      <c r="S3" s="3">
        <v>2020</v>
      </c>
      <c r="T3" s="3">
        <v>2021</v>
      </c>
      <c r="U3" s="3">
        <v>2022</v>
      </c>
      <c r="V3" s="3">
        <f t="shared" ref="V3:AI3" si="0">+U3+1</f>
        <v>2023</v>
      </c>
      <c r="W3" s="3">
        <f t="shared" si="0"/>
        <v>2024</v>
      </c>
      <c r="X3" s="3">
        <f t="shared" si="0"/>
        <v>2025</v>
      </c>
      <c r="Y3" s="3">
        <f t="shared" si="0"/>
        <v>2026</v>
      </c>
      <c r="Z3" s="3">
        <f t="shared" si="0"/>
        <v>2027</v>
      </c>
      <c r="AA3" s="3">
        <f t="shared" si="0"/>
        <v>2028</v>
      </c>
      <c r="AB3" s="3">
        <f t="shared" si="0"/>
        <v>2029</v>
      </c>
      <c r="AC3" s="3">
        <f t="shared" si="0"/>
        <v>2030</v>
      </c>
      <c r="AD3" s="3">
        <f t="shared" si="0"/>
        <v>2031</v>
      </c>
      <c r="AE3" s="3">
        <f t="shared" si="0"/>
        <v>2032</v>
      </c>
      <c r="AF3" s="3">
        <f t="shared" si="0"/>
        <v>2033</v>
      </c>
      <c r="AG3" s="3">
        <f t="shared" si="0"/>
        <v>2034</v>
      </c>
      <c r="AH3" s="3">
        <f t="shared" si="0"/>
        <v>2035</v>
      </c>
      <c r="AI3" s="3">
        <f t="shared" si="0"/>
        <v>2036</v>
      </c>
      <c r="AJ3" s="3">
        <f t="shared" ref="AJ3" si="1">+AI3+1</f>
        <v>2037</v>
      </c>
      <c r="AK3" s="3">
        <f t="shared" ref="AK3" si="2">+AJ3+1</f>
        <v>2038</v>
      </c>
      <c r="AL3" s="3">
        <f t="shared" ref="AL3" si="3">+AK3+1</f>
        <v>2039</v>
      </c>
      <c r="AM3" s="3">
        <f t="shared" ref="AM3" si="4">+AL3+1</f>
        <v>2040</v>
      </c>
      <c r="AN3" s="3">
        <f t="shared" ref="AN3" si="5">+AM3+1</f>
        <v>2041</v>
      </c>
      <c r="AO3" s="3">
        <f t="shared" ref="AO3" si="6">+AN3+1</f>
        <v>2042</v>
      </c>
      <c r="AP3" s="3">
        <f t="shared" ref="AP3" si="7">+AO3+1</f>
        <v>2043</v>
      </c>
      <c r="AQ3" s="3">
        <f t="shared" ref="AQ3" si="8">+AP3+1</f>
        <v>2044</v>
      </c>
      <c r="AR3" s="3">
        <f t="shared" ref="AR3" si="9">+AQ3+1</f>
        <v>2045</v>
      </c>
      <c r="AS3" s="3">
        <f t="shared" ref="AS3" si="10">+AR3+1</f>
        <v>2046</v>
      </c>
      <c r="AT3" s="3">
        <f t="shared" ref="AT3" si="11">+AS3+1</f>
        <v>2047</v>
      </c>
      <c r="AU3" s="3">
        <f t="shared" ref="AU3" si="12">+AT3+1</f>
        <v>2048</v>
      </c>
      <c r="AV3" s="3">
        <f t="shared" ref="AV3" si="13">+AU3+1</f>
        <v>2049</v>
      </c>
      <c r="AW3" s="3">
        <f t="shared" ref="AW3" si="14">+AV3+1</f>
        <v>2050</v>
      </c>
      <c r="AX3" s="3">
        <f t="shared" ref="AX3" si="15">+AW3+1</f>
        <v>2051</v>
      </c>
      <c r="AY3" s="3">
        <f t="shared" ref="AY3" si="16">+AX3+1</f>
        <v>2052</v>
      </c>
      <c r="AZ3" s="3">
        <f t="shared" ref="AZ3" si="17">+AY3+1</f>
        <v>2053</v>
      </c>
      <c r="BA3" s="3">
        <f t="shared" ref="BA3" si="18">+AZ3+1</f>
        <v>2054</v>
      </c>
      <c r="BB3" s="3">
        <f t="shared" ref="BB3" si="19">+BA3+1</f>
        <v>2055</v>
      </c>
      <c r="BC3" s="3">
        <f t="shared" ref="BC3" si="20">+BB3+1</f>
        <v>2056</v>
      </c>
      <c r="BD3" s="3">
        <f t="shared" ref="BD3" si="21">+BC3+1</f>
        <v>2057</v>
      </c>
      <c r="BE3" s="3">
        <f t="shared" ref="BE3" si="22">+BD3+1</f>
        <v>2058</v>
      </c>
      <c r="BF3" s="3">
        <f t="shared" ref="BF3" si="23">+BE3+1</f>
        <v>2059</v>
      </c>
      <c r="BG3" s="3">
        <f t="shared" ref="BG3" si="24">+BF3+1</f>
        <v>2060</v>
      </c>
      <c r="BH3" s="3">
        <f t="shared" ref="BH3" si="25">+BG3+1</f>
        <v>2061</v>
      </c>
      <c r="BI3" s="3">
        <f t="shared" ref="BI3" si="26">+BH3+1</f>
        <v>2062</v>
      </c>
      <c r="BJ3" s="3">
        <f t="shared" ref="BJ3" si="27">+BI3+1</f>
        <v>2063</v>
      </c>
      <c r="BK3" s="3">
        <f t="shared" ref="BK3" si="28">+BJ3+1</f>
        <v>2064</v>
      </c>
      <c r="BL3" s="3">
        <f t="shared" ref="BL3" si="29">+BK3+1</f>
        <v>2065</v>
      </c>
      <c r="BM3" s="3">
        <f t="shared" ref="BM3" si="30">+BL3+1</f>
        <v>2066</v>
      </c>
      <c r="BN3" s="3">
        <f t="shared" ref="BN3" si="31">+BM3+1</f>
        <v>2067</v>
      </c>
      <c r="BO3" s="3">
        <f t="shared" ref="BO3" si="32">+BN3+1</f>
        <v>2068</v>
      </c>
      <c r="BP3" s="3">
        <f t="shared" ref="BP3" si="33">+BO3+1</f>
        <v>2069</v>
      </c>
      <c r="BQ3" s="3">
        <f t="shared" ref="BQ3" si="34">+BP3+1</f>
        <v>2070</v>
      </c>
      <c r="BR3" s="3">
        <f t="shared" ref="BR3" si="35">+BQ3+1</f>
        <v>2071</v>
      </c>
      <c r="BS3" s="3">
        <f t="shared" ref="BS3" si="36">+BR3+1</f>
        <v>2072</v>
      </c>
      <c r="BT3" s="3">
        <f t="shared" ref="BT3" si="37">+BS3+1</f>
        <v>2073</v>
      </c>
      <c r="BU3" s="3">
        <f t="shared" ref="BU3" si="38">+BT3+1</f>
        <v>2074</v>
      </c>
      <c r="BV3" s="3">
        <f t="shared" ref="BV3" si="39">+BU3+1</f>
        <v>2075</v>
      </c>
      <c r="BW3" s="3">
        <f t="shared" ref="BW3" si="40">+BV3+1</f>
        <v>2076</v>
      </c>
      <c r="BX3" s="3">
        <f t="shared" ref="BX3" si="41">+BW3+1</f>
        <v>2077</v>
      </c>
      <c r="BY3" s="3">
        <f t="shared" ref="BY3" si="42">+BX3+1</f>
        <v>2078</v>
      </c>
      <c r="BZ3" s="3">
        <f t="shared" ref="BZ3" si="43">+BY3+1</f>
        <v>2079</v>
      </c>
      <c r="CA3" s="3">
        <f t="shared" ref="CA3" si="44">+BZ3+1</f>
        <v>2080</v>
      </c>
      <c r="CB3" s="3">
        <f t="shared" ref="CB3" si="45">+CA3+1</f>
        <v>2081</v>
      </c>
      <c r="CC3" s="3">
        <f t="shared" ref="CC3" si="46">+CB3+1</f>
        <v>2082</v>
      </c>
      <c r="CD3" s="3">
        <f t="shared" ref="CD3" si="47">+CC3+1</f>
        <v>2083</v>
      </c>
      <c r="CE3" s="3">
        <f t="shared" ref="CE3" si="48">+CD3+1</f>
        <v>2084</v>
      </c>
      <c r="CF3" s="3">
        <f t="shared" ref="CF3" si="49">+CE3+1</f>
        <v>2085</v>
      </c>
      <c r="CG3" s="3">
        <f t="shared" ref="CG3" si="50">+CF3+1</f>
        <v>2086</v>
      </c>
      <c r="CH3" s="3">
        <f t="shared" ref="CH3" si="51">+CG3+1</f>
        <v>2087</v>
      </c>
      <c r="CI3" s="3">
        <f t="shared" ref="CI3" si="52">+CH3+1</f>
        <v>2088</v>
      </c>
      <c r="CJ3" s="3">
        <f t="shared" ref="CJ3" si="53">+CI3+1</f>
        <v>2089</v>
      </c>
      <c r="CK3" s="3">
        <f t="shared" ref="CK3" si="54">+CJ3+1</f>
        <v>2090</v>
      </c>
      <c r="CL3" s="3">
        <f t="shared" ref="CL3" si="55">+CK3+1</f>
        <v>2091</v>
      </c>
      <c r="CM3" s="3">
        <f t="shared" ref="CM3" si="56">+CL3+1</f>
        <v>2092</v>
      </c>
      <c r="CN3" s="3">
        <f t="shared" ref="CN3" si="57">+CM3+1</f>
        <v>2093</v>
      </c>
      <c r="CO3" s="3">
        <f t="shared" ref="CO3" si="58">+CN3+1</f>
        <v>2094</v>
      </c>
      <c r="CP3" s="3">
        <f t="shared" ref="CP3" si="59">+CO3+1</f>
        <v>2095</v>
      </c>
      <c r="CQ3" s="3">
        <f t="shared" ref="CQ3" si="60">+CP3+1</f>
        <v>2096</v>
      </c>
      <c r="CR3" s="3">
        <f t="shared" ref="CR3" si="61">+CQ3+1</f>
        <v>2097</v>
      </c>
      <c r="CS3" s="3">
        <f t="shared" ref="CS3" si="62">+CR3+1</f>
        <v>2098</v>
      </c>
      <c r="CT3" s="3">
        <f t="shared" ref="CT3" si="63">+CS3+1</f>
        <v>2099</v>
      </c>
      <c r="CU3" s="3">
        <f t="shared" ref="CU3" si="64">+CT3+1</f>
        <v>2100</v>
      </c>
      <c r="CV3" s="3">
        <f t="shared" ref="CV3" si="65">+CU3+1</f>
        <v>2101</v>
      </c>
      <c r="CW3" s="3">
        <f t="shared" ref="CW3" si="66">+CV3+1</f>
        <v>2102</v>
      </c>
      <c r="CX3" s="3">
        <f t="shared" ref="CX3" si="67">+CW3+1</f>
        <v>2103</v>
      </c>
      <c r="CY3" s="3">
        <f t="shared" ref="CY3" si="68">+CX3+1</f>
        <v>2104</v>
      </c>
      <c r="CZ3" s="3">
        <f t="shared" ref="CZ3" si="69">+CY3+1</f>
        <v>2105</v>
      </c>
      <c r="DA3" s="3">
        <f t="shared" ref="DA3" si="70">+CZ3+1</f>
        <v>2106</v>
      </c>
      <c r="DB3" s="3">
        <f t="shared" ref="DB3" si="71">+DA3+1</f>
        <v>2107</v>
      </c>
      <c r="DC3" s="3">
        <f t="shared" ref="DC3" si="72">+DB3+1</f>
        <v>2108</v>
      </c>
      <c r="DD3" s="3">
        <f t="shared" ref="DD3" si="73">+DC3+1</f>
        <v>2109</v>
      </c>
      <c r="DE3" s="3">
        <f t="shared" ref="DE3" si="74">+DD3+1</f>
        <v>2110</v>
      </c>
      <c r="DF3" s="3">
        <f t="shared" ref="DF3" si="75">+DE3+1</f>
        <v>2111</v>
      </c>
      <c r="DG3" s="3">
        <f t="shared" ref="DG3" si="76">+DF3+1</f>
        <v>2112</v>
      </c>
      <c r="DH3" s="3">
        <f t="shared" ref="DH3" si="77">+DG3+1</f>
        <v>2113</v>
      </c>
      <c r="DI3" s="3">
        <f t="shared" ref="DI3" si="78">+DH3+1</f>
        <v>2114</v>
      </c>
      <c r="DJ3" s="3">
        <f t="shared" ref="DJ3" si="79">+DI3+1</f>
        <v>2115</v>
      </c>
      <c r="DK3" s="3">
        <f t="shared" ref="DK3" si="80">+DJ3+1</f>
        <v>2116</v>
      </c>
      <c r="DL3" s="3">
        <f t="shared" ref="DL3" si="81">+DK3+1</f>
        <v>2117</v>
      </c>
      <c r="DM3" s="3">
        <f t="shared" ref="DM3" si="82">+DL3+1</f>
        <v>2118</v>
      </c>
      <c r="DN3" s="3">
        <f t="shared" ref="DN3" si="83">+DM3+1</f>
        <v>2119</v>
      </c>
      <c r="DO3" s="3">
        <f t="shared" ref="DO3" si="84">+DN3+1</f>
        <v>2120</v>
      </c>
      <c r="DP3" s="3">
        <f t="shared" ref="DP3" si="85">+DO3+1</f>
        <v>2121</v>
      </c>
      <c r="DQ3" s="3">
        <f t="shared" ref="DQ3" si="86">+DP3+1</f>
        <v>2122</v>
      </c>
      <c r="DR3" s="3">
        <f t="shared" ref="DR3" si="87">+DQ3+1</f>
        <v>2123</v>
      </c>
      <c r="DS3" s="3">
        <f t="shared" ref="DS3" si="88">+DR3+1</f>
        <v>2124</v>
      </c>
      <c r="DT3" s="3">
        <f t="shared" ref="DT3" si="89">+DS3+1</f>
        <v>2125</v>
      </c>
      <c r="DU3" s="3">
        <f t="shared" ref="DU3" si="90">+DT3+1</f>
        <v>2126</v>
      </c>
      <c r="DV3" s="3">
        <f t="shared" ref="DV3" si="91">+DU3+1</f>
        <v>2127</v>
      </c>
      <c r="DW3" s="3">
        <f t="shared" ref="DW3" si="92">+DV3+1</f>
        <v>2128</v>
      </c>
      <c r="DX3" s="3">
        <f t="shared" ref="DX3" si="93">+DW3+1</f>
        <v>2129</v>
      </c>
      <c r="DY3" s="3">
        <f t="shared" ref="DY3" si="94">+DX3+1</f>
        <v>2130</v>
      </c>
      <c r="DZ3" s="3">
        <f t="shared" ref="DZ3" si="95">+DY3+1</f>
        <v>2131</v>
      </c>
      <c r="EA3" s="3">
        <f t="shared" ref="EA3" si="96">+DZ3+1</f>
        <v>2132</v>
      </c>
      <c r="EB3" s="3">
        <f t="shared" ref="EB3" si="97">+EA3+1</f>
        <v>2133</v>
      </c>
      <c r="EC3" s="3">
        <f t="shared" ref="EC3" si="98">+EB3+1</f>
        <v>2134</v>
      </c>
      <c r="ED3" s="3">
        <f t="shared" ref="ED3" si="99">+EC3+1</f>
        <v>2135</v>
      </c>
      <c r="EE3" s="3">
        <f t="shared" ref="EE3" si="100">+ED3+1</f>
        <v>2136</v>
      </c>
      <c r="EF3" s="3">
        <f t="shared" ref="EF3" si="101">+EE3+1</f>
        <v>2137</v>
      </c>
      <c r="EG3" s="3">
        <f t="shared" ref="EG3" si="102">+EF3+1</f>
        <v>2138</v>
      </c>
      <c r="EH3" s="3">
        <f t="shared" ref="EH3" si="103">+EG3+1</f>
        <v>2139</v>
      </c>
      <c r="EI3" s="3">
        <f t="shared" ref="EI3" si="104">+EH3+1</f>
        <v>2140</v>
      </c>
      <c r="EJ3" s="3">
        <f t="shared" ref="EJ3" si="105">+EI3+1</f>
        <v>2141</v>
      </c>
      <c r="EK3" s="3">
        <f t="shared" ref="EK3" si="106">+EJ3+1</f>
        <v>2142</v>
      </c>
      <c r="EL3" s="3">
        <f t="shared" ref="EL3" si="107">+EK3+1</f>
        <v>2143</v>
      </c>
      <c r="EM3" s="3">
        <f t="shared" ref="EM3" si="108">+EL3+1</f>
        <v>2144</v>
      </c>
      <c r="EN3" s="3">
        <f t="shared" ref="EN3" si="109">+EM3+1</f>
        <v>2145</v>
      </c>
      <c r="EO3" s="3">
        <f t="shared" ref="EO3" si="110">+EN3+1</f>
        <v>2146</v>
      </c>
      <c r="EP3" s="3">
        <f t="shared" ref="EP3" si="111">+EO3+1</f>
        <v>2147</v>
      </c>
      <c r="EQ3" s="3">
        <f t="shared" ref="EQ3" si="112">+EP3+1</f>
        <v>2148</v>
      </c>
      <c r="ER3" s="3">
        <f t="shared" ref="ER3" si="113">+EQ3+1</f>
        <v>2149</v>
      </c>
      <c r="ES3" s="3">
        <f t="shared" ref="ES3" si="114">+ER3+1</f>
        <v>2150</v>
      </c>
      <c r="ET3" s="3">
        <f t="shared" ref="ET3" si="115">+ES3+1</f>
        <v>2151</v>
      </c>
      <c r="EU3" s="3">
        <f t="shared" ref="EU3" si="116">+ET3+1</f>
        <v>2152</v>
      </c>
      <c r="EV3" s="3">
        <f t="shared" ref="EV3" si="117">+EU3+1</f>
        <v>2153</v>
      </c>
      <c r="EW3" s="3">
        <f t="shared" ref="EW3" si="118">+EV3+1</f>
        <v>2154</v>
      </c>
      <c r="EX3" s="3">
        <f t="shared" ref="EX3" si="119">+EW3+1</f>
        <v>2155</v>
      </c>
      <c r="EY3" s="3">
        <f t="shared" ref="EY3" si="120">+EX3+1</f>
        <v>2156</v>
      </c>
      <c r="EZ3" s="3">
        <f t="shared" ref="EZ3" si="121">+EY3+1</f>
        <v>2157</v>
      </c>
      <c r="FA3" s="3">
        <f t="shared" ref="FA3" si="122">+EZ3+1</f>
        <v>2158</v>
      </c>
      <c r="FB3" s="3">
        <f t="shared" ref="FB3" si="123">+FA3+1</f>
        <v>2159</v>
      </c>
      <c r="FC3" s="3">
        <f t="shared" ref="FC3" si="124">+FB3+1</f>
        <v>2160</v>
      </c>
      <c r="FD3" s="3">
        <f t="shared" ref="FD3" si="125">+FC3+1</f>
        <v>2161</v>
      </c>
      <c r="FE3" s="3">
        <f t="shared" ref="FE3" si="126">+FD3+1</f>
        <v>2162</v>
      </c>
      <c r="FF3" s="3">
        <f t="shared" ref="FF3" si="127">+FE3+1</f>
        <v>2163</v>
      </c>
      <c r="FG3" s="3">
        <f t="shared" ref="FG3" si="128">+FF3+1</f>
        <v>2164</v>
      </c>
      <c r="FH3" s="3">
        <f t="shared" ref="FH3" si="129">+FG3+1</f>
        <v>2165</v>
      </c>
      <c r="FI3" s="3">
        <f t="shared" ref="FI3" si="130">+FH3+1</f>
        <v>2166</v>
      </c>
      <c r="FJ3" s="3">
        <f t="shared" ref="FJ3" si="131">+FI3+1</f>
        <v>2167</v>
      </c>
      <c r="FK3" s="3">
        <f t="shared" ref="FK3" si="132">+FJ3+1</f>
        <v>2168</v>
      </c>
      <c r="FL3" s="3">
        <f t="shared" ref="FL3" si="133">+FK3+1</f>
        <v>2169</v>
      </c>
      <c r="FM3" s="3">
        <f t="shared" ref="FM3" si="134">+FL3+1</f>
        <v>2170</v>
      </c>
      <c r="FN3" s="3">
        <f t="shared" ref="FN3" si="135">+FM3+1</f>
        <v>2171</v>
      </c>
      <c r="FO3" s="3">
        <f t="shared" ref="FO3" si="136">+FN3+1</f>
        <v>2172</v>
      </c>
      <c r="FP3" s="3">
        <f t="shared" ref="FP3" si="137">+FO3+1</f>
        <v>2173</v>
      </c>
      <c r="FQ3" s="3">
        <f t="shared" ref="FQ3" si="138">+FP3+1</f>
        <v>2174</v>
      </c>
      <c r="FR3" s="3">
        <f t="shared" ref="FR3" si="139">+FQ3+1</f>
        <v>2175</v>
      </c>
      <c r="FS3" s="3">
        <f t="shared" ref="FS3" si="140">+FR3+1</f>
        <v>2176</v>
      </c>
      <c r="FT3" s="3">
        <f t="shared" ref="FT3" si="141">+FS3+1</f>
        <v>2177</v>
      </c>
      <c r="FU3" s="3">
        <f t="shared" ref="FU3" si="142">+FT3+1</f>
        <v>2178</v>
      </c>
      <c r="FV3" s="3">
        <f t="shared" ref="FV3" si="143">+FU3+1</f>
        <v>2179</v>
      </c>
      <c r="FW3" s="3">
        <f t="shared" ref="FW3" si="144">+FV3+1</f>
        <v>2180</v>
      </c>
      <c r="FX3" s="3">
        <f t="shared" ref="FX3" si="145">+FW3+1</f>
        <v>2181</v>
      </c>
      <c r="FY3" s="3">
        <f t="shared" ref="FY3" si="146">+FX3+1</f>
        <v>2182</v>
      </c>
      <c r="FZ3" s="3">
        <f t="shared" ref="FZ3" si="147">+FY3+1</f>
        <v>2183</v>
      </c>
      <c r="GA3" s="3">
        <f t="shared" ref="GA3" si="148">+FZ3+1</f>
        <v>2184</v>
      </c>
      <c r="GB3" s="3">
        <f t="shared" ref="GB3" si="149">+GA3+1</f>
        <v>2185</v>
      </c>
      <c r="GC3" s="3">
        <f t="shared" ref="GC3" si="150">+GB3+1</f>
        <v>2186</v>
      </c>
      <c r="GD3" s="3">
        <f t="shared" ref="GD3" si="151">+GC3+1</f>
        <v>2187</v>
      </c>
      <c r="GE3" s="3">
        <f t="shared" ref="GE3" si="152">+GD3+1</f>
        <v>2188</v>
      </c>
      <c r="GF3" s="3">
        <f t="shared" ref="GF3" si="153">+GE3+1</f>
        <v>2189</v>
      </c>
      <c r="GG3" s="3">
        <f t="shared" ref="GG3" si="154">+GF3+1</f>
        <v>2190</v>
      </c>
      <c r="GH3" s="3">
        <f t="shared" ref="GH3" si="155">+GG3+1</f>
        <v>2191</v>
      </c>
      <c r="GI3" s="3">
        <f t="shared" ref="GI3" si="156">+GH3+1</f>
        <v>2192</v>
      </c>
      <c r="GJ3" s="3">
        <f t="shared" ref="GJ3" si="157">+GI3+1</f>
        <v>2193</v>
      </c>
      <c r="GK3" s="3">
        <f t="shared" ref="GK3" si="158">+GJ3+1</f>
        <v>2194</v>
      </c>
      <c r="GL3" s="3">
        <f t="shared" ref="GL3" si="159">+GK3+1</f>
        <v>2195</v>
      </c>
      <c r="GM3" s="3">
        <f t="shared" ref="GM3" si="160">+GL3+1</f>
        <v>2196</v>
      </c>
      <c r="GN3" s="3">
        <f t="shared" ref="GN3" si="161">+GM3+1</f>
        <v>2197</v>
      </c>
      <c r="GO3" s="3">
        <f t="shared" ref="GO3" si="162">+GN3+1</f>
        <v>2198</v>
      </c>
      <c r="GP3" s="3">
        <f t="shared" ref="GP3" si="163">+GO3+1</f>
        <v>2199</v>
      </c>
      <c r="GQ3" s="3">
        <f t="shared" ref="GQ3" si="164">+GP3+1</f>
        <v>2200</v>
      </c>
      <c r="GR3" s="3">
        <f t="shared" ref="GR3" si="165">+GQ3+1</f>
        <v>2201</v>
      </c>
      <c r="GS3" s="3">
        <f t="shared" ref="GS3" si="166">+GR3+1</f>
        <v>2202</v>
      </c>
      <c r="GT3" s="3">
        <f t="shared" ref="GT3" si="167">+GS3+1</f>
        <v>2203</v>
      </c>
      <c r="GU3" s="3">
        <f t="shared" ref="GU3" si="168">+GT3+1</f>
        <v>2204</v>
      </c>
      <c r="GV3" s="3">
        <f t="shared" ref="GV3" si="169">+GU3+1</f>
        <v>2205</v>
      </c>
      <c r="GW3" s="3">
        <f t="shared" ref="GW3" si="170">+GV3+1</f>
        <v>2206</v>
      </c>
      <c r="GX3" s="3">
        <f t="shared" ref="GX3" si="171">+GW3+1</f>
        <v>2207</v>
      </c>
      <c r="GY3" s="3">
        <f t="shared" ref="GY3" si="172">+GX3+1</f>
        <v>2208</v>
      </c>
      <c r="GZ3" s="3">
        <f t="shared" ref="GZ3" si="173">+GY3+1</f>
        <v>2209</v>
      </c>
      <c r="HA3" s="3">
        <f t="shared" ref="HA3" si="174">+GZ3+1</f>
        <v>2210</v>
      </c>
      <c r="HB3" s="3">
        <f t="shared" ref="HB3" si="175">+HA3+1</f>
        <v>2211</v>
      </c>
      <c r="HC3" s="3">
        <f t="shared" ref="HC3" si="176">+HB3+1</f>
        <v>2212</v>
      </c>
      <c r="HD3" s="3">
        <f t="shared" ref="HD3" si="177">+HC3+1</f>
        <v>2213</v>
      </c>
      <c r="HE3" s="3">
        <f t="shared" ref="HE3" si="178">+HD3+1</f>
        <v>2214</v>
      </c>
      <c r="HF3" s="3">
        <f t="shared" ref="HF3" si="179">+HE3+1</f>
        <v>2215</v>
      </c>
      <c r="HG3" s="3">
        <f t="shared" ref="HG3" si="180">+HF3+1</f>
        <v>2216</v>
      </c>
      <c r="HH3" s="3">
        <f t="shared" ref="HH3" si="181">+HG3+1</f>
        <v>2217</v>
      </c>
      <c r="HI3" s="3">
        <f t="shared" ref="HI3" si="182">+HH3+1</f>
        <v>2218</v>
      </c>
      <c r="HJ3" s="3">
        <f t="shared" ref="HJ3" si="183">+HI3+1</f>
        <v>2219</v>
      </c>
      <c r="HK3" s="3">
        <f t="shared" ref="HK3" si="184">+HJ3+1</f>
        <v>2220</v>
      </c>
      <c r="HL3" s="3">
        <f t="shared" ref="HL3" si="185">+HK3+1</f>
        <v>2221</v>
      </c>
      <c r="HM3" s="3">
        <f t="shared" ref="HM3" si="186">+HL3+1</f>
        <v>2222</v>
      </c>
      <c r="HN3" s="3">
        <f t="shared" ref="HN3" si="187">+HM3+1</f>
        <v>2223</v>
      </c>
      <c r="HO3" s="3">
        <f t="shared" ref="HO3" si="188">+HN3+1</f>
        <v>2224</v>
      </c>
      <c r="HP3" s="3">
        <f t="shared" ref="HP3" si="189">+HO3+1</f>
        <v>2225</v>
      </c>
      <c r="HQ3" s="3">
        <f t="shared" ref="HQ3" si="190">+HP3+1</f>
        <v>2226</v>
      </c>
      <c r="HR3" s="3">
        <f t="shared" ref="HR3" si="191">+HQ3+1</f>
        <v>2227</v>
      </c>
      <c r="HS3" s="3">
        <f t="shared" ref="HS3" si="192">+HR3+1</f>
        <v>2228</v>
      </c>
      <c r="HT3" s="3">
        <f t="shared" ref="HT3" si="193">+HS3+1</f>
        <v>2229</v>
      </c>
      <c r="HU3" s="3">
        <f t="shared" ref="HU3" si="194">+HT3+1</f>
        <v>2230</v>
      </c>
      <c r="HV3" s="3">
        <f t="shared" ref="HV3" si="195">+HU3+1</f>
        <v>2231</v>
      </c>
      <c r="HW3" s="3">
        <f t="shared" ref="HW3" si="196">+HV3+1</f>
        <v>2232</v>
      </c>
      <c r="HX3" s="3">
        <f t="shared" ref="HX3" si="197">+HW3+1</f>
        <v>2233</v>
      </c>
      <c r="HY3" s="3">
        <f t="shared" ref="HY3" si="198">+HX3+1</f>
        <v>2234</v>
      </c>
      <c r="HZ3" s="3">
        <f t="shared" ref="HZ3" si="199">+HY3+1</f>
        <v>2235</v>
      </c>
      <c r="IA3" s="3">
        <f t="shared" ref="IA3" si="200">+HZ3+1</f>
        <v>2236</v>
      </c>
    </row>
    <row r="4" spans="2:235" s="3" customFormat="1">
      <c r="B4" s="3" t="s">
        <v>77</v>
      </c>
      <c r="G4" s="3">
        <v>529.9</v>
      </c>
      <c r="K4" s="3">
        <v>708.9</v>
      </c>
    </row>
    <row r="5" spans="2:235" s="3" customFormat="1">
      <c r="B5" s="3" t="s">
        <v>78</v>
      </c>
      <c r="G5" s="3">
        <v>42.6</v>
      </c>
      <c r="K5" s="3">
        <v>327.3</v>
      </c>
    </row>
    <row r="6" spans="2:235" s="3" customFormat="1">
      <c r="B6" s="3" t="s">
        <v>79</v>
      </c>
      <c r="G6" s="3">
        <v>216.5</v>
      </c>
      <c r="K6" s="3">
        <v>305.2</v>
      </c>
    </row>
    <row r="7" spans="2:235" s="3" customFormat="1">
      <c r="B7" s="3" t="s">
        <v>80</v>
      </c>
      <c r="G7" s="3">
        <v>111.3</v>
      </c>
      <c r="K7" s="3">
        <v>163.1</v>
      </c>
    </row>
    <row r="8" spans="2:235" s="3" customFormat="1">
      <c r="B8" s="3" t="s">
        <v>81</v>
      </c>
      <c r="G8" s="3">
        <v>6.8</v>
      </c>
      <c r="K8" s="3">
        <v>91.3</v>
      </c>
    </row>
    <row r="9" spans="2:235" s="3" customFormat="1">
      <c r="B9" s="3" t="s">
        <v>82</v>
      </c>
      <c r="G9" s="3">
        <v>17.3</v>
      </c>
      <c r="K9" s="3">
        <v>46.9</v>
      </c>
    </row>
    <row r="10" spans="2:235" s="3" customFormat="1">
      <c r="B10" s="3" t="s">
        <v>83</v>
      </c>
      <c r="G10" s="3">
        <v>65</v>
      </c>
      <c r="K10" s="3">
        <v>42.2</v>
      </c>
    </row>
    <row r="11" spans="2:235" s="3" customFormat="1">
      <c r="B11" s="3" t="s">
        <v>84</v>
      </c>
      <c r="G11" s="3">
        <v>22.4</v>
      </c>
      <c r="K11" s="3">
        <v>36.1</v>
      </c>
    </row>
    <row r="12" spans="2:235" s="3" customFormat="1">
      <c r="B12" s="3" t="s">
        <v>85</v>
      </c>
      <c r="G12" s="3">
        <v>53</v>
      </c>
      <c r="K12" s="3">
        <v>34.9</v>
      </c>
    </row>
    <row r="13" spans="2:235" s="3" customFormat="1">
      <c r="B13" s="3" t="s">
        <v>86</v>
      </c>
      <c r="G13" s="3">
        <v>96.4</v>
      </c>
      <c r="K13" s="3">
        <v>139.4</v>
      </c>
    </row>
    <row r="14" spans="2:235" s="3" customFormat="1"/>
    <row r="15" spans="2:235">
      <c r="B15" s="1" t="s">
        <v>21</v>
      </c>
      <c r="C15" s="1">
        <v>435.8</v>
      </c>
      <c r="D15" s="1">
        <v>459.8</v>
      </c>
      <c r="E15" s="1">
        <v>555.79999999999995</v>
      </c>
      <c r="F15" s="1">
        <v>765.3</v>
      </c>
      <c r="G15" s="1">
        <v>816.4</v>
      </c>
      <c r="H15" s="1">
        <v>880.9</v>
      </c>
      <c r="I15" s="1">
        <v>1101.0999999999999</v>
      </c>
      <c r="J15" s="1">
        <f t="shared" ref="J15:J20" si="201">+X15-SUM(G15:I15)</f>
        <v>1365.8000000000002</v>
      </c>
      <c r="K15" s="1">
        <v>1440.6</v>
      </c>
      <c r="L15" s="1">
        <v>1490.5</v>
      </c>
      <c r="M15" s="1">
        <v>1517.9</v>
      </c>
      <c r="S15" s="1">
        <v>823.84100000000001</v>
      </c>
      <c r="T15" s="1">
        <v>1040.8</v>
      </c>
      <c r="U15" s="1">
        <v>1784.7</v>
      </c>
      <c r="V15" s="1">
        <v>2408.8000000000002</v>
      </c>
      <c r="W15" s="1">
        <v>2216.6999999999998</v>
      </c>
      <c r="X15" s="1">
        <v>4164.2</v>
      </c>
    </row>
    <row r="16" spans="2:235">
      <c r="B16" s="1" t="s">
        <v>22</v>
      </c>
      <c r="C16" s="1">
        <v>364.6</v>
      </c>
      <c r="D16" s="1">
        <v>327.7</v>
      </c>
      <c r="E16" s="1">
        <v>271.10000000000002</v>
      </c>
      <c r="F16" s="1">
        <v>265</v>
      </c>
      <c r="G16" s="1">
        <v>153.1</v>
      </c>
      <c r="H16" s="1">
        <v>151</v>
      </c>
      <c r="I16" s="1">
        <v>150.9</v>
      </c>
      <c r="J16" s="1">
        <f t="shared" si="201"/>
        <v>171.39999999999998</v>
      </c>
      <c r="K16" s="1">
        <v>177.5</v>
      </c>
      <c r="L16" s="1">
        <v>193.6</v>
      </c>
      <c r="M16" s="1">
        <v>237.2</v>
      </c>
      <c r="S16" s="1">
        <v>369.90100000000001</v>
      </c>
      <c r="T16" s="1">
        <v>636</v>
      </c>
      <c r="U16" s="1">
        <v>907.7</v>
      </c>
      <c r="V16" s="1">
        <v>1369.2</v>
      </c>
      <c r="W16" s="1">
        <v>1228.4000000000001</v>
      </c>
      <c r="X16" s="1">
        <v>626.4</v>
      </c>
    </row>
    <row r="17" spans="1:235">
      <c r="B17" s="1" t="s">
        <v>26</v>
      </c>
      <c r="C17" s="1">
        <v>289.89999999999998</v>
      </c>
      <c r="D17" s="1">
        <v>275.5</v>
      </c>
      <c r="E17" s="1">
        <v>316.5</v>
      </c>
      <c r="F17" s="1">
        <v>170</v>
      </c>
      <c r="G17" s="1">
        <v>71.8</v>
      </c>
      <c r="H17" s="1">
        <v>75.900000000000006</v>
      </c>
      <c r="I17" s="1">
        <v>84.7</v>
      </c>
      <c r="J17" s="1">
        <f t="shared" si="201"/>
        <v>105.80000000000001</v>
      </c>
      <c r="K17" s="1">
        <v>138.4</v>
      </c>
      <c r="L17" s="1">
        <v>130.1</v>
      </c>
      <c r="M17" s="1">
        <v>167.8</v>
      </c>
      <c r="S17" s="1">
        <v>569.57399999999996</v>
      </c>
      <c r="T17" s="1">
        <v>599.4</v>
      </c>
      <c r="U17" s="1">
        <v>820.4</v>
      </c>
      <c r="V17" s="1">
        <v>1084</v>
      </c>
      <c r="W17" s="1">
        <v>1051.9000000000001</v>
      </c>
      <c r="X17" s="1">
        <v>338.2</v>
      </c>
    </row>
    <row r="18" spans="1:235">
      <c r="B18" s="1" t="s">
        <v>23</v>
      </c>
      <c r="C18" s="1">
        <v>142.1</v>
      </c>
      <c r="D18" s="1">
        <v>167.7</v>
      </c>
      <c r="E18" s="1">
        <v>168.7</v>
      </c>
      <c r="F18" s="1">
        <v>143.9</v>
      </c>
      <c r="G18" s="1">
        <v>42</v>
      </c>
      <c r="H18" s="1">
        <v>88.9</v>
      </c>
      <c r="I18" s="1">
        <v>96.5</v>
      </c>
      <c r="J18" s="1">
        <f t="shared" si="201"/>
        <v>88.700000000000017</v>
      </c>
      <c r="K18" s="1">
        <v>63.1</v>
      </c>
      <c r="L18" s="1">
        <v>115.9</v>
      </c>
      <c r="M18" s="1">
        <v>116.6</v>
      </c>
      <c r="S18" s="1">
        <v>845.82500000000005</v>
      </c>
      <c r="T18" s="1">
        <v>574.70000000000005</v>
      </c>
      <c r="U18" s="1">
        <v>700</v>
      </c>
      <c r="V18" s="1">
        <v>701.1</v>
      </c>
      <c r="W18" s="1">
        <v>622.4</v>
      </c>
      <c r="X18" s="1">
        <v>316.10000000000002</v>
      </c>
    </row>
    <row r="19" spans="1:235" s="6" customFormat="1">
      <c r="B19" s="6" t="s">
        <v>24</v>
      </c>
      <c r="C19" s="6">
        <v>89.3</v>
      </c>
      <c r="D19" s="6">
        <v>110.2</v>
      </c>
      <c r="E19" s="6">
        <v>106.5</v>
      </c>
      <c r="F19" s="6">
        <v>82.3</v>
      </c>
      <c r="G19" s="6">
        <v>77.599999999999994</v>
      </c>
      <c r="H19" s="6">
        <v>76.2</v>
      </c>
      <c r="I19" s="6">
        <v>82.9</v>
      </c>
      <c r="J19" s="1">
        <f t="shared" si="201"/>
        <v>85.69999999999996</v>
      </c>
      <c r="K19" s="6">
        <v>75.7</v>
      </c>
      <c r="L19" s="6">
        <v>76</v>
      </c>
      <c r="M19" s="6">
        <v>35</v>
      </c>
      <c r="S19" s="6">
        <v>90.02</v>
      </c>
      <c r="T19" s="6">
        <v>118</v>
      </c>
      <c r="U19" s="6">
        <v>249.6</v>
      </c>
      <c r="V19" s="6">
        <v>356.5</v>
      </c>
      <c r="W19" s="6">
        <v>388.3</v>
      </c>
      <c r="X19" s="6">
        <v>322.39999999999998</v>
      </c>
    </row>
    <row r="20" spans="1:235">
      <c r="A20" s="19"/>
      <c r="B20" s="20" t="s">
        <v>25</v>
      </c>
      <c r="C20" s="19">
        <v>1321.7</v>
      </c>
      <c r="D20" s="19">
        <v>1340.9</v>
      </c>
      <c r="E20" s="19">
        <v>1418.6</v>
      </c>
      <c r="F20" s="19">
        <f>+W20-SUM(C20:E20)</f>
        <v>1426.4999999999995</v>
      </c>
      <c r="G20" s="19">
        <f>SUM(G15:G19)</f>
        <v>1160.8999999999999</v>
      </c>
      <c r="H20" s="19">
        <v>1272.9000000000001</v>
      </c>
      <c r="I20" s="19">
        <v>1516.1</v>
      </c>
      <c r="J20" s="19">
        <f t="shared" si="201"/>
        <v>1817.3999999999992</v>
      </c>
      <c r="K20" s="19">
        <f>SUM(K15:K19)</f>
        <v>1895.3</v>
      </c>
      <c r="L20" s="19">
        <f>SUM(L15:L19)</f>
        <v>2006.1</v>
      </c>
      <c r="M20" s="19">
        <f>SUM(M15:M19)</f>
        <v>2074.5</v>
      </c>
      <c r="N20" s="19">
        <v>2200</v>
      </c>
      <c r="O20" s="19"/>
      <c r="P20" s="19"/>
      <c r="Q20" s="19"/>
      <c r="R20" s="19"/>
      <c r="S20" s="19">
        <f t="shared" ref="S20:X20" si="202">+SUM(S15:S19)</f>
        <v>2699.1609999999996</v>
      </c>
      <c r="T20" s="19">
        <f t="shared" si="202"/>
        <v>2968.8999999999996</v>
      </c>
      <c r="U20" s="19">
        <f t="shared" si="202"/>
        <v>4462.4000000000005</v>
      </c>
      <c r="V20" s="19">
        <f t="shared" si="202"/>
        <v>5919.6</v>
      </c>
      <c r="W20" s="19">
        <f t="shared" si="202"/>
        <v>5507.7</v>
      </c>
      <c r="X20" s="19">
        <f t="shared" si="202"/>
        <v>5767.2999999999993</v>
      </c>
      <c r="Y20" s="19">
        <f>SUM(K20:N20)</f>
        <v>8175.9</v>
      </c>
      <c r="Z20" s="19">
        <f>+Y20*1.03</f>
        <v>8421.1769999999997</v>
      </c>
      <c r="AA20" s="19">
        <f t="shared" ref="AA20:AH20" si="203">+Z20*1.03</f>
        <v>8673.8123099999993</v>
      </c>
      <c r="AB20" s="19">
        <f t="shared" si="203"/>
        <v>8934.0266792999992</v>
      </c>
      <c r="AC20" s="19">
        <f t="shared" si="203"/>
        <v>9202.0474796789986</v>
      </c>
      <c r="AD20" s="19">
        <f t="shared" si="203"/>
        <v>9478.1089040693696</v>
      </c>
      <c r="AE20" s="19">
        <f t="shared" si="203"/>
        <v>9762.4521711914513</v>
      </c>
      <c r="AF20" s="19">
        <f t="shared" si="203"/>
        <v>10055.325736327195</v>
      </c>
      <c r="AG20" s="19">
        <f t="shared" si="203"/>
        <v>10356.98550841701</v>
      </c>
      <c r="AH20" s="19">
        <f t="shared" si="203"/>
        <v>10667.695073669522</v>
      </c>
    </row>
    <row r="21" spans="1:235" s="6" customFormat="1">
      <c r="B21" s="6" t="s">
        <v>3</v>
      </c>
      <c r="C21" s="6">
        <v>764.5</v>
      </c>
      <c r="D21" s="6">
        <v>819.8</v>
      </c>
      <c r="E21" s="6">
        <v>867.4</v>
      </c>
      <c r="F21" s="1">
        <f t="shared" ref="F21:F29" si="204">+W21-SUM(C21:E21)</f>
        <v>762.40000000000009</v>
      </c>
      <c r="G21" s="6">
        <v>633.1</v>
      </c>
      <c r="H21" s="6">
        <v>685.3</v>
      </c>
      <c r="I21" s="6">
        <v>1166.7</v>
      </c>
      <c r="J21" s="1">
        <f t="shared" ref="J21:J29" si="205">+X21-SUM(G21:I21)</f>
        <v>899.99999999999955</v>
      </c>
      <c r="K21" s="6">
        <v>942.9</v>
      </c>
      <c r="L21" s="6">
        <v>995.5</v>
      </c>
      <c r="M21" s="6">
        <v>1004.7</v>
      </c>
      <c r="N21" s="6">
        <f t="shared" ref="N21:N24" si="206">+N$20*(M21/M$20)</f>
        <v>1065.4808387563269</v>
      </c>
      <c r="U21" s="6">
        <v>2398.1999999999998</v>
      </c>
      <c r="V21" s="6">
        <v>2932.1</v>
      </c>
      <c r="W21" s="6">
        <v>3214.1</v>
      </c>
      <c r="X21" s="6">
        <v>3385.1</v>
      </c>
      <c r="Y21" s="1">
        <f t="shared" ref="Y21:Y29" si="207">SUM(K21:N21)</f>
        <v>4008.5808387563275</v>
      </c>
      <c r="Z21" s="6">
        <f t="shared" ref="Z21:AH21" si="208">+Z$20*(Y21/Y$20)</f>
        <v>4128.8382639190177</v>
      </c>
      <c r="AA21" s="6">
        <f t="shared" si="208"/>
        <v>4252.7034118365882</v>
      </c>
      <c r="AB21" s="6">
        <f t="shared" si="208"/>
        <v>4380.284514191686</v>
      </c>
      <c r="AC21" s="6">
        <f t="shared" si="208"/>
        <v>4511.6930496174364</v>
      </c>
      <c r="AD21" s="6">
        <f t="shared" si="208"/>
        <v>4647.0438411059595</v>
      </c>
      <c r="AE21" s="6">
        <f t="shared" si="208"/>
        <v>4786.4551563391387</v>
      </c>
      <c r="AF21" s="6">
        <f t="shared" si="208"/>
        <v>4930.0488110293136</v>
      </c>
      <c r="AG21" s="6">
        <f t="shared" si="208"/>
        <v>5077.9502753601928</v>
      </c>
      <c r="AH21" s="6">
        <f t="shared" si="208"/>
        <v>5230.2887836209993</v>
      </c>
    </row>
    <row r="22" spans="1:235" s="6" customFormat="1">
      <c r="B22" s="6" t="s">
        <v>28</v>
      </c>
      <c r="C22" s="6">
        <f>+C20-C21</f>
        <v>557.20000000000005</v>
      </c>
      <c r="D22" s="6">
        <f>+D20-D21</f>
        <v>521.10000000000014</v>
      </c>
      <c r="E22" s="6">
        <f>+E20-E21</f>
        <v>551.19999999999993</v>
      </c>
      <c r="F22" s="1">
        <f t="shared" si="204"/>
        <v>664.09999999999991</v>
      </c>
      <c r="G22" s="6">
        <f>+G20-G21</f>
        <v>527.79999999999984</v>
      </c>
      <c r="H22" s="6">
        <f>+H20-H21</f>
        <v>587.60000000000014</v>
      </c>
      <c r="I22" s="6">
        <f>+I20-I21</f>
        <v>349.39999999999986</v>
      </c>
      <c r="J22" s="1">
        <f t="shared" si="205"/>
        <v>917.39999999999941</v>
      </c>
      <c r="K22" s="6">
        <f>+K20-K21</f>
        <v>952.4</v>
      </c>
      <c r="L22" s="6">
        <f>+L20-L21</f>
        <v>1010.5999999999999</v>
      </c>
      <c r="M22" s="6">
        <f t="shared" ref="M22:N22" si="209">+M20-M21</f>
        <v>1069.8</v>
      </c>
      <c r="N22" s="6">
        <f t="shared" si="209"/>
        <v>1134.5191612436731</v>
      </c>
      <c r="U22" s="6">
        <f>+U20-U21</f>
        <v>2064.2000000000007</v>
      </c>
      <c r="V22" s="6">
        <f>+V20-V21</f>
        <v>2987.5000000000005</v>
      </c>
      <c r="W22" s="6">
        <f>+W20-W21</f>
        <v>2293.6</v>
      </c>
      <c r="X22" s="6">
        <f>+X20-X21</f>
        <v>2382.1999999999994</v>
      </c>
      <c r="Y22" s="1">
        <f t="shared" si="207"/>
        <v>4167.3191612436731</v>
      </c>
      <c r="Z22" s="6">
        <f t="shared" ref="Z22" si="210">+Z20-Z21</f>
        <v>4292.338736080982</v>
      </c>
      <c r="AA22" s="6">
        <f t="shared" ref="AA22" si="211">+AA20-AA21</f>
        <v>4421.1088981634111</v>
      </c>
      <c r="AB22" s="6">
        <f t="shared" ref="AB22" si="212">+AB20-AB21</f>
        <v>4553.7421651083132</v>
      </c>
      <c r="AC22" s="6">
        <f t="shared" ref="AC22" si="213">+AC20-AC21</f>
        <v>4690.3544300615622</v>
      </c>
      <c r="AD22" s="6">
        <f t="shared" ref="AD22" si="214">+AD20-AD21</f>
        <v>4831.0650629634101</v>
      </c>
      <c r="AE22" s="6">
        <f t="shared" ref="AE22" si="215">+AE20-AE21</f>
        <v>4975.9970148523125</v>
      </c>
      <c r="AF22" s="6">
        <f t="shared" ref="AF22" si="216">+AF20-AF21</f>
        <v>5125.2769252978815</v>
      </c>
      <c r="AG22" s="6">
        <f t="shared" ref="AG22" si="217">+AG20-AG21</f>
        <v>5279.0352330568176</v>
      </c>
      <c r="AH22" s="6">
        <f t="shared" ref="AH22" si="218">+AH20-AH21</f>
        <v>5437.4062900485224</v>
      </c>
    </row>
    <row r="23" spans="1:235">
      <c r="B23" s="1" t="s">
        <v>29</v>
      </c>
      <c r="C23" s="1">
        <v>480.7</v>
      </c>
      <c r="D23" s="1">
        <v>474.8</v>
      </c>
      <c r="E23" s="1">
        <v>481.1</v>
      </c>
      <c r="F23" s="1">
        <f t="shared" si="204"/>
        <v>459.60000000000014</v>
      </c>
      <c r="G23" s="1">
        <v>476.1</v>
      </c>
      <c r="H23" s="1">
        <v>486.7</v>
      </c>
      <c r="I23" s="1">
        <v>488.6</v>
      </c>
      <c r="J23" s="1">
        <f t="shared" si="205"/>
        <v>499</v>
      </c>
      <c r="K23" s="1">
        <v>507.7</v>
      </c>
      <c r="L23" s="6">
        <v>519</v>
      </c>
      <c r="M23" s="6">
        <v>512.5</v>
      </c>
      <c r="N23" s="6">
        <f t="shared" si="206"/>
        <v>543.50445890576043</v>
      </c>
      <c r="U23" s="1">
        <v>1424.2</v>
      </c>
      <c r="V23" s="1">
        <v>1784.3</v>
      </c>
      <c r="W23" s="1">
        <v>1896.2</v>
      </c>
      <c r="X23" s="1">
        <v>1950.4</v>
      </c>
      <c r="Y23" s="1">
        <f t="shared" si="207"/>
        <v>2082.7044589057605</v>
      </c>
      <c r="Z23" s="6">
        <f t="shared" ref="Z23:AH23" si="219">+Z$20*(Y23/Y$20)</f>
        <v>2145.1855926729336</v>
      </c>
      <c r="AA23" s="6">
        <f t="shared" si="219"/>
        <v>2209.5411604531214</v>
      </c>
      <c r="AB23" s="6">
        <f t="shared" si="219"/>
        <v>2275.827395266715</v>
      </c>
      <c r="AC23" s="6">
        <f t="shared" si="219"/>
        <v>2344.1022171247164</v>
      </c>
      <c r="AD23" s="6">
        <f t="shared" si="219"/>
        <v>2414.425283638458</v>
      </c>
      <c r="AE23" s="6">
        <f t="shared" si="219"/>
        <v>2486.8580421476117</v>
      </c>
      <c r="AF23" s="6">
        <f t="shared" si="219"/>
        <v>2561.4637834120404</v>
      </c>
      <c r="AG23" s="6">
        <f t="shared" si="219"/>
        <v>2638.3076969144013</v>
      </c>
      <c r="AH23" s="6">
        <f t="shared" si="219"/>
        <v>2717.4569278218337</v>
      </c>
    </row>
    <row r="24" spans="1:235">
      <c r="B24" s="1" t="s">
        <v>30</v>
      </c>
      <c r="C24" s="1">
        <v>199</v>
      </c>
      <c r="D24" s="1">
        <v>210</v>
      </c>
      <c r="E24" s="1">
        <v>213</v>
      </c>
      <c r="F24" s="1">
        <f t="shared" si="204"/>
        <v>212</v>
      </c>
      <c r="G24" s="1">
        <v>199.9</v>
      </c>
      <c r="H24" s="1">
        <v>197.3</v>
      </c>
      <c r="I24" s="1">
        <v>205.3</v>
      </c>
      <c r="J24" s="1">
        <f t="shared" si="205"/>
        <v>195.70000000000005</v>
      </c>
      <c r="K24" s="1">
        <v>186.4</v>
      </c>
      <c r="L24" s="6">
        <v>192.8</v>
      </c>
      <c r="M24" s="6">
        <v>189.9</v>
      </c>
      <c r="N24" s="6">
        <f t="shared" si="206"/>
        <v>201.38828633405643</v>
      </c>
      <c r="U24" s="1">
        <v>955.3</v>
      </c>
      <c r="V24" s="1">
        <v>843.6</v>
      </c>
      <c r="W24" s="1">
        <v>834</v>
      </c>
      <c r="X24" s="1">
        <v>798.2</v>
      </c>
      <c r="Y24" s="1">
        <f t="shared" si="207"/>
        <v>770.48828633405651</v>
      </c>
      <c r="Z24" s="6">
        <f t="shared" ref="Z24:AH24" si="220">+Z$20*(Y24/Y$20)</f>
        <v>793.60293492407823</v>
      </c>
      <c r="AA24" s="6">
        <f t="shared" si="220"/>
        <v>817.41102297180055</v>
      </c>
      <c r="AB24" s="6">
        <f t="shared" si="220"/>
        <v>841.93335366095448</v>
      </c>
      <c r="AC24" s="6">
        <f t="shared" si="220"/>
        <v>867.19135427078311</v>
      </c>
      <c r="AD24" s="6">
        <f t="shared" si="220"/>
        <v>893.20709489890669</v>
      </c>
      <c r="AE24" s="6">
        <f t="shared" si="220"/>
        <v>920.00330774587394</v>
      </c>
      <c r="AF24" s="6">
        <f t="shared" si="220"/>
        <v>947.60340697825018</v>
      </c>
      <c r="AG24" s="6">
        <f t="shared" si="220"/>
        <v>976.03150918759763</v>
      </c>
      <c r="AH24" s="6">
        <f t="shared" si="220"/>
        <v>1005.3124544632257</v>
      </c>
    </row>
    <row r="25" spans="1:235">
      <c r="B25" s="1" t="s">
        <v>31</v>
      </c>
      <c r="C25" s="1">
        <f>+C22-SUM(C23:C24)</f>
        <v>-122.5</v>
      </c>
      <c r="D25" s="1">
        <f>+D22-SUM(D23:D24)</f>
        <v>-163.69999999999982</v>
      </c>
      <c r="E25" s="1">
        <f>+E22-SUM(E23:E24)</f>
        <v>-142.90000000000009</v>
      </c>
      <c r="F25" s="1">
        <f t="shared" si="204"/>
        <v>-7.5</v>
      </c>
      <c r="G25" s="1">
        <f>+G22-SUM(G23:G24)</f>
        <v>-148.20000000000016</v>
      </c>
      <c r="H25" s="1">
        <f>+H22-SUM(H23:H24)</f>
        <v>-96.399999999999864</v>
      </c>
      <c r="I25" s="1">
        <f>+I22-SUM(I23:I24)</f>
        <v>-344.50000000000023</v>
      </c>
      <c r="J25" s="1">
        <f t="shared" si="205"/>
        <v>222.69999999999925</v>
      </c>
      <c r="K25" s="1">
        <f>+K22-SUM(K23:K24)</f>
        <v>258.29999999999995</v>
      </c>
      <c r="L25" s="1">
        <f t="shared" ref="L25:N25" si="221">+L22-SUM(L23:L24)</f>
        <v>298.79999999999995</v>
      </c>
      <c r="M25" s="1">
        <f t="shared" si="221"/>
        <v>367.4</v>
      </c>
      <c r="N25" s="1">
        <f t="shared" si="221"/>
        <v>389.62641600385632</v>
      </c>
      <c r="U25" s="1">
        <f>+U22-SUM(U23:U24)</f>
        <v>-315.29999999999927</v>
      </c>
      <c r="V25" s="1">
        <f>+V22-SUM(V23:V24)</f>
        <v>359.60000000000036</v>
      </c>
      <c r="W25" s="1">
        <f>+W22-SUM(W23:W24)</f>
        <v>-436.59999999999991</v>
      </c>
      <c r="X25" s="1">
        <f>+X22-SUM(X23:X24)</f>
        <v>-366.400000000001</v>
      </c>
      <c r="Y25" s="1">
        <f t="shared" si="207"/>
        <v>1314.1264160038563</v>
      </c>
      <c r="Z25" s="1">
        <f t="shared" ref="Z25" si="222">+Z22-SUM(Z23:Z24)</f>
        <v>1353.55020848397</v>
      </c>
      <c r="AA25" s="1">
        <f t="shared" ref="AA25" si="223">+AA22-SUM(AA23:AA24)</f>
        <v>1394.1567147384894</v>
      </c>
      <c r="AB25" s="1">
        <f t="shared" ref="AB25" si="224">+AB22-SUM(AB23:AB24)</f>
        <v>1435.9814161806435</v>
      </c>
      <c r="AC25" s="1">
        <f t="shared" ref="AC25" si="225">+AC22-SUM(AC23:AC24)</f>
        <v>1479.0608586660628</v>
      </c>
      <c r="AD25" s="1">
        <f t="shared" ref="AD25" si="226">+AD22-SUM(AD23:AD24)</f>
        <v>1523.4326844260454</v>
      </c>
      <c r="AE25" s="1">
        <f t="shared" ref="AE25" si="227">+AE22-SUM(AE23:AE24)</f>
        <v>1569.135664958827</v>
      </c>
      <c r="AF25" s="1">
        <f t="shared" ref="AF25" si="228">+AF22-SUM(AF23:AF24)</f>
        <v>1616.2097349075912</v>
      </c>
      <c r="AG25" s="1">
        <f t="shared" ref="AG25" si="229">+AG22-SUM(AG23:AG24)</f>
        <v>1664.6960269548185</v>
      </c>
      <c r="AH25" s="1">
        <f t="shared" ref="AH25" si="230">+AH22-SUM(AH23:AH24)</f>
        <v>1714.6369077634631</v>
      </c>
    </row>
    <row r="26" spans="1:235">
      <c r="B26" s="1" t="s">
        <v>32</v>
      </c>
      <c r="C26" s="1">
        <v>-49.9</v>
      </c>
      <c r="D26" s="1">
        <v>-45.9</v>
      </c>
      <c r="E26" s="1">
        <v>-41.2</v>
      </c>
      <c r="F26" s="1">
        <f t="shared" si="204"/>
        <v>-54</v>
      </c>
      <c r="G26" s="1">
        <v>-45.5</v>
      </c>
      <c r="H26" s="1">
        <v>-45.8</v>
      </c>
      <c r="I26" s="1">
        <v>-47.7</v>
      </c>
      <c r="J26" s="1">
        <f t="shared" si="205"/>
        <v>-35.400000000000006</v>
      </c>
      <c r="K26" s="1">
        <f>+-48.7-6</f>
        <v>-54.7</v>
      </c>
      <c r="L26" s="1">
        <f>+-51.9-4.5</f>
        <v>-56.4</v>
      </c>
      <c r="M26" s="1">
        <f>+-51.2+1908.8</f>
        <v>1857.6</v>
      </c>
      <c r="N26" s="1">
        <f t="shared" ref="N26" si="231">+N25*(M26/M25)</f>
        <v>1969.9783080260304</v>
      </c>
      <c r="U26" s="1">
        <v>-135.80000000000001</v>
      </c>
      <c r="V26" s="1">
        <v>-152.9</v>
      </c>
      <c r="W26" s="1">
        <f>+-191</f>
        <v>-191</v>
      </c>
      <c r="X26" s="1">
        <f>+-189.4+15</f>
        <v>-174.4</v>
      </c>
      <c r="Y26" s="1">
        <f t="shared" si="207"/>
        <v>3716.4783080260304</v>
      </c>
      <c r="Z26" s="1">
        <f t="shared" ref="Z26" si="232">+Z25*(Y26/Y25)</f>
        <v>3827.9726572668055</v>
      </c>
      <c r="AA26" s="1">
        <f t="shared" ref="AA26" si="233">+AA25*(Z26/Z25)</f>
        <v>3942.8118369848107</v>
      </c>
      <c r="AB26" s="1">
        <f t="shared" ref="AB26" si="234">+AB25*(AA26/AA25)</f>
        <v>4061.0961920943532</v>
      </c>
      <c r="AC26" s="1">
        <f t="shared" ref="AC26" si="235">+AC25*(AB26/AB25)</f>
        <v>4182.929077857184</v>
      </c>
      <c r="AD26" s="1">
        <f t="shared" ref="AD26" si="236">+AD25*(AC26/AC25)</f>
        <v>4308.4169501929009</v>
      </c>
      <c r="AE26" s="1">
        <f t="shared" ref="AE26" si="237">+AE25*(AD26/AD25)</f>
        <v>4437.6694586986887</v>
      </c>
      <c r="AF26" s="1">
        <f t="shared" ref="AF26" si="238">+AF25*(AE26/AE25)</f>
        <v>4570.7995424596475</v>
      </c>
      <c r="AG26" s="1">
        <f t="shared" ref="AG26" si="239">+AG25*(AF26/AF25)</f>
        <v>4707.9235287334359</v>
      </c>
      <c r="AH26" s="1">
        <f t="shared" ref="AH26" si="240">+AH25*(AG26/AG25)</f>
        <v>4849.1612345954391</v>
      </c>
    </row>
    <row r="27" spans="1:235">
      <c r="B27" s="1" t="s">
        <v>33</v>
      </c>
      <c r="C27" s="1">
        <f>+C25+C26</f>
        <v>-172.4</v>
      </c>
      <c r="D27" s="1">
        <f>+D25+D26</f>
        <v>-209.59999999999982</v>
      </c>
      <c r="E27" s="1">
        <f>+E25+E26</f>
        <v>-184.10000000000008</v>
      </c>
      <c r="F27" s="1">
        <f t="shared" si="204"/>
        <v>-61.5</v>
      </c>
      <c r="G27" s="1">
        <f>+G25+G26</f>
        <v>-193.70000000000016</v>
      </c>
      <c r="H27" s="1">
        <f>+H25+H26</f>
        <v>-142.19999999999987</v>
      </c>
      <c r="I27" s="1">
        <f>+I25+I26</f>
        <v>-392.20000000000022</v>
      </c>
      <c r="J27" s="1">
        <f t="shared" si="205"/>
        <v>187.29999999999927</v>
      </c>
      <c r="K27" s="1">
        <f>+K25+K26</f>
        <v>203.59999999999997</v>
      </c>
      <c r="L27" s="1">
        <f>+L25+L26</f>
        <v>242.39999999999995</v>
      </c>
      <c r="M27" s="1">
        <f t="shared" ref="M27:N27" si="241">+M25+M26</f>
        <v>2225</v>
      </c>
      <c r="N27" s="1">
        <f t="shared" si="241"/>
        <v>2359.6047240298867</v>
      </c>
      <c r="U27" s="1">
        <f>+U25+U26</f>
        <v>-451.09999999999928</v>
      </c>
      <c r="V27" s="1">
        <f>+V25+V26</f>
        <v>206.70000000000036</v>
      </c>
      <c r="W27" s="1">
        <f>+W25+W26</f>
        <v>-627.59999999999991</v>
      </c>
      <c r="X27" s="1">
        <f>+X25+X26</f>
        <v>-540.80000000000098</v>
      </c>
      <c r="Y27" s="1">
        <f t="shared" si="207"/>
        <v>5030.6047240298867</v>
      </c>
      <c r="Z27" s="1">
        <f t="shared" ref="Z27" si="242">+Z25+Z26</f>
        <v>5181.522865750776</v>
      </c>
      <c r="AA27" s="1">
        <f t="shared" ref="AA27" si="243">+AA25+AA26</f>
        <v>5336.9685517233002</v>
      </c>
      <c r="AB27" s="1">
        <f t="shared" ref="AB27" si="244">+AB25+AB26</f>
        <v>5497.0776082749962</v>
      </c>
      <c r="AC27" s="1">
        <f t="shared" ref="AC27" si="245">+AC25+AC26</f>
        <v>5661.9899365232468</v>
      </c>
      <c r="AD27" s="1">
        <f t="shared" ref="AD27" si="246">+AD25+AD26</f>
        <v>5831.8496346189459</v>
      </c>
      <c r="AE27" s="1">
        <f t="shared" ref="AE27" si="247">+AE25+AE26</f>
        <v>6006.8051236575157</v>
      </c>
      <c r="AF27" s="1">
        <f t="shared" ref="AF27" si="248">+AF25+AF26</f>
        <v>6187.0092773672386</v>
      </c>
      <c r="AG27" s="1">
        <f t="shared" ref="AG27" si="249">+AG25+AG26</f>
        <v>6372.619555688254</v>
      </c>
      <c r="AH27" s="1">
        <f t="shared" ref="AH27" si="250">+AH25+AH26</f>
        <v>6563.7981423589026</v>
      </c>
    </row>
    <row r="28" spans="1:235">
      <c r="B28" s="1" t="s">
        <v>34</v>
      </c>
      <c r="C28" s="1">
        <v>-63.4</v>
      </c>
      <c r="D28" s="1">
        <v>-44.1</v>
      </c>
      <c r="E28" s="1">
        <v>-23.2</v>
      </c>
      <c r="F28" s="1">
        <f t="shared" si="204"/>
        <v>305.39999999999998</v>
      </c>
      <c r="G28" s="1">
        <v>17.8</v>
      </c>
      <c r="H28" s="1">
        <v>47.1</v>
      </c>
      <c r="I28" s="1">
        <v>-74.2</v>
      </c>
      <c r="J28" s="1">
        <f t="shared" si="205"/>
        <v>-0.40000000000000213</v>
      </c>
      <c r="K28" s="1">
        <v>38</v>
      </c>
      <c r="L28" s="1">
        <v>38.9</v>
      </c>
      <c r="M28" s="1">
        <v>314.10000000000002</v>
      </c>
      <c r="N28" s="1">
        <f t="shared" ref="N28" si="251">+N27*(M28/M27)</f>
        <v>333.10195227765729</v>
      </c>
      <c r="U28" s="1">
        <v>-62.5</v>
      </c>
      <c r="V28" s="1">
        <v>248.6</v>
      </c>
      <c r="W28" s="1">
        <v>174.7</v>
      </c>
      <c r="X28" s="1">
        <v>-9.6999999999999993</v>
      </c>
      <c r="Y28" s="1">
        <f t="shared" si="207"/>
        <v>724.10195227765735</v>
      </c>
      <c r="Z28" s="1">
        <f t="shared" ref="Z28" si="252">+Z27*(Y28/Y27)</f>
        <v>745.82501084598596</v>
      </c>
      <c r="AA28" s="1">
        <f t="shared" ref="AA28" si="253">+AA27*(Z28/Z27)</f>
        <v>768.19976117136571</v>
      </c>
      <c r="AB28" s="1">
        <f t="shared" ref="AB28" si="254">+AB27*(AA28/AA27)</f>
        <v>791.24575400650633</v>
      </c>
      <c r="AC28" s="1">
        <f t="shared" ref="AC28" si="255">+AC27*(AB28/AB27)</f>
        <v>814.98312662670151</v>
      </c>
      <c r="AD28" s="1">
        <f t="shared" ref="AD28" si="256">+AD27*(AC28/AC27)</f>
        <v>839.43262042550282</v>
      </c>
      <c r="AE28" s="1">
        <f t="shared" ref="AE28" si="257">+AE27*(AD28/AD27)</f>
        <v>864.6155990382681</v>
      </c>
      <c r="AF28" s="1">
        <f t="shared" ref="AF28" si="258">+AF27*(AE28/AE27)</f>
        <v>890.5540670094158</v>
      </c>
      <c r="AG28" s="1">
        <f t="shared" ref="AG28" si="259">+AG27*(AF28/AF27)</f>
        <v>917.27068901969801</v>
      </c>
      <c r="AH28" s="1">
        <f t="shared" ref="AH28" si="260">+AH27*(AG28/AG27)</f>
        <v>944.7888096902891</v>
      </c>
    </row>
    <row r="29" spans="1:235">
      <c r="B29" s="1" t="s">
        <v>35</v>
      </c>
      <c r="C29" s="1">
        <f>+C27-C28</f>
        <v>-109</v>
      </c>
      <c r="D29" s="1">
        <f>+D27-D28</f>
        <v>-165.49999999999983</v>
      </c>
      <c r="E29" s="1">
        <f>+E27-E28</f>
        <v>-160.90000000000009</v>
      </c>
      <c r="F29" s="1">
        <f t="shared" si="204"/>
        <v>-366.90000000000003</v>
      </c>
      <c r="G29" s="1">
        <f>+G27-G28</f>
        <v>-211.50000000000017</v>
      </c>
      <c r="H29" s="1">
        <f>+H27-H28</f>
        <v>-189.29999999999987</v>
      </c>
      <c r="I29" s="1">
        <f>+I27-I28</f>
        <v>-318.00000000000023</v>
      </c>
      <c r="J29" s="1">
        <f t="shared" si="205"/>
        <v>187.69999999999936</v>
      </c>
      <c r="K29" s="1">
        <f>+K27-K28</f>
        <v>165.59999999999997</v>
      </c>
      <c r="L29" s="1">
        <f>+L27-L28</f>
        <v>203.49999999999994</v>
      </c>
      <c r="M29" s="1">
        <f t="shared" ref="M29:N29" si="261">+M27-M28</f>
        <v>1910.9</v>
      </c>
      <c r="N29" s="1">
        <f t="shared" si="261"/>
        <v>2026.5027717522294</v>
      </c>
      <c r="U29" s="1">
        <f>+U27-U28</f>
        <v>-388.59999999999928</v>
      </c>
      <c r="V29" s="1">
        <f>+V27-V28</f>
        <v>-41.899999999999636</v>
      </c>
      <c r="W29" s="1">
        <f>+W27-W28</f>
        <v>-802.3</v>
      </c>
      <c r="X29" s="1">
        <f>+X27-X28</f>
        <v>-531.10000000000093</v>
      </c>
      <c r="Y29" s="1">
        <f t="shared" si="207"/>
        <v>4306.5027717522298</v>
      </c>
      <c r="Z29" s="1">
        <f t="shared" ref="Z29" si="262">+Z27-Z28</f>
        <v>4435.6978549047899</v>
      </c>
      <c r="AA29" s="1">
        <f t="shared" ref="AA29" si="263">+AA27-AA28</f>
        <v>4568.7687905519342</v>
      </c>
      <c r="AB29" s="1">
        <f t="shared" ref="AB29" si="264">+AB27-AB28</f>
        <v>4705.8318542684901</v>
      </c>
      <c r="AC29" s="1">
        <f t="shared" ref="AC29" si="265">+AC27-AC28</f>
        <v>4847.0068098965457</v>
      </c>
      <c r="AD29" s="1">
        <f t="shared" ref="AD29" si="266">+AD27-AD28</f>
        <v>4992.4170141934428</v>
      </c>
      <c r="AE29" s="1">
        <f t="shared" ref="AE29" si="267">+AE27-AE28</f>
        <v>5142.1895246192471</v>
      </c>
      <c r="AF29" s="1">
        <f t="shared" ref="AF29" si="268">+AF27-AF28</f>
        <v>5296.4552103578226</v>
      </c>
      <c r="AG29" s="1">
        <f t="shared" ref="AG29" si="269">+AG27-AG28</f>
        <v>5455.3488666685562</v>
      </c>
      <c r="AH29" s="1">
        <f t="shared" ref="AH29" si="270">+AH27-AH28</f>
        <v>5619.0093326686138</v>
      </c>
      <c r="AI29" s="1">
        <f>+AH29*(1+$AJ$33)</f>
        <v>5675.1994259952999</v>
      </c>
      <c r="AJ29" s="1">
        <f t="shared" ref="AJ29:CU29" si="271">+AI29*(1+$AJ$33)</f>
        <v>5731.9514202552527</v>
      </c>
      <c r="AK29" s="1">
        <f t="shared" si="271"/>
        <v>5789.2709344578052</v>
      </c>
      <c r="AL29" s="1">
        <f t="shared" si="271"/>
        <v>5847.1636438023834</v>
      </c>
      <c r="AM29" s="1">
        <f t="shared" si="271"/>
        <v>5905.6352802404072</v>
      </c>
      <c r="AN29" s="1">
        <f t="shared" si="271"/>
        <v>5964.6916330428112</v>
      </c>
      <c r="AO29" s="1">
        <f t="shared" si="271"/>
        <v>6024.3385493732394</v>
      </c>
      <c r="AP29" s="1">
        <f t="shared" si="271"/>
        <v>6084.581934866972</v>
      </c>
      <c r="AQ29" s="1">
        <f t="shared" si="271"/>
        <v>6145.4277542156415</v>
      </c>
      <c r="AR29" s="1">
        <f t="shared" si="271"/>
        <v>6206.8820317577984</v>
      </c>
      <c r="AS29" s="1">
        <f t="shared" si="271"/>
        <v>6268.9508520753761</v>
      </c>
      <c r="AT29" s="1">
        <f t="shared" si="271"/>
        <v>6331.6403605961295</v>
      </c>
      <c r="AU29" s="1">
        <f t="shared" si="271"/>
        <v>6394.9567642020911</v>
      </c>
      <c r="AV29" s="1">
        <f t="shared" si="271"/>
        <v>6458.9063318441122</v>
      </c>
      <c r="AW29" s="1">
        <f t="shared" si="271"/>
        <v>6523.495395162553</v>
      </c>
      <c r="AX29" s="1">
        <f t="shared" si="271"/>
        <v>6588.7303491141784</v>
      </c>
      <c r="AY29" s="1">
        <f t="shared" si="271"/>
        <v>6654.6176526053205</v>
      </c>
      <c r="AZ29" s="1">
        <f t="shared" si="271"/>
        <v>6721.1638291313739</v>
      </c>
      <c r="BA29" s="1">
        <f t="shared" si="271"/>
        <v>6788.3754674226875</v>
      </c>
      <c r="BB29" s="1">
        <f t="shared" si="271"/>
        <v>6856.2592220969145</v>
      </c>
      <c r="BC29" s="1">
        <f t="shared" si="271"/>
        <v>6924.8218143178838</v>
      </c>
      <c r="BD29" s="1">
        <f t="shared" si="271"/>
        <v>6994.0700324610625</v>
      </c>
      <c r="BE29" s="1">
        <f t="shared" si="271"/>
        <v>7064.0107327856731</v>
      </c>
      <c r="BF29" s="1">
        <f t="shared" si="271"/>
        <v>7134.6508401135297</v>
      </c>
      <c r="BG29" s="1">
        <f t="shared" si="271"/>
        <v>7205.9973485146647</v>
      </c>
      <c r="BH29" s="1">
        <f t="shared" si="271"/>
        <v>7278.0573219998114</v>
      </c>
      <c r="BI29" s="1">
        <f t="shared" si="271"/>
        <v>7350.83789521981</v>
      </c>
      <c r="BJ29" s="1">
        <f t="shared" si="271"/>
        <v>7424.3462741720077</v>
      </c>
      <c r="BK29" s="1">
        <f t="shared" si="271"/>
        <v>7498.5897369137283</v>
      </c>
      <c r="BL29" s="1">
        <f t="shared" si="271"/>
        <v>7573.5756342828654</v>
      </c>
      <c r="BM29" s="1">
        <f t="shared" si="271"/>
        <v>7649.311390625694</v>
      </c>
      <c r="BN29" s="1">
        <f t="shared" si="271"/>
        <v>7725.8045045319514</v>
      </c>
      <c r="BO29" s="1">
        <f t="shared" si="271"/>
        <v>7803.0625495772711</v>
      </c>
      <c r="BP29" s="1">
        <f t="shared" si="271"/>
        <v>7881.0931750730442</v>
      </c>
      <c r="BQ29" s="1">
        <f t="shared" si="271"/>
        <v>7959.9041068237748</v>
      </c>
      <c r="BR29" s="1">
        <f t="shared" si="271"/>
        <v>8039.5031478920127</v>
      </c>
      <c r="BS29" s="1">
        <f t="shared" si="271"/>
        <v>8119.8981793709327</v>
      </c>
      <c r="BT29" s="1">
        <f t="shared" si="271"/>
        <v>8201.0971611646419</v>
      </c>
      <c r="BU29" s="1">
        <f t="shared" si="271"/>
        <v>8283.1081327762877</v>
      </c>
      <c r="BV29" s="1">
        <f t="shared" si="271"/>
        <v>8365.9392141040498</v>
      </c>
      <c r="BW29" s="1">
        <f t="shared" si="271"/>
        <v>8449.5986062450902</v>
      </c>
      <c r="BX29" s="1">
        <f t="shared" si="271"/>
        <v>8534.0945923075415</v>
      </c>
      <c r="BY29" s="1">
        <f t="shared" si="271"/>
        <v>8619.4355382306167</v>
      </c>
      <c r="BZ29" s="1">
        <f t="shared" si="271"/>
        <v>8705.6298936129224</v>
      </c>
      <c r="CA29" s="1">
        <f t="shared" si="271"/>
        <v>8792.6861925490521</v>
      </c>
      <c r="CB29" s="1">
        <f t="shared" si="271"/>
        <v>8880.6130544745429</v>
      </c>
      <c r="CC29" s="1">
        <f t="shared" si="271"/>
        <v>8969.4191850192892</v>
      </c>
      <c r="CD29" s="1">
        <f t="shared" si="271"/>
        <v>9059.1133768694817</v>
      </c>
      <c r="CE29" s="1">
        <f t="shared" si="271"/>
        <v>9149.7045106381775</v>
      </c>
      <c r="CF29" s="1">
        <f t="shared" si="271"/>
        <v>9241.2015557445593</v>
      </c>
      <c r="CG29" s="1">
        <f t="shared" si="271"/>
        <v>9333.6135713020049</v>
      </c>
      <c r="CH29" s="1">
        <f t="shared" si="271"/>
        <v>9426.9497070150246</v>
      </c>
      <c r="CI29" s="1">
        <f t="shared" si="271"/>
        <v>9521.2192040851751</v>
      </c>
      <c r="CJ29" s="1">
        <f t="shared" si="271"/>
        <v>9616.4313961260268</v>
      </c>
      <c r="CK29" s="1">
        <f t="shared" si="271"/>
        <v>9712.5957100872874</v>
      </c>
      <c r="CL29" s="1">
        <f t="shared" si="271"/>
        <v>9809.7216671881597</v>
      </c>
      <c r="CM29" s="1">
        <f t="shared" si="271"/>
        <v>9907.8188838600418</v>
      </c>
      <c r="CN29" s="1">
        <f t="shared" si="271"/>
        <v>10006.897072698643</v>
      </c>
      <c r="CO29" s="1">
        <f t="shared" si="271"/>
        <v>10106.966043425629</v>
      </c>
      <c r="CP29" s="1">
        <f t="shared" si="271"/>
        <v>10208.035703859885</v>
      </c>
      <c r="CQ29" s="1">
        <f t="shared" si="271"/>
        <v>10310.116060898485</v>
      </c>
      <c r="CR29" s="1">
        <f t="shared" si="271"/>
        <v>10413.21722150747</v>
      </c>
      <c r="CS29" s="1">
        <f t="shared" si="271"/>
        <v>10517.349393722545</v>
      </c>
      <c r="CT29" s="1">
        <f t="shared" si="271"/>
        <v>10622.52288765977</v>
      </c>
      <c r="CU29" s="1">
        <f t="shared" si="271"/>
        <v>10728.748116536368</v>
      </c>
      <c r="CV29" s="1">
        <f t="shared" ref="CV29:FE29" si="272">+CU29*(1+$AJ$33)</f>
        <v>10836.035597701732</v>
      </c>
      <c r="CW29" s="1">
        <f t="shared" si="272"/>
        <v>10944.39595367875</v>
      </c>
      <c r="CX29" s="1">
        <f t="shared" si="272"/>
        <v>11053.839913215537</v>
      </c>
      <c r="CY29" s="1">
        <f t="shared" si="272"/>
        <v>11164.378312347693</v>
      </c>
      <c r="CZ29" s="1">
        <f t="shared" si="272"/>
        <v>11276.022095471169</v>
      </c>
      <c r="DA29" s="1">
        <f t="shared" si="272"/>
        <v>11388.782316425881</v>
      </c>
      <c r="DB29" s="1">
        <f t="shared" si="272"/>
        <v>11502.67013959014</v>
      </c>
      <c r="DC29" s="1">
        <f t="shared" si="272"/>
        <v>11617.696840986042</v>
      </c>
      <c r="DD29" s="1">
        <f t="shared" si="272"/>
        <v>11733.873809395902</v>
      </c>
      <c r="DE29" s="1">
        <f t="shared" si="272"/>
        <v>11851.21254748986</v>
      </c>
      <c r="DF29" s="1">
        <f t="shared" si="272"/>
        <v>11969.72467296476</v>
      </c>
      <c r="DG29" s="1">
        <f t="shared" si="272"/>
        <v>12089.421919694407</v>
      </c>
      <c r="DH29" s="1">
        <f t="shared" si="272"/>
        <v>12210.31613889135</v>
      </c>
      <c r="DI29" s="1">
        <f t="shared" si="272"/>
        <v>12332.419300280264</v>
      </c>
      <c r="DJ29" s="1">
        <f t="shared" si="272"/>
        <v>12455.743493283067</v>
      </c>
      <c r="DK29" s="1">
        <f t="shared" si="272"/>
        <v>12580.300928215898</v>
      </c>
      <c r="DL29" s="1">
        <f t="shared" si="272"/>
        <v>12706.103937498057</v>
      </c>
      <c r="DM29" s="1">
        <f t="shared" si="272"/>
        <v>12833.164976873039</v>
      </c>
      <c r="DN29" s="1">
        <f t="shared" si="272"/>
        <v>12961.496626641769</v>
      </c>
      <c r="DO29" s="1">
        <f t="shared" si="272"/>
        <v>13091.111592908186</v>
      </c>
      <c r="DP29" s="1">
        <f t="shared" si="272"/>
        <v>13222.022708837269</v>
      </c>
      <c r="DQ29" s="1">
        <f t="shared" si="272"/>
        <v>13354.242935925642</v>
      </c>
      <c r="DR29" s="1">
        <f t="shared" si="272"/>
        <v>13487.785365284899</v>
      </c>
      <c r="DS29" s="1">
        <f t="shared" si="272"/>
        <v>13622.663218937749</v>
      </c>
      <c r="DT29" s="1">
        <f t="shared" si="272"/>
        <v>13758.889851127127</v>
      </c>
      <c r="DU29" s="1">
        <f t="shared" si="272"/>
        <v>13896.478749638398</v>
      </c>
      <c r="DV29" s="1">
        <f t="shared" si="272"/>
        <v>14035.443537134783</v>
      </c>
      <c r="DW29" s="1">
        <f t="shared" si="272"/>
        <v>14175.79797250613</v>
      </c>
      <c r="DX29" s="1">
        <f t="shared" si="272"/>
        <v>14317.555952231192</v>
      </c>
      <c r="DY29" s="1">
        <f t="shared" si="272"/>
        <v>14460.731511753504</v>
      </c>
      <c r="DZ29" s="1">
        <f t="shared" si="272"/>
        <v>14605.338826871039</v>
      </c>
      <c r="EA29" s="1">
        <f t="shared" si="272"/>
        <v>14751.392215139749</v>
      </c>
      <c r="EB29" s="1">
        <f t="shared" si="272"/>
        <v>14898.906137291147</v>
      </c>
      <c r="EC29" s="1">
        <f t="shared" si="272"/>
        <v>15047.895198664059</v>
      </c>
      <c r="ED29" s="1">
        <f t="shared" si="272"/>
        <v>15198.374150650699</v>
      </c>
      <c r="EE29" s="1">
        <f t="shared" si="272"/>
        <v>15350.357892157206</v>
      </c>
      <c r="EF29" s="1">
        <f t="shared" si="272"/>
        <v>15503.861471078779</v>
      </c>
      <c r="EG29" s="1">
        <f t="shared" si="272"/>
        <v>15658.900085789566</v>
      </c>
      <c r="EH29" s="1">
        <f t="shared" si="272"/>
        <v>15815.489086647462</v>
      </c>
      <c r="EI29" s="1">
        <f t="shared" si="272"/>
        <v>15973.643977513937</v>
      </c>
      <c r="EJ29" s="1">
        <f t="shared" si="272"/>
        <v>16133.380417289076</v>
      </c>
      <c r="EK29" s="1">
        <f t="shared" si="272"/>
        <v>16294.714221461967</v>
      </c>
      <c r="EL29" s="1">
        <f t="shared" si="272"/>
        <v>16457.661363676587</v>
      </c>
      <c r="EM29" s="1">
        <f t="shared" si="272"/>
        <v>16622.237977313354</v>
      </c>
      <c r="EN29" s="1">
        <f t="shared" si="272"/>
        <v>16788.460357086489</v>
      </c>
      <c r="EO29" s="1">
        <f t="shared" si="272"/>
        <v>16956.344960657356</v>
      </c>
      <c r="EP29" s="1">
        <f t="shared" si="272"/>
        <v>17125.908410263928</v>
      </c>
      <c r="EQ29" s="1">
        <f t="shared" si="272"/>
        <v>17297.167494366568</v>
      </c>
      <c r="ER29" s="1">
        <f t="shared" si="272"/>
        <v>17470.139169310234</v>
      </c>
      <c r="ES29" s="1">
        <f t="shared" si="272"/>
        <v>17644.840561003337</v>
      </c>
      <c r="ET29" s="1">
        <f t="shared" si="272"/>
        <v>17821.288966613371</v>
      </c>
      <c r="EU29" s="1">
        <f t="shared" si="272"/>
        <v>17999.501856279505</v>
      </c>
      <c r="EV29" s="1">
        <f t="shared" si="272"/>
        <v>18179.496874842302</v>
      </c>
      <c r="EW29" s="1">
        <f t="shared" si="272"/>
        <v>18361.291843590723</v>
      </c>
      <c r="EX29" s="1">
        <f t="shared" si="272"/>
        <v>18544.904762026632</v>
      </c>
      <c r="EY29" s="1">
        <f t="shared" si="272"/>
        <v>18730.353809646898</v>
      </c>
      <c r="EZ29" s="1">
        <f t="shared" si="272"/>
        <v>18917.657347743367</v>
      </c>
      <c r="FA29" s="1">
        <f t="shared" si="272"/>
        <v>19106.833921220801</v>
      </c>
      <c r="FB29" s="1">
        <f t="shared" si="272"/>
        <v>19297.902260433009</v>
      </c>
      <c r="FC29" s="1">
        <f t="shared" si="272"/>
        <v>19490.881283037339</v>
      </c>
      <c r="FD29" s="1">
        <f t="shared" si="272"/>
        <v>19685.790095867713</v>
      </c>
      <c r="FE29" s="1">
        <f t="shared" si="272"/>
        <v>19882.647996826388</v>
      </c>
      <c r="FF29" s="1">
        <f t="shared" ref="FF29:HQ29" si="273">+FE29*(1+$AJ$33)</f>
        <v>20081.474476794654</v>
      </c>
      <c r="FG29" s="1">
        <f t="shared" si="273"/>
        <v>20282.289221562602</v>
      </c>
      <c r="FH29" s="1">
        <f t="shared" si="273"/>
        <v>20485.112113778228</v>
      </c>
      <c r="FI29" s="1">
        <f t="shared" si="273"/>
        <v>20689.963234916009</v>
      </c>
      <c r="FJ29" s="1">
        <f t="shared" si="273"/>
        <v>20896.862867265168</v>
      </c>
      <c r="FK29" s="1">
        <f t="shared" si="273"/>
        <v>21105.831495937819</v>
      </c>
      <c r="FL29" s="1">
        <f t="shared" si="273"/>
        <v>21316.889810897195</v>
      </c>
      <c r="FM29" s="1">
        <f t="shared" si="273"/>
        <v>21530.058709006167</v>
      </c>
      <c r="FN29" s="1">
        <f t="shared" si="273"/>
        <v>21745.359296096231</v>
      </c>
      <c r="FO29" s="1">
        <f t="shared" si="273"/>
        <v>21962.812889057193</v>
      </c>
      <c r="FP29" s="1">
        <f t="shared" si="273"/>
        <v>22182.441017947767</v>
      </c>
      <c r="FQ29" s="1">
        <f t="shared" si="273"/>
        <v>22404.265428127244</v>
      </c>
      <c r="FR29" s="1">
        <f t="shared" si="273"/>
        <v>22628.308082408515</v>
      </c>
      <c r="FS29" s="1">
        <f t="shared" si="273"/>
        <v>22854.591163232602</v>
      </c>
      <c r="FT29" s="1">
        <f t="shared" si="273"/>
        <v>23083.137074864928</v>
      </c>
      <c r="FU29" s="1">
        <f t="shared" si="273"/>
        <v>23313.968445613576</v>
      </c>
      <c r="FV29" s="1">
        <f t="shared" si="273"/>
        <v>23547.108130069711</v>
      </c>
      <c r="FW29" s="1">
        <f t="shared" si="273"/>
        <v>23782.579211370408</v>
      </c>
      <c r="FX29" s="1">
        <f t="shared" si="273"/>
        <v>24020.405003484113</v>
      </c>
      <c r="FY29" s="1">
        <f t="shared" si="273"/>
        <v>24260.609053518954</v>
      </c>
      <c r="FZ29" s="1">
        <f t="shared" si="273"/>
        <v>24503.215144054146</v>
      </c>
      <c r="GA29" s="1">
        <f t="shared" si="273"/>
        <v>24748.247295494686</v>
      </c>
      <c r="GB29" s="1">
        <f t="shared" si="273"/>
        <v>24995.729768449633</v>
      </c>
      <c r="GC29" s="1">
        <f t="shared" si="273"/>
        <v>25245.687066134131</v>
      </c>
      <c r="GD29" s="1">
        <f t="shared" si="273"/>
        <v>25498.143936795474</v>
      </c>
      <c r="GE29" s="1">
        <f t="shared" si="273"/>
        <v>25753.125376163429</v>
      </c>
      <c r="GF29" s="1">
        <f t="shared" si="273"/>
        <v>26010.656629925063</v>
      </c>
      <c r="GG29" s="1">
        <f t="shared" si="273"/>
        <v>26270.763196224314</v>
      </c>
      <c r="GH29" s="1">
        <f t="shared" si="273"/>
        <v>26533.470828186557</v>
      </c>
      <c r="GI29" s="1">
        <f t="shared" si="273"/>
        <v>26798.805536468422</v>
      </c>
      <c r="GJ29" s="1">
        <f t="shared" si="273"/>
        <v>27066.793591833106</v>
      </c>
      <c r="GK29" s="1">
        <f t="shared" si="273"/>
        <v>27337.461527751439</v>
      </c>
      <c r="GL29" s="1">
        <f t="shared" si="273"/>
        <v>27610.836143028951</v>
      </c>
      <c r="GM29" s="1">
        <f t="shared" si="273"/>
        <v>27886.944504459243</v>
      </c>
      <c r="GN29" s="1">
        <f t="shared" si="273"/>
        <v>28165.813949503834</v>
      </c>
      <c r="GO29" s="1">
        <f t="shared" si="273"/>
        <v>28447.472088998871</v>
      </c>
      <c r="GP29" s="1">
        <f t="shared" si="273"/>
        <v>28731.946809888861</v>
      </c>
      <c r="GQ29" s="1">
        <f t="shared" si="273"/>
        <v>29019.26627798775</v>
      </c>
      <c r="GR29" s="1">
        <f t="shared" si="273"/>
        <v>29309.458940767629</v>
      </c>
      <c r="GS29" s="1">
        <f t="shared" si="273"/>
        <v>29602.553530175304</v>
      </c>
      <c r="GT29" s="1">
        <f t="shared" si="273"/>
        <v>29898.579065477057</v>
      </c>
      <c r="GU29" s="1">
        <f t="shared" si="273"/>
        <v>30197.564856131827</v>
      </c>
      <c r="GV29" s="1">
        <f t="shared" si="273"/>
        <v>30499.540504693145</v>
      </c>
      <c r="GW29" s="1">
        <f t="shared" si="273"/>
        <v>30804.535909740076</v>
      </c>
      <c r="GX29" s="1">
        <f t="shared" si="273"/>
        <v>31112.581268837475</v>
      </c>
      <c r="GY29" s="1">
        <f t="shared" si="273"/>
        <v>31423.707081525852</v>
      </c>
      <c r="GZ29" s="1">
        <f t="shared" si="273"/>
        <v>31737.944152341111</v>
      </c>
      <c r="HA29" s="1">
        <f t="shared" si="273"/>
        <v>32055.323593864523</v>
      </c>
      <c r="HB29" s="1">
        <f t="shared" si="273"/>
        <v>32375.876829803168</v>
      </c>
      <c r="HC29" s="1">
        <f t="shared" si="273"/>
        <v>32699.635598101198</v>
      </c>
      <c r="HD29" s="1">
        <f t="shared" si="273"/>
        <v>33026.631954082208</v>
      </c>
      <c r="HE29" s="1">
        <f t="shared" si="273"/>
        <v>33356.898273623032</v>
      </c>
      <c r="HF29" s="1">
        <f t="shared" si="273"/>
        <v>33690.467256359261</v>
      </c>
      <c r="HG29" s="1">
        <f t="shared" si="273"/>
        <v>34027.371928922854</v>
      </c>
      <c r="HH29" s="1">
        <f t="shared" si="273"/>
        <v>34367.645648212085</v>
      </c>
      <c r="HI29" s="1">
        <f t="shared" si="273"/>
        <v>34711.322104694205</v>
      </c>
      <c r="HJ29" s="1">
        <f t="shared" si="273"/>
        <v>35058.435325741149</v>
      </c>
      <c r="HK29" s="1">
        <f t="shared" si="273"/>
        <v>35409.019678998564</v>
      </c>
      <c r="HL29" s="1">
        <f t="shared" si="273"/>
        <v>35763.109875788548</v>
      </c>
      <c r="HM29" s="1">
        <f t="shared" si="273"/>
        <v>36120.740974546432</v>
      </c>
      <c r="HN29" s="1">
        <f t="shared" si="273"/>
        <v>36481.9483842919</v>
      </c>
      <c r="HO29" s="1">
        <f t="shared" si="273"/>
        <v>36846.767868134819</v>
      </c>
      <c r="HP29" s="1">
        <f t="shared" si="273"/>
        <v>37215.23554681617</v>
      </c>
      <c r="HQ29" s="1">
        <f t="shared" si="273"/>
        <v>37587.387902284332</v>
      </c>
      <c r="HR29" s="1">
        <f t="shared" ref="HR29:HW29" si="274">+HQ29*(1+$AJ$33)</f>
        <v>37963.261781307177</v>
      </c>
      <c r="HS29" s="1">
        <f t="shared" si="274"/>
        <v>38342.894399120247</v>
      </c>
      <c r="HT29" s="1">
        <f t="shared" si="274"/>
        <v>38726.32334311145</v>
      </c>
      <c r="HU29" s="1">
        <f t="shared" si="274"/>
        <v>39113.586576542562</v>
      </c>
      <c r="HV29" s="1">
        <f t="shared" si="274"/>
        <v>39504.72244230799</v>
      </c>
      <c r="HW29" s="1">
        <f t="shared" si="274"/>
        <v>39899.769666731067</v>
      </c>
      <c r="HX29" s="1">
        <f t="shared" ref="HX29:IA29" si="275">+HW29*(1+$AJ$33)</f>
        <v>40298.76736339838</v>
      </c>
      <c r="HY29" s="1">
        <f t="shared" si="275"/>
        <v>40701.755037032366</v>
      </c>
      <c r="HZ29" s="1">
        <f t="shared" si="275"/>
        <v>41108.772587402687</v>
      </c>
      <c r="IA29" s="1">
        <f t="shared" si="275"/>
        <v>41519.860313276717</v>
      </c>
    </row>
    <row r="32" spans="1:235">
      <c r="B32" s="1" t="s">
        <v>121</v>
      </c>
    </row>
    <row r="33" spans="2:36" s="4" customFormat="1">
      <c r="B33" s="1" t="s">
        <v>21</v>
      </c>
      <c r="G33" s="8">
        <f t="shared" ref="G33:M33" si="276">+G15/C15-1</f>
        <v>0.87333639284075248</v>
      </c>
      <c r="H33" s="8">
        <f t="shared" si="276"/>
        <v>0.91583297085689419</v>
      </c>
      <c r="I33" s="8">
        <f t="shared" si="276"/>
        <v>0.98110831234256923</v>
      </c>
      <c r="J33" s="8">
        <f t="shared" si="276"/>
        <v>0.78465961061021861</v>
      </c>
      <c r="K33" s="8">
        <f t="shared" si="276"/>
        <v>0.76457618814306705</v>
      </c>
      <c r="L33" s="8">
        <f t="shared" si="276"/>
        <v>0.69201952548529921</v>
      </c>
      <c r="M33" s="8">
        <f t="shared" si="276"/>
        <v>0.37853056034874233</v>
      </c>
      <c r="T33" s="4">
        <f t="shared" ref="T33" si="277">+T15/S15-1</f>
        <v>0.26335057371507364</v>
      </c>
      <c r="U33" s="4">
        <f t="shared" ref="U33" si="278">+U15/T15-1</f>
        <v>0.71473866256725604</v>
      </c>
      <c r="V33" s="4">
        <f t="shared" ref="V33:Y38" si="279">+V15/U15-1</f>
        <v>0.34969462654787931</v>
      </c>
      <c r="W33" s="4">
        <f t="shared" si="279"/>
        <v>-7.9749252739953702E-2</v>
      </c>
      <c r="X33" s="4">
        <f t="shared" si="279"/>
        <v>0.87855821716966664</v>
      </c>
      <c r="AI33" s="4" t="s">
        <v>87</v>
      </c>
      <c r="AJ33" s="4">
        <v>0.01</v>
      </c>
    </row>
    <row r="34" spans="2:36" s="4" customFormat="1">
      <c r="B34" s="1" t="s">
        <v>22</v>
      </c>
      <c r="G34" s="4">
        <f>+G16/C16-1</f>
        <v>-0.58008776741634671</v>
      </c>
      <c r="H34" s="4">
        <f>+H16/D16-1</f>
        <v>-0.53921269453768694</v>
      </c>
      <c r="I34" s="4">
        <f>+I16/E16-1</f>
        <v>-0.44337882700110665</v>
      </c>
      <c r="J34" s="4">
        <f>+J16/F16-1</f>
        <v>-0.3532075471698114</v>
      </c>
      <c r="K34" s="4">
        <f>+K16/G16-1</f>
        <v>0.15937295885042468</v>
      </c>
      <c r="L34" s="4">
        <f>+L16/H16-1</f>
        <v>0.28211920529801326</v>
      </c>
      <c r="M34" s="4">
        <f>+M16/I16-1</f>
        <v>0.57190192180251809</v>
      </c>
      <c r="T34" s="4">
        <f t="shared" ref="T34" si="280">+T16/S16-1</f>
        <v>0.71937896896737241</v>
      </c>
      <c r="U34" s="4">
        <f t="shared" ref="U34" si="281">+U16/T16-1</f>
        <v>0.42720125786163532</v>
      </c>
      <c r="V34" s="4">
        <f t="shared" si="279"/>
        <v>0.50842789467885874</v>
      </c>
      <c r="W34" s="4">
        <f t="shared" si="279"/>
        <v>-0.10283377154542794</v>
      </c>
      <c r="X34" s="8">
        <f t="shared" si="279"/>
        <v>-0.49006838163464672</v>
      </c>
      <c r="AI34" s="4" t="s">
        <v>88</v>
      </c>
      <c r="AJ34" s="4">
        <v>0.08</v>
      </c>
    </row>
    <row r="35" spans="2:36" s="4" customFormat="1">
      <c r="B35" s="1" t="s">
        <v>26</v>
      </c>
      <c r="G35" s="4">
        <f t="shared" ref="G35:M35" si="282">+G17/C17-1</f>
        <v>-0.75232838909968958</v>
      </c>
      <c r="H35" s="4">
        <f t="shared" si="282"/>
        <v>-0.72450090744101625</v>
      </c>
      <c r="I35" s="4">
        <f t="shared" si="282"/>
        <v>-0.73238546603475507</v>
      </c>
      <c r="J35" s="4">
        <f t="shared" si="282"/>
        <v>-0.37764705882352934</v>
      </c>
      <c r="K35" s="4">
        <f t="shared" si="282"/>
        <v>0.9275766016713094</v>
      </c>
      <c r="L35" s="4">
        <f t="shared" si="282"/>
        <v>0.71409749670619216</v>
      </c>
      <c r="M35" s="4">
        <f t="shared" si="282"/>
        <v>0.98110979929161757</v>
      </c>
      <c r="T35" s="4">
        <f t="shared" ref="T35" si="283">+T17/S17-1</f>
        <v>5.2365452074708552E-2</v>
      </c>
      <c r="U35" s="4">
        <f t="shared" ref="U35" si="284">+U17/T17-1</f>
        <v>0.36870203536870205</v>
      </c>
      <c r="V35" s="4">
        <f t="shared" si="279"/>
        <v>0.3213066796684545</v>
      </c>
      <c r="W35" s="4">
        <f t="shared" si="279"/>
        <v>-2.9612546125461159E-2</v>
      </c>
      <c r="X35" s="8">
        <f t="shared" si="279"/>
        <v>-0.67848654815096499</v>
      </c>
      <c r="AI35" s="4" t="s">
        <v>89</v>
      </c>
      <c r="AJ35" s="15">
        <f>NPV(AJ34,Y29:IA29)</f>
        <v>70067.695967178122</v>
      </c>
    </row>
    <row r="36" spans="2:36" s="4" customFormat="1">
      <c r="B36" s="1" t="s">
        <v>23</v>
      </c>
      <c r="G36" s="4">
        <f t="shared" ref="G36:M36" si="285">+G18/C18-1</f>
        <v>-0.70443349753694573</v>
      </c>
      <c r="H36" s="4">
        <f t="shared" si="285"/>
        <v>-0.46988670244484187</v>
      </c>
      <c r="I36" s="4">
        <f t="shared" si="285"/>
        <v>-0.42797866034380549</v>
      </c>
      <c r="J36" s="4">
        <f t="shared" si="285"/>
        <v>-0.3835997220291868</v>
      </c>
      <c r="K36" s="4">
        <f t="shared" si="285"/>
        <v>0.50238095238095237</v>
      </c>
      <c r="L36" s="4">
        <f t="shared" si="285"/>
        <v>0.30371203599550056</v>
      </c>
      <c r="M36" s="4">
        <f t="shared" si="285"/>
        <v>0.2082901554404144</v>
      </c>
      <c r="T36" s="4">
        <f t="shared" ref="T36" si="286">+T18/S18-1</f>
        <v>-0.32054503000029555</v>
      </c>
      <c r="U36" s="4">
        <f t="shared" ref="U36" si="287">+U18/T18-1</f>
        <v>0.21802679658952484</v>
      </c>
      <c r="V36" s="4">
        <f t="shared" si="279"/>
        <v>1.571428571428557E-3</v>
      </c>
      <c r="W36" s="4">
        <f t="shared" si="279"/>
        <v>-0.11225217515333052</v>
      </c>
      <c r="X36" s="8">
        <f t="shared" si="279"/>
        <v>-0.49212724935732644</v>
      </c>
      <c r="AI36" s="4" t="s">
        <v>90</v>
      </c>
      <c r="AJ36" s="3">
        <f>+Main!I5</f>
        <v>848.1</v>
      </c>
    </row>
    <row r="37" spans="2:36" s="4" customFormat="1">
      <c r="B37" s="6" t="s">
        <v>24</v>
      </c>
      <c r="G37" s="4">
        <f t="shared" ref="G37:M37" si="288">+G19/C19-1</f>
        <v>-0.13101903695408734</v>
      </c>
      <c r="H37" s="4">
        <f t="shared" si="288"/>
        <v>-0.30852994555353896</v>
      </c>
      <c r="I37" s="4">
        <f t="shared" si="288"/>
        <v>-0.2215962441314554</v>
      </c>
      <c r="J37" s="4">
        <f t="shared" si="288"/>
        <v>4.1312272174969245E-2</v>
      </c>
      <c r="K37" s="4">
        <f t="shared" si="288"/>
        <v>-2.448453608247414E-2</v>
      </c>
      <c r="L37" s="4">
        <f t="shared" si="288"/>
        <v>-2.624671916010568E-3</v>
      </c>
      <c r="M37" s="4">
        <f t="shared" si="288"/>
        <v>-0.57780458383594691</v>
      </c>
      <c r="T37" s="4">
        <f t="shared" ref="T37" si="289">+T19/S19-1</f>
        <v>0.31081981781826262</v>
      </c>
      <c r="U37" s="4">
        <f t="shared" ref="U37" si="290">+U19/T19-1</f>
        <v>1.1152542372881356</v>
      </c>
      <c r="V37" s="4">
        <f t="shared" si="279"/>
        <v>0.42828525641025639</v>
      </c>
      <c r="W37" s="4">
        <f t="shared" si="279"/>
        <v>8.9200561009817658E-2</v>
      </c>
      <c r="X37" s="8">
        <f t="shared" si="279"/>
        <v>-0.16971413855266559</v>
      </c>
      <c r="AI37" s="4" t="s">
        <v>91</v>
      </c>
      <c r="AJ37" s="3">
        <f>+AJ35/AJ36</f>
        <v>82.617257360191161</v>
      </c>
    </row>
    <row r="38" spans="2:36" s="4" customFormat="1">
      <c r="B38" s="5" t="s">
        <v>25</v>
      </c>
      <c r="G38" s="4">
        <f t="shared" ref="G38:N38" si="291">+G20/C20-1</f>
        <v>-0.12166149655746406</v>
      </c>
      <c r="H38" s="4">
        <f t="shared" si="291"/>
        <v>-5.0712208218360755E-2</v>
      </c>
      <c r="I38" s="4">
        <f t="shared" si="291"/>
        <v>6.8729733540110027E-2</v>
      </c>
      <c r="J38" s="4">
        <f t="shared" si="291"/>
        <v>0.27402733964248149</v>
      </c>
      <c r="K38" s="4">
        <f t="shared" si="291"/>
        <v>0.63261262813334507</v>
      </c>
      <c r="L38" s="4">
        <f t="shared" si="291"/>
        <v>0.57600754183360814</v>
      </c>
      <c r="M38" s="4">
        <f t="shared" si="291"/>
        <v>0.36831343578919595</v>
      </c>
      <c r="N38" s="4">
        <f t="shared" si="291"/>
        <v>0.21052052382524544</v>
      </c>
      <c r="T38" s="4">
        <f t="shared" ref="T38" si="292">+T20/S20-1</f>
        <v>9.993438701878099E-2</v>
      </c>
      <c r="U38" s="4">
        <f t="shared" ref="U38" si="293">+U20/T20-1</f>
        <v>0.50304826703492922</v>
      </c>
      <c r="V38" s="4">
        <f t="shared" si="279"/>
        <v>0.32655073503047682</v>
      </c>
      <c r="W38" s="4">
        <f t="shared" si="279"/>
        <v>-6.9582404216501192E-2</v>
      </c>
      <c r="X38" s="4">
        <f t="shared" si="279"/>
        <v>4.7134012382664237E-2</v>
      </c>
      <c r="Y38" s="4">
        <f t="shared" si="279"/>
        <v>0.41763043365179553</v>
      </c>
      <c r="Z38" s="4">
        <f t="shared" ref="Z38" si="294">+Z20/Y20-1</f>
        <v>3.0000000000000027E-2</v>
      </c>
      <c r="AA38" s="4">
        <f t="shared" ref="AA38" si="295">+AA20/Z20-1</f>
        <v>3.0000000000000027E-2</v>
      </c>
      <c r="AB38" s="4">
        <f t="shared" ref="AB38" si="296">+AB20/AA20-1</f>
        <v>3.0000000000000027E-2</v>
      </c>
      <c r="AC38" s="4">
        <f t="shared" ref="AC38" si="297">+AC20/AB20-1</f>
        <v>3.0000000000000027E-2</v>
      </c>
      <c r="AD38" s="4">
        <f t="shared" ref="AD38" si="298">+AD20/AC20-1</f>
        <v>3.0000000000000027E-2</v>
      </c>
      <c r="AE38" s="4">
        <f t="shared" ref="AE38" si="299">+AE20/AD20-1</f>
        <v>3.0000000000000027E-2</v>
      </c>
      <c r="AF38" s="4">
        <f t="shared" ref="AF38" si="300">+AF20/AE20-1</f>
        <v>3.0000000000000027E-2</v>
      </c>
      <c r="AG38" s="4">
        <f t="shared" ref="AG38" si="301">+AG20/AF20-1</f>
        <v>3.0000000000000027E-2</v>
      </c>
      <c r="AI38" s="4" t="s">
        <v>92</v>
      </c>
      <c r="AJ38" s="16">
        <f>+Main!I4</f>
        <v>82</v>
      </c>
    </row>
    <row r="39" spans="2:36" s="4" customFormat="1">
      <c r="B39" s="4" t="s">
        <v>72</v>
      </c>
      <c r="C39" s="4">
        <f>+C23/C$20</f>
        <v>0.36369826738291594</v>
      </c>
      <c r="D39" s="4">
        <f t="shared" ref="D39:I39" si="302">+D23/D$20</f>
        <v>0.35409053620702513</v>
      </c>
      <c r="E39" s="4">
        <f t="shared" si="302"/>
        <v>0.33913717749894268</v>
      </c>
      <c r="F39" s="4">
        <f t="shared" si="302"/>
        <v>0.32218717139852804</v>
      </c>
      <c r="G39" s="4">
        <f t="shared" si="302"/>
        <v>0.41011284348350424</v>
      </c>
      <c r="H39" s="4">
        <f t="shared" si="302"/>
        <v>0.38235525178725743</v>
      </c>
      <c r="I39" s="4">
        <f t="shared" si="302"/>
        <v>0.32227425631554651</v>
      </c>
      <c r="J39" s="4">
        <f t="shared" ref="J39" si="303">+J23/J$20</f>
        <v>0.27456806426763519</v>
      </c>
      <c r="K39" s="4">
        <f t="shared" ref="K39:L39" si="304">+K23/K$20</f>
        <v>0.26787315992191207</v>
      </c>
      <c r="L39" s="4">
        <f t="shared" si="304"/>
        <v>0.25871093165844178</v>
      </c>
      <c r="M39" s="4">
        <f t="shared" ref="M39:N39" si="305">+M23/M$20</f>
        <v>0.24704748132080021</v>
      </c>
      <c r="N39" s="4">
        <f t="shared" si="305"/>
        <v>0.24704748132080021</v>
      </c>
      <c r="AI39" s="17" t="s">
        <v>93</v>
      </c>
      <c r="AJ39" s="17">
        <f>+AJ37/AJ38-1</f>
        <v>7.5275287828189263E-3</v>
      </c>
    </row>
    <row r="41" spans="2:36">
      <c r="B41" s="1" t="s">
        <v>94</v>
      </c>
      <c r="C41" s="4">
        <f t="shared" ref="C41:M41" si="306">+C22/C20</f>
        <v>0.42157827040932133</v>
      </c>
      <c r="D41" s="4">
        <f t="shared" si="306"/>
        <v>0.38861958386158557</v>
      </c>
      <c r="E41" s="4">
        <f t="shared" si="306"/>
        <v>0.38855209361342163</v>
      </c>
      <c r="F41" s="4">
        <f t="shared" si="306"/>
        <v>0.46554504030844734</v>
      </c>
      <c r="G41" s="4">
        <f t="shared" si="306"/>
        <v>0.45464725643896969</v>
      </c>
      <c r="H41" s="4">
        <f t="shared" si="306"/>
        <v>0.46162306544111881</v>
      </c>
      <c r="I41" s="4">
        <f t="shared" si="306"/>
        <v>0.23045973220763794</v>
      </c>
      <c r="J41" s="4">
        <f t="shared" si="306"/>
        <v>0.50478705843512706</v>
      </c>
      <c r="K41" s="4">
        <f t="shared" si="306"/>
        <v>0.50250619954624598</v>
      </c>
      <c r="L41" s="4">
        <f t="shared" si="306"/>
        <v>0.50376352126015655</v>
      </c>
      <c r="M41" s="4">
        <f>+M22/M20</f>
        <v>0.51569052783803326</v>
      </c>
      <c r="N41" s="4">
        <f>+N22/N20</f>
        <v>0.51569052783803326</v>
      </c>
      <c r="T41" s="4">
        <f>+T22/T20</f>
        <v>0</v>
      </c>
      <c r="U41" s="4">
        <f>+U22/U20</f>
        <v>0.46257619218357843</v>
      </c>
      <c r="V41" s="4">
        <f>+V22/V20</f>
        <v>0.50467937022771814</v>
      </c>
      <c r="W41" s="4">
        <f>+W22/W20</f>
        <v>0.41643517257657459</v>
      </c>
      <c r="X41" s="4">
        <f>+X22/X20</f>
        <v>0.41305290170443704</v>
      </c>
      <c r="Y41" s="4">
        <f>+Y22/Y20</f>
        <v>0.50970769716406428</v>
      </c>
      <c r="Z41" s="4">
        <f>+Z22/Z20</f>
        <v>0.50970769716406417</v>
      </c>
    </row>
    <row r="44" spans="2:36">
      <c r="B44" s="1" t="s">
        <v>98</v>
      </c>
      <c r="J44" s="1">
        <v>948.3</v>
      </c>
      <c r="K44" s="1">
        <v>885.9</v>
      </c>
      <c r="L44" s="1">
        <v>1224.4000000000001</v>
      </c>
      <c r="M44" s="1">
        <v>2714.5</v>
      </c>
    </row>
    <row r="45" spans="2:36">
      <c r="B45" s="1" t="s">
        <v>99</v>
      </c>
      <c r="J45" s="1">
        <v>1028.4000000000001</v>
      </c>
      <c r="K45" s="1">
        <v>1144</v>
      </c>
      <c r="L45" s="1">
        <v>1451.7</v>
      </c>
      <c r="M45" s="1">
        <v>1546.3</v>
      </c>
    </row>
    <row r="46" spans="2:36">
      <c r="B46" s="1" t="s">
        <v>100</v>
      </c>
      <c r="J46" s="1">
        <v>1029.7</v>
      </c>
      <c r="K46" s="1">
        <v>1071.4000000000001</v>
      </c>
      <c r="L46" s="1">
        <v>1051.5999999999999</v>
      </c>
      <c r="M46" s="1">
        <v>1014.5</v>
      </c>
    </row>
    <row r="47" spans="2:36">
      <c r="B47" s="1" t="s">
        <v>101</v>
      </c>
      <c r="J47" s="1">
        <v>113.9</v>
      </c>
      <c r="K47" s="1">
        <v>148.1</v>
      </c>
      <c r="L47" s="1">
        <v>189.7</v>
      </c>
      <c r="M47" s="1">
        <v>237.2</v>
      </c>
    </row>
    <row r="48" spans="2:36">
      <c r="B48" s="1" t="s">
        <v>120</v>
      </c>
      <c r="K48" s="1">
        <v>588.20000000000005</v>
      </c>
      <c r="L48" s="1">
        <v>595.5</v>
      </c>
    </row>
    <row r="49" spans="2:13">
      <c r="B49" s="1" t="s">
        <v>102</v>
      </c>
      <c r="J49" s="1">
        <v>790.5</v>
      </c>
      <c r="K49" s="1">
        <v>774.7</v>
      </c>
      <c r="L49" s="1">
        <v>794.5</v>
      </c>
      <c r="M49" s="1">
        <v>854.8</v>
      </c>
    </row>
    <row r="50" spans="2:13">
      <c r="B50" s="1" t="s">
        <v>103</v>
      </c>
      <c r="J50" s="1">
        <v>11586.9</v>
      </c>
      <c r="K50" s="1">
        <v>11062.2</v>
      </c>
      <c r="L50" s="1">
        <v>11062.2</v>
      </c>
      <c r="M50" s="1">
        <v>11062.2</v>
      </c>
    </row>
    <row r="51" spans="2:13">
      <c r="B51" s="1" t="s">
        <v>104</v>
      </c>
      <c r="J51" s="1">
        <v>2710.6</v>
      </c>
      <c r="K51" s="1">
        <v>2450.9</v>
      </c>
      <c r="L51" s="1">
        <v>2207.1999999999998</v>
      </c>
      <c r="M51" s="1">
        <v>1978.3</v>
      </c>
    </row>
    <row r="52" spans="2:13">
      <c r="B52" s="1" t="s">
        <v>105</v>
      </c>
      <c r="J52" s="1">
        <v>401.2</v>
      </c>
      <c r="K52" s="1">
        <v>405.9</v>
      </c>
      <c r="L52" s="1">
        <v>409.9</v>
      </c>
      <c r="M52" s="1">
        <v>403.5</v>
      </c>
    </row>
    <row r="53" spans="2:13">
      <c r="B53" s="1" t="s">
        <v>106</v>
      </c>
      <c r="J53" s="1">
        <v>1595</v>
      </c>
      <c r="K53" s="1">
        <v>1492.4</v>
      </c>
      <c r="L53" s="1">
        <v>1599.6</v>
      </c>
      <c r="M53" s="1">
        <v>1767.7</v>
      </c>
    </row>
    <row r="54" spans="2:13">
      <c r="B54" s="1" t="s">
        <v>97</v>
      </c>
      <c r="J54" s="1">
        <f>+SUM(J44:J53)</f>
        <v>20204.5</v>
      </c>
      <c r="K54" s="1">
        <f>+SUM(K44:K53)</f>
        <v>20023.700000000004</v>
      </c>
      <c r="L54" s="1">
        <f>+SUM(L44:L53)</f>
        <v>20586.3</v>
      </c>
      <c r="M54" s="1">
        <f>+SUM(M44:M53)</f>
        <v>21579</v>
      </c>
    </row>
    <row r="56" spans="2:13">
      <c r="B56" s="1" t="s">
        <v>108</v>
      </c>
      <c r="J56" s="1">
        <v>622.20000000000005</v>
      </c>
      <c r="K56" s="1">
        <v>562.70000000000005</v>
      </c>
      <c r="L56" s="1">
        <v>610.70000000000005</v>
      </c>
      <c r="M56" s="1">
        <v>633.70000000000005</v>
      </c>
    </row>
    <row r="57" spans="2:13">
      <c r="B57" s="1" t="s">
        <v>109</v>
      </c>
      <c r="J57" s="1">
        <v>972.6</v>
      </c>
      <c r="K57" s="1">
        <v>939.8</v>
      </c>
      <c r="L57" s="1">
        <v>1078.5</v>
      </c>
      <c r="M57" s="1">
        <v>1351.1</v>
      </c>
    </row>
    <row r="58" spans="2:13">
      <c r="B58" s="1" t="s">
        <v>110</v>
      </c>
      <c r="J58" s="1">
        <v>302.5</v>
      </c>
      <c r="K58" s="1">
        <v>183.7</v>
      </c>
      <c r="L58" s="1">
        <v>210.8</v>
      </c>
      <c r="M58" s="1">
        <v>252.4</v>
      </c>
    </row>
    <row r="59" spans="2:13">
      <c r="B59" s="1" t="s">
        <v>111</v>
      </c>
      <c r="J59" s="1">
        <v>129.5</v>
      </c>
      <c r="K59" s="1">
        <v>1255.2</v>
      </c>
      <c r="L59" s="1">
        <v>499.3</v>
      </c>
      <c r="M59" s="1">
        <v>499.5</v>
      </c>
    </row>
    <row r="60" spans="2:13">
      <c r="B60" s="1" t="s">
        <v>112</v>
      </c>
      <c r="J60" s="1">
        <v>3934.3</v>
      </c>
      <c r="K60" s="1">
        <v>2977.4</v>
      </c>
      <c r="L60" s="1">
        <v>3967.9</v>
      </c>
      <c r="M60" s="1">
        <v>3969.4</v>
      </c>
    </row>
    <row r="61" spans="2:13">
      <c r="B61" s="1" t="s">
        <v>113</v>
      </c>
      <c r="J61" s="1">
        <v>816.4</v>
      </c>
      <c r="K61" s="1">
        <v>792.2</v>
      </c>
      <c r="L61" s="1">
        <v>797.4</v>
      </c>
      <c r="M61" s="1">
        <v>816.3</v>
      </c>
    </row>
    <row r="62" spans="2:13">
      <c r="B62" s="1" t="s">
        <v>107</v>
      </c>
      <c r="J62" s="1">
        <f>+SUM(J56:J61)</f>
        <v>6777.5</v>
      </c>
      <c r="K62" s="1">
        <f>+SUM(K56:K61)</f>
        <v>6711</v>
      </c>
      <c r="L62" s="1">
        <f>+SUM(L56:L61)</f>
        <v>7164.6</v>
      </c>
      <c r="M62" s="1">
        <f>+SUM(M56:M61)</f>
        <v>7522.4000000000005</v>
      </c>
    </row>
    <row r="63" spans="2:13">
      <c r="B63" s="1" t="s">
        <v>114</v>
      </c>
      <c r="J63" s="1">
        <v>13427</v>
      </c>
      <c r="K63" s="1">
        <v>13312.7</v>
      </c>
      <c r="L63" s="1">
        <v>13421.7</v>
      </c>
      <c r="M63" s="1">
        <v>14056.6</v>
      </c>
    </row>
    <row r="64" spans="2:13" s="5" customFormat="1">
      <c r="B64" s="5" t="s">
        <v>115</v>
      </c>
      <c r="J64" s="5">
        <f>+J62+J63</f>
        <v>20204.5</v>
      </c>
      <c r="K64" s="5">
        <f>+K62+K63</f>
        <v>20023.7</v>
      </c>
      <c r="L64" s="5">
        <f>+L62+L63</f>
        <v>20586.300000000003</v>
      </c>
      <c r="M64" s="5">
        <f>+M62+M63</f>
        <v>21579</v>
      </c>
    </row>
    <row r="65" spans="2:36" s="5" customFormat="1"/>
    <row r="66" spans="2:36" s="5" customFormat="1">
      <c r="B66" s="6" t="s">
        <v>116</v>
      </c>
      <c r="C66" s="6">
        <f>+C59+C60</f>
        <v>0</v>
      </c>
      <c r="D66" s="6">
        <f t="shared" ref="D66:M66" si="307">+D59+D60</f>
        <v>0</v>
      </c>
      <c r="E66" s="6">
        <f t="shared" si="307"/>
        <v>0</v>
      </c>
      <c r="F66" s="6">
        <f t="shared" si="307"/>
        <v>0</v>
      </c>
      <c r="G66" s="6">
        <f t="shared" si="307"/>
        <v>0</v>
      </c>
      <c r="H66" s="6">
        <f t="shared" si="307"/>
        <v>0</v>
      </c>
      <c r="I66" s="6">
        <f t="shared" si="307"/>
        <v>0</v>
      </c>
      <c r="J66" s="6">
        <f t="shared" si="307"/>
        <v>4063.8</v>
      </c>
      <c r="K66" s="6">
        <f t="shared" si="307"/>
        <v>4232.6000000000004</v>
      </c>
      <c r="L66" s="6">
        <f t="shared" si="307"/>
        <v>4467.2</v>
      </c>
      <c r="M66" s="6">
        <f t="shared" si="307"/>
        <v>4468.8999999999996</v>
      </c>
    </row>
    <row r="67" spans="2:36" s="5" customFormat="1">
      <c r="B67" s="6" t="s">
        <v>117</v>
      </c>
      <c r="C67" s="6">
        <f>+C44</f>
        <v>0</v>
      </c>
      <c r="D67" s="6">
        <f t="shared" ref="D67:M67" si="308">+D44</f>
        <v>0</v>
      </c>
      <c r="E67" s="6">
        <f t="shared" si="308"/>
        <v>0</v>
      </c>
      <c r="F67" s="6">
        <f t="shared" si="308"/>
        <v>0</v>
      </c>
      <c r="G67" s="6">
        <f t="shared" si="308"/>
        <v>0</v>
      </c>
      <c r="H67" s="6">
        <f t="shared" si="308"/>
        <v>0</v>
      </c>
      <c r="I67" s="6">
        <f t="shared" si="308"/>
        <v>0</v>
      </c>
      <c r="J67" s="6">
        <f t="shared" si="308"/>
        <v>948.3</v>
      </c>
      <c r="K67" s="6">
        <f t="shared" si="308"/>
        <v>885.9</v>
      </c>
      <c r="L67" s="6">
        <f t="shared" si="308"/>
        <v>1224.4000000000001</v>
      </c>
      <c r="M67" s="6">
        <f t="shared" si="308"/>
        <v>2714.5</v>
      </c>
    </row>
    <row r="68" spans="2:36" s="5" customFormat="1">
      <c r="B68" s="6" t="s">
        <v>123</v>
      </c>
      <c r="J68" s="17">
        <f>+J46/SUM(G20:J20)</f>
        <v>0.17854108508314118</v>
      </c>
      <c r="K68" s="17">
        <f>+K46/SUM(H20:K20)</f>
        <v>0.16478767091683716</v>
      </c>
      <c r="L68" s="17">
        <f>+L46/SUM(I20:L20)</f>
        <v>0.14535100692476743</v>
      </c>
      <c r="M68" s="17">
        <f>+M46/SUM(J20:M20)</f>
        <v>0.13017592034183209</v>
      </c>
    </row>
    <row r="69" spans="2:36" s="5" customFormat="1">
      <c r="B69" s="6" t="s">
        <v>124</v>
      </c>
      <c r="D69" s="6"/>
      <c r="E69" s="6"/>
      <c r="F69" s="6"/>
      <c r="G69" s="6"/>
      <c r="H69" s="6"/>
      <c r="I69" s="6"/>
      <c r="J69" s="6">
        <f>+(J46/SUM(G21:J21)) * 365</f>
        <v>111.02788691619155</v>
      </c>
      <c r="K69" s="6">
        <f>+(K46/SUM(H21:K21)) * 365</f>
        <v>105.83804703780889</v>
      </c>
      <c r="L69" s="6">
        <f>+(L46/SUM(I21:L21)) * 365</f>
        <v>95.836308706399336</v>
      </c>
      <c r="M69" s="6">
        <f>+(M46/SUM(J21:M21)) * 365</f>
        <v>96.35255392781869</v>
      </c>
    </row>
    <row r="70" spans="2:36" s="5" customFormat="1">
      <c r="B70" s="6" t="s">
        <v>125</v>
      </c>
      <c r="C70" s="6"/>
      <c r="D70" s="6"/>
      <c r="E70" s="6"/>
      <c r="F70" s="6"/>
      <c r="G70" s="6"/>
      <c r="H70" s="6"/>
      <c r="I70" s="6"/>
      <c r="J70" s="6">
        <f t="shared" ref="J70:L70" si="309">+(J45/SUM(G20:J20)) * 365</f>
        <v>65.085221854247237</v>
      </c>
      <c r="K70" s="6">
        <f t="shared" si="309"/>
        <v>64.223203162249874</v>
      </c>
      <c r="L70" s="6">
        <f t="shared" si="309"/>
        <v>73.238123540062759</v>
      </c>
      <c r="M70" s="6">
        <f>+(M45/SUM(J20:M20)) * 365</f>
        <v>72.421118139940731</v>
      </c>
    </row>
    <row r="71" spans="2:36" s="5" customFormat="1">
      <c r="B71" s="6" t="s">
        <v>126</v>
      </c>
      <c r="C71" s="6"/>
      <c r="D71" s="6"/>
      <c r="E71" s="6"/>
      <c r="F71" s="6"/>
      <c r="G71" s="6"/>
      <c r="H71" s="6"/>
      <c r="I71" s="6"/>
      <c r="J71" s="6">
        <f t="shared" ref="J71:L71" si="310">+(J56/SUM(G21:J21)) * 365</f>
        <v>67.089007710259679</v>
      </c>
      <c r="K71" s="6">
        <f t="shared" si="310"/>
        <v>55.586213429321511</v>
      </c>
      <c r="L71" s="6">
        <f t="shared" si="310"/>
        <v>55.65541434670795</v>
      </c>
      <c r="M71" s="6">
        <f>+(M56/SUM(J21:M21)) * 365</f>
        <v>60.18591761858918</v>
      </c>
    </row>
    <row r="72" spans="2:36" s="5" customFormat="1">
      <c r="B72" s="6" t="s">
        <v>127</v>
      </c>
      <c r="D72" s="6"/>
      <c r="E72" s="6"/>
      <c r="F72" s="6"/>
      <c r="G72" s="6"/>
      <c r="H72" s="6"/>
      <c r="I72" s="6"/>
      <c r="J72" s="6">
        <f t="shared" ref="J72:L72" si="311">+J69+J70-J71</f>
        <v>109.02410106017909</v>
      </c>
      <c r="K72" s="6">
        <f t="shared" si="311"/>
        <v>114.47503677073726</v>
      </c>
      <c r="L72" s="6">
        <f t="shared" si="311"/>
        <v>113.41901789975415</v>
      </c>
      <c r="M72" s="6">
        <f>+M69+M70-M71</f>
        <v>108.58775444917026</v>
      </c>
    </row>
    <row r="73" spans="2:36" s="5" customFormat="1">
      <c r="B73" s="6"/>
    </row>
    <row r="74" spans="2:36" s="5" customFormat="1">
      <c r="B74" s="6" t="s">
        <v>118</v>
      </c>
      <c r="C74" s="6">
        <f>+C63</f>
        <v>0</v>
      </c>
      <c r="D74" s="6">
        <f t="shared" ref="D74:M74" si="312">+D63</f>
        <v>0</v>
      </c>
      <c r="E74" s="6">
        <f t="shared" si="312"/>
        <v>0</v>
      </c>
      <c r="F74" s="6">
        <f t="shared" si="312"/>
        <v>0</v>
      </c>
      <c r="G74" s="6">
        <f t="shared" si="312"/>
        <v>0</v>
      </c>
      <c r="H74" s="6">
        <f t="shared" si="312"/>
        <v>0</v>
      </c>
      <c r="I74" s="6">
        <f t="shared" si="312"/>
        <v>0</v>
      </c>
      <c r="J74" s="6">
        <f t="shared" si="312"/>
        <v>13427</v>
      </c>
      <c r="K74" s="6">
        <f t="shared" si="312"/>
        <v>13312.7</v>
      </c>
      <c r="L74" s="6">
        <f t="shared" si="312"/>
        <v>13421.7</v>
      </c>
      <c r="M74" s="6">
        <f t="shared" si="312"/>
        <v>14056.6</v>
      </c>
    </row>
    <row r="75" spans="2:36" s="5" customFormat="1">
      <c r="B75" s="21" t="s">
        <v>119</v>
      </c>
      <c r="C75" s="21"/>
      <c r="D75" s="22"/>
      <c r="E75" s="22"/>
      <c r="F75" s="22"/>
      <c r="G75" s="22"/>
      <c r="H75" s="22"/>
      <c r="I75" s="22"/>
      <c r="J75" s="22">
        <f>+SUM(J44:J47) / SUM(J56:J59)</f>
        <v>1.5395204262877442</v>
      </c>
      <c r="K75" s="22">
        <f>+SUM(K44:K47) / SUM(K56:K59)</f>
        <v>1.1047120418848166</v>
      </c>
      <c r="L75" s="22">
        <f>+SUM(L44:L47) / SUM(L56:L59)</f>
        <v>1.6327262118117782</v>
      </c>
      <c r="M75" s="22">
        <f>+SUM(M44:M47) / SUM(M56:M59)</f>
        <v>2.0142872803010925</v>
      </c>
    </row>
    <row r="76" spans="2:36" s="5" customFormat="1">
      <c r="B76" s="23" t="s">
        <v>122</v>
      </c>
      <c r="C76" s="18"/>
      <c r="D76" s="24"/>
      <c r="E76" s="24"/>
      <c r="F76" s="24"/>
      <c r="G76" s="24"/>
      <c r="H76" s="24"/>
      <c r="I76" s="24"/>
      <c r="J76" s="25">
        <f>+SUM(J44:J45,J47:J48)/SUM(J56:J59)</f>
        <v>1.0314781922241956</v>
      </c>
      <c r="K76" s="25">
        <f>+SUM(K44:K45,K47:K48)/SUM(K56:K59)</f>
        <v>0.94043652682396128</v>
      </c>
      <c r="L76" s="25">
        <f>+SUM(L44:L45,L47:L48)/SUM(L56:L59)</f>
        <v>1.4426291001542115</v>
      </c>
      <c r="M76" s="25">
        <f>+SUM(M44:M45,M47:M48)/SUM(M56:M59)</f>
        <v>1.6435853400080389</v>
      </c>
    </row>
    <row r="77" spans="2:36" s="5" customFormat="1"/>
    <row r="78" spans="2:36" s="5" customFormat="1"/>
    <row r="79" spans="2:36">
      <c r="AI79" s="1" t="s">
        <v>5</v>
      </c>
      <c r="AJ79" s="1">
        <f>+Main!I9</f>
        <v>71298.599999999991</v>
      </c>
    </row>
    <row r="80" spans="2:36">
      <c r="AJ80" s="1">
        <f>+AJ79/Y20</f>
        <v>8.7205812204161006</v>
      </c>
    </row>
    <row r="81" spans="2:13">
      <c r="B81" s="1" t="s">
        <v>69</v>
      </c>
      <c r="C81" s="1">
        <v>208.4</v>
      </c>
      <c r="D81" s="1">
        <v>112.5</v>
      </c>
      <c r="E81" s="5">
        <v>503</v>
      </c>
      <c r="F81" s="1">
        <v>546.6</v>
      </c>
      <c r="G81" s="1">
        <v>324.5</v>
      </c>
      <c r="H81" s="1">
        <v>306.39999999999998</v>
      </c>
      <c r="I81" s="1">
        <v>536.29999999999995</v>
      </c>
      <c r="J81" s="1">
        <f>1681.2-SUM(G81:I81)</f>
        <v>514.00000000000023</v>
      </c>
      <c r="K81" s="1">
        <v>332.9</v>
      </c>
      <c r="L81" s="1">
        <v>461.6</v>
      </c>
      <c r="M81" s="1">
        <v>582.29999999999995</v>
      </c>
    </row>
    <row r="82" spans="2:13">
      <c r="B82" s="1" t="s">
        <v>70</v>
      </c>
      <c r="C82" s="1">
        <f>+-99.8-2.8</f>
        <v>-102.6</v>
      </c>
      <c r="D82" s="1">
        <f>+-111.1-0.2</f>
        <v>-111.3</v>
      </c>
      <c r="E82" s="1">
        <f>+-54.4-0.3</f>
        <v>-54.699999999999996</v>
      </c>
      <c r="F82" s="1">
        <f>+-71-10.6</f>
        <v>-81.599999999999994</v>
      </c>
      <c r="G82" s="1">
        <f>+-91.5-0.5</f>
        <v>-92</v>
      </c>
      <c r="H82" s="1">
        <f>+-48.2-5.2</f>
        <v>-53.400000000000006</v>
      </c>
      <c r="I82" s="1">
        <f>+-75-0.5</f>
        <v>-75.5</v>
      </c>
      <c r="J82" s="1">
        <f>+-284.6-SUM(G82:I82)</f>
        <v>-63.700000000000017</v>
      </c>
      <c r="K82" s="1">
        <v>-118.8</v>
      </c>
      <c r="L82" s="1">
        <v>-47.5</v>
      </c>
      <c r="M82" s="1">
        <v>-73.5</v>
      </c>
    </row>
    <row r="83" spans="2:13" s="5" customFormat="1">
      <c r="B83" s="5" t="s">
        <v>71</v>
      </c>
      <c r="C83" s="5">
        <f t="shared" ref="C83:H83" si="313">SUM(C81:C82)</f>
        <v>105.80000000000001</v>
      </c>
      <c r="D83" s="5">
        <f t="shared" si="313"/>
        <v>1.2000000000000028</v>
      </c>
      <c r="E83" s="5">
        <f t="shared" si="313"/>
        <v>448.3</v>
      </c>
      <c r="F83" s="5">
        <f t="shared" si="313"/>
        <v>465</v>
      </c>
      <c r="G83" s="5">
        <f t="shared" si="313"/>
        <v>232.5</v>
      </c>
      <c r="H83" s="5">
        <f t="shared" si="313"/>
        <v>252.99999999999997</v>
      </c>
      <c r="I83" s="5">
        <f>SUM(I81:I82)</f>
        <v>460.79999999999995</v>
      </c>
      <c r="J83" s="5">
        <f>SUM(J81:J82)</f>
        <v>450.30000000000018</v>
      </c>
      <c r="K83" s="5">
        <f>SUM(K81:K82)</f>
        <v>214.09999999999997</v>
      </c>
      <c r="L83" s="5">
        <f>SUM(L81:L82)</f>
        <v>414.1</v>
      </c>
      <c r="M83" s="5">
        <f>SUM(M81:M82)</f>
        <v>508.79999999999995</v>
      </c>
    </row>
    <row r="85" spans="2:13">
      <c r="B85" s="1" t="s">
        <v>96</v>
      </c>
      <c r="F85" s="1">
        <f t="shared" ref="F85:H85" si="314">SUM(C83:F83)</f>
        <v>1020.3000000000001</v>
      </c>
      <c r="G85" s="1">
        <f t="shared" si="314"/>
        <v>1147</v>
      </c>
      <c r="H85" s="1">
        <f t="shared" si="314"/>
        <v>1398.8</v>
      </c>
      <c r="I85" s="1">
        <f>SUM(F83:I83)</f>
        <v>1411.3</v>
      </c>
      <c r="J85" s="1">
        <f>SUM(G83:J83)</f>
        <v>1396.6000000000001</v>
      </c>
      <c r="K85" s="1">
        <f>SUM(H83:L83)</f>
        <v>1792.3000000000002</v>
      </c>
      <c r="L85" s="1">
        <f>SUM(I83:L83)</f>
        <v>1539.3000000000002</v>
      </c>
      <c r="M85" s="1">
        <f t="shared" ref="K85:M85" si="315">SUM(J83:M83)</f>
        <v>1587.3</v>
      </c>
    </row>
    <row r="86" spans="2:13">
      <c r="B86" s="1" t="s">
        <v>95</v>
      </c>
      <c r="F86" s="1">
        <f>+SUM(C29:F29)</f>
        <v>-802.3</v>
      </c>
      <c r="G86" s="1">
        <f>+SUM(D29:G29)</f>
        <v>-904.80000000000018</v>
      </c>
      <c r="H86" s="1">
        <f>+SUM(E29:H29)</f>
        <v>-928.60000000000025</v>
      </c>
      <c r="I86" s="1">
        <f>+SUM(F29:I29)</f>
        <v>-1085.7000000000003</v>
      </c>
      <c r="J86" s="1">
        <f>+SUM(G29:J29)</f>
        <v>-531.10000000000093</v>
      </c>
      <c r="K86" s="1">
        <f>+SUM(H29:K29)</f>
        <v>-154.00000000000074</v>
      </c>
      <c r="L86" s="1">
        <f>+SUM(I29:L29)</f>
        <v>238.79999999999905</v>
      </c>
      <c r="M86" s="1">
        <f>+SUM(J29:M29)</f>
        <v>2467.6999999999994</v>
      </c>
    </row>
  </sheetData>
  <pageMargins left="0.7" right="0.7" top="0.75" bottom="0.75" header="0.3" footer="0.3"/>
  <ignoredErrors>
    <ignoredError sqref="U20 S20:T20 J19:K19 J20:K20 O20 J21:K21 N21 J15:K15 N15:O15 J16:K16 N16:O16 J17:K17 N17:O17 J18:K18 N18:O18 N19:O19 H75:M75 J81:L89" formulaRange="1"/>
    <ignoredError sqref="F22:F29 V22:AH31 P32:Y38 P29:U31 K29:O38 K22:N22 J39:V40 N44:V44 N61:V61 N62:V62 Q23:U28 K23:N28 Q22:U22 J42:V43 J41:S41" formula="1"/>
    <ignoredError sqref="J28 J29:J38 J26 J27 J24 J23 J25 J22" formula="1" formulaRange="1"/>
  </ignoredErrors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jameel</dc:creator>
  <cp:lastModifiedBy>Jameel Brannon</cp:lastModifiedBy>
  <dcterms:created xsi:type="dcterms:W3CDTF">2025-02-07T03:15:52Z</dcterms:created>
  <dcterms:modified xsi:type="dcterms:W3CDTF">2026-02-11T02:51:31Z</dcterms:modified>
</cp:coreProperties>
</file>