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2B40F83B-4995-A949-BC1B-3B11A2E84911}" xr6:coauthVersionLast="47" xr6:coauthVersionMax="47" xr10:uidLastSave="{00000000-0000-0000-0000-000000000000}"/>
  <bookViews>
    <workbookView xWindow="20880" yWindow="4260" windowWidth="29120" windowHeight="20900" xr2:uid="{E6F64D46-DD00-774A-9F7E-6D373F60E17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2" l="1"/>
  <c r="I22" i="2"/>
  <c r="E15" i="2"/>
  <c r="E17" i="2" s="1"/>
  <c r="E19" i="2" s="1"/>
  <c r="I15" i="2"/>
  <c r="I17" i="2" s="1"/>
  <c r="I19" i="2" s="1"/>
  <c r="M2" i="2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H5" i="1"/>
  <c r="H6" i="1" s="1"/>
  <c r="G4" i="1"/>
  <c r="G7" i="1" s="1"/>
</calcChain>
</file>

<file path=xl/sharedStrings.xml><?xml version="1.0" encoding="utf-8"?>
<sst xmlns="http://schemas.openxmlformats.org/spreadsheetml/2006/main" count="77" uniqueCount="73">
  <si>
    <t>S</t>
  </si>
  <si>
    <t>P</t>
  </si>
  <si>
    <t>C</t>
  </si>
  <si>
    <t>MC</t>
  </si>
  <si>
    <t>D</t>
  </si>
  <si>
    <t>EV</t>
  </si>
  <si>
    <t>Q324</t>
  </si>
  <si>
    <t>Q123</t>
  </si>
  <si>
    <t>Q223</t>
  </si>
  <si>
    <t>Q423</t>
  </si>
  <si>
    <t>Q124</t>
  </si>
  <si>
    <t>Q224</t>
  </si>
  <si>
    <t>Q424</t>
  </si>
  <si>
    <t>R</t>
  </si>
  <si>
    <t>R&amp;D</t>
  </si>
  <si>
    <t>SG&amp;A</t>
  </si>
  <si>
    <t>Operating Income</t>
  </si>
  <si>
    <t>Interest Income</t>
  </si>
  <si>
    <t>EBT</t>
  </si>
  <si>
    <t>Taxes</t>
  </si>
  <si>
    <t xml:space="preserve">Net Income </t>
  </si>
  <si>
    <t>EPS</t>
  </si>
  <si>
    <t>R Y/Y</t>
  </si>
  <si>
    <t xml:space="preserve">Patents </t>
  </si>
  <si>
    <t>Markets</t>
  </si>
  <si>
    <t>Mobile</t>
  </si>
  <si>
    <t>Home &amp; Enterprise</t>
  </si>
  <si>
    <t xml:space="preserve">Cinema </t>
  </si>
  <si>
    <t>Tech &amp; Products</t>
  </si>
  <si>
    <t>Semiconductor Hardware (ICs)</t>
  </si>
  <si>
    <t>Visual Processors for mobile devices (smartphones, tablets)</t>
  </si>
  <si>
    <t>Image Processor SoCs for projectors</t>
  </si>
  <si>
    <t xml:space="preserve">Transcoder Icsfofr video delivery and streaming devices </t>
  </si>
  <si>
    <t xml:space="preserve">Business &amp; Expansion Strategy </t>
  </si>
  <si>
    <t>China focused growth: Shanghai based subsidiary (PWSH) operates Mobile and Home &amp; Enterprise Biz</t>
  </si>
  <si>
    <t xml:space="preserve">5G &amp; Gaming Growth: expects demand for higher resolution, high refresh rate mobile gaming to drive adoption </t>
  </si>
  <si>
    <t xml:space="preserve">Licensing &amp; Partnerships: Pixelworks licenses its display and video technologies to hardwork manufacturers, game developers, and film studios </t>
  </si>
  <si>
    <t>MEMC &amp; Frame Interpolation → Smooth motion in gaming, video playback, and projectors.</t>
  </si>
  <si>
    <t>Color Accuracy &amp; HDR Processing → True-to-life color reproduction for mobile and cinema.</t>
  </si>
  <si>
    <t>Low-Power Mobile Gaming Acceleration → Reduces GPU workload for better battery life.</t>
  </si>
  <si>
    <t>Real-time Video Transcoding &amp; OTA Streaming → Efficient compression and seamless playback.</t>
  </si>
  <si>
    <t>AI-Driven Image Enhancement → Uses deep learning for upscaling and noise reduction.</t>
  </si>
  <si>
    <t>Ultra-Low Latency Processing → High refresh rate support for gaming and cinema applications.</t>
  </si>
  <si>
    <t xml:space="preserve">Core tech Strengths </t>
  </si>
  <si>
    <t>eature</t>
  </si>
  <si>
    <t>Pixelworks</t>
  </si>
  <si>
    <t>MediaTek</t>
  </si>
  <si>
    <t>Qualcomm (Snapdragon)</t>
  </si>
  <si>
    <t>Nvidia (Shield, RTX GPUs)</t>
  </si>
  <si>
    <t>MEMC (Motion Processing)</t>
  </si>
  <si>
    <t>✅ Yes (Advanced Optical Flow)</t>
  </si>
  <si>
    <t>❌ No (Basic Frame Interpolation)</t>
  </si>
  <si>
    <t>✅ Yes (Snapdragon Elite Gaming)</t>
  </si>
  <si>
    <t>✅ Yes (DLSS-style AI motion)</t>
  </si>
  <si>
    <t>Color Accuracy &amp; HDR</t>
  </si>
  <si>
    <t>✅ Yes (Hollywood-level HDR processing)</t>
  </si>
  <si>
    <t>✅ Yes (MediaTek MiraVision)</t>
  </si>
  <si>
    <t>✅ Yes (Dolby Vision support)</t>
  </si>
  <si>
    <t>✅ Yes (Advanced HDR)</t>
  </si>
  <si>
    <t>AI-Based Upscaling</t>
  </si>
  <si>
    <t>✅ Yes (Neural Network Upscaling)</t>
  </si>
  <si>
    <t>❌ No</t>
  </si>
  <si>
    <t>✅ Yes (Snapdragon AI Engine)</t>
  </si>
  <si>
    <t>✅ Yes (DLSS AI Super Resolution)</t>
  </si>
  <si>
    <t>Low Power Optimization (Mobile)</t>
  </si>
  <si>
    <t>✅ Yes (Adaptive Refresh Rate)</t>
  </si>
  <si>
    <t>✅ Yes (Adreno GPU Optimization)</t>
  </si>
  <si>
    <t xml:space="preserve">Seiko Epson -- Japanese printer company </t>
  </si>
  <si>
    <t xml:space="preserve">Top 5 </t>
  </si>
  <si>
    <t>Guangdong OPPO Mobile Telecom -- Chinese consumer electronics co.</t>
  </si>
  <si>
    <t>Vivo Communication -- Chinese co that designs and develops smartphones</t>
  </si>
  <si>
    <t>Vecima Networks -- Canadian broadband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</si>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</sst>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MT"/>
      <family val="2"/>
    </font>
    <font>
      <b/>
      <sz val="10"/>
      <color theme="1"/>
      <name val="ArialMT"/>
    </font>
    <font>
      <u/>
      <sz val="10"/>
      <color theme="1"/>
      <name val="ArialMT"/>
      <family val="2"/>
    </font>
    <font>
      <sz val="10"/>
      <color rgb="FF000000"/>
      <name val="ArialMT"/>
      <family val="2"/>
    </font>
    <font>
      <b/>
      <u/>
      <sz val="10"/>
      <color theme="1"/>
      <name val="ArialMT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4" fontId="0" fillId="0" borderId="0" xfId="0" applyNumberFormat="1"/>
    <xf numFmtId="1" fontId="0" fillId="0" borderId="0" xfId="0" applyNumberFormat="1"/>
    <xf numFmtId="9" fontId="1" fillId="0" borderId="0" xfId="0" applyNumberFormat="1" applyFont="1"/>
    <xf numFmtId="3" fontId="2" fillId="0" borderId="0" xfId="0" applyNumberFormat="1" applyFont="1"/>
    <xf numFmtId="3" fontId="0" fillId="0" borderId="0" xfId="0" applyNumberFormat="1" applyAlignment="1">
      <alignment horizontal="left" indent="1"/>
    </xf>
    <xf numFmtId="3" fontId="4" fillId="0" borderId="0" xfId="0" applyNumberFormat="1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1F3B-3CE2-5D4E-B2AE-0BAC36FD69E7}">
  <dimension ref="B2:H36"/>
  <sheetViews>
    <sheetView tabSelected="1" zoomScale="125" workbookViewId="0">
      <selection activeCell="G3" sqref="G3"/>
    </sheetView>
  </sheetViews>
  <sheetFormatPr baseColWidth="10" defaultRowHeight="13"/>
  <cols>
    <col min="1" max="2" width="10.83203125" style="1"/>
    <col min="3" max="3" width="14.6640625" style="1" customWidth="1"/>
    <col min="4" max="4" width="14.5" style="1" customWidth="1"/>
    <col min="5" max="5" width="17.33203125" style="1" customWidth="1"/>
    <col min="6" max="6" width="9" style="1" customWidth="1"/>
    <col min="7" max="7" width="4.6640625" style="1" bestFit="1" customWidth="1"/>
    <col min="8" max="8" width="5.5" style="1" bestFit="1" customWidth="1"/>
    <col min="9" max="16384" width="10.83203125" style="1"/>
  </cols>
  <sheetData>
    <row r="2" spans="2:8">
      <c r="F2" s="1" t="s">
        <v>1</v>
      </c>
      <c r="G2" s="2">
        <v>5.83</v>
      </c>
    </row>
    <row r="3" spans="2:8">
      <c r="B3" s="5" t="s">
        <v>23</v>
      </c>
      <c r="F3" s="1" t="s">
        <v>0</v>
      </c>
      <c r="G3" s="1">
        <v>6.2935449999999999</v>
      </c>
      <c r="H3" s="1" t="s">
        <v>72</v>
      </c>
    </row>
    <row r="4" spans="2:8">
      <c r="F4" s="1" t="s">
        <v>3</v>
      </c>
      <c r="G4" s="1">
        <f>+G3*G2</f>
        <v>36.69136735</v>
      </c>
    </row>
    <row r="5" spans="2:8">
      <c r="F5" s="1" t="s">
        <v>2</v>
      </c>
      <c r="G5" s="1">
        <v>14.611000000000001</v>
      </c>
      <c r="H5" s="1" t="str">
        <f>+H3</f>
        <v>Q325</v>
      </c>
    </row>
    <row r="6" spans="2:8">
      <c r="B6" s="5" t="s">
        <v>24</v>
      </c>
      <c r="F6" s="1" t="s">
        <v>4</v>
      </c>
      <c r="G6" s="1">
        <v>1.4039999999999999</v>
      </c>
      <c r="H6" s="1" t="str">
        <f>+H5</f>
        <v>Q325</v>
      </c>
    </row>
    <row r="7" spans="2:8">
      <c r="B7" s="1" t="s">
        <v>25</v>
      </c>
      <c r="F7" s="1" t="s">
        <v>5</v>
      </c>
      <c r="G7" s="1">
        <f>+G4-G5+G6</f>
        <v>23.484367349999999</v>
      </c>
    </row>
    <row r="8" spans="2:8">
      <c r="B8" s="1" t="s">
        <v>26</v>
      </c>
    </row>
    <row r="9" spans="2:8">
      <c r="B9" s="1" t="s">
        <v>27</v>
      </c>
    </row>
    <row r="12" spans="2:8">
      <c r="B12" s="5" t="s">
        <v>28</v>
      </c>
    </row>
    <row r="13" spans="2:8">
      <c r="B13" s="1" t="s">
        <v>29</v>
      </c>
    </row>
    <row r="14" spans="2:8">
      <c r="B14" s="1" t="s">
        <v>30</v>
      </c>
    </row>
    <row r="15" spans="2:8">
      <c r="B15" s="1" t="s">
        <v>31</v>
      </c>
    </row>
    <row r="16" spans="2:8">
      <c r="B16" s="1" t="s">
        <v>32</v>
      </c>
    </row>
    <row r="18" spans="2:6">
      <c r="B18" s="5" t="s">
        <v>33</v>
      </c>
    </row>
    <row r="19" spans="2:6">
      <c r="B19" s="1" t="s">
        <v>34</v>
      </c>
    </row>
    <row r="20" spans="2:6">
      <c r="B20" s="1" t="s">
        <v>35</v>
      </c>
    </row>
    <row r="21" spans="2:6">
      <c r="B21" s="1" t="s">
        <v>36</v>
      </c>
    </row>
    <row r="23" spans="2:6">
      <c r="B23" s="7" t="s">
        <v>43</v>
      </c>
    </row>
    <row r="24" spans="2:6">
      <c r="B24" s="6" t="s">
        <v>37</v>
      </c>
    </row>
    <row r="25" spans="2:6">
      <c r="B25" s="6" t="s">
        <v>38</v>
      </c>
    </row>
    <row r="26" spans="2:6">
      <c r="B26" s="6" t="s">
        <v>39</v>
      </c>
    </row>
    <row r="27" spans="2:6">
      <c r="B27" s="6" t="s">
        <v>40</v>
      </c>
    </row>
    <row r="28" spans="2:6">
      <c r="B28" s="6" t="s">
        <v>41</v>
      </c>
    </row>
    <row r="29" spans="2:6">
      <c r="B29" s="6" t="s">
        <v>42</v>
      </c>
    </row>
    <row r="32" spans="2:6">
      <c r="B32" s="1" t="s">
        <v>44</v>
      </c>
      <c r="C32" s="1" t="s">
        <v>45</v>
      </c>
      <c r="D32" s="1" t="s">
        <v>46</v>
      </c>
      <c r="E32" s="1" t="s">
        <v>47</v>
      </c>
      <c r="F32" s="1" t="s">
        <v>48</v>
      </c>
    </row>
    <row r="33" spans="2:6">
      <c r="B33" s="1" t="s">
        <v>49</v>
      </c>
      <c r="C33" s="1" t="s">
        <v>50</v>
      </c>
      <c r="D33" s="1" t="s">
        <v>51</v>
      </c>
      <c r="E33" s="1" t="s">
        <v>52</v>
      </c>
      <c r="F33" s="1" t="s">
        <v>53</v>
      </c>
    </row>
    <row r="34" spans="2:6">
      <c r="B34" s="1" t="s">
        <v>54</v>
      </c>
      <c r="C34" s="1" t="s">
        <v>55</v>
      </c>
      <c r="D34" s="1" t="s">
        <v>56</v>
      </c>
      <c r="E34" s="1" t="s">
        <v>57</v>
      </c>
      <c r="F34" s="1" t="s">
        <v>58</v>
      </c>
    </row>
    <row r="35" spans="2:6">
      <c r="B35" s="1" t="s">
        <v>59</v>
      </c>
      <c r="C35" s="1" t="s">
        <v>60</v>
      </c>
      <c r="D35" s="1" t="s">
        <v>61</v>
      </c>
      <c r="E35" s="1" t="s">
        <v>62</v>
      </c>
      <c r="F35" s="1" t="s">
        <v>63</v>
      </c>
    </row>
    <row r="36" spans="2:6">
      <c r="B36" s="1" t="s">
        <v>64</v>
      </c>
      <c r="C36" s="1" t="s">
        <v>65</v>
      </c>
      <c r="D36" s="1" t="s">
        <v>61</v>
      </c>
      <c r="E36" s="1" t="s">
        <v>66</v>
      </c>
      <c r="F36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BB51-CDCF-0145-BDA6-691751F8D2EC}">
  <dimension ref="B1:AL22"/>
  <sheetViews>
    <sheetView zoomScale="187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" sqref="H2"/>
    </sheetView>
  </sheetViews>
  <sheetFormatPr baseColWidth="10" defaultRowHeight="13"/>
  <cols>
    <col min="1" max="1" width="1.33203125" style="1" customWidth="1"/>
    <col min="2" max="2" width="29" style="1" bestFit="1" customWidth="1"/>
    <col min="3" max="4" width="5.5" style="1" bestFit="1" customWidth="1"/>
    <col min="5" max="5" width="6.6640625" style="1" bestFit="1" customWidth="1"/>
    <col min="6" max="8" width="5.5" style="1" bestFit="1" customWidth="1"/>
    <col min="9" max="9" width="6.1640625" style="1" bestFit="1" customWidth="1"/>
    <col min="10" max="10" width="5.5" style="1" bestFit="1" customWidth="1"/>
    <col min="11" max="11" width="10.83203125" style="1"/>
    <col min="12" max="13" width="5.6640625" style="1" bestFit="1" customWidth="1"/>
    <col min="14" max="18" width="5.1640625" style="1" bestFit="1" customWidth="1"/>
    <col min="19" max="20" width="6.6640625" style="1" bestFit="1" customWidth="1"/>
    <col min="21" max="38" width="5.1640625" style="1" bestFit="1" customWidth="1"/>
    <col min="39" max="16384" width="10.83203125" style="1"/>
  </cols>
  <sheetData>
    <row r="1" spans="2:38" ht="15">
      <c r="B1" s="9"/>
    </row>
    <row r="2" spans="2:38">
      <c r="B2" s="8"/>
      <c r="C2" s="1" t="s">
        <v>7</v>
      </c>
      <c r="D2" s="1" t="s">
        <v>8</v>
      </c>
      <c r="E2" s="1" t="s">
        <v>6</v>
      </c>
      <c r="F2" s="1" t="s">
        <v>9</v>
      </c>
      <c r="G2" s="1" t="s">
        <v>10</v>
      </c>
      <c r="H2" s="1" t="s">
        <v>11</v>
      </c>
      <c r="I2" s="1" t="s">
        <v>6</v>
      </c>
      <c r="J2" s="1" t="s">
        <v>12</v>
      </c>
      <c r="L2" s="1">
        <v>2015</v>
      </c>
      <c r="M2" s="1">
        <f>+L2+1</f>
        <v>2016</v>
      </c>
      <c r="N2" s="3">
        <f>+M2+1</f>
        <v>2017</v>
      </c>
      <c r="O2" s="3">
        <f t="shared" ref="O2:AL2" si="0">+N2+1</f>
        <v>2018</v>
      </c>
      <c r="P2" s="3">
        <f t="shared" si="0"/>
        <v>2019</v>
      </c>
      <c r="Q2" s="3">
        <f t="shared" si="0"/>
        <v>2020</v>
      </c>
      <c r="R2" s="3">
        <f t="shared" si="0"/>
        <v>2021</v>
      </c>
      <c r="S2" s="3">
        <f t="shared" si="0"/>
        <v>2022</v>
      </c>
      <c r="T2" s="3">
        <f t="shared" si="0"/>
        <v>2023</v>
      </c>
      <c r="U2" s="3">
        <f t="shared" si="0"/>
        <v>2024</v>
      </c>
      <c r="V2" s="3">
        <f t="shared" si="0"/>
        <v>2025</v>
      </c>
      <c r="W2" s="3">
        <f t="shared" si="0"/>
        <v>2026</v>
      </c>
      <c r="X2" s="3">
        <f t="shared" si="0"/>
        <v>2027</v>
      </c>
      <c r="Y2" s="3">
        <f t="shared" si="0"/>
        <v>2028</v>
      </c>
      <c r="Z2" s="3">
        <f t="shared" si="0"/>
        <v>2029</v>
      </c>
      <c r="AA2" s="3">
        <f t="shared" si="0"/>
        <v>2030</v>
      </c>
      <c r="AB2" s="3">
        <f t="shared" si="0"/>
        <v>2031</v>
      </c>
      <c r="AC2" s="3">
        <f t="shared" si="0"/>
        <v>2032</v>
      </c>
      <c r="AD2" s="3">
        <f t="shared" si="0"/>
        <v>2033</v>
      </c>
      <c r="AE2" s="3">
        <f t="shared" si="0"/>
        <v>2034</v>
      </c>
      <c r="AF2" s="3">
        <f t="shared" si="0"/>
        <v>2035</v>
      </c>
      <c r="AG2" s="3">
        <f t="shared" si="0"/>
        <v>2036</v>
      </c>
      <c r="AH2" s="3">
        <f t="shared" si="0"/>
        <v>2037</v>
      </c>
      <c r="AI2" s="3">
        <f t="shared" si="0"/>
        <v>2038</v>
      </c>
      <c r="AJ2" s="3">
        <f t="shared" si="0"/>
        <v>2039</v>
      </c>
      <c r="AK2" s="3">
        <f t="shared" si="0"/>
        <v>2040</v>
      </c>
      <c r="AL2" s="3">
        <f t="shared" si="0"/>
        <v>2041</v>
      </c>
    </row>
    <row r="3" spans="2:38">
      <c r="B3" s="1" t="s">
        <v>68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>
      <c r="B4" s="1" t="s">
        <v>67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2:38">
      <c r="B5" s="1" t="s">
        <v>69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2:38">
      <c r="B6" s="1" t="s">
        <v>70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2:38">
      <c r="B7" s="1" t="s">
        <v>71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2:38"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2:38"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2:38"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2:38">
      <c r="B11" s="1" t="s">
        <v>13</v>
      </c>
      <c r="E11" s="1">
        <v>16032</v>
      </c>
      <c r="I11" s="1">
        <v>9527</v>
      </c>
      <c r="S11" s="1">
        <v>70146</v>
      </c>
      <c r="T11" s="1">
        <v>59677</v>
      </c>
    </row>
    <row r="12" spans="2:38">
      <c r="B12" s="1" t="s">
        <v>2</v>
      </c>
      <c r="E12" s="1">
        <v>9150</v>
      </c>
      <c r="I12" s="1">
        <v>4648</v>
      </c>
    </row>
    <row r="13" spans="2:38">
      <c r="B13" s="1" t="s">
        <v>14</v>
      </c>
      <c r="E13" s="1">
        <v>8752</v>
      </c>
      <c r="I13" s="1">
        <v>8405</v>
      </c>
    </row>
    <row r="14" spans="2:38">
      <c r="B14" s="1" t="s">
        <v>15</v>
      </c>
      <c r="E14" s="1">
        <v>5776</v>
      </c>
      <c r="I14" s="1">
        <v>5016</v>
      </c>
    </row>
    <row r="15" spans="2:38">
      <c r="B15" s="1" t="s">
        <v>16</v>
      </c>
      <c r="E15" s="1">
        <f>+E11-SUM(E12:E14)</f>
        <v>-7646</v>
      </c>
      <c r="I15" s="1">
        <f>+I11-SUM(I12:I14)</f>
        <v>-8542</v>
      </c>
    </row>
    <row r="16" spans="2:38">
      <c r="B16" s="1" t="s">
        <v>17</v>
      </c>
      <c r="E16" s="1">
        <v>471</v>
      </c>
      <c r="I16" s="1">
        <v>296</v>
      </c>
    </row>
    <row r="17" spans="2:20">
      <c r="B17" s="1" t="s">
        <v>18</v>
      </c>
      <c r="E17" s="1">
        <f>+SUM(E15:E16)</f>
        <v>-7175</v>
      </c>
      <c r="I17" s="1">
        <f>+SUM(I15:I16)</f>
        <v>-8246</v>
      </c>
    </row>
    <row r="18" spans="2:20">
      <c r="B18" s="1" t="s">
        <v>19</v>
      </c>
      <c r="E18" s="1">
        <v>334</v>
      </c>
      <c r="I18" s="1">
        <v>125</v>
      </c>
    </row>
    <row r="19" spans="2:20">
      <c r="B19" s="1" t="s">
        <v>20</v>
      </c>
      <c r="E19" s="1">
        <f>+E17-E18</f>
        <v>-7509</v>
      </c>
      <c r="I19" s="1">
        <f>+I17-I18</f>
        <v>-8371</v>
      </c>
    </row>
    <row r="20" spans="2:20" s="2" customFormat="1">
      <c r="B20" s="2" t="s">
        <v>21</v>
      </c>
      <c r="E20" s="2">
        <v>-0.12</v>
      </c>
      <c r="I20" s="2">
        <v>-0.14000000000000001</v>
      </c>
    </row>
    <row r="22" spans="2:20" s="4" customFormat="1">
      <c r="B22" s="4" t="s">
        <v>22</v>
      </c>
      <c r="I22" s="4">
        <f>+I11/E11-1</f>
        <v>-0.40575099800399206</v>
      </c>
      <c r="T22" s="4">
        <f>+T11/S11-1</f>
        <v>-0.14924585863769857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2025-01-30T02:32:25Z</dcterms:created>
  <dcterms:modified xsi:type="dcterms:W3CDTF">2026-02-14T05:46:20Z</dcterms:modified>
</cp:coreProperties>
</file>