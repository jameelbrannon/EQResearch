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7F6F2369-32CF-514E-95EB-1DF25C268C0B}" xr6:coauthVersionLast="47" xr6:coauthVersionMax="47" xr10:uidLastSave="{00000000-0000-0000-0000-000000000000}"/>
  <bookViews>
    <workbookView xWindow="13720" yWindow="680" windowWidth="33580" windowHeight="24380" xr2:uid="{834EDAA3-D05C-5B48-B7D6-13D13D56A97E}"/>
  </bookViews>
  <sheets>
    <sheet name="Main" sheetId="1" r:id="rId1"/>
    <sheet name="Products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2" i="2" l="1"/>
  <c r="H7" i="1"/>
  <c r="H6" i="1"/>
  <c r="G7" i="1"/>
  <c r="G6" i="1"/>
  <c r="G4" i="1"/>
  <c r="N12" i="2"/>
  <c r="AK11" i="2"/>
  <c r="AJ11" i="2"/>
  <c r="AI11" i="2"/>
  <c r="AH11" i="2"/>
  <c r="AG11" i="2"/>
  <c r="AB12" i="2"/>
  <c r="AC12" i="2" s="1"/>
  <c r="AC44" i="2" s="1"/>
  <c r="AA24" i="2"/>
  <c r="Z24" i="2"/>
  <c r="Y24" i="2"/>
  <c r="X24" i="2"/>
  <c r="W24" i="2"/>
  <c r="V24" i="2"/>
  <c r="N24" i="2"/>
  <c r="M24" i="2"/>
  <c r="L24" i="2"/>
  <c r="K24" i="2"/>
  <c r="J24" i="2"/>
  <c r="I24" i="2"/>
  <c r="H24" i="2"/>
  <c r="G24" i="2"/>
  <c r="U24" i="2"/>
  <c r="AA45" i="2"/>
  <c r="Z45" i="2"/>
  <c r="Y45" i="2"/>
  <c r="X45" i="2"/>
  <c r="W45" i="2"/>
  <c r="AB44" i="2"/>
  <c r="AA44" i="2"/>
  <c r="Z44" i="2"/>
  <c r="Y44" i="2"/>
  <c r="X44" i="2"/>
  <c r="W44" i="2"/>
  <c r="V45" i="2"/>
  <c r="V44" i="2"/>
  <c r="AM31" i="2"/>
  <c r="AM29" i="2"/>
  <c r="ID3" i="2"/>
  <c r="IC3" i="2"/>
  <c r="HX3" i="2"/>
  <c r="HY3" i="2" s="1"/>
  <c r="HZ3" i="2" s="1"/>
  <c r="IA3" i="2" s="1"/>
  <c r="IB3" i="2" s="1"/>
  <c r="HP3" i="2"/>
  <c r="HQ3" i="2" s="1"/>
  <c r="HR3" i="2" s="1"/>
  <c r="HS3" i="2" s="1"/>
  <c r="HT3" i="2" s="1"/>
  <c r="HU3" i="2" s="1"/>
  <c r="HV3" i="2" s="1"/>
  <c r="HW3" i="2" s="1"/>
  <c r="GR3" i="2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AM3" i="2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AF11" i="2"/>
  <c r="AE11" i="2"/>
  <c r="AD11" i="2"/>
  <c r="AC11" i="2"/>
  <c r="AC33" i="2"/>
  <c r="AB33" i="2"/>
  <c r="AB14" i="2"/>
  <c r="AC14" i="2" s="1"/>
  <c r="AD14" i="2" s="1"/>
  <c r="AB13" i="2"/>
  <c r="N22" i="2"/>
  <c r="N15" i="2"/>
  <c r="AB15" i="2" s="1"/>
  <c r="AB45" i="2" s="1"/>
  <c r="N11" i="2"/>
  <c r="J46" i="2"/>
  <c r="K46" i="2"/>
  <c r="L46" i="2"/>
  <c r="M46" i="2"/>
  <c r="J47" i="2"/>
  <c r="K47" i="2"/>
  <c r="L47" i="2"/>
  <c r="M47" i="2"/>
  <c r="L49" i="2"/>
  <c r="L71" i="2" s="1"/>
  <c r="M124" i="2"/>
  <c r="H120" i="2"/>
  <c r="H121" i="2" s="1"/>
  <c r="H122" i="2" s="1"/>
  <c r="I120" i="2"/>
  <c r="I121" i="2" s="1"/>
  <c r="I122" i="2" s="1"/>
  <c r="J120" i="2"/>
  <c r="K120" i="2"/>
  <c r="K121" i="2" s="1"/>
  <c r="K122" i="2" s="1"/>
  <c r="L120" i="2"/>
  <c r="M120" i="2"/>
  <c r="M111" i="2"/>
  <c r="L111" i="2"/>
  <c r="J124" i="2"/>
  <c r="G124" i="2"/>
  <c r="F124" i="2"/>
  <c r="E124" i="2"/>
  <c r="D124" i="2"/>
  <c r="K123" i="2"/>
  <c r="G123" i="2"/>
  <c r="F123" i="2"/>
  <c r="E123" i="2"/>
  <c r="D123" i="2"/>
  <c r="C121" i="2"/>
  <c r="C122" i="2" s="1"/>
  <c r="D121" i="2"/>
  <c r="D122" i="2" s="1"/>
  <c r="E121" i="2"/>
  <c r="E122" i="2" s="1"/>
  <c r="F121" i="2"/>
  <c r="F122" i="2" s="1"/>
  <c r="G121" i="2"/>
  <c r="G122" i="2" s="1"/>
  <c r="M27" i="2"/>
  <c r="M73" i="2"/>
  <c r="M71" i="2"/>
  <c r="M70" i="2"/>
  <c r="M68" i="2"/>
  <c r="M59" i="2"/>
  <c r="M32" i="2"/>
  <c r="M31" i="2"/>
  <c r="M30" i="2"/>
  <c r="M29" i="2"/>
  <c r="M26" i="2"/>
  <c r="L32" i="2"/>
  <c r="L31" i="2"/>
  <c r="L30" i="2"/>
  <c r="L29" i="2"/>
  <c r="L27" i="2"/>
  <c r="L26" i="2"/>
  <c r="M6" i="2"/>
  <c r="L6" i="2"/>
  <c r="L115" i="2"/>
  <c r="K115" i="2"/>
  <c r="J115" i="2"/>
  <c r="I115" i="2"/>
  <c r="H115" i="2"/>
  <c r="G115" i="2"/>
  <c r="L114" i="2"/>
  <c r="K114" i="2"/>
  <c r="J114" i="2"/>
  <c r="I114" i="2"/>
  <c r="H114" i="2"/>
  <c r="G114" i="2"/>
  <c r="L59" i="2"/>
  <c r="L73" i="2"/>
  <c r="L70" i="2"/>
  <c r="L68" i="2"/>
  <c r="K73" i="2"/>
  <c r="J73" i="2"/>
  <c r="I73" i="2"/>
  <c r="H73" i="2"/>
  <c r="G73" i="2"/>
  <c r="F73" i="2"/>
  <c r="E73" i="2"/>
  <c r="D73" i="2"/>
  <c r="C73" i="2"/>
  <c r="K71" i="2"/>
  <c r="J71" i="2"/>
  <c r="I71" i="2"/>
  <c r="H71" i="2"/>
  <c r="G71" i="2"/>
  <c r="F71" i="2"/>
  <c r="E71" i="2"/>
  <c r="D71" i="2"/>
  <c r="K70" i="2"/>
  <c r="J70" i="2"/>
  <c r="I70" i="2"/>
  <c r="H70" i="2"/>
  <c r="G70" i="2"/>
  <c r="F70" i="2"/>
  <c r="E70" i="2"/>
  <c r="D70" i="2"/>
  <c r="C71" i="2"/>
  <c r="C70" i="2"/>
  <c r="J107" i="2"/>
  <c r="I107" i="2"/>
  <c r="J99" i="2"/>
  <c r="J88" i="2"/>
  <c r="J109" i="2" s="1"/>
  <c r="H107" i="2"/>
  <c r="H99" i="2"/>
  <c r="H88" i="2"/>
  <c r="H111" i="2" s="1"/>
  <c r="I99" i="2"/>
  <c r="I88" i="2"/>
  <c r="I111" i="2" s="1"/>
  <c r="G107" i="2"/>
  <c r="G99" i="2"/>
  <c r="G88" i="2"/>
  <c r="G111" i="2" s="1"/>
  <c r="K107" i="2"/>
  <c r="K99" i="2"/>
  <c r="K88" i="2"/>
  <c r="K111" i="2" s="1"/>
  <c r="C68" i="2"/>
  <c r="C59" i="2"/>
  <c r="D68" i="2"/>
  <c r="D59" i="2"/>
  <c r="E68" i="2"/>
  <c r="E59" i="2"/>
  <c r="G68" i="2"/>
  <c r="G59" i="2"/>
  <c r="H68" i="2"/>
  <c r="H59" i="2"/>
  <c r="F68" i="2"/>
  <c r="F59" i="2"/>
  <c r="J68" i="2"/>
  <c r="I68" i="2"/>
  <c r="I59" i="2"/>
  <c r="AB24" i="2" l="1"/>
  <c r="AC13" i="2"/>
  <c r="AC15" i="2" s="1"/>
  <c r="AK33" i="2"/>
  <c r="AD12" i="2"/>
  <c r="AE14" i="2"/>
  <c r="AF14" i="2" s="1"/>
  <c r="AG14" i="2" s="1"/>
  <c r="AH14" i="2" s="1"/>
  <c r="AI14" i="2" s="1"/>
  <c r="AJ14" i="2" s="1"/>
  <c r="AK14" i="2" s="1"/>
  <c r="AD33" i="2"/>
  <c r="AB18" i="2"/>
  <c r="AC18" i="2" s="1"/>
  <c r="AD18" i="2" s="1"/>
  <c r="AE18" i="2" s="1"/>
  <c r="N17" i="2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N16" i="2"/>
  <c r="AB16" i="2" s="1"/>
  <c r="AC16" i="2" s="1"/>
  <c r="AD16" i="2" s="1"/>
  <c r="AE16" i="2" s="1"/>
  <c r="AF16" i="2" s="1"/>
  <c r="N45" i="2"/>
  <c r="N44" i="2"/>
  <c r="AB11" i="2"/>
  <c r="J123" i="2"/>
  <c r="K124" i="2"/>
  <c r="J121" i="2"/>
  <c r="J122" i="2" s="1"/>
  <c r="L121" i="2"/>
  <c r="L122" i="2" s="1"/>
  <c r="L124" i="2"/>
  <c r="L123" i="2"/>
  <c r="M123" i="2"/>
  <c r="M121" i="2"/>
  <c r="M122" i="2" s="1"/>
  <c r="I74" i="2"/>
  <c r="I72" i="2"/>
  <c r="G72" i="2"/>
  <c r="H74" i="2"/>
  <c r="J72" i="2"/>
  <c r="H72" i="2"/>
  <c r="E72" i="2"/>
  <c r="D72" i="2"/>
  <c r="C72" i="2"/>
  <c r="K72" i="2"/>
  <c r="F72" i="2"/>
  <c r="M72" i="2"/>
  <c r="I124" i="2"/>
  <c r="H123" i="2"/>
  <c r="I123" i="2"/>
  <c r="H124" i="2"/>
  <c r="M11" i="2"/>
  <c r="L11" i="2"/>
  <c r="L15" i="2" s="1"/>
  <c r="L45" i="2" s="1"/>
  <c r="L72" i="2"/>
  <c r="J111" i="2"/>
  <c r="G109" i="2"/>
  <c r="H109" i="2"/>
  <c r="I109" i="2"/>
  <c r="K109" i="2"/>
  <c r="AD13" i="2" l="1"/>
  <c r="AC24" i="2"/>
  <c r="AC19" i="2"/>
  <c r="AC45" i="2"/>
  <c r="AD44" i="2"/>
  <c r="AE12" i="2"/>
  <c r="AG16" i="2"/>
  <c r="AF18" i="2"/>
  <c r="AG18" i="2" s="1"/>
  <c r="AH18" i="2" s="1"/>
  <c r="AI18" i="2" s="1"/>
  <c r="AJ18" i="2" s="1"/>
  <c r="AK18" i="2" s="1"/>
  <c r="AE33" i="2"/>
  <c r="N19" i="2"/>
  <c r="M44" i="2"/>
  <c r="M15" i="2"/>
  <c r="L44" i="2"/>
  <c r="M74" i="2"/>
  <c r="L74" i="2"/>
  <c r="K74" i="2"/>
  <c r="J74" i="2"/>
  <c r="L19" i="2"/>
  <c r="L21" i="2" s="1"/>
  <c r="J59" i="2"/>
  <c r="K68" i="2"/>
  <c r="K59" i="2"/>
  <c r="V32" i="2"/>
  <c r="V31" i="2"/>
  <c r="V30" i="2"/>
  <c r="V29" i="2"/>
  <c r="V28" i="2"/>
  <c r="W32" i="2"/>
  <c r="W31" i="2"/>
  <c r="W30" i="2"/>
  <c r="W29" i="2"/>
  <c r="W28" i="2"/>
  <c r="U11" i="2"/>
  <c r="U15" i="2" s="1"/>
  <c r="U19" i="2" s="1"/>
  <c r="U21" i="2" s="1"/>
  <c r="U23" i="2" s="1"/>
  <c r="V11" i="2"/>
  <c r="V15" i="2" s="1"/>
  <c r="V19" i="2" s="1"/>
  <c r="V21" i="2" s="1"/>
  <c r="V23" i="2" s="1"/>
  <c r="X32" i="2"/>
  <c r="X31" i="2"/>
  <c r="X30" i="2"/>
  <c r="X29" i="2"/>
  <c r="X28" i="2"/>
  <c r="Y32" i="2"/>
  <c r="Y31" i="2"/>
  <c r="Y30" i="2"/>
  <c r="Y29" i="2"/>
  <c r="W11" i="2"/>
  <c r="W15" i="2" s="1"/>
  <c r="W19" i="2" s="1"/>
  <c r="W21" i="2" s="1"/>
  <c r="W23" i="2" s="1"/>
  <c r="X11" i="2"/>
  <c r="X15" i="2" s="1"/>
  <c r="X19" i="2" s="1"/>
  <c r="X21" i="2" s="1"/>
  <c r="X23" i="2" s="1"/>
  <c r="F20" i="2"/>
  <c r="F18" i="2"/>
  <c r="F17" i="2"/>
  <c r="F16" i="2"/>
  <c r="F14" i="2"/>
  <c r="F13" i="2"/>
  <c r="F12" i="2"/>
  <c r="F10" i="2"/>
  <c r="F9" i="2"/>
  <c r="F8" i="2"/>
  <c r="F7" i="2"/>
  <c r="F5" i="2"/>
  <c r="F4" i="2"/>
  <c r="J20" i="2"/>
  <c r="J18" i="2"/>
  <c r="J17" i="2"/>
  <c r="J16" i="2"/>
  <c r="J14" i="2"/>
  <c r="J13" i="2"/>
  <c r="J12" i="2"/>
  <c r="J10" i="2"/>
  <c r="J9" i="2"/>
  <c r="J8" i="2"/>
  <c r="J7" i="2"/>
  <c r="J5" i="2"/>
  <c r="J4" i="2"/>
  <c r="Z32" i="2"/>
  <c r="Z31" i="2"/>
  <c r="Z30" i="2"/>
  <c r="Z29" i="2"/>
  <c r="Z27" i="2"/>
  <c r="Z26" i="2"/>
  <c r="AA32" i="2"/>
  <c r="AA31" i="2"/>
  <c r="AA30" i="2"/>
  <c r="AA29" i="2"/>
  <c r="AA27" i="2"/>
  <c r="AA26" i="2"/>
  <c r="H32" i="2"/>
  <c r="H31" i="2"/>
  <c r="H30" i="2"/>
  <c r="H29" i="2"/>
  <c r="H27" i="2"/>
  <c r="H26" i="2"/>
  <c r="H6" i="2"/>
  <c r="I32" i="2"/>
  <c r="I31" i="2"/>
  <c r="I30" i="2"/>
  <c r="I29" i="2"/>
  <c r="I27" i="2"/>
  <c r="I26" i="2"/>
  <c r="C6" i="2"/>
  <c r="C11" i="2" s="1"/>
  <c r="C15" i="2" s="1"/>
  <c r="D6" i="2"/>
  <c r="D11" i="2" s="1"/>
  <c r="D44" i="2" s="1"/>
  <c r="E6" i="2"/>
  <c r="I6" i="2"/>
  <c r="K32" i="2"/>
  <c r="K31" i="2"/>
  <c r="K30" i="2"/>
  <c r="K29" i="2"/>
  <c r="K27" i="2"/>
  <c r="K26" i="2"/>
  <c r="G6" i="2"/>
  <c r="K6" i="2"/>
  <c r="K11" i="2" s="1"/>
  <c r="AA6" i="2"/>
  <c r="AA11" i="2" s="1"/>
  <c r="AA15" i="2" s="1"/>
  <c r="AA19" i="2" s="1"/>
  <c r="AA21" i="2" s="1"/>
  <c r="AA23" i="2" s="1"/>
  <c r="Z6" i="2"/>
  <c r="Z11" i="2" s="1"/>
  <c r="Z15" i="2" s="1"/>
  <c r="Z19" i="2" s="1"/>
  <c r="Z21" i="2" s="1"/>
  <c r="Z23" i="2" s="1"/>
  <c r="Y6" i="2"/>
  <c r="Y11" i="2" s="1"/>
  <c r="Y15" i="2" s="1"/>
  <c r="Y19" i="2" s="1"/>
  <c r="Y21" i="2" s="1"/>
  <c r="Y23" i="2" s="1"/>
  <c r="R3" i="2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G5" i="1"/>
  <c r="G8" i="1" l="1"/>
  <c r="G11" i="1"/>
  <c r="G12" i="1" s="1"/>
  <c r="AD15" i="2"/>
  <c r="AD24" i="2"/>
  <c r="AE13" i="2"/>
  <c r="N20" i="2"/>
  <c r="AB19" i="2"/>
  <c r="AE15" i="2"/>
  <c r="AF12" i="2"/>
  <c r="AE44" i="2"/>
  <c r="AH16" i="2"/>
  <c r="AF33" i="2"/>
  <c r="M45" i="2"/>
  <c r="M19" i="2"/>
  <c r="M21" i="2" s="1"/>
  <c r="M23" i="2" s="1"/>
  <c r="H11" i="2"/>
  <c r="L28" i="2"/>
  <c r="I11" i="2"/>
  <c r="M33" i="2" s="1"/>
  <c r="M28" i="2"/>
  <c r="N40" i="2"/>
  <c r="N38" i="2"/>
  <c r="M42" i="2"/>
  <c r="M41" i="2"/>
  <c r="M40" i="2"/>
  <c r="M39" i="2"/>
  <c r="M36" i="2"/>
  <c r="L36" i="2"/>
  <c r="N41" i="2"/>
  <c r="N39" i="2"/>
  <c r="N42" i="2"/>
  <c r="N36" i="2"/>
  <c r="M37" i="2"/>
  <c r="L42" i="2"/>
  <c r="L41" i="2"/>
  <c r="L40" i="2"/>
  <c r="L39" i="2"/>
  <c r="L37" i="2"/>
  <c r="M38" i="2"/>
  <c r="L38" i="2"/>
  <c r="N37" i="2"/>
  <c r="L23" i="2"/>
  <c r="L112" i="2"/>
  <c r="V33" i="2"/>
  <c r="F41" i="2"/>
  <c r="J30" i="2"/>
  <c r="I38" i="2"/>
  <c r="K15" i="2"/>
  <c r="K44" i="2"/>
  <c r="J36" i="2"/>
  <c r="X33" i="2"/>
  <c r="E38" i="2"/>
  <c r="D37" i="2"/>
  <c r="J40" i="2"/>
  <c r="D38" i="2"/>
  <c r="F36" i="2"/>
  <c r="G40" i="2"/>
  <c r="H15" i="2"/>
  <c r="D39" i="2"/>
  <c r="F6" i="2"/>
  <c r="F38" i="2" s="1"/>
  <c r="D15" i="2"/>
  <c r="D40" i="2"/>
  <c r="K42" i="2"/>
  <c r="I36" i="2"/>
  <c r="E36" i="2"/>
  <c r="D41" i="2"/>
  <c r="J37" i="2"/>
  <c r="F40" i="2"/>
  <c r="K39" i="2"/>
  <c r="K40" i="2"/>
  <c r="H38" i="2"/>
  <c r="K28" i="2"/>
  <c r="H39" i="2"/>
  <c r="F39" i="2"/>
  <c r="G42" i="2"/>
  <c r="I37" i="2"/>
  <c r="E37" i="2"/>
  <c r="F42" i="2"/>
  <c r="I42" i="2"/>
  <c r="E40" i="2"/>
  <c r="J41" i="2"/>
  <c r="J39" i="2"/>
  <c r="G38" i="2"/>
  <c r="K38" i="2"/>
  <c r="H36" i="2"/>
  <c r="J42" i="2"/>
  <c r="H37" i="2"/>
  <c r="G41" i="2"/>
  <c r="K41" i="2"/>
  <c r="H33" i="2"/>
  <c r="Z33" i="2"/>
  <c r="G11" i="2"/>
  <c r="J11" i="2" s="1"/>
  <c r="J44" i="2" s="1"/>
  <c r="E39" i="2"/>
  <c r="C44" i="2"/>
  <c r="C19" i="2"/>
  <c r="C21" i="2" s="1"/>
  <c r="C23" i="2" s="1"/>
  <c r="C45" i="2"/>
  <c r="I28" i="2"/>
  <c r="J29" i="2"/>
  <c r="I44" i="2"/>
  <c r="AA33" i="2"/>
  <c r="J32" i="2"/>
  <c r="H28" i="2"/>
  <c r="I39" i="2"/>
  <c r="H40" i="2"/>
  <c r="E41" i="2"/>
  <c r="D42" i="2"/>
  <c r="J26" i="2"/>
  <c r="G37" i="2"/>
  <c r="J31" i="2"/>
  <c r="I15" i="2"/>
  <c r="F37" i="2"/>
  <c r="W33" i="2"/>
  <c r="K36" i="2"/>
  <c r="E11" i="2"/>
  <c r="I33" i="2" s="1"/>
  <c r="I40" i="2"/>
  <c r="H41" i="2"/>
  <c r="E42" i="2"/>
  <c r="AA28" i="2"/>
  <c r="Z28" i="2"/>
  <c r="J6" i="2"/>
  <c r="J27" i="2"/>
  <c r="G36" i="2"/>
  <c r="Y33" i="2"/>
  <c r="K37" i="2"/>
  <c r="I41" i="2"/>
  <c r="H42" i="2"/>
  <c r="D36" i="2"/>
  <c r="G39" i="2"/>
  <c r="Y28" i="2"/>
  <c r="AD19" i="2" l="1"/>
  <c r="AD45" i="2"/>
  <c r="AE24" i="2"/>
  <c r="AF13" i="2"/>
  <c r="AG13" i="2" s="1"/>
  <c r="AH13" i="2" s="1"/>
  <c r="AI13" i="2" s="1"/>
  <c r="AJ13" i="2" s="1"/>
  <c r="AK13" i="2" s="1"/>
  <c r="AB20" i="2"/>
  <c r="AC20" i="2" s="1"/>
  <c r="N21" i="2"/>
  <c r="AE19" i="2"/>
  <c r="AE45" i="2"/>
  <c r="AF15" i="2"/>
  <c r="AG12" i="2"/>
  <c r="AF44" i="2"/>
  <c r="AI16" i="2"/>
  <c r="AG33" i="2"/>
  <c r="L33" i="2"/>
  <c r="H44" i="2"/>
  <c r="F11" i="2"/>
  <c r="F44" i="2" s="1"/>
  <c r="G44" i="2"/>
  <c r="G15" i="2"/>
  <c r="D45" i="2"/>
  <c r="D19" i="2"/>
  <c r="D21" i="2" s="1"/>
  <c r="D23" i="2" s="1"/>
  <c r="H19" i="2"/>
  <c r="H21" i="2" s="1"/>
  <c r="H45" i="2"/>
  <c r="J15" i="2"/>
  <c r="J45" i="2" s="1"/>
  <c r="K33" i="2"/>
  <c r="K19" i="2"/>
  <c r="K21" i="2" s="1"/>
  <c r="K45" i="2"/>
  <c r="E44" i="2"/>
  <c r="E15" i="2"/>
  <c r="J33" i="2"/>
  <c r="I19" i="2"/>
  <c r="I45" i="2"/>
  <c r="J38" i="2"/>
  <c r="J28" i="2"/>
  <c r="AD20" i="2" l="1"/>
  <c r="AC21" i="2"/>
  <c r="AB21" i="2"/>
  <c r="N23" i="2"/>
  <c r="AB23" i="2" s="1"/>
  <c r="AF19" i="2"/>
  <c r="AF45" i="2"/>
  <c r="AH12" i="2"/>
  <c r="AG15" i="2"/>
  <c r="AG44" i="2"/>
  <c r="AJ16" i="2"/>
  <c r="AH33" i="2"/>
  <c r="H23" i="2"/>
  <c r="H112" i="2"/>
  <c r="G19" i="2"/>
  <c r="G21" i="2" s="1"/>
  <c r="G45" i="2"/>
  <c r="K23" i="2"/>
  <c r="K112" i="2"/>
  <c r="I21" i="2"/>
  <c r="I112" i="2" s="1"/>
  <c r="E19" i="2"/>
  <c r="E21" i="2" s="1"/>
  <c r="E23" i="2" s="1"/>
  <c r="F23" i="2" s="1"/>
  <c r="E45" i="2"/>
  <c r="F15" i="2"/>
  <c r="AB22" i="2" l="1"/>
  <c r="AC22" i="2" s="1"/>
  <c r="AD21" i="2"/>
  <c r="AE20" i="2"/>
  <c r="AH15" i="2"/>
  <c r="AI12" i="2"/>
  <c r="AH44" i="2"/>
  <c r="AG45" i="2"/>
  <c r="AG19" i="2"/>
  <c r="AK16" i="2"/>
  <c r="AI33" i="2"/>
  <c r="J19" i="2"/>
  <c r="G23" i="2"/>
  <c r="G112" i="2"/>
  <c r="F45" i="2"/>
  <c r="F19" i="2"/>
  <c r="F21" i="2" s="1"/>
  <c r="F22" i="2" s="1"/>
  <c r="I23" i="2"/>
  <c r="J21" i="2"/>
  <c r="AD22" i="2" l="1"/>
  <c r="AC23" i="2"/>
  <c r="AE21" i="2"/>
  <c r="AF20" i="2"/>
  <c r="AH19" i="2"/>
  <c r="AH45" i="2"/>
  <c r="AJ12" i="2"/>
  <c r="AI15" i="2"/>
  <c r="AI44" i="2"/>
  <c r="AJ33" i="2"/>
  <c r="J112" i="2"/>
  <c r="J23" i="2"/>
  <c r="J22" i="2" s="1"/>
  <c r="AD23" i="2" l="1"/>
  <c r="AE22" i="2"/>
  <c r="AG20" i="2"/>
  <c r="AF21" i="2"/>
  <c r="AK12" i="2"/>
  <c r="AJ15" i="2"/>
  <c r="AJ44" i="2"/>
  <c r="AI19" i="2"/>
  <c r="AI45" i="2"/>
  <c r="AF22" i="2" l="1"/>
  <c r="AE23" i="2"/>
  <c r="AH20" i="2"/>
  <c r="AG21" i="2"/>
  <c r="AK44" i="2"/>
  <c r="AK15" i="2"/>
  <c r="AJ19" i="2"/>
  <c r="AJ45" i="2"/>
  <c r="AG22" i="2" l="1"/>
  <c r="AF23" i="2"/>
  <c r="AH21" i="2"/>
  <c r="AI20" i="2"/>
  <c r="AK45" i="2"/>
  <c r="AK19" i="2"/>
  <c r="AG23" i="2" l="1"/>
  <c r="AH22" i="2"/>
  <c r="AI21" i="2"/>
  <c r="AI23" i="2" s="1"/>
  <c r="AJ20" i="2"/>
  <c r="AK20" i="2"/>
  <c r="AK21" i="2" s="1"/>
  <c r="AJ21" i="2"/>
  <c r="AI22" i="2" l="1"/>
  <c r="AJ22" i="2" s="1"/>
  <c r="AH23" i="2"/>
  <c r="AK23" i="2"/>
  <c r="AL21" i="2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EV21" i="2" s="1"/>
  <c r="EW21" i="2" s="1"/>
  <c r="EX21" i="2" s="1"/>
  <c r="EY21" i="2" s="1"/>
  <c r="EZ21" i="2" s="1"/>
  <c r="FA21" i="2" s="1"/>
  <c r="FB21" i="2" s="1"/>
  <c r="FC21" i="2" s="1"/>
  <c r="FD21" i="2" s="1"/>
  <c r="FE21" i="2" s="1"/>
  <c r="FF21" i="2" s="1"/>
  <c r="FG21" i="2" s="1"/>
  <c r="FH21" i="2" s="1"/>
  <c r="FI21" i="2" s="1"/>
  <c r="FJ21" i="2" s="1"/>
  <c r="FK21" i="2" s="1"/>
  <c r="FL21" i="2" s="1"/>
  <c r="FM21" i="2" s="1"/>
  <c r="FN21" i="2" s="1"/>
  <c r="FO21" i="2" s="1"/>
  <c r="FP21" i="2" s="1"/>
  <c r="FQ21" i="2" s="1"/>
  <c r="FR21" i="2" s="1"/>
  <c r="FS21" i="2" s="1"/>
  <c r="FT21" i="2" s="1"/>
  <c r="FU21" i="2" s="1"/>
  <c r="FV21" i="2" s="1"/>
  <c r="FW21" i="2" s="1"/>
  <c r="FX21" i="2" s="1"/>
  <c r="FY21" i="2" s="1"/>
  <c r="FZ21" i="2" s="1"/>
  <c r="GA21" i="2" s="1"/>
  <c r="GB21" i="2" s="1"/>
  <c r="GC21" i="2" s="1"/>
  <c r="GD21" i="2" s="1"/>
  <c r="GE21" i="2" s="1"/>
  <c r="GF21" i="2" s="1"/>
  <c r="GG21" i="2" s="1"/>
  <c r="GH21" i="2" s="1"/>
  <c r="GI21" i="2" s="1"/>
  <c r="GJ21" i="2" s="1"/>
  <c r="GK21" i="2" s="1"/>
  <c r="GL21" i="2" s="1"/>
  <c r="GM21" i="2" s="1"/>
  <c r="GN21" i="2" s="1"/>
  <c r="GO21" i="2" s="1"/>
  <c r="GP21" i="2" s="1"/>
  <c r="GQ21" i="2" s="1"/>
  <c r="GR21" i="2" s="1"/>
  <c r="GS21" i="2" s="1"/>
  <c r="GT21" i="2" s="1"/>
  <c r="GU21" i="2" s="1"/>
  <c r="GV21" i="2" s="1"/>
  <c r="GW21" i="2" s="1"/>
  <c r="GX21" i="2" s="1"/>
  <c r="GY21" i="2" s="1"/>
  <c r="GZ21" i="2" s="1"/>
  <c r="HA21" i="2" s="1"/>
  <c r="HB21" i="2" s="1"/>
  <c r="HC21" i="2" s="1"/>
  <c r="HD21" i="2" s="1"/>
  <c r="HE21" i="2" s="1"/>
  <c r="HF21" i="2" s="1"/>
  <c r="HG21" i="2" s="1"/>
  <c r="HH21" i="2" s="1"/>
  <c r="HI21" i="2" s="1"/>
  <c r="HJ21" i="2" s="1"/>
  <c r="HK21" i="2" s="1"/>
  <c r="HL21" i="2" s="1"/>
  <c r="HM21" i="2" s="1"/>
  <c r="HN21" i="2" s="1"/>
  <c r="HO21" i="2" s="1"/>
  <c r="HP21" i="2" s="1"/>
  <c r="HQ21" i="2" s="1"/>
  <c r="HR21" i="2" s="1"/>
  <c r="HS21" i="2" s="1"/>
  <c r="HT21" i="2" s="1"/>
  <c r="HU21" i="2" s="1"/>
  <c r="HV21" i="2" s="1"/>
  <c r="HW21" i="2" s="1"/>
  <c r="HX21" i="2" s="1"/>
  <c r="HY21" i="2" s="1"/>
  <c r="HZ21" i="2" s="1"/>
  <c r="IA21" i="2" s="1"/>
  <c r="IB21" i="2" s="1"/>
  <c r="IC21" i="2" s="1"/>
  <c r="ID21" i="2" s="1"/>
  <c r="AM28" i="2" s="1"/>
  <c r="AM30" i="2" s="1"/>
  <c r="AM32" i="2" s="1"/>
  <c r="AJ23" i="2" l="1"/>
  <c r="AK22" i="2"/>
</calcChain>
</file>

<file path=xl/sharedStrings.xml><?xml version="1.0" encoding="utf-8"?>
<sst xmlns="http://schemas.openxmlformats.org/spreadsheetml/2006/main" count="234" uniqueCount="209">
  <si>
    <t>P</t>
  </si>
  <si>
    <t>S</t>
  </si>
  <si>
    <t>MC</t>
  </si>
  <si>
    <t>C</t>
  </si>
  <si>
    <t>D</t>
  </si>
  <si>
    <t>EV</t>
  </si>
  <si>
    <t>Q125</t>
  </si>
  <si>
    <t xml:space="preserve">CEO </t>
  </si>
  <si>
    <t xml:space="preserve">CFO </t>
  </si>
  <si>
    <t>Q123</t>
  </si>
  <si>
    <t>Q224</t>
  </si>
  <si>
    <t>Q324</t>
  </si>
  <si>
    <t>Q424</t>
  </si>
  <si>
    <t>Q225</t>
  </si>
  <si>
    <t>Q325</t>
  </si>
  <si>
    <t>Q425</t>
  </si>
  <si>
    <t xml:space="preserve">Events </t>
  </si>
  <si>
    <t>Q126</t>
  </si>
  <si>
    <t>Q226</t>
  </si>
  <si>
    <t>Q326</t>
  </si>
  <si>
    <t>Q426</t>
  </si>
  <si>
    <t xml:space="preserve">Total Revenue </t>
  </si>
  <si>
    <t>Segments</t>
  </si>
  <si>
    <t>Data center</t>
  </si>
  <si>
    <t>Other</t>
  </si>
  <si>
    <t>CoR</t>
  </si>
  <si>
    <t>R&amp;D</t>
  </si>
  <si>
    <t>Sg&amp;a</t>
  </si>
  <si>
    <t>Operating Income</t>
  </si>
  <si>
    <t>Interest income</t>
  </si>
  <si>
    <t>Interest Expense</t>
  </si>
  <si>
    <t>Other Income</t>
  </si>
  <si>
    <t xml:space="preserve">EBT </t>
  </si>
  <si>
    <t>Taxes</t>
  </si>
  <si>
    <t>Net Income</t>
  </si>
  <si>
    <t>Shares</t>
  </si>
  <si>
    <t>Eps</t>
  </si>
  <si>
    <t>Compute</t>
  </si>
  <si>
    <t>Networking</t>
  </si>
  <si>
    <t>Data Center</t>
  </si>
  <si>
    <t>Gaming</t>
  </si>
  <si>
    <t>Professional Visualization</t>
  </si>
  <si>
    <t>Automotive</t>
  </si>
  <si>
    <t>OEM &amp; Other</t>
  </si>
  <si>
    <t xml:space="preserve">Growth Analysis </t>
  </si>
  <si>
    <t xml:space="preserve">Rev Segment % Total </t>
  </si>
  <si>
    <t>GM%</t>
  </si>
  <si>
    <t>OM%</t>
  </si>
  <si>
    <t>Equity</t>
  </si>
  <si>
    <t>TL + E</t>
  </si>
  <si>
    <t>A/P</t>
  </si>
  <si>
    <t>Accrued &amp; OCL</t>
  </si>
  <si>
    <t>LTD</t>
  </si>
  <si>
    <t>LT Op Lease</t>
  </si>
  <si>
    <t>OLTL</t>
  </si>
  <si>
    <t xml:space="preserve">Total Assets </t>
  </si>
  <si>
    <t xml:space="preserve">Cash </t>
  </si>
  <si>
    <t>A/R</t>
  </si>
  <si>
    <t>Inventories</t>
  </si>
  <si>
    <t>Prepaid Exp</t>
  </si>
  <si>
    <t>PPE</t>
  </si>
  <si>
    <t>Op Lease assets</t>
  </si>
  <si>
    <t>Goodwill</t>
  </si>
  <si>
    <t>Intangible assets</t>
  </si>
  <si>
    <t>Deferred i/t</t>
  </si>
  <si>
    <t>OA</t>
  </si>
  <si>
    <t/>
  </si>
  <si>
    <t xml:space="preserve">Short Term Debt </t>
  </si>
  <si>
    <t>SBC</t>
  </si>
  <si>
    <t>D&amp;A</t>
  </si>
  <si>
    <t>Securities</t>
  </si>
  <si>
    <t>Prepaid Expenses/Other</t>
  </si>
  <si>
    <t>Accrued/OCL</t>
  </si>
  <si>
    <t xml:space="preserve">CFFO </t>
  </si>
  <si>
    <t>Acquisitions, net of cash acquired</t>
  </si>
  <si>
    <t>CFFI</t>
  </si>
  <si>
    <t>Payments related to employee stock plan taxes</t>
  </si>
  <si>
    <t>Dividends Paid</t>
  </si>
  <si>
    <t>CFFF</t>
  </si>
  <si>
    <t>Free Cash Flow</t>
  </si>
  <si>
    <t xml:space="preserve">NI </t>
  </si>
  <si>
    <t>Press Release</t>
  </si>
  <si>
    <t>Jensen Huang</t>
  </si>
  <si>
    <t xml:space="preserve">Nvidia Dynamo </t>
  </si>
  <si>
    <t>Oct 27-29 GTC Washington DC</t>
  </si>
  <si>
    <t>Readings</t>
  </si>
  <si>
    <t>Cloudera Data Platform</t>
  </si>
  <si>
    <t xml:space="preserve">GPU Management &amp; Deployment </t>
  </si>
  <si>
    <t xml:space="preserve">Nvidia NeMo Curator on DGX Cloud </t>
  </si>
  <si>
    <t xml:space="preserve">Nvidia Intelligence Toolkit </t>
  </si>
  <si>
    <t xml:space="preserve">Nvidia AI Aerial </t>
  </si>
  <si>
    <t xml:space="preserve">Nvidia AI Enterprise </t>
  </si>
  <si>
    <t xml:space="preserve">Nvidia Air </t>
  </si>
  <si>
    <t xml:space="preserve">Blackwell Gpu Architecture </t>
  </si>
  <si>
    <t xml:space="preserve">Grace Cpu Architecture </t>
  </si>
  <si>
    <t>Bluefield DPU Architecture</t>
  </si>
  <si>
    <t>Nvidia Spectrum X Networking Platform</t>
  </si>
  <si>
    <t>Cloud &amp; Data Center</t>
  </si>
  <si>
    <t>Data center GPUs</t>
  </si>
  <si>
    <t>GB300 NVL72</t>
  </si>
  <si>
    <t>GB200 NVL72</t>
  </si>
  <si>
    <t>HGX</t>
  </si>
  <si>
    <t>H200</t>
  </si>
  <si>
    <t>L4</t>
  </si>
  <si>
    <t>RTX Pro 6000 Server</t>
  </si>
  <si>
    <t>Data Sheet</t>
  </si>
  <si>
    <t>H100</t>
  </si>
  <si>
    <t>Dats Sheet</t>
  </si>
  <si>
    <t>Notes</t>
  </si>
  <si>
    <t>fabless semiconductor co. --&gt; designs chips, but doesn't manufacture units [ tsmc provides most supply)</t>
  </si>
  <si>
    <t>primary focus: grahpics processing units (gpus) + software for ai, data centers, gaming, automotive, and prof visualization</t>
  </si>
  <si>
    <t>flagship data center gpus: h100, h200, gh200 grace hopper, blackwell gpus (b100, b200 launching late 2025)</t>
  </si>
  <si>
    <t>function of gpu: accelerate ai model training &amp; inference</t>
  </si>
  <si>
    <t>gpu customers: hyperscalers (amazon aws, google cloud, microsoft azure, meta) enterprise ai companies (openai, anthropic, tesla), government labs</t>
  </si>
  <si>
    <t>sales channel: direct large contracts to hyperscalers through server OEMs (dell, supermicro, etc)</t>
  </si>
  <si>
    <t xml:space="preserve">demand driver fo data center business: </t>
  </si>
  <si>
    <t>generative ai workloads</t>
  </si>
  <si>
    <t xml:space="preserve"> every qtr data centers add capacity to train larger models to serve more users</t>
  </si>
  <si>
    <t xml:space="preserve">gpus are scarce, customers buy as soon a snew supply is available </t>
  </si>
  <si>
    <t>why people may keep buying gpus every qtr?</t>
  </si>
  <si>
    <t>performance leapfrog: new architectures (hopper --&gt; blackwell) deliver huge performance/watt improvements.  Faster = saves millions in op costs</t>
  </si>
  <si>
    <t xml:space="preserve">capacity expansion: data centers don't just replace old gpus, they add racks to scale ai model serving capacity </t>
  </si>
  <si>
    <t>software evolution: nvda CUDA, cuDNN, tensorRT frameworks are updated to unlock more performance from new hardware</t>
  </si>
  <si>
    <t>competitive pressure: ai race --&gt; whoever has the most gpus win?</t>
  </si>
  <si>
    <t xml:space="preserve">hardware obsolscence: in gaming/pro viz, software/game complexity eventually outpaces old gou capability </t>
  </si>
  <si>
    <t>software stack (key, likely overlooked)</t>
  </si>
  <si>
    <t xml:space="preserve">CUDA: parallel computing platform, lets developers write gpu accelerated code </t>
  </si>
  <si>
    <t xml:space="preserve">cuDNN: gpu accelerated deep nueral network library </t>
  </si>
  <si>
    <t xml:space="preserve">TensorRT: optimizes trained ai models for fast inference </t>
  </si>
  <si>
    <t xml:space="preserve">Omniverse: 3D collaboration &amp; simulation platform </t>
  </si>
  <si>
    <t xml:space="preserve">nvda ai enterprise: paid software suite for ai development &amp; deployment </t>
  </si>
  <si>
    <t xml:space="preserve">drivers &amp; sdks: continuous updates that improve performance &amp; stability </t>
  </si>
  <si>
    <t>CUDA is properietary, once your ai workload is written for cuda, switching to amd or intel gpus requires extensive rewrites</t>
  </si>
  <si>
    <t>software updates make newer hardware much more attractive, creates built in upgrade cycles</t>
  </si>
  <si>
    <t xml:space="preserve">if ai capex from msft, goog, amazn, meta is accelerating, new prod launch cycle, cuda ecosystem expanding </t>
  </si>
  <si>
    <t xml:space="preserve">nvda weakness hurts mrvl, avgo, could boost amd if competitive issues </t>
  </si>
  <si>
    <t xml:space="preserve">if export restrictions hit data center gpu sales hard, hyperscale capex slows or next gen prod slips </t>
  </si>
  <si>
    <t xml:space="preserve">investing insight </t>
  </si>
  <si>
    <t>why do hyperscalers need new gpus/hardware frequently?</t>
  </si>
  <si>
    <t>ai models gettng bigger fast (billions to trillions parameters)</t>
  </si>
  <si>
    <t xml:space="preserve">more parameters = memore memory + more compute per training job </t>
  </si>
  <si>
    <t xml:space="preserve">each gpu has a fixed amount of compute (FLOPs) and memory bandwidth </t>
  </si>
  <si>
    <t xml:space="preserve">if you want to train in a reasonable time, you need more gpus working in parallel </t>
  </si>
  <si>
    <t xml:space="preserve">ai workloads expanding in size </t>
  </si>
  <si>
    <t xml:space="preserve">performance per watt leapfrogs each generation </t>
  </si>
  <si>
    <t xml:space="preserve">new nvda gpu can deiver 2-4x performance per unit of power vs last gen </t>
  </si>
  <si>
    <t>in the data center world, faster = cheaper over the life of the hardware (less energy cost per unit fo work)</t>
  </si>
  <si>
    <t>physical capacity limits</t>
  </si>
  <si>
    <t>data centers have physical racks where each rack holds a certain number of servers</t>
  </si>
  <si>
    <t xml:space="preserve">when racks fill, they either: add more racks (requires space, power, cooling) or replace old servers with newer, denser, more powerful ones </t>
  </si>
  <si>
    <t xml:space="preserve">Meaning of capacity in AI terms </t>
  </si>
  <si>
    <t xml:space="preserve">classical ml (small models): fit easily oon cpus or one consumer grade gpu, demand is minimal </t>
  </si>
  <si>
    <t xml:space="preserve">modern ai (large models): training gpt-4-level models requires thousands of top tier gpus in parallel </t>
  </si>
  <si>
    <t xml:space="preserve">capacity = total compute available for jobs at any given time </t>
  </si>
  <si>
    <t xml:space="preserve">its measures in PFLOPs (petaflops) or gpu hours </t>
  </si>
  <si>
    <t xml:space="preserve">each job consumers some portion of that capacity for as long as it runs </t>
  </si>
  <si>
    <t>example</t>
  </si>
  <si>
    <t>you have a cluster with 1,000 gpus</t>
  </si>
  <si>
    <t xml:space="preserve">a training job needs 256gpus for 3 weeks, those gpus are occupied (capacity tied up) until it finishes </t>
  </si>
  <si>
    <t>if new customers/jobs arrive, you either wait in a queue or buy/install more gpus</t>
  </si>
  <si>
    <t xml:space="preserve">The CAPEX process </t>
  </si>
  <si>
    <t>1. hyperscaler places. Amulti-million/billion dolar order with nvda or an oem (dell/supermicro,etc) for gpu servers</t>
  </si>
  <si>
    <t>2. nvda designs the cpu, tsmc fabs the chip, nvda sells gpu boards to svr manufacturers (oems), oems assemble the gpu into full svrs with cpus, memory, storage, networking</t>
  </si>
  <si>
    <t xml:space="preserve">3. units are crated and shipped toa. Data center facility </t>
  </si>
  <si>
    <t xml:space="preserve">4. data center team signs off on delivery at the dock </t>
  </si>
  <si>
    <t>5. servers are installed into racks, power and networking cables connected, gpus configured and linkedin via nvlink/infiniBand</t>
  </si>
  <si>
    <t>6. servers are added into the hyperscalers cluster management system, gpu resources are now online and schedulable for jobs</t>
  </si>
  <si>
    <t>7. once insalled: hyperscaler teams (or external customers) submit AI training or inference jobs</t>
  </si>
  <si>
    <t>training jobs use huge batches of data, run for days/weeks, keep gpus at 90-100% utilization</t>
  </si>
  <si>
    <t xml:space="preserve">inference jobs serve ai models to milions of users, gpus must stay available 24/7 for low latency responses </t>
  </si>
  <si>
    <t>as jobs pile up, utilization hits limits --&gt; more gpus are ordered</t>
  </si>
  <si>
    <t xml:space="preserve">8. why this may mean recurring sales for nvidia </t>
  </si>
  <si>
    <t xml:space="preserve">ai demand isn't 1 and done, once. Hyperscaler has a big cluster, they still need: </t>
  </si>
  <si>
    <t>more gpus as demand grows</t>
  </si>
  <si>
    <t>new gpus to lower cost per job</t>
  </si>
  <si>
    <t>replacement gpus whe old ones age out (3-5yr refresh cycle)</t>
  </si>
  <si>
    <t xml:space="preserve">hyperscalers also expand to new data centers globally to reduce latency --&gt; each site needs it own hardware build out </t>
  </si>
  <si>
    <t xml:space="preserve">AI server = recangle containing 2 CPUs, 4-8 GPUs, big ram + gpu vram, SSd storage, high speed NICs, power &amp; cooling, mounted rack slot in data center </t>
  </si>
  <si>
    <t xml:space="preserve">Proceeds from maturities of marketable securities </t>
  </si>
  <si>
    <t xml:space="preserve">Proceeds from sales of marketable securities </t>
  </si>
  <si>
    <t xml:space="preserve">Proceeds from sales of non-mark equity securities </t>
  </si>
  <si>
    <t xml:space="preserve">Purchases of marketable securities </t>
  </si>
  <si>
    <t>Purchase related to PPE and intangible assets</t>
  </si>
  <si>
    <t>Purchases of Non-Marketable Security Buys</t>
  </si>
  <si>
    <t>Proceeds from sales of investments in non-affiliated</t>
  </si>
  <si>
    <t>Purchases of investments in non affiliated entities</t>
  </si>
  <si>
    <t>Proceeds related to employee stock plans</t>
  </si>
  <si>
    <t>Payments related to repurchases of common</t>
  </si>
  <si>
    <t>Principal payments on PPE/intangible assets</t>
  </si>
  <si>
    <t xml:space="preserve">Repayment of Debt </t>
  </si>
  <si>
    <t>Cash Increase</t>
  </si>
  <si>
    <t>Total Debt</t>
  </si>
  <si>
    <t xml:space="preserve">Total Cash </t>
  </si>
  <si>
    <t>Net Cash</t>
  </si>
  <si>
    <t xml:space="preserve">Tangible Book Value </t>
  </si>
  <si>
    <t>Colette Kress</t>
  </si>
  <si>
    <t>Capex</t>
  </si>
  <si>
    <t>Depre</t>
  </si>
  <si>
    <t>cRPO</t>
  </si>
  <si>
    <t>RPO</t>
  </si>
  <si>
    <t>cRPO as % of RPO</t>
  </si>
  <si>
    <t>Change in RPO</t>
  </si>
  <si>
    <t>Deferred</t>
  </si>
  <si>
    <t xml:space="preserve">Unbilled </t>
  </si>
  <si>
    <t xml:space="preserve">Terminal </t>
  </si>
  <si>
    <t xml:space="preserve">Discount </t>
  </si>
  <si>
    <t>NPV</t>
  </si>
  <si>
    <t xml:space="preserve">Estimate </t>
  </si>
  <si>
    <t>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</si>
</sst>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#,##0.0"/>
    <numFmt numFmtId="165" formatCode="m/d;@"/>
    <numFmt numFmtId="166" formatCode="0.0"/>
    <numFmt numFmtId="167" formatCode="0.0%"/>
  </numFmts>
  <fonts count="7" x14ac:knownFonts="1">
    <font>
      <sz val="12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u/>
      <sz val="12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164" fontId="0" fillId="0" borderId="0" xfId="0" applyNumberFormat="1"/>
    <xf numFmtId="3" fontId="0" fillId="0" borderId="0" xfId="0" applyNumberFormat="1"/>
    <xf numFmtId="1" fontId="0" fillId="0" borderId="0" xfId="0" applyNumberFormat="1"/>
    <xf numFmtId="3" fontId="1" fillId="0" borderId="0" xfId="0" applyNumberFormat="1" applyFont="1"/>
    <xf numFmtId="3" fontId="0" fillId="0" borderId="1" xfId="0" applyNumberFormat="1" applyBorder="1"/>
    <xf numFmtId="3" fontId="0" fillId="0" borderId="0" xfId="0" applyNumberFormat="1" applyAlignment="1">
      <alignment horizontal="center"/>
    </xf>
    <xf numFmtId="165" fontId="0" fillId="0" borderId="0" xfId="0" applyNumberFormat="1"/>
    <xf numFmtId="1" fontId="0" fillId="0" borderId="0" xfId="0" applyNumberFormat="1" applyAlignment="1">
      <alignment horizontal="left" indent="1"/>
    </xf>
    <xf numFmtId="9" fontId="0" fillId="0" borderId="0" xfId="0" applyNumberFormat="1" applyAlignment="1">
      <alignment horizontal="left" indent="1"/>
    </xf>
    <xf numFmtId="9" fontId="0" fillId="0" borderId="0" xfId="0" applyNumberFormat="1"/>
    <xf numFmtId="3" fontId="2" fillId="0" borderId="0" xfId="0" applyNumberFormat="1" applyFont="1"/>
    <xf numFmtId="3" fontId="3" fillId="0" borderId="0" xfId="1" applyNumberFormat="1"/>
    <xf numFmtId="167" fontId="0" fillId="0" borderId="0" xfId="0" applyNumberFormat="1"/>
    <xf numFmtId="14" fontId="0" fillId="0" borderId="0" xfId="0" applyNumberFormat="1"/>
    <xf numFmtId="0" fontId="3" fillId="0" borderId="0" xfId="1"/>
    <xf numFmtId="14" fontId="0" fillId="0" borderId="0" xfId="0" applyNumberFormat="1" applyAlignment="1">
      <alignment horizontal="left"/>
    </xf>
    <xf numFmtId="14" fontId="3" fillId="0" borderId="0" xfId="1" applyNumberForma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3" fontId="0" fillId="0" borderId="0" xfId="0" applyNumberFormat="1" applyAlignment="1">
      <alignment horizontal="left" indent="1"/>
    </xf>
    <xf numFmtId="3" fontId="2" fillId="0" borderId="0" xfId="0" applyNumberFormat="1" applyFont="1" applyAlignment="1">
      <alignment horizontal="left"/>
    </xf>
    <xf numFmtId="3" fontId="6" fillId="2" borderId="0" xfId="0" applyNumberFormat="1" applyFont="1" applyFill="1"/>
    <xf numFmtId="165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3" fontId="0" fillId="0" borderId="0" xfId="0" quotePrefix="1" applyNumberFormat="1" applyAlignment="1">
      <alignment horizontal="right"/>
    </xf>
    <xf numFmtId="3" fontId="2" fillId="0" borderId="0" xfId="0" applyNumberFormat="1" applyFont="1" applyAlignment="1">
      <alignment horizontal="right"/>
    </xf>
    <xf numFmtId="9" fontId="5" fillId="0" borderId="0" xfId="0" applyNumberFormat="1" applyFont="1" applyAlignment="1">
      <alignment horizontal="right"/>
    </xf>
    <xf numFmtId="3" fontId="0" fillId="3" borderId="0" xfId="0" applyNumberFormat="1" applyFill="1" applyAlignment="1">
      <alignment horizontal="right"/>
    </xf>
    <xf numFmtId="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31235</xdr:colOff>
      <xdr:row>0</xdr:row>
      <xdr:rowOff>5745</xdr:rowOff>
    </xdr:from>
    <xdr:to>
      <xdr:col>13</xdr:col>
      <xdr:colOff>46213</xdr:colOff>
      <xdr:row>127</xdr:row>
      <xdr:rowOff>52631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6EF0234-C2F9-B1FD-5D54-62C4E9C6D2CA}"/>
            </a:ext>
          </a:extLst>
        </xdr:cNvPr>
        <xdr:cNvCxnSpPr/>
      </xdr:nvCxnSpPr>
      <xdr:spPr>
        <a:xfrm>
          <a:off x="9337009" y="5745"/>
          <a:ext cx="14978" cy="255602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38100</xdr:colOff>
      <xdr:row>0</xdr:row>
      <xdr:rowOff>0</xdr:rowOff>
    </xdr:from>
    <xdr:to>
      <xdr:col>27</xdr:col>
      <xdr:colOff>63500</xdr:colOff>
      <xdr:row>57</xdr:row>
      <xdr:rowOff>101600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CA28FA0-8349-E947-9583-8685F1487E44}"/>
            </a:ext>
          </a:extLst>
        </xdr:cNvPr>
        <xdr:cNvCxnSpPr/>
      </xdr:nvCxnSpPr>
      <xdr:spPr>
        <a:xfrm>
          <a:off x="14490700" y="0"/>
          <a:ext cx="25400" cy="1168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vidia.com/en-us/events/siggraph/" TargetMode="External"/><Relationship Id="rId2" Type="http://schemas.openxmlformats.org/officeDocument/2006/relationships/hyperlink" Target="https://blogs.nvidia.com/blog/openai-gpt-oss/" TargetMode="External"/><Relationship Id="rId1" Type="http://schemas.openxmlformats.org/officeDocument/2006/relationships/hyperlink" Target="https://nvidianews.nvidia.com/news/nvidia-announces-financial-results-for-first-quarter-fiscal-2026" TargetMode="External"/><Relationship Id="rId6" Type="http://schemas.openxmlformats.org/officeDocument/2006/relationships/hyperlink" Target="https://developer.nvidia.com/blog/nvidia-dynamo-adds-support-for-aws-services-to-deliver-cost-efficient-inference-at-scale/" TargetMode="External"/><Relationship Id="rId5" Type="http://schemas.openxmlformats.org/officeDocument/2006/relationships/hyperlink" Target="https://blogs.nvidia.com/blog/rtx-ai-garage-openai-oss/" TargetMode="External"/><Relationship Id="rId4" Type="http://schemas.openxmlformats.org/officeDocument/2006/relationships/hyperlink" Target="https://developer.nvidia.com/blog/delivering-1-5-m-tps-inference-on-nvidia-gb200-nvl72-nvidia-accelerates-openai-gpt-oss-models-from-cloud-to-edge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nvidia.com/networking-ethernet-software/nvidia-air/" TargetMode="External"/><Relationship Id="rId13" Type="http://schemas.openxmlformats.org/officeDocument/2006/relationships/hyperlink" Target="https://www.nvidia.com/en-us/data-center/gb300-nvl72/" TargetMode="External"/><Relationship Id="rId18" Type="http://schemas.openxmlformats.org/officeDocument/2006/relationships/hyperlink" Target="https://www.nvidia.com/en-us/data-center/rtx-pro-6000-blackwell-server-edition/" TargetMode="External"/><Relationship Id="rId3" Type="http://schemas.openxmlformats.org/officeDocument/2006/relationships/hyperlink" Target="https://docs.nvidia.com/deploy/index.html" TargetMode="External"/><Relationship Id="rId21" Type="http://schemas.openxmlformats.org/officeDocument/2006/relationships/hyperlink" Target="https://www.nvidia.com/en-us/data-center/h100/" TargetMode="External"/><Relationship Id="rId7" Type="http://schemas.openxmlformats.org/officeDocument/2006/relationships/hyperlink" Target="https://docs.nvidia.com/ai-enterprise/index.html" TargetMode="External"/><Relationship Id="rId12" Type="http://schemas.openxmlformats.org/officeDocument/2006/relationships/hyperlink" Target="https://www.nvidia.com/en-us/networking/spectrumx/" TargetMode="External"/><Relationship Id="rId17" Type="http://schemas.openxmlformats.org/officeDocument/2006/relationships/hyperlink" Target="https://www.nvidia.com/en-us/data-center/l4/" TargetMode="External"/><Relationship Id="rId2" Type="http://schemas.openxmlformats.org/officeDocument/2006/relationships/hyperlink" Target="https://docs.nvidia.com/cloudera/reference-architecture-nvidia-cloudera-components.html" TargetMode="External"/><Relationship Id="rId16" Type="http://schemas.openxmlformats.org/officeDocument/2006/relationships/hyperlink" Target="https://www.nvidia.com/en-us/data-center/h200/" TargetMode="External"/><Relationship Id="rId20" Type="http://schemas.openxmlformats.org/officeDocument/2006/relationships/hyperlink" Target="https://resources.nvidia.com/en-us-gpu-resources/h100-datasheet-24306?lx=CPwSfP" TargetMode="External"/><Relationship Id="rId1" Type="http://schemas.openxmlformats.org/officeDocument/2006/relationships/hyperlink" Target="https://github.com/ai-dynamo" TargetMode="External"/><Relationship Id="rId6" Type="http://schemas.openxmlformats.org/officeDocument/2006/relationships/hyperlink" Target="https://docs.nvidia.com/aerial/index.html" TargetMode="External"/><Relationship Id="rId11" Type="http://schemas.openxmlformats.org/officeDocument/2006/relationships/hyperlink" Target="https://www.nvidia.com/en-us/networking/products/data-processing-unit/" TargetMode="External"/><Relationship Id="rId5" Type="http://schemas.openxmlformats.org/officeDocument/2006/relationships/hyperlink" Target="https://docs.nvidia.com/aiqtoolkit/index.html" TargetMode="External"/><Relationship Id="rId15" Type="http://schemas.openxmlformats.org/officeDocument/2006/relationships/hyperlink" Target="https://www.nvidia.com/en-us/data-center/hgx/" TargetMode="External"/><Relationship Id="rId10" Type="http://schemas.openxmlformats.org/officeDocument/2006/relationships/hyperlink" Target="https://www.nvidia.com/en-us/data-center/grace-cpu/" TargetMode="External"/><Relationship Id="rId19" Type="http://schemas.openxmlformats.org/officeDocument/2006/relationships/hyperlink" Target="https://resources.nvidia.com/en-us-gpu-resources/hpc-datasheet-sc23?lx=CPwSfP" TargetMode="External"/><Relationship Id="rId4" Type="http://schemas.openxmlformats.org/officeDocument/2006/relationships/hyperlink" Target="https://docs.nvidia.com/dgx-cloud/nemo-dgx-cloud/current/" TargetMode="External"/><Relationship Id="rId9" Type="http://schemas.openxmlformats.org/officeDocument/2006/relationships/hyperlink" Target="https://resources.nvidia.com/en-us-blackwell-architecture" TargetMode="External"/><Relationship Id="rId14" Type="http://schemas.openxmlformats.org/officeDocument/2006/relationships/hyperlink" Target="https://www.nvidia.com/en-us/data-center/gb200-nvl72/" TargetMode="External"/><Relationship Id="rId22" Type="http://schemas.openxmlformats.org/officeDocument/2006/relationships/hyperlink" Target="https://resources.nvidia.com/en-us-gpu-resources/l4-tensor-datasheet?lx=CPwSf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6837-64DD-214C-8CDA-FD021329E3C2}">
  <dimension ref="B3:L87"/>
  <sheetViews>
    <sheetView tabSelected="1" zoomScale="119" workbookViewId="0">
      <selection activeCell="C10" sqref="C10"/>
    </sheetView>
  </sheetViews>
  <sheetFormatPr baseColWidth="10" defaultRowHeight="16" x14ac:dyDescent="0.2"/>
  <cols>
    <col min="1" max="1" width="1.83203125" style="2" customWidth="1"/>
    <col min="2" max="2" width="13" style="2" customWidth="1"/>
    <col min="3" max="3" width="12.1640625" style="2" bestFit="1" customWidth="1"/>
    <col min="4" max="5" width="10.83203125" style="2"/>
    <col min="6" max="6" width="4" style="2" bestFit="1" customWidth="1"/>
    <col min="7" max="7" width="14.6640625" style="2" bestFit="1" customWidth="1"/>
    <col min="8" max="8" width="5.5" style="2" bestFit="1" customWidth="1"/>
    <col min="9" max="9" width="10.83203125" style="14"/>
    <col min="10" max="11" width="10.83203125" style="2"/>
    <col min="12" max="12" width="122.5" style="2" bestFit="1" customWidth="1"/>
    <col min="13" max="16384" width="10.83203125" style="2"/>
  </cols>
  <sheetData>
    <row r="3" spans="2:12" x14ac:dyDescent="0.2">
      <c r="F3" s="2" t="s">
        <v>0</v>
      </c>
      <c r="G3" s="2">
        <v>182</v>
      </c>
    </row>
    <row r="4" spans="2:12" x14ac:dyDescent="0.2">
      <c r="B4" s="2" t="s">
        <v>7</v>
      </c>
      <c r="C4" s="2" t="s">
        <v>82</v>
      </c>
      <c r="F4" s="2" t="s">
        <v>1</v>
      </c>
      <c r="G4" s="2">
        <f>24.3*1000</f>
        <v>24300</v>
      </c>
      <c r="H4" s="2" t="s">
        <v>14</v>
      </c>
    </row>
    <row r="5" spans="2:12" x14ac:dyDescent="0.2">
      <c r="B5" s="2" t="s">
        <v>8</v>
      </c>
      <c r="C5" s="2" t="s">
        <v>195</v>
      </c>
      <c r="F5" s="5" t="s">
        <v>2</v>
      </c>
      <c r="G5" s="5">
        <f>+G3*G4</f>
        <v>4422600</v>
      </c>
      <c r="L5" s="2" t="s">
        <v>108</v>
      </c>
    </row>
    <row r="6" spans="2:12" x14ac:dyDescent="0.2">
      <c r="F6" s="2" t="s">
        <v>3</v>
      </c>
      <c r="G6" s="2">
        <f>11486+49122</f>
        <v>60608</v>
      </c>
      <c r="H6" s="2" t="str">
        <f>+H4</f>
        <v>Q325</v>
      </c>
      <c r="L6" s="2" t="s">
        <v>109</v>
      </c>
    </row>
    <row r="7" spans="2:12" x14ac:dyDescent="0.2">
      <c r="B7" s="2" t="s">
        <v>22</v>
      </c>
      <c r="F7" s="2" t="s">
        <v>4</v>
      </c>
      <c r="G7" s="2">
        <f>999+7468</f>
        <v>8467</v>
      </c>
      <c r="H7" s="2" t="str">
        <f>+H6</f>
        <v>Q325</v>
      </c>
      <c r="L7" s="2" t="s">
        <v>110</v>
      </c>
    </row>
    <row r="8" spans="2:12" x14ac:dyDescent="0.2">
      <c r="B8" s="6" t="s">
        <v>23</v>
      </c>
      <c r="F8" s="5" t="s">
        <v>5</v>
      </c>
      <c r="G8" s="5">
        <f>+G5-G6+G7</f>
        <v>4370459</v>
      </c>
      <c r="L8" s="2" t="s">
        <v>111</v>
      </c>
    </row>
    <row r="9" spans="2:12" x14ac:dyDescent="0.2">
      <c r="L9" s="2" t="s">
        <v>112</v>
      </c>
    </row>
    <row r="10" spans="2:12" x14ac:dyDescent="0.2">
      <c r="L10" s="2" t="s">
        <v>113</v>
      </c>
    </row>
    <row r="11" spans="2:12" x14ac:dyDescent="0.2">
      <c r="G11" s="2">
        <f>+G5+175000000</f>
        <v>179422600</v>
      </c>
      <c r="L11" s="2" t="s">
        <v>114</v>
      </c>
    </row>
    <row r="12" spans="2:12" x14ac:dyDescent="0.2">
      <c r="G12" s="2">
        <f>+G11/G4</f>
        <v>7383.6460905349795</v>
      </c>
      <c r="L12" s="2" t="s">
        <v>115</v>
      </c>
    </row>
    <row r="13" spans="2:12" x14ac:dyDescent="0.2">
      <c r="L13" s="20" t="s">
        <v>116</v>
      </c>
    </row>
    <row r="14" spans="2:12" x14ac:dyDescent="0.2">
      <c r="L14" s="20" t="s">
        <v>117</v>
      </c>
    </row>
    <row r="15" spans="2:12" x14ac:dyDescent="0.2">
      <c r="I15" s="16"/>
      <c r="L15" s="20" t="s">
        <v>118</v>
      </c>
    </row>
    <row r="16" spans="2:12" x14ac:dyDescent="0.2">
      <c r="B16" s="4" t="s">
        <v>81</v>
      </c>
      <c r="D16" s="2" t="s">
        <v>16</v>
      </c>
      <c r="I16" s="16" t="s">
        <v>85</v>
      </c>
    </row>
    <row r="17" spans="2:12" x14ac:dyDescent="0.2">
      <c r="B17" s="12" t="s">
        <v>17</v>
      </c>
      <c r="D17" s="2" t="s">
        <v>84</v>
      </c>
      <c r="I17" s="17">
        <v>45874</v>
      </c>
      <c r="L17" s="18" t="s">
        <v>119</v>
      </c>
    </row>
    <row r="18" spans="2:12" x14ac:dyDescent="0.2">
      <c r="I18" s="17">
        <v>40400</v>
      </c>
      <c r="L18" s="2" t="s">
        <v>120</v>
      </c>
    </row>
    <row r="19" spans="2:12" x14ac:dyDescent="0.2">
      <c r="I19" s="17">
        <v>45874</v>
      </c>
      <c r="L19" s="2" t="s">
        <v>121</v>
      </c>
    </row>
    <row r="20" spans="2:12" x14ac:dyDescent="0.2">
      <c r="I20" s="17">
        <v>45874</v>
      </c>
      <c r="L20" s="2" t="s">
        <v>122</v>
      </c>
    </row>
    <row r="21" spans="2:12" x14ac:dyDescent="0.2">
      <c r="I21" s="17">
        <v>45853</v>
      </c>
      <c r="L21" s="2" t="s">
        <v>123</v>
      </c>
    </row>
    <row r="22" spans="2:12" x14ac:dyDescent="0.2">
      <c r="I22" s="16"/>
      <c r="L22" s="2" t="s">
        <v>124</v>
      </c>
    </row>
    <row r="23" spans="2:12" x14ac:dyDescent="0.2">
      <c r="I23" s="16"/>
    </row>
    <row r="25" spans="2:12" x14ac:dyDescent="0.2">
      <c r="L25" s="11" t="s">
        <v>125</v>
      </c>
    </row>
    <row r="26" spans="2:12" x14ac:dyDescent="0.2">
      <c r="L26" s="2" t="s">
        <v>126</v>
      </c>
    </row>
    <row r="27" spans="2:12" x14ac:dyDescent="0.2">
      <c r="L27" s="2" t="s">
        <v>127</v>
      </c>
    </row>
    <row r="28" spans="2:12" x14ac:dyDescent="0.2">
      <c r="L28" s="2" t="s">
        <v>128</v>
      </c>
    </row>
    <row r="29" spans="2:12" x14ac:dyDescent="0.2">
      <c r="L29" s="2" t="s">
        <v>129</v>
      </c>
    </row>
    <row r="30" spans="2:12" x14ac:dyDescent="0.2">
      <c r="L30" s="2" t="s">
        <v>130</v>
      </c>
    </row>
    <row r="31" spans="2:12" x14ac:dyDescent="0.2">
      <c r="L31" s="2" t="s">
        <v>131</v>
      </c>
    </row>
    <row r="33" spans="12:12" x14ac:dyDescent="0.2">
      <c r="L33" s="2" t="s">
        <v>132</v>
      </c>
    </row>
    <row r="34" spans="12:12" x14ac:dyDescent="0.2">
      <c r="L34" s="2" t="s">
        <v>133</v>
      </c>
    </row>
    <row r="36" spans="12:12" x14ac:dyDescent="0.2">
      <c r="L36" s="11" t="s">
        <v>137</v>
      </c>
    </row>
    <row r="37" spans="12:12" x14ac:dyDescent="0.2">
      <c r="L37" s="2" t="s">
        <v>134</v>
      </c>
    </row>
    <row r="38" spans="12:12" x14ac:dyDescent="0.2">
      <c r="L38" s="19" t="s">
        <v>136</v>
      </c>
    </row>
    <row r="39" spans="12:12" x14ac:dyDescent="0.2">
      <c r="L39" s="2" t="s">
        <v>135</v>
      </c>
    </row>
    <row r="42" spans="12:12" x14ac:dyDescent="0.2">
      <c r="L42" s="22" t="s">
        <v>138</v>
      </c>
    </row>
    <row r="43" spans="12:12" x14ac:dyDescent="0.2">
      <c r="L43" s="11" t="s">
        <v>143</v>
      </c>
    </row>
    <row r="44" spans="12:12" x14ac:dyDescent="0.2">
      <c r="L44" s="20" t="s">
        <v>139</v>
      </c>
    </row>
    <row r="45" spans="12:12" x14ac:dyDescent="0.2">
      <c r="L45" s="20" t="s">
        <v>140</v>
      </c>
    </row>
    <row r="46" spans="12:12" x14ac:dyDescent="0.2">
      <c r="L46" s="20" t="s">
        <v>141</v>
      </c>
    </row>
    <row r="47" spans="12:12" x14ac:dyDescent="0.2">
      <c r="L47" s="20" t="s">
        <v>142</v>
      </c>
    </row>
    <row r="48" spans="12:12" x14ac:dyDescent="0.2">
      <c r="L48" s="21" t="s">
        <v>144</v>
      </c>
    </row>
    <row r="49" spans="12:12" x14ac:dyDescent="0.2">
      <c r="L49" s="20" t="s">
        <v>145</v>
      </c>
    </row>
    <row r="50" spans="12:12" x14ac:dyDescent="0.2">
      <c r="L50" s="20" t="s">
        <v>146</v>
      </c>
    </row>
    <row r="51" spans="12:12" x14ac:dyDescent="0.2">
      <c r="L51" s="21" t="s">
        <v>147</v>
      </c>
    </row>
    <row r="52" spans="12:12" x14ac:dyDescent="0.2">
      <c r="L52" s="2" t="s">
        <v>148</v>
      </c>
    </row>
    <row r="53" spans="12:12" x14ac:dyDescent="0.2">
      <c r="L53" s="2" t="s">
        <v>149</v>
      </c>
    </row>
    <row r="56" spans="12:12" x14ac:dyDescent="0.2">
      <c r="L56" s="11" t="s">
        <v>150</v>
      </c>
    </row>
    <row r="57" spans="12:12" x14ac:dyDescent="0.2">
      <c r="L57" s="2" t="s">
        <v>151</v>
      </c>
    </row>
    <row r="58" spans="12:12" x14ac:dyDescent="0.2">
      <c r="L58" s="2" t="s">
        <v>152</v>
      </c>
    </row>
    <row r="59" spans="12:12" x14ac:dyDescent="0.2">
      <c r="L59" s="11" t="s">
        <v>153</v>
      </c>
    </row>
    <row r="60" spans="12:12" x14ac:dyDescent="0.2">
      <c r="L60" s="20" t="s">
        <v>154</v>
      </c>
    </row>
    <row r="61" spans="12:12" x14ac:dyDescent="0.2">
      <c r="L61" s="20" t="s">
        <v>155</v>
      </c>
    </row>
    <row r="62" spans="12:12" x14ac:dyDescent="0.2">
      <c r="L62" s="2" t="s">
        <v>156</v>
      </c>
    </row>
    <row r="63" spans="12:12" x14ac:dyDescent="0.2">
      <c r="L63" s="2" t="s">
        <v>157</v>
      </c>
    </row>
    <row r="64" spans="12:12" x14ac:dyDescent="0.2">
      <c r="L64" s="2" t="s">
        <v>158</v>
      </c>
    </row>
    <row r="65" spans="12:12" x14ac:dyDescent="0.2">
      <c r="L65" s="2" t="s">
        <v>159</v>
      </c>
    </row>
    <row r="68" spans="12:12" x14ac:dyDescent="0.2">
      <c r="L68" s="11" t="s">
        <v>160</v>
      </c>
    </row>
    <row r="69" spans="12:12" x14ac:dyDescent="0.2">
      <c r="L69" s="2" t="s">
        <v>161</v>
      </c>
    </row>
    <row r="70" spans="12:12" x14ac:dyDescent="0.2">
      <c r="L70" s="2" t="s">
        <v>162</v>
      </c>
    </row>
    <row r="71" spans="12:12" x14ac:dyDescent="0.2">
      <c r="L71" s="2" t="s">
        <v>163</v>
      </c>
    </row>
    <row r="72" spans="12:12" x14ac:dyDescent="0.2">
      <c r="L72" s="2" t="s">
        <v>164</v>
      </c>
    </row>
    <row r="73" spans="12:12" x14ac:dyDescent="0.2">
      <c r="L73" s="2" t="s">
        <v>165</v>
      </c>
    </row>
    <row r="74" spans="12:12" x14ac:dyDescent="0.2">
      <c r="L74" s="2" t="s">
        <v>166</v>
      </c>
    </row>
    <row r="75" spans="12:12" x14ac:dyDescent="0.2">
      <c r="L75" s="2" t="s">
        <v>167</v>
      </c>
    </row>
    <row r="76" spans="12:12" x14ac:dyDescent="0.2">
      <c r="L76" s="20" t="s">
        <v>168</v>
      </c>
    </row>
    <row r="77" spans="12:12" x14ac:dyDescent="0.2">
      <c r="L77" s="20" t="s">
        <v>169</v>
      </c>
    </row>
    <row r="78" spans="12:12" x14ac:dyDescent="0.2">
      <c r="L78" s="20" t="s">
        <v>170</v>
      </c>
    </row>
    <row r="79" spans="12:12" x14ac:dyDescent="0.2">
      <c r="L79" s="11" t="s">
        <v>171</v>
      </c>
    </row>
    <row r="80" spans="12:12" x14ac:dyDescent="0.2">
      <c r="L80" s="2" t="s">
        <v>172</v>
      </c>
    </row>
    <row r="81" spans="12:12" x14ac:dyDescent="0.2">
      <c r="L81" s="2" t="s">
        <v>173</v>
      </c>
    </row>
    <row r="82" spans="12:12" x14ac:dyDescent="0.2">
      <c r="L82" s="2" t="s">
        <v>174</v>
      </c>
    </row>
    <row r="83" spans="12:12" x14ac:dyDescent="0.2">
      <c r="L83" s="2" t="s">
        <v>175</v>
      </c>
    </row>
    <row r="84" spans="12:12" x14ac:dyDescent="0.2">
      <c r="L84" s="2" t="s">
        <v>176</v>
      </c>
    </row>
    <row r="87" spans="12:12" x14ac:dyDescent="0.2">
      <c r="L87" s="2" t="s">
        <v>177</v>
      </c>
    </row>
  </sheetData>
  <hyperlinks>
    <hyperlink ref="B17" r:id="rId1" xr:uid="{D599C2A1-6349-DA43-ACC4-139BBA0DAB95}"/>
    <hyperlink ref="I17" r:id="rId2" display="https://blogs.nvidia.com/blog/openai-gpt-oss/" xr:uid="{9948A281-48FC-0D49-8B43-FF6C740A8763}"/>
    <hyperlink ref="I18" r:id="rId3" display="https://www.nvidia.com/en-us/events/siggraph/" xr:uid="{D4867767-68A3-C846-9F6D-EB508A31F353}"/>
    <hyperlink ref="I19" r:id="rId4" display="https://developer.nvidia.com/blog/delivering-1-5-m-tps-inference-on-nvidia-gb200-nvl72-nvidia-accelerates-openai-gpt-oss-models-from-cloud-to-edge/" xr:uid="{7DF63F61-9824-614D-8257-9934C43EE91F}"/>
    <hyperlink ref="I20" r:id="rId5" display="https://blogs.nvidia.com/blog/rtx-ai-garage-openai-oss/" xr:uid="{58A5A6EE-1B63-9C4C-A974-88CF565B74FD}"/>
    <hyperlink ref="I21" r:id="rId6" display="https://developer.nvidia.com/blog/nvidia-dynamo-adds-support-for-aws-services-to-deliver-cost-efficient-inference-at-scale/" xr:uid="{BE28B631-AD3C-EA47-99CD-DFFE81CA40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2FAB-55E1-3A45-AB8A-2C8F647D30B0}">
  <dimension ref="B3:C26"/>
  <sheetViews>
    <sheetView topLeftCell="A2" zoomScale="137" workbookViewId="0">
      <selection activeCell="D11" sqref="D11"/>
    </sheetView>
  </sheetViews>
  <sheetFormatPr baseColWidth="10" defaultRowHeight="16" x14ac:dyDescent="0.2"/>
  <cols>
    <col min="1" max="1" width="3.1640625" customWidth="1"/>
    <col min="2" max="2" width="27.83203125" customWidth="1"/>
  </cols>
  <sheetData>
    <row r="3" spans="2:2" x14ac:dyDescent="0.2">
      <c r="B3" s="15" t="s">
        <v>83</v>
      </c>
    </row>
    <row r="5" spans="2:2" x14ac:dyDescent="0.2">
      <c r="B5" s="15" t="s">
        <v>86</v>
      </c>
    </row>
    <row r="6" spans="2:2" x14ac:dyDescent="0.2">
      <c r="B6" s="15" t="s">
        <v>87</v>
      </c>
    </row>
    <row r="7" spans="2:2" x14ac:dyDescent="0.2">
      <c r="B7" s="15" t="s">
        <v>88</v>
      </c>
    </row>
    <row r="8" spans="2:2" x14ac:dyDescent="0.2">
      <c r="B8" s="15" t="s">
        <v>89</v>
      </c>
    </row>
    <row r="9" spans="2:2" x14ac:dyDescent="0.2">
      <c r="B9" s="15" t="s">
        <v>90</v>
      </c>
    </row>
    <row r="10" spans="2:2" x14ac:dyDescent="0.2">
      <c r="B10" s="15" t="s">
        <v>91</v>
      </c>
    </row>
    <row r="11" spans="2:2" x14ac:dyDescent="0.2">
      <c r="B11" s="15" t="s">
        <v>92</v>
      </c>
    </row>
    <row r="12" spans="2:2" x14ac:dyDescent="0.2">
      <c r="B12" s="15"/>
    </row>
    <row r="13" spans="2:2" x14ac:dyDescent="0.2">
      <c r="B13" t="s">
        <v>97</v>
      </c>
    </row>
    <row r="14" spans="2:2" x14ac:dyDescent="0.2">
      <c r="B14" s="15" t="s">
        <v>93</v>
      </c>
    </row>
    <row r="15" spans="2:2" x14ac:dyDescent="0.2">
      <c r="B15" s="15" t="s">
        <v>94</v>
      </c>
    </row>
    <row r="16" spans="2:2" x14ac:dyDescent="0.2">
      <c r="B16" s="15" t="s">
        <v>95</v>
      </c>
    </row>
    <row r="17" spans="2:3" x14ac:dyDescent="0.2">
      <c r="B17" s="15" t="s">
        <v>96</v>
      </c>
    </row>
    <row r="19" spans="2:3" x14ac:dyDescent="0.2">
      <c r="B19" t="s">
        <v>98</v>
      </c>
    </row>
    <row r="20" spans="2:3" x14ac:dyDescent="0.2">
      <c r="B20" s="15" t="s">
        <v>99</v>
      </c>
    </row>
    <row r="21" spans="2:3" x14ac:dyDescent="0.2">
      <c r="B21" s="15" t="s">
        <v>100</v>
      </c>
    </row>
    <row r="22" spans="2:3" x14ac:dyDescent="0.2">
      <c r="B22" s="15" t="s">
        <v>101</v>
      </c>
    </row>
    <row r="23" spans="2:3" x14ac:dyDescent="0.2">
      <c r="B23" s="15" t="s">
        <v>102</v>
      </c>
      <c r="C23" s="15" t="s">
        <v>105</v>
      </c>
    </row>
    <row r="24" spans="2:3" x14ac:dyDescent="0.2">
      <c r="B24" s="15" t="s">
        <v>103</v>
      </c>
      <c r="C24" s="15" t="s">
        <v>107</v>
      </c>
    </row>
    <row r="25" spans="2:3" x14ac:dyDescent="0.2">
      <c r="B25" s="15" t="s">
        <v>104</v>
      </c>
    </row>
    <row r="26" spans="2:3" x14ac:dyDescent="0.2">
      <c r="B26" s="15" t="s">
        <v>106</v>
      </c>
      <c r="C26" s="15" t="s">
        <v>105</v>
      </c>
    </row>
  </sheetData>
  <hyperlinks>
    <hyperlink ref="B3" r:id="rId1" xr:uid="{F56A57E7-FF79-2E47-AA9B-50EECFD4AFD4}"/>
    <hyperlink ref="B5" r:id="rId2" xr:uid="{F87905B8-1311-7448-BF5D-9DCB7D0CBC08}"/>
    <hyperlink ref="B6" r:id="rId3" xr:uid="{42D6687F-5F22-064C-8D5D-57D418F4E229}"/>
    <hyperlink ref="B7" r:id="rId4" xr:uid="{75DC926B-290A-6B4C-A9E1-D4BBF38BDBCD}"/>
    <hyperlink ref="B8" r:id="rId5" xr:uid="{F465373C-018D-7245-91A9-0E401ED9A7EE}"/>
    <hyperlink ref="B9" r:id="rId6" xr:uid="{7EFE3D20-645C-164E-9085-25B39825B404}"/>
    <hyperlink ref="B10" r:id="rId7" xr:uid="{97E4ACA9-AAD8-EE45-811C-452743489202}"/>
    <hyperlink ref="B11" r:id="rId8" xr:uid="{B890F6A0-E632-7948-BCC1-02847D35E753}"/>
    <hyperlink ref="B14" r:id="rId9" xr:uid="{98C45658-1E3C-EF4B-8A88-DEA5B8054DE3}"/>
    <hyperlink ref="B15" r:id="rId10" xr:uid="{90A3B80E-47EA-7B41-80AE-AFDE06D61E37}"/>
    <hyperlink ref="B16" r:id="rId11" xr:uid="{12FB09E5-1F5D-BF4F-BDFD-CFA7D1DC7189}"/>
    <hyperlink ref="B17" r:id="rId12" xr:uid="{E9949617-863D-B048-A6BA-366F7EC68B98}"/>
    <hyperlink ref="B20" r:id="rId13" xr:uid="{D64855B9-39CF-4D4A-9694-65E4C761901F}"/>
    <hyperlink ref="B21" r:id="rId14" xr:uid="{266163FF-A675-5A4E-AC48-BE8AA666F963}"/>
    <hyperlink ref="B22" r:id="rId15" xr:uid="{96C6D409-250B-264B-94AB-0C15922EB2B3}"/>
    <hyperlink ref="B23" r:id="rId16" xr:uid="{E082D8A1-4437-8542-885C-B8F772493E64}"/>
    <hyperlink ref="B24" r:id="rId17" xr:uid="{5CBDAE61-40E3-0545-87D1-3B5A54B82919}"/>
    <hyperlink ref="B25" r:id="rId18" xr:uid="{3E350532-F4FF-804E-B233-D914D6394A68}"/>
    <hyperlink ref="C23" r:id="rId19" xr:uid="{4445D7A0-7D0A-6D48-8F45-C4651513DFF1}"/>
    <hyperlink ref="C26" r:id="rId20" xr:uid="{D231C3A1-1E4E-FD43-A2B4-ADB152870F10}"/>
    <hyperlink ref="B26" r:id="rId21" xr:uid="{0990CC36-750D-BA4D-A4A8-7C067088C080}"/>
    <hyperlink ref="C24" r:id="rId22" xr:uid="{FC77C457-9E47-BA4F-9103-5B8C519B6CA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4D012-FEF5-4D43-9CF5-2CE00AF5A8E7}">
  <dimension ref="B2:ID124"/>
  <sheetViews>
    <sheetView zoomScale="140" zoomScaleNormal="14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O5" sqref="O5"/>
    </sheetView>
  </sheetViews>
  <sheetFormatPr baseColWidth="10" defaultRowHeight="16" x14ac:dyDescent="0.2"/>
  <cols>
    <col min="1" max="1" width="2.33203125" style="2" customWidth="1"/>
    <col min="2" max="2" width="39.33203125" style="2" bestFit="1" customWidth="1"/>
    <col min="3" max="3" width="6.83203125" style="25" bestFit="1" customWidth="1"/>
    <col min="4" max="4" width="6.6640625" style="25" bestFit="1" customWidth="1"/>
    <col min="5" max="5" width="7.83203125" style="25" bestFit="1" customWidth="1"/>
    <col min="6" max="6" width="7.33203125" style="25" bestFit="1" customWidth="1"/>
    <col min="7" max="7" width="6.6640625" style="25" bestFit="1" customWidth="1"/>
    <col min="8" max="9" width="7.33203125" style="25" bestFit="1" customWidth="1"/>
    <col min="10" max="10" width="7.83203125" style="25" bestFit="1" customWidth="1"/>
    <col min="11" max="12" width="7.6640625" style="25" bestFit="1" customWidth="1"/>
    <col min="13" max="13" width="7.33203125" style="25" bestFit="1" customWidth="1"/>
    <col min="14" max="14" width="7.33203125" style="2" bestFit="1" customWidth="1"/>
    <col min="15" max="16" width="10.83203125" style="2"/>
    <col min="17" max="20" width="5.1640625" style="2" bestFit="1" customWidth="1"/>
    <col min="21" max="26" width="6.6640625" style="2" bestFit="1" customWidth="1"/>
    <col min="27" max="37" width="8" style="2" bestFit="1" customWidth="1"/>
    <col min="38" max="38" width="8.83203125" style="2" bestFit="1" customWidth="1"/>
    <col min="39" max="39" width="13.83203125" style="2" bestFit="1" customWidth="1"/>
    <col min="40" max="51" width="5.1640625" style="2" bestFit="1" customWidth="1"/>
    <col min="52" max="16384" width="10.83203125" style="2"/>
  </cols>
  <sheetData>
    <row r="2" spans="2:238" s="7" customFormat="1" x14ac:dyDescent="0.2">
      <c r="C2" s="23"/>
      <c r="D2" s="23">
        <v>45137</v>
      </c>
      <c r="E2" s="23">
        <v>45228</v>
      </c>
      <c r="F2" s="23"/>
      <c r="G2" s="23">
        <v>45410</v>
      </c>
      <c r="H2" s="23">
        <v>45501</v>
      </c>
      <c r="I2" s="23">
        <v>45592</v>
      </c>
      <c r="J2" s="23">
        <v>45683</v>
      </c>
      <c r="K2" s="23">
        <v>45774</v>
      </c>
      <c r="L2" s="23">
        <v>45896</v>
      </c>
      <c r="M2" s="23"/>
      <c r="W2" s="7">
        <v>44227</v>
      </c>
      <c r="Y2" s="7">
        <v>44955</v>
      </c>
      <c r="Z2" s="7">
        <v>45319</v>
      </c>
      <c r="AA2" s="7">
        <v>45683</v>
      </c>
    </row>
    <row r="3" spans="2:238" s="3" customFormat="1" x14ac:dyDescent="0.2">
      <c r="C3" s="24" t="s">
        <v>9</v>
      </c>
      <c r="D3" s="24" t="s">
        <v>10</v>
      </c>
      <c r="E3" s="24" t="s">
        <v>11</v>
      </c>
      <c r="F3" s="24" t="s">
        <v>12</v>
      </c>
      <c r="G3" s="24" t="s">
        <v>6</v>
      </c>
      <c r="H3" s="24" t="s">
        <v>13</v>
      </c>
      <c r="I3" s="24" t="s">
        <v>14</v>
      </c>
      <c r="J3" s="24" t="s">
        <v>15</v>
      </c>
      <c r="K3" s="24" t="s">
        <v>17</v>
      </c>
      <c r="L3" s="24" t="s">
        <v>18</v>
      </c>
      <c r="M3" s="24" t="s">
        <v>19</v>
      </c>
      <c r="N3" s="3" t="s">
        <v>20</v>
      </c>
      <c r="Q3" s="3">
        <v>2015</v>
      </c>
      <c r="R3" s="3">
        <f>+Q3+1</f>
        <v>2016</v>
      </c>
      <c r="S3" s="3">
        <f t="shared" ref="S3:AL3" si="0">+R3+1</f>
        <v>2017</v>
      </c>
      <c r="T3" s="3">
        <f t="shared" si="0"/>
        <v>2018</v>
      </c>
      <c r="U3" s="3">
        <f t="shared" si="0"/>
        <v>2019</v>
      </c>
      <c r="V3" s="3">
        <f t="shared" si="0"/>
        <v>2020</v>
      </c>
      <c r="W3" s="3">
        <f t="shared" si="0"/>
        <v>2021</v>
      </c>
      <c r="X3" s="3">
        <f t="shared" si="0"/>
        <v>2022</v>
      </c>
      <c r="Y3" s="3">
        <f t="shared" si="0"/>
        <v>2023</v>
      </c>
      <c r="Z3" s="3">
        <f t="shared" si="0"/>
        <v>2024</v>
      </c>
      <c r="AA3" s="3">
        <f t="shared" si="0"/>
        <v>2025</v>
      </c>
      <c r="AB3" s="3">
        <f t="shared" si="0"/>
        <v>2026</v>
      </c>
      <c r="AC3" s="3">
        <f t="shared" si="0"/>
        <v>2027</v>
      </c>
      <c r="AD3" s="3">
        <f t="shared" si="0"/>
        <v>2028</v>
      </c>
      <c r="AE3" s="3">
        <f t="shared" si="0"/>
        <v>2029</v>
      </c>
      <c r="AF3" s="3">
        <f t="shared" si="0"/>
        <v>2030</v>
      </c>
      <c r="AG3" s="3">
        <f t="shared" si="0"/>
        <v>2031</v>
      </c>
      <c r="AH3" s="3">
        <f t="shared" si="0"/>
        <v>2032</v>
      </c>
      <c r="AI3" s="3">
        <f t="shared" si="0"/>
        <v>2033</v>
      </c>
      <c r="AJ3" s="3">
        <f t="shared" si="0"/>
        <v>2034</v>
      </c>
      <c r="AK3" s="3">
        <f t="shared" si="0"/>
        <v>2035</v>
      </c>
      <c r="AL3" s="3">
        <f t="shared" si="0"/>
        <v>2036</v>
      </c>
      <c r="AM3" s="3">
        <f t="shared" ref="AM3" si="1">+AL3+1</f>
        <v>2037</v>
      </c>
      <c r="AN3" s="3">
        <f t="shared" ref="AN3" si="2">+AM3+1</f>
        <v>2038</v>
      </c>
      <c r="AO3" s="3">
        <f t="shared" ref="AO3" si="3">+AN3+1</f>
        <v>2039</v>
      </c>
      <c r="AP3" s="3">
        <f t="shared" ref="AP3" si="4">+AO3+1</f>
        <v>2040</v>
      </c>
      <c r="AQ3" s="3">
        <f t="shared" ref="AQ3" si="5">+AP3+1</f>
        <v>2041</v>
      </c>
      <c r="AR3" s="3">
        <f t="shared" ref="AR3" si="6">+AQ3+1</f>
        <v>2042</v>
      </c>
      <c r="AS3" s="3">
        <f t="shared" ref="AS3" si="7">+AR3+1</f>
        <v>2043</v>
      </c>
      <c r="AT3" s="3">
        <f t="shared" ref="AT3" si="8">+AS3+1</f>
        <v>2044</v>
      </c>
      <c r="AU3" s="3">
        <f t="shared" ref="AU3" si="9">+AT3+1</f>
        <v>2045</v>
      </c>
      <c r="AV3" s="3">
        <f t="shared" ref="AV3" si="10">+AU3+1</f>
        <v>2046</v>
      </c>
      <c r="AW3" s="3">
        <f t="shared" ref="AW3" si="11">+AV3+1</f>
        <v>2047</v>
      </c>
      <c r="AX3" s="3">
        <f t="shared" ref="AX3" si="12">+AW3+1</f>
        <v>2048</v>
      </c>
      <c r="AY3" s="3">
        <f t="shared" ref="AY3" si="13">+AX3+1</f>
        <v>2049</v>
      </c>
      <c r="AZ3" s="3">
        <f t="shared" ref="AZ3" si="14">+AY3+1</f>
        <v>2050</v>
      </c>
      <c r="BA3" s="3">
        <f t="shared" ref="BA3" si="15">+AZ3+1</f>
        <v>2051</v>
      </c>
      <c r="BB3" s="3">
        <f t="shared" ref="BB3" si="16">+BA3+1</f>
        <v>2052</v>
      </c>
      <c r="BC3" s="3">
        <f t="shared" ref="BC3" si="17">+BB3+1</f>
        <v>2053</v>
      </c>
      <c r="BD3" s="3">
        <f t="shared" ref="BD3" si="18">+BC3+1</f>
        <v>2054</v>
      </c>
      <c r="BE3" s="3">
        <f t="shared" ref="BE3" si="19">+BD3+1</f>
        <v>2055</v>
      </c>
      <c r="BF3" s="3">
        <f t="shared" ref="BF3" si="20">+BE3+1</f>
        <v>2056</v>
      </c>
      <c r="BG3" s="3">
        <f t="shared" ref="BG3" si="21">+BF3+1</f>
        <v>2057</v>
      </c>
      <c r="BH3" s="3">
        <f t="shared" ref="BH3" si="22">+BG3+1</f>
        <v>2058</v>
      </c>
      <c r="BI3" s="3">
        <f t="shared" ref="BI3" si="23">+BH3+1</f>
        <v>2059</v>
      </c>
      <c r="BJ3" s="3">
        <f t="shared" ref="BJ3" si="24">+BI3+1</f>
        <v>2060</v>
      </c>
      <c r="BK3" s="3">
        <f t="shared" ref="BK3" si="25">+BJ3+1</f>
        <v>2061</v>
      </c>
      <c r="BL3" s="3">
        <f t="shared" ref="BL3" si="26">+BK3+1</f>
        <v>2062</v>
      </c>
      <c r="BM3" s="3">
        <f t="shared" ref="BM3" si="27">+BL3+1</f>
        <v>2063</v>
      </c>
      <c r="BN3" s="3">
        <f t="shared" ref="BN3" si="28">+BM3+1</f>
        <v>2064</v>
      </c>
      <c r="BO3" s="3">
        <f t="shared" ref="BO3" si="29">+BN3+1</f>
        <v>2065</v>
      </c>
      <c r="BP3" s="3">
        <f t="shared" ref="BP3" si="30">+BO3+1</f>
        <v>2066</v>
      </c>
      <c r="BQ3" s="3">
        <f t="shared" ref="BQ3" si="31">+BP3+1</f>
        <v>2067</v>
      </c>
      <c r="BR3" s="3">
        <f t="shared" ref="BR3" si="32">+BQ3+1</f>
        <v>2068</v>
      </c>
      <c r="BS3" s="3">
        <f t="shared" ref="BS3" si="33">+BR3+1</f>
        <v>2069</v>
      </c>
      <c r="BT3" s="3">
        <f t="shared" ref="BT3" si="34">+BS3+1</f>
        <v>2070</v>
      </c>
      <c r="BU3" s="3">
        <f t="shared" ref="BU3" si="35">+BT3+1</f>
        <v>2071</v>
      </c>
      <c r="BV3" s="3">
        <f t="shared" ref="BV3" si="36">+BU3+1</f>
        <v>2072</v>
      </c>
      <c r="BW3" s="3">
        <f t="shared" ref="BW3" si="37">+BV3+1</f>
        <v>2073</v>
      </c>
      <c r="BX3" s="3">
        <f t="shared" ref="BX3" si="38">+BW3+1</f>
        <v>2074</v>
      </c>
      <c r="BY3" s="3">
        <f t="shared" ref="BY3" si="39">+BX3+1</f>
        <v>2075</v>
      </c>
      <c r="BZ3" s="3">
        <f t="shared" ref="BZ3" si="40">+BY3+1</f>
        <v>2076</v>
      </c>
      <c r="CA3" s="3">
        <f t="shared" ref="CA3" si="41">+BZ3+1</f>
        <v>2077</v>
      </c>
      <c r="CB3" s="3">
        <f t="shared" ref="CB3" si="42">+CA3+1</f>
        <v>2078</v>
      </c>
      <c r="CC3" s="3">
        <f t="shared" ref="CC3" si="43">+CB3+1</f>
        <v>2079</v>
      </c>
      <c r="CD3" s="3">
        <f t="shared" ref="CD3" si="44">+CC3+1</f>
        <v>2080</v>
      </c>
      <c r="CE3" s="3">
        <f t="shared" ref="CE3" si="45">+CD3+1</f>
        <v>2081</v>
      </c>
      <c r="CF3" s="3">
        <f t="shared" ref="CF3" si="46">+CE3+1</f>
        <v>2082</v>
      </c>
      <c r="CG3" s="3">
        <f t="shared" ref="CG3" si="47">+CF3+1</f>
        <v>2083</v>
      </c>
      <c r="CH3" s="3">
        <f t="shared" ref="CH3" si="48">+CG3+1</f>
        <v>2084</v>
      </c>
      <c r="CI3" s="3">
        <f t="shared" ref="CI3" si="49">+CH3+1</f>
        <v>2085</v>
      </c>
      <c r="CJ3" s="3">
        <f t="shared" ref="CJ3" si="50">+CI3+1</f>
        <v>2086</v>
      </c>
      <c r="CK3" s="3">
        <f t="shared" ref="CK3" si="51">+CJ3+1</f>
        <v>2087</v>
      </c>
      <c r="CL3" s="3">
        <f t="shared" ref="CL3" si="52">+CK3+1</f>
        <v>2088</v>
      </c>
      <c r="CM3" s="3">
        <f t="shared" ref="CM3" si="53">+CL3+1</f>
        <v>2089</v>
      </c>
      <c r="CN3" s="3">
        <f t="shared" ref="CN3" si="54">+CM3+1</f>
        <v>2090</v>
      </c>
      <c r="CO3" s="3">
        <f t="shared" ref="CO3" si="55">+CN3+1</f>
        <v>2091</v>
      </c>
      <c r="CP3" s="3">
        <f t="shared" ref="CP3" si="56">+CO3+1</f>
        <v>2092</v>
      </c>
      <c r="CQ3" s="3">
        <f t="shared" ref="CQ3" si="57">+CP3+1</f>
        <v>2093</v>
      </c>
      <c r="CR3" s="3">
        <f t="shared" ref="CR3" si="58">+CQ3+1</f>
        <v>2094</v>
      </c>
      <c r="CS3" s="3">
        <f t="shared" ref="CS3" si="59">+CR3+1</f>
        <v>2095</v>
      </c>
      <c r="CT3" s="3">
        <f t="shared" ref="CT3" si="60">+CS3+1</f>
        <v>2096</v>
      </c>
      <c r="CU3" s="3">
        <f t="shared" ref="CU3" si="61">+CT3+1</f>
        <v>2097</v>
      </c>
      <c r="CV3" s="3">
        <f t="shared" ref="CV3" si="62">+CU3+1</f>
        <v>2098</v>
      </c>
      <c r="CW3" s="3">
        <f t="shared" ref="CW3" si="63">+CV3+1</f>
        <v>2099</v>
      </c>
      <c r="CX3" s="3">
        <f t="shared" ref="CX3" si="64">+CW3+1</f>
        <v>2100</v>
      </c>
      <c r="CY3" s="3">
        <f t="shared" ref="CY3" si="65">+CX3+1</f>
        <v>2101</v>
      </c>
      <c r="CZ3" s="3">
        <f t="shared" ref="CZ3" si="66">+CY3+1</f>
        <v>2102</v>
      </c>
      <c r="DA3" s="3">
        <f t="shared" ref="DA3" si="67">+CZ3+1</f>
        <v>2103</v>
      </c>
      <c r="DB3" s="3">
        <f t="shared" ref="DB3" si="68">+DA3+1</f>
        <v>2104</v>
      </c>
      <c r="DC3" s="3">
        <f t="shared" ref="DC3" si="69">+DB3+1</f>
        <v>2105</v>
      </c>
      <c r="DD3" s="3">
        <f t="shared" ref="DD3" si="70">+DC3+1</f>
        <v>2106</v>
      </c>
      <c r="DE3" s="3">
        <f t="shared" ref="DE3" si="71">+DD3+1</f>
        <v>2107</v>
      </c>
      <c r="DF3" s="3">
        <f t="shared" ref="DF3" si="72">+DE3+1</f>
        <v>2108</v>
      </c>
      <c r="DG3" s="3">
        <f t="shared" ref="DG3" si="73">+DF3+1</f>
        <v>2109</v>
      </c>
      <c r="DH3" s="3">
        <f t="shared" ref="DH3" si="74">+DG3+1</f>
        <v>2110</v>
      </c>
      <c r="DI3" s="3">
        <f t="shared" ref="DI3" si="75">+DH3+1</f>
        <v>2111</v>
      </c>
      <c r="DJ3" s="3">
        <f t="shared" ref="DJ3" si="76">+DI3+1</f>
        <v>2112</v>
      </c>
      <c r="DK3" s="3">
        <f t="shared" ref="DK3" si="77">+DJ3+1</f>
        <v>2113</v>
      </c>
      <c r="DL3" s="3">
        <f t="shared" ref="DL3" si="78">+DK3+1</f>
        <v>2114</v>
      </c>
      <c r="DM3" s="3">
        <f t="shared" ref="DM3" si="79">+DL3+1</f>
        <v>2115</v>
      </c>
      <c r="DN3" s="3">
        <f t="shared" ref="DN3" si="80">+DM3+1</f>
        <v>2116</v>
      </c>
      <c r="DO3" s="3">
        <f t="shared" ref="DO3" si="81">+DN3+1</f>
        <v>2117</v>
      </c>
      <c r="DP3" s="3">
        <f t="shared" ref="DP3" si="82">+DO3+1</f>
        <v>2118</v>
      </c>
      <c r="DQ3" s="3">
        <f t="shared" ref="DQ3" si="83">+DP3+1</f>
        <v>2119</v>
      </c>
      <c r="DR3" s="3">
        <f t="shared" ref="DR3" si="84">+DQ3+1</f>
        <v>2120</v>
      </c>
      <c r="DS3" s="3">
        <f t="shared" ref="DS3" si="85">+DR3+1</f>
        <v>2121</v>
      </c>
      <c r="DT3" s="3">
        <f t="shared" ref="DT3" si="86">+DS3+1</f>
        <v>2122</v>
      </c>
      <c r="DU3" s="3">
        <f t="shared" ref="DU3" si="87">+DT3+1</f>
        <v>2123</v>
      </c>
      <c r="DV3" s="3">
        <f t="shared" ref="DV3" si="88">+DU3+1</f>
        <v>2124</v>
      </c>
      <c r="DW3" s="3">
        <f t="shared" ref="DW3" si="89">+DV3+1</f>
        <v>2125</v>
      </c>
      <c r="DX3" s="3">
        <f t="shared" ref="DX3" si="90">+DW3+1</f>
        <v>2126</v>
      </c>
      <c r="DY3" s="3">
        <f t="shared" ref="DY3" si="91">+DX3+1</f>
        <v>2127</v>
      </c>
      <c r="DZ3" s="3">
        <f t="shared" ref="DZ3" si="92">+DY3+1</f>
        <v>2128</v>
      </c>
      <c r="EA3" s="3">
        <f t="shared" ref="EA3" si="93">+DZ3+1</f>
        <v>2129</v>
      </c>
      <c r="EB3" s="3">
        <f t="shared" ref="EB3" si="94">+EA3+1</f>
        <v>2130</v>
      </c>
      <c r="EC3" s="3">
        <f t="shared" ref="EC3" si="95">+EB3+1</f>
        <v>2131</v>
      </c>
      <c r="ED3" s="3">
        <f t="shared" ref="ED3" si="96">+EC3+1</f>
        <v>2132</v>
      </c>
      <c r="EE3" s="3">
        <f t="shared" ref="EE3" si="97">+ED3+1</f>
        <v>2133</v>
      </c>
      <c r="EF3" s="3">
        <f t="shared" ref="EF3" si="98">+EE3+1</f>
        <v>2134</v>
      </c>
      <c r="EG3" s="3">
        <f t="shared" ref="EG3" si="99">+EF3+1</f>
        <v>2135</v>
      </c>
      <c r="EH3" s="3">
        <f t="shared" ref="EH3" si="100">+EG3+1</f>
        <v>2136</v>
      </c>
      <c r="EI3" s="3">
        <f t="shared" ref="EI3" si="101">+EH3+1</f>
        <v>2137</v>
      </c>
      <c r="EJ3" s="3">
        <f t="shared" ref="EJ3" si="102">+EI3+1</f>
        <v>2138</v>
      </c>
      <c r="EK3" s="3">
        <f t="shared" ref="EK3" si="103">+EJ3+1</f>
        <v>2139</v>
      </c>
      <c r="EL3" s="3">
        <f t="shared" ref="EL3" si="104">+EK3+1</f>
        <v>2140</v>
      </c>
      <c r="EM3" s="3">
        <f t="shared" ref="EM3" si="105">+EL3+1</f>
        <v>2141</v>
      </c>
      <c r="EN3" s="3">
        <f t="shared" ref="EN3" si="106">+EM3+1</f>
        <v>2142</v>
      </c>
      <c r="EO3" s="3">
        <f t="shared" ref="EO3" si="107">+EN3+1</f>
        <v>2143</v>
      </c>
      <c r="EP3" s="3">
        <f t="shared" ref="EP3" si="108">+EO3+1</f>
        <v>2144</v>
      </c>
      <c r="EQ3" s="3">
        <f t="shared" ref="EQ3" si="109">+EP3+1</f>
        <v>2145</v>
      </c>
      <c r="ER3" s="3">
        <f t="shared" ref="ER3" si="110">+EQ3+1</f>
        <v>2146</v>
      </c>
      <c r="ES3" s="3">
        <f t="shared" ref="ES3" si="111">+ER3+1</f>
        <v>2147</v>
      </c>
      <c r="ET3" s="3">
        <f t="shared" ref="ET3" si="112">+ES3+1</f>
        <v>2148</v>
      </c>
      <c r="EU3" s="3">
        <f t="shared" ref="EU3" si="113">+ET3+1</f>
        <v>2149</v>
      </c>
      <c r="EV3" s="3">
        <f t="shared" ref="EV3" si="114">+EU3+1</f>
        <v>2150</v>
      </c>
      <c r="EW3" s="3">
        <f t="shared" ref="EW3" si="115">+EV3+1</f>
        <v>2151</v>
      </c>
      <c r="EX3" s="3">
        <f t="shared" ref="EX3" si="116">+EW3+1</f>
        <v>2152</v>
      </c>
      <c r="EY3" s="3">
        <f t="shared" ref="EY3" si="117">+EX3+1</f>
        <v>2153</v>
      </c>
      <c r="EZ3" s="3">
        <f t="shared" ref="EZ3" si="118">+EY3+1</f>
        <v>2154</v>
      </c>
      <c r="FA3" s="3">
        <f t="shared" ref="FA3" si="119">+EZ3+1</f>
        <v>2155</v>
      </c>
      <c r="FB3" s="3">
        <f t="shared" ref="FB3" si="120">+FA3+1</f>
        <v>2156</v>
      </c>
      <c r="FC3" s="3">
        <f t="shared" ref="FC3" si="121">+FB3+1</f>
        <v>2157</v>
      </c>
      <c r="FD3" s="3">
        <f t="shared" ref="FD3" si="122">+FC3+1</f>
        <v>2158</v>
      </c>
      <c r="FE3" s="3">
        <f t="shared" ref="FE3" si="123">+FD3+1</f>
        <v>2159</v>
      </c>
      <c r="FF3" s="3">
        <f t="shared" ref="FF3" si="124">+FE3+1</f>
        <v>2160</v>
      </c>
      <c r="FG3" s="3">
        <f t="shared" ref="FG3" si="125">+FF3+1</f>
        <v>2161</v>
      </c>
      <c r="FH3" s="3">
        <f t="shared" ref="FH3" si="126">+FG3+1</f>
        <v>2162</v>
      </c>
      <c r="FI3" s="3">
        <f t="shared" ref="FI3" si="127">+FH3+1</f>
        <v>2163</v>
      </c>
      <c r="FJ3" s="3">
        <f t="shared" ref="FJ3" si="128">+FI3+1</f>
        <v>2164</v>
      </c>
      <c r="FK3" s="3">
        <f t="shared" ref="FK3" si="129">+FJ3+1</f>
        <v>2165</v>
      </c>
      <c r="FL3" s="3">
        <f t="shared" ref="FL3" si="130">+FK3+1</f>
        <v>2166</v>
      </c>
      <c r="FM3" s="3">
        <f t="shared" ref="FM3" si="131">+FL3+1</f>
        <v>2167</v>
      </c>
      <c r="FN3" s="3">
        <f t="shared" ref="FN3" si="132">+FM3+1</f>
        <v>2168</v>
      </c>
      <c r="FO3" s="3">
        <f t="shared" ref="FO3" si="133">+FN3+1</f>
        <v>2169</v>
      </c>
      <c r="FP3" s="3">
        <f t="shared" ref="FP3" si="134">+FO3+1</f>
        <v>2170</v>
      </c>
      <c r="FQ3" s="3">
        <f t="shared" ref="FQ3" si="135">+FP3+1</f>
        <v>2171</v>
      </c>
      <c r="FR3" s="3">
        <f t="shared" ref="FR3" si="136">+FQ3+1</f>
        <v>2172</v>
      </c>
      <c r="FS3" s="3">
        <f t="shared" ref="FS3" si="137">+FR3+1</f>
        <v>2173</v>
      </c>
      <c r="FT3" s="3">
        <f t="shared" ref="FT3" si="138">+FS3+1</f>
        <v>2174</v>
      </c>
      <c r="FU3" s="3">
        <f t="shared" ref="FU3" si="139">+FT3+1</f>
        <v>2175</v>
      </c>
      <c r="FV3" s="3">
        <f t="shared" ref="FV3" si="140">+FU3+1</f>
        <v>2176</v>
      </c>
      <c r="FW3" s="3">
        <f t="shared" ref="FW3" si="141">+FV3+1</f>
        <v>2177</v>
      </c>
      <c r="FX3" s="3">
        <f t="shared" ref="FX3" si="142">+FW3+1</f>
        <v>2178</v>
      </c>
      <c r="FY3" s="3">
        <f t="shared" ref="FY3" si="143">+FX3+1</f>
        <v>2179</v>
      </c>
      <c r="FZ3" s="3">
        <f t="shared" ref="FZ3" si="144">+FY3+1</f>
        <v>2180</v>
      </c>
      <c r="GA3" s="3">
        <f t="shared" ref="GA3" si="145">+FZ3+1</f>
        <v>2181</v>
      </c>
      <c r="GB3" s="3">
        <f t="shared" ref="GB3" si="146">+GA3+1</f>
        <v>2182</v>
      </c>
      <c r="GC3" s="3">
        <f t="shared" ref="GC3" si="147">+GB3+1</f>
        <v>2183</v>
      </c>
      <c r="GD3" s="3">
        <f t="shared" ref="GD3" si="148">+GC3+1</f>
        <v>2184</v>
      </c>
      <c r="GE3" s="3">
        <f t="shared" ref="GE3" si="149">+GD3+1</f>
        <v>2185</v>
      </c>
      <c r="GF3" s="3">
        <f t="shared" ref="GF3" si="150">+GE3+1</f>
        <v>2186</v>
      </c>
      <c r="GG3" s="3">
        <f t="shared" ref="GG3" si="151">+GF3+1</f>
        <v>2187</v>
      </c>
      <c r="GH3" s="3">
        <f t="shared" ref="GH3" si="152">+GG3+1</f>
        <v>2188</v>
      </c>
      <c r="GI3" s="3">
        <f t="shared" ref="GI3" si="153">+GH3+1</f>
        <v>2189</v>
      </c>
      <c r="GJ3" s="3">
        <f t="shared" ref="GJ3" si="154">+GI3+1</f>
        <v>2190</v>
      </c>
      <c r="GK3" s="3">
        <f t="shared" ref="GK3" si="155">+GJ3+1</f>
        <v>2191</v>
      </c>
      <c r="GL3" s="3">
        <f t="shared" ref="GL3" si="156">+GK3+1</f>
        <v>2192</v>
      </c>
      <c r="GM3" s="3">
        <f t="shared" ref="GM3" si="157">+GL3+1</f>
        <v>2193</v>
      </c>
      <c r="GN3" s="3">
        <f t="shared" ref="GN3" si="158">+GM3+1</f>
        <v>2194</v>
      </c>
      <c r="GO3" s="3">
        <f t="shared" ref="GO3" si="159">+GN3+1</f>
        <v>2195</v>
      </c>
      <c r="GP3" s="3">
        <f t="shared" ref="GP3" si="160">+GO3+1</f>
        <v>2196</v>
      </c>
      <c r="GQ3" s="3">
        <f t="shared" ref="GQ3" si="161">+GP3+1</f>
        <v>2197</v>
      </c>
      <c r="GR3" s="3">
        <f t="shared" ref="GR3" si="162">+GQ3+1</f>
        <v>2198</v>
      </c>
      <c r="GS3" s="3">
        <f t="shared" ref="GS3" si="163">+GR3+1</f>
        <v>2199</v>
      </c>
      <c r="GT3" s="3">
        <f t="shared" ref="GT3" si="164">+GS3+1</f>
        <v>2200</v>
      </c>
      <c r="GU3" s="3">
        <f t="shared" ref="GU3" si="165">+GT3+1</f>
        <v>2201</v>
      </c>
      <c r="GV3" s="3">
        <f t="shared" ref="GV3" si="166">+GU3+1</f>
        <v>2202</v>
      </c>
      <c r="GW3" s="3">
        <f t="shared" ref="GW3" si="167">+GV3+1</f>
        <v>2203</v>
      </c>
      <c r="GX3" s="3">
        <f t="shared" ref="GX3" si="168">+GW3+1</f>
        <v>2204</v>
      </c>
      <c r="GY3" s="3">
        <f t="shared" ref="GY3" si="169">+GX3+1</f>
        <v>2205</v>
      </c>
      <c r="GZ3" s="3">
        <f t="shared" ref="GZ3" si="170">+GY3+1</f>
        <v>2206</v>
      </c>
      <c r="HA3" s="3">
        <f t="shared" ref="HA3" si="171">+GZ3+1</f>
        <v>2207</v>
      </c>
      <c r="HB3" s="3">
        <f t="shared" ref="HB3" si="172">+HA3+1</f>
        <v>2208</v>
      </c>
      <c r="HC3" s="3">
        <f t="shared" ref="HC3" si="173">+HB3+1</f>
        <v>2209</v>
      </c>
      <c r="HD3" s="3">
        <f t="shared" ref="HD3" si="174">+HC3+1</f>
        <v>2210</v>
      </c>
      <c r="HE3" s="3">
        <f t="shared" ref="HE3" si="175">+HD3+1</f>
        <v>2211</v>
      </c>
      <c r="HF3" s="3">
        <f t="shared" ref="HF3" si="176">+HE3+1</f>
        <v>2212</v>
      </c>
      <c r="HG3" s="3">
        <f t="shared" ref="HG3" si="177">+HF3+1</f>
        <v>2213</v>
      </c>
      <c r="HH3" s="3">
        <f t="shared" ref="HH3" si="178">+HG3+1</f>
        <v>2214</v>
      </c>
      <c r="HI3" s="3">
        <f t="shared" ref="HI3" si="179">+HH3+1</f>
        <v>2215</v>
      </c>
      <c r="HJ3" s="3">
        <f t="shared" ref="HJ3" si="180">+HI3+1</f>
        <v>2216</v>
      </c>
      <c r="HK3" s="3">
        <f t="shared" ref="HK3" si="181">+HJ3+1</f>
        <v>2217</v>
      </c>
      <c r="HL3" s="3">
        <f t="shared" ref="HL3" si="182">+HK3+1</f>
        <v>2218</v>
      </c>
      <c r="HM3" s="3">
        <f t="shared" ref="HM3" si="183">+HL3+1</f>
        <v>2219</v>
      </c>
      <c r="HN3" s="3">
        <f t="shared" ref="HN3" si="184">+HM3+1</f>
        <v>2220</v>
      </c>
      <c r="HO3" s="3">
        <f t="shared" ref="HO3" si="185">+HN3+1</f>
        <v>2221</v>
      </c>
      <c r="HP3" s="3">
        <f t="shared" ref="HP3" si="186">+HO3+1</f>
        <v>2222</v>
      </c>
      <c r="HQ3" s="3">
        <f t="shared" ref="HQ3" si="187">+HP3+1</f>
        <v>2223</v>
      </c>
      <c r="HR3" s="3">
        <f t="shared" ref="HR3" si="188">+HQ3+1</f>
        <v>2224</v>
      </c>
      <c r="HS3" s="3">
        <f t="shared" ref="HS3" si="189">+HR3+1</f>
        <v>2225</v>
      </c>
      <c r="HT3" s="3">
        <f t="shared" ref="HT3" si="190">+HS3+1</f>
        <v>2226</v>
      </c>
      <c r="HU3" s="3">
        <f t="shared" ref="HU3" si="191">+HT3+1</f>
        <v>2227</v>
      </c>
      <c r="HV3" s="3">
        <f t="shared" ref="HV3" si="192">+HU3+1</f>
        <v>2228</v>
      </c>
      <c r="HW3" s="3">
        <f t="shared" ref="HW3" si="193">+HV3+1</f>
        <v>2229</v>
      </c>
      <c r="HX3" s="3">
        <f t="shared" ref="HX3" si="194">+HW3+1</f>
        <v>2230</v>
      </c>
      <c r="HY3" s="3">
        <f t="shared" ref="HY3" si="195">+HX3+1</f>
        <v>2231</v>
      </c>
      <c r="HZ3" s="3">
        <f t="shared" ref="HZ3" si="196">+HY3+1</f>
        <v>2232</v>
      </c>
      <c r="IA3" s="3">
        <f t="shared" ref="IA3" si="197">+HZ3+1</f>
        <v>2233</v>
      </c>
      <c r="IB3" s="3">
        <f t="shared" ref="IB3:ID3" si="198">+IA3+1</f>
        <v>2234</v>
      </c>
      <c r="IC3" s="3">
        <f t="shared" si="198"/>
        <v>2235</v>
      </c>
      <c r="ID3" s="3">
        <f t="shared" si="198"/>
        <v>2236</v>
      </c>
    </row>
    <row r="4" spans="2:238" s="3" customFormat="1" x14ac:dyDescent="0.2">
      <c r="B4" s="8" t="s">
        <v>37</v>
      </c>
      <c r="C4" s="24">
        <v>3357</v>
      </c>
      <c r="D4" s="24">
        <v>8612</v>
      </c>
      <c r="E4" s="24">
        <v>11908</v>
      </c>
      <c r="F4" s="24">
        <f>+Z4-SUM(C4:E4)</f>
        <v>15073</v>
      </c>
      <c r="G4" s="25">
        <v>19392</v>
      </c>
      <c r="H4" s="24">
        <v>22604</v>
      </c>
      <c r="I4" s="24">
        <v>27644</v>
      </c>
      <c r="J4" s="25">
        <f>+AA4-SUM(G4:I4)</f>
        <v>32556</v>
      </c>
      <c r="K4" s="25">
        <v>34155</v>
      </c>
      <c r="L4" s="24">
        <v>33844</v>
      </c>
      <c r="M4" s="24">
        <v>43028</v>
      </c>
      <c r="Y4" s="2">
        <v>11317</v>
      </c>
      <c r="Z4" s="2">
        <v>38950</v>
      </c>
      <c r="AA4" s="2">
        <v>102196</v>
      </c>
    </row>
    <row r="5" spans="2:238" s="3" customFormat="1" x14ac:dyDescent="0.2">
      <c r="B5" s="8" t="s">
        <v>38</v>
      </c>
      <c r="C5" s="24">
        <v>927</v>
      </c>
      <c r="D5" s="24">
        <v>1711</v>
      </c>
      <c r="E5" s="24">
        <v>2606</v>
      </c>
      <c r="F5" s="24">
        <f>+Z5-SUM(C5:E5)</f>
        <v>3331</v>
      </c>
      <c r="G5" s="25">
        <v>3171</v>
      </c>
      <c r="H5" s="24">
        <v>3668</v>
      </c>
      <c r="I5" s="24">
        <v>3127</v>
      </c>
      <c r="J5" s="25">
        <f t="shared" ref="J5:J23" si="199">+AA5-SUM(G5:I5)</f>
        <v>3024</v>
      </c>
      <c r="K5" s="25">
        <v>4957</v>
      </c>
      <c r="L5" s="24">
        <v>7252</v>
      </c>
      <c r="M5" s="24">
        <v>8187</v>
      </c>
      <c r="Y5" s="2">
        <v>3688</v>
      </c>
      <c r="Z5" s="2">
        <v>8575</v>
      </c>
      <c r="AA5" s="2">
        <v>12990</v>
      </c>
    </row>
    <row r="6" spans="2:238" x14ac:dyDescent="0.2">
      <c r="B6" s="2" t="s">
        <v>39</v>
      </c>
      <c r="C6" s="25">
        <f t="shared" ref="C6:I6" si="200">SUM(C4:C5)</f>
        <v>4284</v>
      </c>
      <c r="D6" s="25">
        <f t="shared" si="200"/>
        <v>10323</v>
      </c>
      <c r="E6" s="25">
        <f t="shared" si="200"/>
        <v>14514</v>
      </c>
      <c r="F6" s="25">
        <f t="shared" si="200"/>
        <v>18404</v>
      </c>
      <c r="G6" s="25">
        <f t="shared" si="200"/>
        <v>22563</v>
      </c>
      <c r="H6" s="25">
        <f t="shared" si="200"/>
        <v>26272</v>
      </c>
      <c r="I6" s="25">
        <f t="shared" si="200"/>
        <v>30771</v>
      </c>
      <c r="J6" s="25">
        <f t="shared" si="199"/>
        <v>35580</v>
      </c>
      <c r="K6" s="25">
        <f>SUM(K4:K5)</f>
        <v>39112</v>
      </c>
      <c r="L6" s="25">
        <f>SUM(L4:L5)</f>
        <v>41096</v>
      </c>
      <c r="M6" s="25">
        <f>SUM(M4:M5)</f>
        <v>51215</v>
      </c>
      <c r="U6" s="2">
        <v>2932</v>
      </c>
      <c r="V6" s="2">
        <v>2983</v>
      </c>
      <c r="W6" s="2">
        <v>6696</v>
      </c>
      <c r="X6" s="2">
        <v>10613</v>
      </c>
      <c r="Y6" s="2">
        <f>SUM(Y4:Y5)</f>
        <v>15005</v>
      </c>
      <c r="Z6" s="2">
        <f>SUM(Z4:Z5)</f>
        <v>47525</v>
      </c>
      <c r="AA6" s="2">
        <f>SUM(AA4:AA5)</f>
        <v>115186</v>
      </c>
    </row>
    <row r="7" spans="2:238" x14ac:dyDescent="0.2">
      <c r="B7" s="2" t="s">
        <v>40</v>
      </c>
      <c r="C7" s="25">
        <v>2240</v>
      </c>
      <c r="D7" s="25">
        <v>2486</v>
      </c>
      <c r="E7" s="25">
        <v>2856</v>
      </c>
      <c r="F7" s="24">
        <f>+Z7-SUM(C7:E7)</f>
        <v>2865</v>
      </c>
      <c r="G7" s="25">
        <v>2647</v>
      </c>
      <c r="H7" s="25">
        <v>2880</v>
      </c>
      <c r="I7" s="25">
        <v>3279</v>
      </c>
      <c r="J7" s="25">
        <f t="shared" si="199"/>
        <v>2544</v>
      </c>
      <c r="K7" s="25">
        <v>3763</v>
      </c>
      <c r="L7" s="25">
        <v>4287</v>
      </c>
      <c r="M7" s="25">
        <v>4265</v>
      </c>
      <c r="U7" s="2">
        <v>6246</v>
      </c>
      <c r="V7" s="2">
        <v>5518</v>
      </c>
      <c r="W7" s="2">
        <v>7759</v>
      </c>
      <c r="X7" s="2">
        <v>12462</v>
      </c>
      <c r="Y7" s="2">
        <v>9067</v>
      </c>
      <c r="Z7" s="2">
        <v>10447</v>
      </c>
      <c r="AA7" s="2">
        <v>11350</v>
      </c>
    </row>
    <row r="8" spans="2:238" x14ac:dyDescent="0.2">
      <c r="B8" s="2" t="s">
        <v>41</v>
      </c>
      <c r="C8" s="25">
        <v>295</v>
      </c>
      <c r="D8" s="25">
        <v>379</v>
      </c>
      <c r="E8" s="25">
        <v>416</v>
      </c>
      <c r="F8" s="24">
        <f>+Z8-SUM(C8:E8)</f>
        <v>463</v>
      </c>
      <c r="G8" s="25">
        <v>427</v>
      </c>
      <c r="H8" s="25">
        <v>454</v>
      </c>
      <c r="I8" s="25">
        <v>486</v>
      </c>
      <c r="J8" s="25">
        <f t="shared" si="199"/>
        <v>511</v>
      </c>
      <c r="K8" s="25">
        <v>509</v>
      </c>
      <c r="L8" s="25">
        <v>601</v>
      </c>
      <c r="M8" s="25">
        <v>760</v>
      </c>
      <c r="U8" s="2">
        <v>1130</v>
      </c>
      <c r="V8" s="2">
        <v>1212</v>
      </c>
      <c r="W8" s="2">
        <v>1053</v>
      </c>
      <c r="X8" s="2">
        <v>2111</v>
      </c>
      <c r="Y8" s="2">
        <v>1544</v>
      </c>
      <c r="Z8" s="2">
        <v>1553</v>
      </c>
      <c r="AA8" s="2">
        <v>1878</v>
      </c>
    </row>
    <row r="9" spans="2:238" x14ac:dyDescent="0.2">
      <c r="B9" s="2" t="s">
        <v>42</v>
      </c>
      <c r="C9" s="25">
        <v>296</v>
      </c>
      <c r="D9" s="25">
        <v>253</v>
      </c>
      <c r="E9" s="25">
        <v>261</v>
      </c>
      <c r="F9" s="24">
        <f>+Z9-SUM(C9:E9)</f>
        <v>281</v>
      </c>
      <c r="G9" s="25">
        <v>329</v>
      </c>
      <c r="H9" s="25">
        <v>346</v>
      </c>
      <c r="I9" s="25">
        <v>449</v>
      </c>
      <c r="J9" s="25">
        <f t="shared" si="199"/>
        <v>570</v>
      </c>
      <c r="K9" s="25">
        <v>567</v>
      </c>
      <c r="L9" s="25">
        <v>586</v>
      </c>
      <c r="M9" s="25">
        <v>592</v>
      </c>
      <c r="U9" s="2">
        <v>641</v>
      </c>
      <c r="V9" s="2">
        <v>700</v>
      </c>
      <c r="W9" s="2">
        <v>536</v>
      </c>
      <c r="X9" s="2">
        <v>566</v>
      </c>
      <c r="Y9" s="2">
        <v>903</v>
      </c>
      <c r="Z9" s="2">
        <v>1091</v>
      </c>
      <c r="AA9" s="2">
        <v>1694</v>
      </c>
    </row>
    <row r="10" spans="2:238" x14ac:dyDescent="0.2">
      <c r="B10" s="2" t="s">
        <v>43</v>
      </c>
      <c r="C10" s="25">
        <v>77</v>
      </c>
      <c r="D10" s="25">
        <v>66</v>
      </c>
      <c r="E10" s="25">
        <v>73</v>
      </c>
      <c r="F10" s="24">
        <f>+Z10-SUM(C10:E10)</f>
        <v>90</v>
      </c>
      <c r="G10" s="25">
        <v>78</v>
      </c>
      <c r="H10" s="25">
        <v>88</v>
      </c>
      <c r="I10" s="25">
        <v>97</v>
      </c>
      <c r="J10" s="25">
        <f t="shared" si="199"/>
        <v>126</v>
      </c>
      <c r="K10" s="25">
        <v>111</v>
      </c>
      <c r="L10" s="25">
        <v>173</v>
      </c>
      <c r="M10" s="25">
        <v>174</v>
      </c>
      <c r="U10" s="2">
        <v>767</v>
      </c>
      <c r="V10" s="2">
        <v>505</v>
      </c>
      <c r="W10" s="2">
        <v>631</v>
      </c>
      <c r="X10" s="2">
        <v>1162</v>
      </c>
      <c r="Y10" s="2">
        <v>455</v>
      </c>
      <c r="Z10" s="2">
        <v>306</v>
      </c>
      <c r="AA10" s="2">
        <v>389</v>
      </c>
    </row>
    <row r="11" spans="2:238" x14ac:dyDescent="0.2">
      <c r="B11" s="5" t="s">
        <v>21</v>
      </c>
      <c r="C11" s="26">
        <f t="shared" ref="C11:I11" si="201">SUM(C6:C10)</f>
        <v>7192</v>
      </c>
      <c r="D11" s="26">
        <f t="shared" si="201"/>
        <v>13507</v>
      </c>
      <c r="E11" s="26">
        <f t="shared" si="201"/>
        <v>18120</v>
      </c>
      <c r="F11" s="26">
        <f t="shared" si="201"/>
        <v>22103</v>
      </c>
      <c r="G11" s="26">
        <f t="shared" si="201"/>
        <v>26044</v>
      </c>
      <c r="H11" s="26">
        <f t="shared" si="201"/>
        <v>30040</v>
      </c>
      <c r="I11" s="26">
        <f t="shared" si="201"/>
        <v>35082</v>
      </c>
      <c r="J11" s="26">
        <f t="shared" si="199"/>
        <v>39331</v>
      </c>
      <c r="K11" s="26">
        <f>SUM(K6:K10)</f>
        <v>44062</v>
      </c>
      <c r="L11" s="26">
        <f>SUM(L6:L10)</f>
        <v>46743</v>
      </c>
      <c r="M11" s="26">
        <f>SUM(M6:M10)</f>
        <v>57006</v>
      </c>
      <c r="N11" s="5">
        <f>AVERAGE(65*0.98,65*1.02) * 1000</f>
        <v>65000</v>
      </c>
      <c r="Q11" s="5"/>
      <c r="R11" s="5"/>
      <c r="S11" s="5"/>
      <c r="T11" s="5"/>
      <c r="U11" s="5">
        <f t="shared" ref="U11:AA11" si="202">SUM(U6:U10)</f>
        <v>11716</v>
      </c>
      <c r="V11" s="5">
        <f t="shared" si="202"/>
        <v>10918</v>
      </c>
      <c r="W11" s="5">
        <f t="shared" si="202"/>
        <v>16675</v>
      </c>
      <c r="X11" s="5">
        <f t="shared" si="202"/>
        <v>26914</v>
      </c>
      <c r="Y11" s="5">
        <f t="shared" si="202"/>
        <v>26974</v>
      </c>
      <c r="Z11" s="5">
        <f t="shared" si="202"/>
        <v>60922</v>
      </c>
      <c r="AA11" s="5">
        <f t="shared" si="202"/>
        <v>130497</v>
      </c>
      <c r="AB11" s="5">
        <f>SUM(K11:N11)</f>
        <v>212811</v>
      </c>
      <c r="AC11" s="5">
        <f>+AB11*1.4</f>
        <v>297935.39999999997</v>
      </c>
      <c r="AD11" s="5">
        <f t="shared" ref="AD11" si="203">+AC11*1.4</f>
        <v>417109.55999999994</v>
      </c>
      <c r="AE11" s="5">
        <f>+AD11*1.2</f>
        <v>500531.47199999989</v>
      </c>
      <c r="AF11" s="5">
        <f t="shared" ref="AF11" si="204">+AE11*1.2</f>
        <v>600637.76639999985</v>
      </c>
      <c r="AG11" s="5">
        <f>+AF11*1.1</f>
        <v>660701.5430399999</v>
      </c>
      <c r="AH11" s="5">
        <f>+AG11*1.1</f>
        <v>726771.69734399999</v>
      </c>
      <c r="AI11" s="5">
        <f>+AH11*1.1</f>
        <v>799448.8670784001</v>
      </c>
      <c r="AJ11" s="5">
        <f>+AI11*1.1</f>
        <v>879393.75378624024</v>
      </c>
      <c r="AK11" s="5">
        <f>+AJ11*1.1</f>
        <v>967333.12916486431</v>
      </c>
    </row>
    <row r="12" spans="2:238" x14ac:dyDescent="0.2">
      <c r="B12" s="2" t="s">
        <v>25</v>
      </c>
      <c r="C12" s="25">
        <v>2544</v>
      </c>
      <c r="D12" s="25">
        <v>4045</v>
      </c>
      <c r="E12" s="25">
        <v>4720</v>
      </c>
      <c r="F12" s="24">
        <f t="shared" ref="F12:F18" si="205">+Z12-SUM(C12:E12)</f>
        <v>5312</v>
      </c>
      <c r="G12" s="25">
        <v>5638</v>
      </c>
      <c r="H12" s="25">
        <v>7466</v>
      </c>
      <c r="I12" s="25">
        <v>8926</v>
      </c>
      <c r="J12" s="25">
        <f t="shared" si="199"/>
        <v>10609</v>
      </c>
      <c r="K12" s="25">
        <v>17394</v>
      </c>
      <c r="L12" s="25">
        <v>12890</v>
      </c>
      <c r="M12" s="25">
        <v>15157</v>
      </c>
      <c r="N12" s="2">
        <f>+N11*0.26</f>
        <v>16900</v>
      </c>
      <c r="U12" s="2">
        <v>4545</v>
      </c>
      <c r="V12" s="2">
        <v>4150</v>
      </c>
      <c r="W12" s="2">
        <v>6279</v>
      </c>
      <c r="X12" s="2">
        <v>9439</v>
      </c>
      <c r="Y12" s="2">
        <v>11618</v>
      </c>
      <c r="Z12" s="2">
        <v>16621</v>
      </c>
      <c r="AA12" s="2">
        <v>32639</v>
      </c>
      <c r="AB12" s="2">
        <f>SUM(K12:N12)</f>
        <v>62341</v>
      </c>
      <c r="AC12" s="2">
        <f>+AC$11*(AB12/AB$11)</f>
        <v>87277.39999999998</v>
      </c>
      <c r="AD12" s="2">
        <f t="shared" ref="AD12:AK12" si="206">+AD$11*(AC12/AC$11)</f>
        <v>122188.35999999997</v>
      </c>
      <c r="AE12" s="2">
        <f t="shared" si="206"/>
        <v>146626.03199999995</v>
      </c>
      <c r="AF12" s="2">
        <f t="shared" si="206"/>
        <v>175951.23839999991</v>
      </c>
      <c r="AG12" s="2">
        <f t="shared" si="206"/>
        <v>193546.36223999993</v>
      </c>
      <c r="AH12" s="2">
        <f t="shared" si="206"/>
        <v>212900.99846399995</v>
      </c>
      <c r="AI12" s="2">
        <f t="shared" si="206"/>
        <v>234191.09831039998</v>
      </c>
      <c r="AJ12" s="2">
        <f t="shared" si="206"/>
        <v>257610.20814144</v>
      </c>
      <c r="AK12" s="2">
        <f t="shared" si="206"/>
        <v>283371.228955584</v>
      </c>
    </row>
    <row r="13" spans="2:238" x14ac:dyDescent="0.2">
      <c r="B13" s="2" t="s">
        <v>26</v>
      </c>
      <c r="C13" s="25">
        <v>1875</v>
      </c>
      <c r="D13" s="25">
        <v>2040</v>
      </c>
      <c r="E13" s="25">
        <v>2294</v>
      </c>
      <c r="F13" s="24">
        <f t="shared" si="205"/>
        <v>2466</v>
      </c>
      <c r="G13" s="25">
        <v>2720</v>
      </c>
      <c r="H13" s="25">
        <v>3090</v>
      </c>
      <c r="I13" s="25">
        <v>3390</v>
      </c>
      <c r="J13" s="25">
        <f t="shared" si="199"/>
        <v>3714</v>
      </c>
      <c r="K13" s="25">
        <v>3989</v>
      </c>
      <c r="L13" s="25">
        <v>4291</v>
      </c>
      <c r="M13" s="25">
        <v>4705</v>
      </c>
      <c r="N13" s="2">
        <v>5000</v>
      </c>
      <c r="U13" s="2">
        <v>2376</v>
      </c>
      <c r="V13" s="2">
        <v>2829</v>
      </c>
      <c r="W13" s="2">
        <v>3924</v>
      </c>
      <c r="X13" s="2">
        <v>5268</v>
      </c>
      <c r="Y13" s="2">
        <v>7339</v>
      </c>
      <c r="Z13" s="2">
        <v>8675</v>
      </c>
      <c r="AA13" s="2">
        <v>12914</v>
      </c>
      <c r="AB13" s="2">
        <f>SUM(K13:N13)</f>
        <v>17985</v>
      </c>
      <c r="AC13" s="2">
        <f>+AC$11*(AB13/AB$11)</f>
        <v>25178.999999999996</v>
      </c>
      <c r="AD13" s="2">
        <f t="shared" ref="AD13:AK13" si="207">+AD$11*(AC13/AC$11)</f>
        <v>35250.599999999991</v>
      </c>
      <c r="AE13" s="2">
        <f t="shared" si="207"/>
        <v>42300.719999999987</v>
      </c>
      <c r="AF13" s="2">
        <f t="shared" si="207"/>
        <v>50760.863999999987</v>
      </c>
      <c r="AG13" s="2">
        <f t="shared" si="207"/>
        <v>55836.950399999987</v>
      </c>
      <c r="AH13" s="2">
        <f t="shared" si="207"/>
        <v>61420.64544</v>
      </c>
      <c r="AI13" s="2">
        <f t="shared" si="207"/>
        <v>67562.709984000001</v>
      </c>
      <c r="AJ13" s="2">
        <f t="shared" si="207"/>
        <v>74318.980982400011</v>
      </c>
      <c r="AK13" s="2">
        <f t="shared" si="207"/>
        <v>81750.879080640007</v>
      </c>
    </row>
    <row r="14" spans="2:238" x14ac:dyDescent="0.2">
      <c r="B14" s="2" t="s">
        <v>27</v>
      </c>
      <c r="C14" s="25">
        <v>633</v>
      </c>
      <c r="D14" s="25">
        <v>622</v>
      </c>
      <c r="E14" s="25">
        <v>689</v>
      </c>
      <c r="F14" s="24">
        <f t="shared" si="205"/>
        <v>710</v>
      </c>
      <c r="G14" s="25">
        <v>777</v>
      </c>
      <c r="H14" s="25">
        <v>842</v>
      </c>
      <c r="I14" s="25">
        <v>897</v>
      </c>
      <c r="J14" s="25">
        <f t="shared" si="199"/>
        <v>975</v>
      </c>
      <c r="K14" s="25">
        <v>1041</v>
      </c>
      <c r="L14" s="25">
        <v>1122</v>
      </c>
      <c r="M14" s="25">
        <v>1134</v>
      </c>
      <c r="N14" s="2">
        <v>1700</v>
      </c>
      <c r="U14" s="2">
        <v>991</v>
      </c>
      <c r="V14" s="2">
        <v>1093</v>
      </c>
      <c r="W14" s="2">
        <v>1940</v>
      </c>
      <c r="X14" s="2">
        <v>2166</v>
      </c>
      <c r="Y14" s="2">
        <v>2440</v>
      </c>
      <c r="Z14" s="2">
        <v>2654</v>
      </c>
      <c r="AA14" s="2">
        <v>3491</v>
      </c>
      <c r="AB14" s="2">
        <f t="shared" ref="AB14:AB23" si="208">SUM(K14:N14)</f>
        <v>4997</v>
      </c>
      <c r="AC14" s="2">
        <f>+AC$11*(AB14/AB$11)</f>
        <v>6995.7999999999993</v>
      </c>
      <c r="AD14" s="2">
        <f t="shared" ref="AD14:AK14" si="209">+AD$11*(AC14/AC$11)</f>
        <v>9794.119999999999</v>
      </c>
      <c r="AE14" s="2">
        <f t="shared" si="209"/>
        <v>11752.943999999998</v>
      </c>
      <c r="AF14" s="2">
        <f t="shared" si="209"/>
        <v>14103.532799999997</v>
      </c>
      <c r="AG14" s="2">
        <f t="shared" si="209"/>
        <v>15513.886079999998</v>
      </c>
      <c r="AH14" s="2">
        <f t="shared" si="209"/>
        <v>17065.274688000001</v>
      </c>
      <c r="AI14" s="2">
        <f t="shared" si="209"/>
        <v>18771.802156800004</v>
      </c>
      <c r="AJ14" s="2">
        <f t="shared" si="209"/>
        <v>20648.982372480008</v>
      </c>
      <c r="AK14" s="2">
        <f t="shared" si="209"/>
        <v>22713.88060972801</v>
      </c>
    </row>
    <row r="15" spans="2:238" x14ac:dyDescent="0.2">
      <c r="B15" s="2" t="s">
        <v>28</v>
      </c>
      <c r="C15" s="25">
        <f>+C11-SUM(C12:C14)</f>
        <v>2140</v>
      </c>
      <c r="D15" s="25">
        <f>+D11-SUM(D12:D14)</f>
        <v>6800</v>
      </c>
      <c r="E15" s="25">
        <f>+E11-SUM(E12:E14)</f>
        <v>10417</v>
      </c>
      <c r="F15" s="24">
        <f t="shared" si="205"/>
        <v>13615</v>
      </c>
      <c r="G15" s="25">
        <f>+G11-SUM(G12:G14)</f>
        <v>16909</v>
      </c>
      <c r="H15" s="25">
        <f>+H11-SUM(H12:H14)</f>
        <v>18642</v>
      </c>
      <c r="I15" s="25">
        <f>+I11-SUM(I12:I14)</f>
        <v>21869</v>
      </c>
      <c r="J15" s="25">
        <f t="shared" si="199"/>
        <v>24033</v>
      </c>
      <c r="K15" s="25">
        <f>+K11-SUM(K12:K14)</f>
        <v>21638</v>
      </c>
      <c r="L15" s="25">
        <f>+L11-SUM(L12:L14)</f>
        <v>28440</v>
      </c>
      <c r="M15" s="25">
        <f>+M11-SUM(M12:M14)</f>
        <v>36010</v>
      </c>
      <c r="N15" s="25">
        <f>+N11-SUM(N12:N14)</f>
        <v>41400</v>
      </c>
      <c r="U15" s="2">
        <f t="shared" ref="U15:AC15" si="210">+U11-SUM(U12:U14)</f>
        <v>3804</v>
      </c>
      <c r="V15" s="2">
        <f t="shared" si="210"/>
        <v>2846</v>
      </c>
      <c r="W15" s="2">
        <f t="shared" si="210"/>
        <v>4532</v>
      </c>
      <c r="X15" s="2">
        <f t="shared" si="210"/>
        <v>10041</v>
      </c>
      <c r="Y15" s="2">
        <f t="shared" si="210"/>
        <v>5577</v>
      </c>
      <c r="Z15" s="2">
        <f t="shared" si="210"/>
        <v>32972</v>
      </c>
      <c r="AA15" s="2">
        <f t="shared" si="210"/>
        <v>81453</v>
      </c>
      <c r="AB15" s="2">
        <f t="shared" si="208"/>
        <v>127488</v>
      </c>
      <c r="AC15" s="2">
        <f t="shared" si="210"/>
        <v>178483.19999999998</v>
      </c>
      <c r="AD15" s="2">
        <f t="shared" ref="AD15:AK15" si="211">+AD11-SUM(AD12:AD14)</f>
        <v>249876.47999999998</v>
      </c>
      <c r="AE15" s="2">
        <f t="shared" si="211"/>
        <v>299851.77599999995</v>
      </c>
      <c r="AF15" s="2">
        <f t="shared" si="211"/>
        <v>359822.13119999995</v>
      </c>
      <c r="AG15" s="2">
        <f t="shared" si="211"/>
        <v>395804.34431999997</v>
      </c>
      <c r="AH15" s="2">
        <f t="shared" si="211"/>
        <v>435384.77875200007</v>
      </c>
      <c r="AI15" s="2">
        <f t="shared" si="211"/>
        <v>478923.25662720011</v>
      </c>
      <c r="AJ15" s="2">
        <f t="shared" si="211"/>
        <v>526815.58228992019</v>
      </c>
      <c r="AK15" s="2">
        <f t="shared" si="211"/>
        <v>579497.14051891235</v>
      </c>
    </row>
    <row r="16" spans="2:238" x14ac:dyDescent="0.2">
      <c r="B16" s="2" t="s">
        <v>29</v>
      </c>
      <c r="C16" s="25">
        <v>150</v>
      </c>
      <c r="D16" s="25">
        <v>187</v>
      </c>
      <c r="E16" s="25">
        <v>234</v>
      </c>
      <c r="F16" s="24">
        <f t="shared" si="205"/>
        <v>295</v>
      </c>
      <c r="G16" s="25">
        <v>515</v>
      </c>
      <c r="H16" s="25">
        <v>444</v>
      </c>
      <c r="I16" s="25">
        <v>472</v>
      </c>
      <c r="J16" s="25">
        <f t="shared" si="199"/>
        <v>355</v>
      </c>
      <c r="K16" s="25">
        <v>515</v>
      </c>
      <c r="L16" s="25">
        <v>592</v>
      </c>
      <c r="M16" s="25">
        <v>624</v>
      </c>
      <c r="N16" s="2">
        <f>+N$15*(M16/M$15)</f>
        <v>717.40072202166061</v>
      </c>
      <c r="U16" s="2">
        <v>136</v>
      </c>
      <c r="V16" s="2">
        <v>178</v>
      </c>
      <c r="W16" s="2">
        <v>57</v>
      </c>
      <c r="X16" s="2">
        <v>29</v>
      </c>
      <c r="Y16" s="2">
        <v>267</v>
      </c>
      <c r="Z16" s="2">
        <v>866</v>
      </c>
      <c r="AA16" s="2">
        <v>1786</v>
      </c>
      <c r="AB16" s="2">
        <f t="shared" si="208"/>
        <v>2448.4007220216608</v>
      </c>
      <c r="AC16" s="2">
        <f>+AB16</f>
        <v>2448.4007220216608</v>
      </c>
      <c r="AD16" s="2">
        <f t="shared" ref="AD16:AK16" si="212">+AC16</f>
        <v>2448.4007220216608</v>
      </c>
      <c r="AE16" s="2">
        <f t="shared" si="212"/>
        <v>2448.4007220216608</v>
      </c>
      <c r="AF16" s="2">
        <f t="shared" si="212"/>
        <v>2448.4007220216608</v>
      </c>
      <c r="AG16" s="2">
        <f t="shared" si="212"/>
        <v>2448.4007220216608</v>
      </c>
      <c r="AH16" s="2">
        <f t="shared" si="212"/>
        <v>2448.4007220216608</v>
      </c>
      <c r="AI16" s="2">
        <f t="shared" si="212"/>
        <v>2448.4007220216608</v>
      </c>
      <c r="AJ16" s="2">
        <f t="shared" si="212"/>
        <v>2448.4007220216608</v>
      </c>
      <c r="AK16" s="2">
        <f t="shared" si="212"/>
        <v>2448.4007220216608</v>
      </c>
    </row>
    <row r="17" spans="2:238" x14ac:dyDescent="0.2">
      <c r="B17" s="2" t="s">
        <v>30</v>
      </c>
      <c r="C17" s="25">
        <v>-66</v>
      </c>
      <c r="D17" s="25">
        <v>-65</v>
      </c>
      <c r="E17" s="25">
        <v>-63</v>
      </c>
      <c r="F17" s="24">
        <f t="shared" si="205"/>
        <v>-63</v>
      </c>
      <c r="G17" s="25">
        <v>-63</v>
      </c>
      <c r="H17" s="25">
        <v>-61</v>
      </c>
      <c r="I17" s="25">
        <v>-61</v>
      </c>
      <c r="J17" s="25">
        <f t="shared" si="199"/>
        <v>-62</v>
      </c>
      <c r="K17" s="25">
        <v>-63</v>
      </c>
      <c r="L17" s="25">
        <v>62</v>
      </c>
      <c r="M17" s="25">
        <v>-61</v>
      </c>
      <c r="N17" s="2">
        <f>+N$15*(M17/M$15)</f>
        <v>-70.130519300194393</v>
      </c>
      <c r="U17" s="2">
        <v>-58</v>
      </c>
      <c r="V17" s="2">
        <v>-52</v>
      </c>
      <c r="W17" s="2">
        <v>-184</v>
      </c>
      <c r="X17" s="2">
        <v>-236</v>
      </c>
      <c r="Y17" s="2">
        <v>-262</v>
      </c>
      <c r="Z17" s="2">
        <v>-257</v>
      </c>
      <c r="AA17" s="2">
        <v>-247</v>
      </c>
      <c r="AB17" s="2">
        <f t="shared" si="208"/>
        <v>-132.13051930019441</v>
      </c>
      <c r="AC17" s="2">
        <f>+AB17</f>
        <v>-132.13051930019441</v>
      </c>
      <c r="AD17" s="2">
        <f t="shared" ref="AD17:AK17" si="213">+AC17</f>
        <v>-132.13051930019441</v>
      </c>
      <c r="AE17" s="2">
        <f t="shared" si="213"/>
        <v>-132.13051930019441</v>
      </c>
      <c r="AF17" s="2">
        <f t="shared" si="213"/>
        <v>-132.13051930019441</v>
      </c>
      <c r="AG17" s="2">
        <f t="shared" si="213"/>
        <v>-132.13051930019441</v>
      </c>
      <c r="AH17" s="2">
        <f t="shared" si="213"/>
        <v>-132.13051930019441</v>
      </c>
      <c r="AI17" s="2">
        <f t="shared" si="213"/>
        <v>-132.13051930019441</v>
      </c>
      <c r="AJ17" s="2">
        <f t="shared" si="213"/>
        <v>-132.13051930019441</v>
      </c>
      <c r="AK17" s="2">
        <f t="shared" si="213"/>
        <v>-132.13051930019441</v>
      </c>
    </row>
    <row r="18" spans="2:238" x14ac:dyDescent="0.2">
      <c r="B18" s="2" t="s">
        <v>31</v>
      </c>
      <c r="C18" s="25">
        <v>-15</v>
      </c>
      <c r="D18" s="25">
        <v>59</v>
      </c>
      <c r="E18" s="25">
        <v>-66</v>
      </c>
      <c r="F18" s="24">
        <f t="shared" si="205"/>
        <v>259</v>
      </c>
      <c r="G18" s="25">
        <v>-180</v>
      </c>
      <c r="H18" s="25">
        <v>189</v>
      </c>
      <c r="I18" s="25">
        <v>36</v>
      </c>
      <c r="J18" s="25">
        <f t="shared" si="199"/>
        <v>989</v>
      </c>
      <c r="K18" s="25">
        <v>-180</v>
      </c>
      <c r="L18" s="25">
        <v>2236</v>
      </c>
      <c r="M18" s="25">
        <v>1363</v>
      </c>
      <c r="N18" s="2">
        <v>500</v>
      </c>
      <c r="U18" s="2">
        <v>14</v>
      </c>
      <c r="V18" s="2">
        <v>-2</v>
      </c>
      <c r="W18" s="2">
        <v>4</v>
      </c>
      <c r="X18" s="2">
        <v>107</v>
      </c>
      <c r="Y18" s="2">
        <v>-48</v>
      </c>
      <c r="Z18" s="2">
        <v>237</v>
      </c>
      <c r="AA18" s="2">
        <v>1034</v>
      </c>
      <c r="AB18" s="2">
        <f t="shared" si="208"/>
        <v>3919</v>
      </c>
      <c r="AC18" s="2">
        <f>+AB18</f>
        <v>3919</v>
      </c>
      <c r="AD18" s="2">
        <f t="shared" ref="AD18:AK18" si="214">+AC18</f>
        <v>3919</v>
      </c>
      <c r="AE18" s="2">
        <f t="shared" si="214"/>
        <v>3919</v>
      </c>
      <c r="AF18" s="2">
        <f t="shared" si="214"/>
        <v>3919</v>
      </c>
      <c r="AG18" s="2">
        <f t="shared" si="214"/>
        <v>3919</v>
      </c>
      <c r="AH18" s="2">
        <f t="shared" si="214"/>
        <v>3919</v>
      </c>
      <c r="AI18" s="2">
        <f t="shared" si="214"/>
        <v>3919</v>
      </c>
      <c r="AJ18" s="2">
        <f t="shared" si="214"/>
        <v>3919</v>
      </c>
      <c r="AK18" s="2">
        <f t="shared" si="214"/>
        <v>3919</v>
      </c>
    </row>
    <row r="19" spans="2:238" x14ac:dyDescent="0.2">
      <c r="B19" s="2" t="s">
        <v>32</v>
      </c>
      <c r="C19" s="25">
        <f t="shared" ref="C19:I19" si="215">+SUM(C15:C18)</f>
        <v>2209</v>
      </c>
      <c r="D19" s="25">
        <f t="shared" si="215"/>
        <v>6981</v>
      </c>
      <c r="E19" s="25">
        <f t="shared" si="215"/>
        <v>10522</v>
      </c>
      <c r="F19" s="25">
        <f t="shared" si="215"/>
        <v>14106</v>
      </c>
      <c r="G19" s="25">
        <f t="shared" si="215"/>
        <v>17181</v>
      </c>
      <c r="H19" s="25">
        <f t="shared" si="215"/>
        <v>19214</v>
      </c>
      <c r="I19" s="25">
        <f t="shared" si="215"/>
        <v>22316</v>
      </c>
      <c r="J19" s="25">
        <f t="shared" si="199"/>
        <v>25315</v>
      </c>
      <c r="K19" s="25">
        <f>+SUM(K15:K18)</f>
        <v>21910</v>
      </c>
      <c r="L19" s="25">
        <f>+SUM(L15:L18)</f>
        <v>31330</v>
      </c>
      <c r="M19" s="25">
        <f>+SUM(M15:M18)</f>
        <v>37936</v>
      </c>
      <c r="N19" s="25">
        <f>+SUM(N15:N18)</f>
        <v>42547.270202721462</v>
      </c>
      <c r="U19" s="2">
        <f t="shared" ref="U19:AC19" si="216">+SUM(U15:U18)</f>
        <v>3896</v>
      </c>
      <c r="V19" s="2">
        <f t="shared" si="216"/>
        <v>2970</v>
      </c>
      <c r="W19" s="2">
        <f t="shared" si="216"/>
        <v>4409</v>
      </c>
      <c r="X19" s="2">
        <f t="shared" si="216"/>
        <v>9941</v>
      </c>
      <c r="Y19" s="2">
        <f t="shared" si="216"/>
        <v>5534</v>
      </c>
      <c r="Z19" s="2">
        <f t="shared" si="216"/>
        <v>33818</v>
      </c>
      <c r="AA19" s="2">
        <f t="shared" si="216"/>
        <v>84026</v>
      </c>
      <c r="AB19" s="2">
        <f t="shared" si="208"/>
        <v>133723.27020272147</v>
      </c>
      <c r="AC19" s="2">
        <f t="shared" si="216"/>
        <v>184718.47020272145</v>
      </c>
      <c r="AD19" s="2">
        <f t="shared" ref="AD19:AK19" si="217">+SUM(AD15:AD18)</f>
        <v>256111.75020272145</v>
      </c>
      <c r="AE19" s="2">
        <f t="shared" si="217"/>
        <v>306087.04620272142</v>
      </c>
      <c r="AF19" s="2">
        <f t="shared" si="217"/>
        <v>366057.40140272141</v>
      </c>
      <c r="AG19" s="2">
        <f t="shared" si="217"/>
        <v>402039.61452272144</v>
      </c>
      <c r="AH19" s="2">
        <f t="shared" si="217"/>
        <v>441620.04895472154</v>
      </c>
      <c r="AI19" s="2">
        <f t="shared" si="217"/>
        <v>485158.52682992158</v>
      </c>
      <c r="AJ19" s="2">
        <f t="shared" si="217"/>
        <v>533050.85249264166</v>
      </c>
      <c r="AK19" s="2">
        <f t="shared" si="217"/>
        <v>585732.41072163382</v>
      </c>
    </row>
    <row r="20" spans="2:238" x14ac:dyDescent="0.2">
      <c r="B20" s="2" t="s">
        <v>33</v>
      </c>
      <c r="C20" s="25">
        <v>166</v>
      </c>
      <c r="D20" s="25">
        <v>793</v>
      </c>
      <c r="E20" s="25">
        <v>1279</v>
      </c>
      <c r="F20" s="24">
        <f>+Z20-SUM(C20:E20)</f>
        <v>1820</v>
      </c>
      <c r="G20" s="25">
        <v>3135</v>
      </c>
      <c r="H20" s="25">
        <v>2615</v>
      </c>
      <c r="I20" s="25">
        <v>3007</v>
      </c>
      <c r="J20" s="25">
        <f t="shared" si="199"/>
        <v>-7611</v>
      </c>
      <c r="K20" s="25">
        <v>3135</v>
      </c>
      <c r="L20" s="25">
        <v>4784</v>
      </c>
      <c r="M20" s="25">
        <v>6026</v>
      </c>
      <c r="N20" s="2">
        <f>+N19*(M20/M19)</f>
        <v>6758.4840320961493</v>
      </c>
      <c r="U20" s="2">
        <v>-245</v>
      </c>
      <c r="V20" s="2">
        <v>174</v>
      </c>
      <c r="W20" s="2">
        <v>77</v>
      </c>
      <c r="X20" s="2">
        <v>189</v>
      </c>
      <c r="Y20" s="2">
        <v>-187</v>
      </c>
      <c r="Z20" s="2">
        <v>4058</v>
      </c>
      <c r="AA20" s="2">
        <v>1146</v>
      </c>
      <c r="AB20" s="2">
        <f t="shared" si="208"/>
        <v>20703.484032096148</v>
      </c>
      <c r="AC20" s="2">
        <f>+AC19*(AB20/AB19)</f>
        <v>28598.731488376667</v>
      </c>
      <c r="AD20" s="2">
        <f t="shared" ref="AD20:AK20" si="218">+AD19*(AC20/AC19)</f>
        <v>39652.077927169397</v>
      </c>
      <c r="AE20" s="2">
        <f t="shared" si="218"/>
        <v>47389.420434324304</v>
      </c>
      <c r="AF20" s="2">
        <f t="shared" si="218"/>
        <v>56674.23144291019</v>
      </c>
      <c r="AG20" s="2">
        <f t="shared" si="218"/>
        <v>62245.118048061733</v>
      </c>
      <c r="AH20" s="2">
        <f t="shared" si="218"/>
        <v>68373.09331372843</v>
      </c>
      <c r="AI20" s="2">
        <f t="shared" si="218"/>
        <v>75113.866105961788</v>
      </c>
      <c r="AJ20" s="2">
        <f t="shared" si="218"/>
        <v>82528.716177418493</v>
      </c>
      <c r="AK20" s="2">
        <f t="shared" si="218"/>
        <v>90685.051256020874</v>
      </c>
    </row>
    <row r="21" spans="2:238" x14ac:dyDescent="0.2">
      <c r="B21" s="2" t="s">
        <v>34</v>
      </c>
      <c r="C21" s="25">
        <f t="shared" ref="C21:I21" si="219">+C19-C20</f>
        <v>2043</v>
      </c>
      <c r="D21" s="25">
        <f t="shared" si="219"/>
        <v>6188</v>
      </c>
      <c r="E21" s="25">
        <f t="shared" si="219"/>
        <v>9243</v>
      </c>
      <c r="F21" s="25">
        <f t="shared" si="219"/>
        <v>12286</v>
      </c>
      <c r="G21" s="25">
        <f t="shared" si="219"/>
        <v>14046</v>
      </c>
      <c r="H21" s="25">
        <f t="shared" si="219"/>
        <v>16599</v>
      </c>
      <c r="I21" s="25">
        <f t="shared" si="219"/>
        <v>19309</v>
      </c>
      <c r="J21" s="25">
        <f t="shared" si="199"/>
        <v>32926</v>
      </c>
      <c r="K21" s="25">
        <f>+K19-K20</f>
        <v>18775</v>
      </c>
      <c r="L21" s="25">
        <f>+L19-L20</f>
        <v>26546</v>
      </c>
      <c r="M21" s="25">
        <f>+M19-M20</f>
        <v>31910</v>
      </c>
      <c r="N21" s="25">
        <f>+N19-N20</f>
        <v>35788.78617062531</v>
      </c>
      <c r="U21" s="2">
        <f t="shared" ref="U21:AC21" si="220">+U19-U20</f>
        <v>4141</v>
      </c>
      <c r="V21" s="2">
        <f t="shared" si="220"/>
        <v>2796</v>
      </c>
      <c r="W21" s="2">
        <f t="shared" si="220"/>
        <v>4332</v>
      </c>
      <c r="X21" s="2">
        <f t="shared" si="220"/>
        <v>9752</v>
      </c>
      <c r="Y21" s="2">
        <f t="shared" si="220"/>
        <v>5721</v>
      </c>
      <c r="Z21" s="2">
        <f t="shared" si="220"/>
        <v>29760</v>
      </c>
      <c r="AA21" s="2">
        <f t="shared" si="220"/>
        <v>82880</v>
      </c>
      <c r="AB21" s="2">
        <f t="shared" si="208"/>
        <v>113019.7861706253</v>
      </c>
      <c r="AC21" s="2">
        <f t="shared" si="220"/>
        <v>156119.7387143448</v>
      </c>
      <c r="AD21" s="2">
        <f t="shared" ref="AD21:AK21" si="221">+AD19-AD20</f>
        <v>216459.67227555206</v>
      </c>
      <c r="AE21" s="2">
        <f t="shared" si="221"/>
        <v>258697.62576839712</v>
      </c>
      <c r="AF21" s="2">
        <f t="shared" si="221"/>
        <v>309383.1699598112</v>
      </c>
      <c r="AG21" s="2">
        <f t="shared" si="221"/>
        <v>339794.49647465971</v>
      </c>
      <c r="AH21" s="2">
        <f t="shared" si="221"/>
        <v>373246.95564099308</v>
      </c>
      <c r="AI21" s="2">
        <f t="shared" si="221"/>
        <v>410044.66072395979</v>
      </c>
      <c r="AJ21" s="2">
        <f t="shared" si="221"/>
        <v>450522.13631522318</v>
      </c>
      <c r="AK21" s="2">
        <f t="shared" si="221"/>
        <v>495047.35946561291</v>
      </c>
      <c r="AL21" s="2">
        <f>+AK21*(1+$AM$26)</f>
        <v>499997.83306026907</v>
      </c>
      <c r="AM21" s="2">
        <f t="shared" ref="AM21:CX21" si="222">+AL21*(1+$AM$26)</f>
        <v>504997.81139087176</v>
      </c>
      <c r="AN21" s="2">
        <f t="shared" si="222"/>
        <v>510047.78950478049</v>
      </c>
      <c r="AO21" s="2">
        <f t="shared" si="222"/>
        <v>515148.2673998283</v>
      </c>
      <c r="AP21" s="2">
        <f t="shared" si="222"/>
        <v>520299.75007382658</v>
      </c>
      <c r="AQ21" s="2">
        <f t="shared" si="222"/>
        <v>525502.74757456488</v>
      </c>
      <c r="AR21" s="2">
        <f t="shared" si="222"/>
        <v>530757.77505031053</v>
      </c>
      <c r="AS21" s="2">
        <f t="shared" si="222"/>
        <v>536065.35280081362</v>
      </c>
      <c r="AT21" s="2">
        <f t="shared" si="222"/>
        <v>541426.00632882176</v>
      </c>
      <c r="AU21" s="2">
        <f t="shared" si="222"/>
        <v>546840.26639211003</v>
      </c>
      <c r="AV21" s="2">
        <f t="shared" si="222"/>
        <v>552308.66905603115</v>
      </c>
      <c r="AW21" s="2">
        <f t="shared" si="222"/>
        <v>557831.75574659149</v>
      </c>
      <c r="AX21" s="2">
        <f t="shared" si="222"/>
        <v>563410.07330405735</v>
      </c>
      <c r="AY21" s="2">
        <f t="shared" si="222"/>
        <v>569044.17403709795</v>
      </c>
      <c r="AZ21" s="2">
        <f t="shared" si="222"/>
        <v>574734.61577746889</v>
      </c>
      <c r="BA21" s="2">
        <f t="shared" si="222"/>
        <v>580481.96193524357</v>
      </c>
      <c r="BB21" s="2">
        <f t="shared" si="222"/>
        <v>586286.78155459603</v>
      </c>
      <c r="BC21" s="2">
        <f t="shared" si="222"/>
        <v>592149.64937014203</v>
      </c>
      <c r="BD21" s="2">
        <f t="shared" si="222"/>
        <v>598071.1458638435</v>
      </c>
      <c r="BE21" s="2">
        <f t="shared" si="222"/>
        <v>604051.85732248193</v>
      </c>
      <c r="BF21" s="2">
        <f t="shared" si="222"/>
        <v>610092.3758957067</v>
      </c>
      <c r="BG21" s="2">
        <f t="shared" si="222"/>
        <v>616193.29965466377</v>
      </c>
      <c r="BH21" s="2">
        <f t="shared" si="222"/>
        <v>622355.23265121039</v>
      </c>
      <c r="BI21" s="2">
        <f t="shared" si="222"/>
        <v>628578.78497772245</v>
      </c>
      <c r="BJ21" s="2">
        <f t="shared" si="222"/>
        <v>634864.57282749971</v>
      </c>
      <c r="BK21" s="2">
        <f t="shared" si="222"/>
        <v>641213.21855577466</v>
      </c>
      <c r="BL21" s="2">
        <f t="shared" si="222"/>
        <v>647625.3507413324</v>
      </c>
      <c r="BM21" s="2">
        <f t="shared" si="222"/>
        <v>654101.60424874572</v>
      </c>
      <c r="BN21" s="2">
        <f t="shared" si="222"/>
        <v>660642.62029123318</v>
      </c>
      <c r="BO21" s="2">
        <f t="shared" si="222"/>
        <v>667249.04649414553</v>
      </c>
      <c r="BP21" s="2">
        <f t="shared" si="222"/>
        <v>673921.53695908701</v>
      </c>
      <c r="BQ21" s="2">
        <f t="shared" si="222"/>
        <v>680660.75232867792</v>
      </c>
      <c r="BR21" s="2">
        <f t="shared" si="222"/>
        <v>687467.35985196475</v>
      </c>
      <c r="BS21" s="2">
        <f t="shared" si="222"/>
        <v>694342.03345048439</v>
      </c>
      <c r="BT21" s="2">
        <f t="shared" si="222"/>
        <v>701285.45378498919</v>
      </c>
      <c r="BU21" s="2">
        <f t="shared" si="222"/>
        <v>708298.30832283909</v>
      </c>
      <c r="BV21" s="2">
        <f t="shared" si="222"/>
        <v>715381.29140606744</v>
      </c>
      <c r="BW21" s="2">
        <f t="shared" si="222"/>
        <v>722535.1043201281</v>
      </c>
      <c r="BX21" s="2">
        <f t="shared" si="222"/>
        <v>729760.45536332938</v>
      </c>
      <c r="BY21" s="2">
        <f t="shared" si="222"/>
        <v>737058.05991696264</v>
      </c>
      <c r="BZ21" s="2">
        <f t="shared" si="222"/>
        <v>744428.64051613223</v>
      </c>
      <c r="CA21" s="2">
        <f t="shared" si="222"/>
        <v>751872.92692129361</v>
      </c>
      <c r="CB21" s="2">
        <f t="shared" si="222"/>
        <v>759391.65619050653</v>
      </c>
      <c r="CC21" s="2">
        <f t="shared" si="222"/>
        <v>766985.57275241159</v>
      </c>
      <c r="CD21" s="2">
        <f t="shared" si="222"/>
        <v>774655.42847993574</v>
      </c>
      <c r="CE21" s="2">
        <f t="shared" si="222"/>
        <v>782401.98276473512</v>
      </c>
      <c r="CF21" s="2">
        <f t="shared" si="222"/>
        <v>790226.00259238249</v>
      </c>
      <c r="CG21" s="2">
        <f t="shared" si="222"/>
        <v>798128.26261830633</v>
      </c>
      <c r="CH21" s="2">
        <f t="shared" si="222"/>
        <v>806109.54524448945</v>
      </c>
      <c r="CI21" s="2">
        <f t="shared" si="222"/>
        <v>814170.64069693431</v>
      </c>
      <c r="CJ21" s="2">
        <f t="shared" si="222"/>
        <v>822312.34710390365</v>
      </c>
      <c r="CK21" s="2">
        <f t="shared" si="222"/>
        <v>830535.47057494265</v>
      </c>
      <c r="CL21" s="2">
        <f t="shared" si="222"/>
        <v>838840.82528069208</v>
      </c>
      <c r="CM21" s="2">
        <f t="shared" si="222"/>
        <v>847229.23353349906</v>
      </c>
      <c r="CN21" s="2">
        <f t="shared" si="222"/>
        <v>855701.52586883411</v>
      </c>
      <c r="CO21" s="2">
        <f t="shared" si="222"/>
        <v>864258.54112752248</v>
      </c>
      <c r="CP21" s="2">
        <f t="shared" si="222"/>
        <v>872901.12653879775</v>
      </c>
      <c r="CQ21" s="2">
        <f t="shared" si="222"/>
        <v>881630.13780418574</v>
      </c>
      <c r="CR21" s="2">
        <f t="shared" si="222"/>
        <v>890446.43918222759</v>
      </c>
      <c r="CS21" s="2">
        <f t="shared" si="222"/>
        <v>899350.90357404982</v>
      </c>
      <c r="CT21" s="2">
        <f t="shared" si="222"/>
        <v>908344.41260979034</v>
      </c>
      <c r="CU21" s="2">
        <f t="shared" si="222"/>
        <v>917427.85673588829</v>
      </c>
      <c r="CV21" s="2">
        <f t="shared" si="222"/>
        <v>926602.13530324714</v>
      </c>
      <c r="CW21" s="2">
        <f t="shared" si="222"/>
        <v>935868.15665627958</v>
      </c>
      <c r="CX21" s="2">
        <f t="shared" si="222"/>
        <v>945226.83822284243</v>
      </c>
      <c r="CY21" s="2">
        <f t="shared" ref="CY21:FJ21" si="223">+CX21*(1+$AM$26)</f>
        <v>954679.10660507088</v>
      </c>
      <c r="CZ21" s="2">
        <f t="shared" si="223"/>
        <v>964225.89767112164</v>
      </c>
      <c r="DA21" s="2">
        <f t="shared" si="223"/>
        <v>973868.15664783283</v>
      </c>
      <c r="DB21" s="2">
        <f t="shared" si="223"/>
        <v>983606.83821431117</v>
      </c>
      <c r="DC21" s="2">
        <f t="shared" si="223"/>
        <v>993442.90659645433</v>
      </c>
      <c r="DD21" s="2">
        <f t="shared" si="223"/>
        <v>1003377.3356624189</v>
      </c>
      <c r="DE21" s="2">
        <f t="shared" si="223"/>
        <v>1013411.109019043</v>
      </c>
      <c r="DF21" s="2">
        <f t="shared" si="223"/>
        <v>1023545.2201092335</v>
      </c>
      <c r="DG21" s="2">
        <f t="shared" si="223"/>
        <v>1033780.6723103259</v>
      </c>
      <c r="DH21" s="2">
        <f t="shared" si="223"/>
        <v>1044118.4790334292</v>
      </c>
      <c r="DI21" s="2">
        <f t="shared" si="223"/>
        <v>1054559.6638237634</v>
      </c>
      <c r="DJ21" s="2">
        <f t="shared" si="223"/>
        <v>1065105.260462001</v>
      </c>
      <c r="DK21" s="2">
        <f t="shared" si="223"/>
        <v>1075756.3130666211</v>
      </c>
      <c r="DL21" s="2">
        <f t="shared" si="223"/>
        <v>1086513.8761972873</v>
      </c>
      <c r="DM21" s="2">
        <f t="shared" si="223"/>
        <v>1097379.0149592601</v>
      </c>
      <c r="DN21" s="2">
        <f t="shared" si="223"/>
        <v>1108352.8051088527</v>
      </c>
      <c r="DO21" s="2">
        <f t="shared" si="223"/>
        <v>1119436.3331599412</v>
      </c>
      <c r="DP21" s="2">
        <f t="shared" si="223"/>
        <v>1130630.6964915406</v>
      </c>
      <c r="DQ21" s="2">
        <f t="shared" si="223"/>
        <v>1141937.0034564561</v>
      </c>
      <c r="DR21" s="2">
        <f t="shared" si="223"/>
        <v>1153356.3734910206</v>
      </c>
      <c r="DS21" s="2">
        <f t="shared" si="223"/>
        <v>1164889.9372259309</v>
      </c>
      <c r="DT21" s="2">
        <f t="shared" si="223"/>
        <v>1176538.8365981902</v>
      </c>
      <c r="DU21" s="2">
        <f t="shared" si="223"/>
        <v>1188304.2249641721</v>
      </c>
      <c r="DV21" s="2">
        <f t="shared" si="223"/>
        <v>1200187.267213814</v>
      </c>
      <c r="DW21" s="2">
        <f t="shared" si="223"/>
        <v>1212189.139885952</v>
      </c>
      <c r="DX21" s="2">
        <f t="shared" si="223"/>
        <v>1224311.0312848114</v>
      </c>
      <c r="DY21" s="2">
        <f t="shared" si="223"/>
        <v>1236554.1415976596</v>
      </c>
      <c r="DZ21" s="2">
        <f t="shared" si="223"/>
        <v>1248919.6830136362</v>
      </c>
      <c r="EA21" s="2">
        <f t="shared" si="223"/>
        <v>1261408.8798437726</v>
      </c>
      <c r="EB21" s="2">
        <f t="shared" si="223"/>
        <v>1274022.9686422104</v>
      </c>
      <c r="EC21" s="2">
        <f t="shared" si="223"/>
        <v>1286763.1983286324</v>
      </c>
      <c r="ED21" s="2">
        <f t="shared" si="223"/>
        <v>1299630.8303119186</v>
      </c>
      <c r="EE21" s="2">
        <f t="shared" si="223"/>
        <v>1312627.1386150378</v>
      </c>
      <c r="EF21" s="2">
        <f t="shared" si="223"/>
        <v>1325753.4100011883</v>
      </c>
      <c r="EG21" s="2">
        <f t="shared" si="223"/>
        <v>1339010.9441012002</v>
      </c>
      <c r="EH21" s="2">
        <f t="shared" si="223"/>
        <v>1352401.0535422121</v>
      </c>
      <c r="EI21" s="2">
        <f t="shared" si="223"/>
        <v>1365925.0640776344</v>
      </c>
      <c r="EJ21" s="2">
        <f t="shared" si="223"/>
        <v>1379584.3147184106</v>
      </c>
      <c r="EK21" s="2">
        <f t="shared" si="223"/>
        <v>1393380.1578655948</v>
      </c>
      <c r="EL21" s="2">
        <f t="shared" si="223"/>
        <v>1407313.9594442509</v>
      </c>
      <c r="EM21" s="2">
        <f t="shared" si="223"/>
        <v>1421387.0990386934</v>
      </c>
      <c r="EN21" s="2">
        <f t="shared" si="223"/>
        <v>1435600.9700290803</v>
      </c>
      <c r="EO21" s="2">
        <f t="shared" si="223"/>
        <v>1449956.9797293711</v>
      </c>
      <c r="EP21" s="2">
        <f t="shared" si="223"/>
        <v>1464456.5495266649</v>
      </c>
      <c r="EQ21" s="2">
        <f t="shared" si="223"/>
        <v>1479101.1150219315</v>
      </c>
      <c r="ER21" s="2">
        <f t="shared" si="223"/>
        <v>1493892.1261721507</v>
      </c>
      <c r="ES21" s="2">
        <f t="shared" si="223"/>
        <v>1508831.0474338722</v>
      </c>
      <c r="ET21" s="2">
        <f t="shared" si="223"/>
        <v>1523919.3579082109</v>
      </c>
      <c r="EU21" s="2">
        <f t="shared" si="223"/>
        <v>1539158.5514872931</v>
      </c>
      <c r="EV21" s="2">
        <f t="shared" si="223"/>
        <v>1554550.1370021661</v>
      </c>
      <c r="EW21" s="2">
        <f t="shared" si="223"/>
        <v>1570095.6383721877</v>
      </c>
      <c r="EX21" s="2">
        <f t="shared" si="223"/>
        <v>1585796.5947559096</v>
      </c>
      <c r="EY21" s="2">
        <f t="shared" si="223"/>
        <v>1601654.5607034687</v>
      </c>
      <c r="EZ21" s="2">
        <f t="shared" si="223"/>
        <v>1617671.1063105036</v>
      </c>
      <c r="FA21" s="2">
        <f t="shared" si="223"/>
        <v>1633847.8173736087</v>
      </c>
      <c r="FB21" s="2">
        <f t="shared" si="223"/>
        <v>1650186.2955473447</v>
      </c>
      <c r="FC21" s="2">
        <f t="shared" si="223"/>
        <v>1666688.1585028181</v>
      </c>
      <c r="FD21" s="2">
        <f t="shared" si="223"/>
        <v>1683355.0400878463</v>
      </c>
      <c r="FE21" s="2">
        <f t="shared" si="223"/>
        <v>1700188.5904887249</v>
      </c>
      <c r="FF21" s="2">
        <f t="shared" si="223"/>
        <v>1717190.4763936121</v>
      </c>
      <c r="FG21" s="2">
        <f t="shared" si="223"/>
        <v>1734362.3811575482</v>
      </c>
      <c r="FH21" s="2">
        <f t="shared" si="223"/>
        <v>1751706.0049691238</v>
      </c>
      <c r="FI21" s="2">
        <f t="shared" si="223"/>
        <v>1769223.065018815</v>
      </c>
      <c r="FJ21" s="2">
        <f t="shared" si="223"/>
        <v>1786915.2956690032</v>
      </c>
      <c r="FK21" s="2">
        <f t="shared" ref="FK21:GQ21" si="224">+FJ21*(1+$AM$26)</f>
        <v>1804784.4486256931</v>
      </c>
      <c r="FL21" s="2">
        <f t="shared" si="224"/>
        <v>1822832.2931119502</v>
      </c>
      <c r="FM21" s="2">
        <f t="shared" si="224"/>
        <v>1841060.6160430696</v>
      </c>
      <c r="FN21" s="2">
        <f t="shared" si="224"/>
        <v>1859471.2222035003</v>
      </c>
      <c r="FO21" s="2">
        <f t="shared" si="224"/>
        <v>1878065.9344255354</v>
      </c>
      <c r="FP21" s="2">
        <f t="shared" si="224"/>
        <v>1896846.5937697908</v>
      </c>
      <c r="FQ21" s="2">
        <f t="shared" si="224"/>
        <v>1915815.0597074889</v>
      </c>
      <c r="FR21" s="2">
        <f t="shared" si="224"/>
        <v>1934973.2103045639</v>
      </c>
      <c r="FS21" s="2">
        <f t="shared" si="224"/>
        <v>1954322.9424076094</v>
      </c>
      <c r="FT21" s="2">
        <f t="shared" si="224"/>
        <v>1973866.1718316856</v>
      </c>
      <c r="FU21" s="2">
        <f t="shared" si="224"/>
        <v>1993604.8335500024</v>
      </c>
      <c r="FV21" s="2">
        <f t="shared" si="224"/>
        <v>2013540.8818855025</v>
      </c>
      <c r="FW21" s="2">
        <f t="shared" si="224"/>
        <v>2033676.2907043574</v>
      </c>
      <c r="FX21" s="2">
        <f t="shared" si="224"/>
        <v>2054013.053611401</v>
      </c>
      <c r="FY21" s="2">
        <f t="shared" si="224"/>
        <v>2074553.1841475151</v>
      </c>
      <c r="FZ21" s="2">
        <f t="shared" si="224"/>
        <v>2095298.7159889904</v>
      </c>
      <c r="GA21" s="2">
        <f t="shared" si="224"/>
        <v>2116251.7031488805</v>
      </c>
      <c r="GB21" s="2">
        <f t="shared" si="224"/>
        <v>2137414.2201803694</v>
      </c>
      <c r="GC21" s="2">
        <f t="shared" si="224"/>
        <v>2158788.3623821731</v>
      </c>
      <c r="GD21" s="2">
        <f t="shared" si="224"/>
        <v>2180376.2460059947</v>
      </c>
      <c r="GE21" s="2">
        <f t="shared" si="224"/>
        <v>2202180.0084660547</v>
      </c>
      <c r="GF21" s="2">
        <f t="shared" si="224"/>
        <v>2224201.8085507154</v>
      </c>
      <c r="GG21" s="2">
        <f t="shared" si="224"/>
        <v>2246443.8266362227</v>
      </c>
      <c r="GH21" s="2">
        <f t="shared" si="224"/>
        <v>2268908.2649025847</v>
      </c>
      <c r="GI21" s="2">
        <f t="shared" si="224"/>
        <v>2291597.3475516108</v>
      </c>
      <c r="GJ21" s="2">
        <f t="shared" si="224"/>
        <v>2314513.3210271271</v>
      </c>
      <c r="GK21" s="2">
        <f t="shared" si="224"/>
        <v>2337658.4542373982</v>
      </c>
      <c r="GL21" s="2">
        <f t="shared" si="224"/>
        <v>2361035.0387797724</v>
      </c>
      <c r="GM21" s="2">
        <f t="shared" si="224"/>
        <v>2384645.38916757</v>
      </c>
      <c r="GN21" s="2">
        <f t="shared" si="224"/>
        <v>2408491.843059246</v>
      </c>
      <c r="GO21" s="2">
        <f t="shared" si="224"/>
        <v>2432576.7614898384</v>
      </c>
      <c r="GP21" s="2">
        <f t="shared" si="224"/>
        <v>2456902.5291047366</v>
      </c>
      <c r="GQ21" s="2">
        <f t="shared" si="224"/>
        <v>2481471.5543957842</v>
      </c>
      <c r="GR21" s="2">
        <f t="shared" ref="GR21:HO21" si="225">+GQ21*(1+$AM$26)</f>
        <v>2506286.2699397421</v>
      </c>
      <c r="GS21" s="2">
        <f t="shared" si="225"/>
        <v>2531349.1326391394</v>
      </c>
      <c r="GT21" s="2">
        <f t="shared" si="225"/>
        <v>2556662.6239655307</v>
      </c>
      <c r="GU21" s="2">
        <f t="shared" si="225"/>
        <v>2582229.2502051862</v>
      </c>
      <c r="GV21" s="2">
        <f t="shared" si="225"/>
        <v>2608051.5427072379</v>
      </c>
      <c r="GW21" s="2">
        <f t="shared" si="225"/>
        <v>2634132.0581343104</v>
      </c>
      <c r="GX21" s="2">
        <f t="shared" si="225"/>
        <v>2660473.3787156534</v>
      </c>
      <c r="GY21" s="2">
        <f t="shared" si="225"/>
        <v>2687078.1125028101</v>
      </c>
      <c r="GZ21" s="2">
        <f t="shared" si="225"/>
        <v>2713948.8936278382</v>
      </c>
      <c r="HA21" s="2">
        <f t="shared" si="225"/>
        <v>2741088.3825641167</v>
      </c>
      <c r="HB21" s="2">
        <f t="shared" si="225"/>
        <v>2768499.2663897579</v>
      </c>
      <c r="HC21" s="2">
        <f t="shared" si="225"/>
        <v>2796184.2590536554</v>
      </c>
      <c r="HD21" s="2">
        <f t="shared" si="225"/>
        <v>2824146.1016441919</v>
      </c>
      <c r="HE21" s="2">
        <f t="shared" si="225"/>
        <v>2852387.5626606341</v>
      </c>
      <c r="HF21" s="2">
        <f t="shared" si="225"/>
        <v>2880911.4382872405</v>
      </c>
      <c r="HG21" s="2">
        <f t="shared" si="225"/>
        <v>2909720.5526701128</v>
      </c>
      <c r="HH21" s="2">
        <f t="shared" si="225"/>
        <v>2938817.758196814</v>
      </c>
      <c r="HI21" s="2">
        <f t="shared" si="225"/>
        <v>2968205.9357787822</v>
      </c>
      <c r="HJ21" s="2">
        <f t="shared" si="225"/>
        <v>2997887.9951365702</v>
      </c>
      <c r="HK21" s="2">
        <f t="shared" si="225"/>
        <v>3027866.8750879359</v>
      </c>
      <c r="HL21" s="2">
        <f t="shared" si="225"/>
        <v>3058145.5438388153</v>
      </c>
      <c r="HM21" s="2">
        <f t="shared" si="225"/>
        <v>3088726.9992772033</v>
      </c>
      <c r="HN21" s="2">
        <f t="shared" si="225"/>
        <v>3119614.2692699754</v>
      </c>
      <c r="HO21" s="2">
        <f t="shared" si="225"/>
        <v>3150810.4119626749</v>
      </c>
      <c r="HP21" s="2">
        <f t="shared" ref="HP21:HW21" si="226">+HO21*(1+$AM$26)</f>
        <v>3182318.5160823017</v>
      </c>
      <c r="HQ21" s="2">
        <f t="shared" si="226"/>
        <v>3214141.7012431249</v>
      </c>
      <c r="HR21" s="2">
        <f t="shared" si="226"/>
        <v>3246283.1182555561</v>
      </c>
      <c r="HS21" s="2">
        <f t="shared" si="226"/>
        <v>3278745.9494381119</v>
      </c>
      <c r="HT21" s="2">
        <f t="shared" si="226"/>
        <v>3311533.4089324931</v>
      </c>
      <c r="HU21" s="2">
        <f t="shared" si="226"/>
        <v>3344648.7430218179</v>
      </c>
      <c r="HV21" s="2">
        <f t="shared" si="226"/>
        <v>3378095.230452036</v>
      </c>
      <c r="HW21" s="2">
        <f t="shared" si="226"/>
        <v>3411876.1827565562</v>
      </c>
      <c r="HX21" s="2">
        <f t="shared" ref="HX21:IB21" si="227">+HW21*(1+$AM$26)</f>
        <v>3445994.9445841219</v>
      </c>
      <c r="HY21" s="2">
        <f t="shared" si="227"/>
        <v>3480454.8940299633</v>
      </c>
      <c r="HZ21" s="2">
        <f t="shared" si="227"/>
        <v>3515259.4429702628</v>
      </c>
      <c r="IA21" s="2">
        <f t="shared" si="227"/>
        <v>3550412.0373999653</v>
      </c>
      <c r="IB21" s="2">
        <f t="shared" si="227"/>
        <v>3585916.157773965</v>
      </c>
      <c r="IC21" s="2">
        <f t="shared" ref="IC21:ID21" si="228">+IB21*(1+$AM$26)</f>
        <v>3621775.3193517048</v>
      </c>
      <c r="ID21" s="2">
        <f t="shared" si="228"/>
        <v>3657993.072545222</v>
      </c>
    </row>
    <row r="22" spans="2:238" x14ac:dyDescent="0.2">
      <c r="B22" s="2" t="s">
        <v>35</v>
      </c>
      <c r="C22" s="25">
        <v>2490</v>
      </c>
      <c r="D22" s="25">
        <v>24994</v>
      </c>
      <c r="E22" s="25">
        <v>24940</v>
      </c>
      <c r="F22" s="25">
        <f>+F21/F23</f>
        <v>-50063.776450551275</v>
      </c>
      <c r="G22" s="25">
        <v>24611</v>
      </c>
      <c r="H22" s="25">
        <v>24848</v>
      </c>
      <c r="I22" s="25">
        <v>24774</v>
      </c>
      <c r="J22" s="25">
        <f>+J21/J23</f>
        <v>24882.698933667485</v>
      </c>
      <c r="K22" s="25">
        <v>24611</v>
      </c>
      <c r="L22" s="25">
        <v>24532</v>
      </c>
      <c r="M22" s="25">
        <v>24483</v>
      </c>
      <c r="N22" s="2">
        <f>+M22</f>
        <v>24483</v>
      </c>
      <c r="U22" s="2">
        <v>625</v>
      </c>
      <c r="V22" s="2">
        <v>618</v>
      </c>
      <c r="W22" s="2">
        <v>628</v>
      </c>
      <c r="X22" s="2">
        <v>2535</v>
      </c>
      <c r="Y22" s="2">
        <v>25070</v>
      </c>
      <c r="Z22" s="2">
        <v>24940</v>
      </c>
      <c r="AA22" s="2">
        <v>24804</v>
      </c>
      <c r="AB22" s="2">
        <f>+AB21/AB23</f>
        <v>24515.682607508588</v>
      </c>
      <c r="AC22" s="2">
        <f>+AB22</f>
        <v>24515.682607508588</v>
      </c>
      <c r="AD22" s="2">
        <f t="shared" ref="AD22:AK22" si="229">+AC22</f>
        <v>24515.682607508588</v>
      </c>
      <c r="AE22" s="2">
        <f t="shared" si="229"/>
        <v>24515.682607508588</v>
      </c>
      <c r="AF22" s="2">
        <f t="shared" si="229"/>
        <v>24515.682607508588</v>
      </c>
      <c r="AG22" s="2">
        <f t="shared" si="229"/>
        <v>24515.682607508588</v>
      </c>
      <c r="AH22" s="2">
        <f t="shared" si="229"/>
        <v>24515.682607508588</v>
      </c>
      <c r="AI22" s="2">
        <f t="shared" si="229"/>
        <v>24515.682607508588</v>
      </c>
      <c r="AJ22" s="2">
        <f t="shared" si="229"/>
        <v>24515.682607508588</v>
      </c>
      <c r="AK22" s="2">
        <f t="shared" si="229"/>
        <v>24515.682607508588</v>
      </c>
    </row>
    <row r="23" spans="2:238" s="1" customFormat="1" x14ac:dyDescent="0.2">
      <c r="B23" s="1" t="s">
        <v>36</v>
      </c>
      <c r="C23" s="27">
        <f>+C21/C22</f>
        <v>0.82048192771084338</v>
      </c>
      <c r="D23" s="27">
        <f>+D21/D22</f>
        <v>0.24757941906057454</v>
      </c>
      <c r="E23" s="27">
        <f>+E21/E22</f>
        <v>0.37060946271050521</v>
      </c>
      <c r="F23" s="27">
        <f>+Z23-SUM(C23:E23)</f>
        <v>-0.24540697628224395</v>
      </c>
      <c r="G23" s="27">
        <f>+G21/G22</f>
        <v>0.57072040957295522</v>
      </c>
      <c r="H23" s="27">
        <f>+H21/H22</f>
        <v>0.66802157115260785</v>
      </c>
      <c r="I23" s="27">
        <f>+I21/I22</f>
        <v>0.77940582869136998</v>
      </c>
      <c r="J23" s="27">
        <f t="shared" si="199"/>
        <v>1.323248739526786</v>
      </c>
      <c r="K23" s="27">
        <f>+K21/K22</f>
        <v>0.7628702612652879</v>
      </c>
      <c r="L23" s="28">
        <f>+L21/L22</f>
        <v>1.0820968530898418</v>
      </c>
      <c r="M23" s="28">
        <f>+M21/M22</f>
        <v>1.3033533472205203</v>
      </c>
      <c r="N23" s="1">
        <f>+N21/N22</f>
        <v>1.4617810795501087</v>
      </c>
      <c r="U23" s="1">
        <f t="shared" ref="U23:AA23" si="230">+U21/U22</f>
        <v>6.6256000000000004</v>
      </c>
      <c r="V23" s="1">
        <f t="shared" si="230"/>
        <v>4.5242718446601939</v>
      </c>
      <c r="W23" s="1">
        <f t="shared" si="230"/>
        <v>6.8980891719745223</v>
      </c>
      <c r="X23" s="1">
        <f t="shared" si="230"/>
        <v>3.8469428007889546</v>
      </c>
      <c r="Y23" s="1">
        <f t="shared" si="230"/>
        <v>0.22820103709613082</v>
      </c>
      <c r="Z23" s="1">
        <f t="shared" si="230"/>
        <v>1.1932638331996792</v>
      </c>
      <c r="AA23" s="1">
        <f t="shared" si="230"/>
        <v>3.341396548943719</v>
      </c>
      <c r="AB23" s="2">
        <f t="shared" si="208"/>
        <v>4.6101015411257587</v>
      </c>
      <c r="AC23" s="1">
        <f>+AC21/AC22</f>
        <v>6.3681579344043602</v>
      </c>
      <c r="AD23" s="1">
        <f t="shared" ref="AD23:AK23" si="231">+AD21/AD22</f>
        <v>8.8294368849944025</v>
      </c>
      <c r="AE23" s="1">
        <f t="shared" si="231"/>
        <v>10.55233215040743</v>
      </c>
      <c r="AF23" s="1">
        <f t="shared" si="231"/>
        <v>12.619806468903063</v>
      </c>
      <c r="AG23" s="1">
        <f t="shared" si="231"/>
        <v>13.860291060000446</v>
      </c>
      <c r="AH23" s="1">
        <f t="shared" si="231"/>
        <v>15.224824110207567</v>
      </c>
      <c r="AI23" s="1">
        <f t="shared" si="231"/>
        <v>16.725810465435401</v>
      </c>
      <c r="AJ23" s="1">
        <f t="shared" si="231"/>
        <v>18.37689545618602</v>
      </c>
      <c r="AK23" s="1">
        <f t="shared" si="231"/>
        <v>20.193088946011699</v>
      </c>
    </row>
    <row r="24" spans="2:238" x14ac:dyDescent="0.2">
      <c r="G24" s="29">
        <f>+G12/G11</f>
        <v>0.21647980340961451</v>
      </c>
      <c r="H24" s="29">
        <f t="shared" ref="H24:N24" si="232">+H12/H11</f>
        <v>0.24853528628495339</v>
      </c>
      <c r="I24" s="29">
        <f t="shared" si="232"/>
        <v>0.25443247249301637</v>
      </c>
      <c r="J24" s="29">
        <f t="shared" si="232"/>
        <v>0.26973634029137322</v>
      </c>
      <c r="K24" s="29">
        <f t="shared" si="232"/>
        <v>0.39476192637646951</v>
      </c>
      <c r="L24" s="29">
        <f t="shared" si="232"/>
        <v>0.27576321588259206</v>
      </c>
      <c r="M24" s="29">
        <f t="shared" si="232"/>
        <v>0.2658842928814511</v>
      </c>
      <c r="N24" s="29">
        <f t="shared" si="232"/>
        <v>0.26</v>
      </c>
      <c r="U24" s="29">
        <f>+U13/U11</f>
        <v>0.20279959030385797</v>
      </c>
      <c r="V24" s="29">
        <f t="shared" ref="V24:AD24" si="233">+V13/V11</f>
        <v>0.25911339073090311</v>
      </c>
      <c r="W24" s="29">
        <f t="shared" si="233"/>
        <v>0.2353223388305847</v>
      </c>
      <c r="X24" s="29">
        <f t="shared" si="233"/>
        <v>0.19573456193802483</v>
      </c>
      <c r="Y24" s="29">
        <f t="shared" si="233"/>
        <v>0.27207681471046191</v>
      </c>
      <c r="Z24" s="29">
        <f t="shared" si="233"/>
        <v>0.14239519385443683</v>
      </c>
      <c r="AA24" s="29">
        <f t="shared" si="233"/>
        <v>9.8960129351632606E-2</v>
      </c>
      <c r="AB24" s="29">
        <f t="shared" si="233"/>
        <v>8.4511608892397477E-2</v>
      </c>
      <c r="AC24" s="29">
        <f t="shared" si="233"/>
        <v>8.4511608892397477E-2</v>
      </c>
      <c r="AD24" s="29">
        <f t="shared" si="233"/>
        <v>8.4511608892397477E-2</v>
      </c>
      <c r="AE24" s="29">
        <f t="shared" ref="AE24" si="234">+AE13/AE11</f>
        <v>8.4511608892397477E-2</v>
      </c>
    </row>
    <row r="25" spans="2:238" x14ac:dyDescent="0.2">
      <c r="B25" s="2" t="s">
        <v>44</v>
      </c>
    </row>
    <row r="26" spans="2:238" s="10" customFormat="1" x14ac:dyDescent="0.2">
      <c r="B26" s="9" t="s">
        <v>37</v>
      </c>
      <c r="C26" s="29"/>
      <c r="D26" s="29"/>
      <c r="E26" s="29"/>
      <c r="F26" s="29"/>
      <c r="G26" s="29"/>
      <c r="H26" s="29">
        <f t="shared" ref="H26:M33" si="235">+H4/D4-1</f>
        <v>1.6247097073850441</v>
      </c>
      <c r="I26" s="29">
        <f t="shared" si="235"/>
        <v>1.321464561639234</v>
      </c>
      <c r="J26" s="29">
        <f t="shared" si="235"/>
        <v>1.1598885424268559</v>
      </c>
      <c r="K26" s="29">
        <f t="shared" si="235"/>
        <v>0.76129331683168311</v>
      </c>
      <c r="L26" s="29">
        <f t="shared" si="235"/>
        <v>0.49725712263316235</v>
      </c>
      <c r="M26" s="29">
        <f t="shared" si="235"/>
        <v>0.55650412386051218</v>
      </c>
      <c r="Z26" s="10">
        <f>+Z4/Y4-1</f>
        <v>2.4417248387381814</v>
      </c>
      <c r="AA26" s="10">
        <f>+AA4/Z4-1</f>
        <v>1.6237740693196407</v>
      </c>
      <c r="AL26" s="10" t="s">
        <v>204</v>
      </c>
      <c r="AM26" s="13">
        <v>0.01</v>
      </c>
    </row>
    <row r="27" spans="2:238" s="10" customFormat="1" x14ac:dyDescent="0.2">
      <c r="B27" s="9" t="s">
        <v>38</v>
      </c>
      <c r="C27" s="29"/>
      <c r="D27" s="29"/>
      <c r="E27" s="29"/>
      <c r="F27" s="29"/>
      <c r="G27" s="29"/>
      <c r="H27" s="29">
        <f t="shared" si="235"/>
        <v>1.1437755698421976</v>
      </c>
      <c r="I27" s="29">
        <f t="shared" si="235"/>
        <v>0.19992325402916356</v>
      </c>
      <c r="J27" s="29">
        <f t="shared" si="235"/>
        <v>-9.2164515160612415E-2</v>
      </c>
      <c r="K27" s="29">
        <f t="shared" si="235"/>
        <v>0.56322926521602024</v>
      </c>
      <c r="L27" s="29">
        <f t="shared" si="235"/>
        <v>0.97709923664122145</v>
      </c>
      <c r="M27" s="29">
        <f>+M5/I5-1</f>
        <v>1.618164374800128</v>
      </c>
      <c r="Z27" s="10">
        <f t="shared" ref="Z27:AA33" si="236">+Z5/Y5-1</f>
        <v>1.3251084598698482</v>
      </c>
      <c r="AA27" s="10">
        <f t="shared" si="236"/>
        <v>0.51486880466472296</v>
      </c>
      <c r="AL27" s="10" t="s">
        <v>205</v>
      </c>
      <c r="AM27" s="13">
        <v>0.08</v>
      </c>
    </row>
    <row r="28" spans="2:238" s="10" customFormat="1" x14ac:dyDescent="0.2">
      <c r="B28" s="10" t="s">
        <v>39</v>
      </c>
      <c r="C28" s="29"/>
      <c r="D28" s="29"/>
      <c r="E28" s="29"/>
      <c r="F28" s="29"/>
      <c r="G28" s="29"/>
      <c r="H28" s="29">
        <f t="shared" si="235"/>
        <v>1.5449966095127388</v>
      </c>
      <c r="I28" s="29">
        <f t="shared" si="235"/>
        <v>1.1200909466721787</v>
      </c>
      <c r="J28" s="29">
        <f t="shared" si="235"/>
        <v>0.93327537491849588</v>
      </c>
      <c r="K28" s="29">
        <f t="shared" si="235"/>
        <v>0.73345743030625354</v>
      </c>
      <c r="L28" s="29">
        <f t="shared" si="235"/>
        <v>0.56425091352009749</v>
      </c>
      <c r="M28" s="29">
        <f t="shared" si="235"/>
        <v>0.66439179747164534</v>
      </c>
      <c r="V28" s="10">
        <f t="shared" ref="V28" si="237">+V6/U6-1</f>
        <v>1.7394270122783162E-2</v>
      </c>
      <c r="W28" s="10">
        <f t="shared" ref="W28:X28" si="238">+W6/V6-1</f>
        <v>1.2447200804559166</v>
      </c>
      <c r="X28" s="10">
        <f t="shared" si="238"/>
        <v>0.5849761051373954</v>
      </c>
      <c r="Y28" s="10">
        <f t="shared" ref="Y28" si="239">+Y6/X6-1</f>
        <v>0.4138320927164798</v>
      </c>
      <c r="Z28" s="10">
        <f t="shared" si="236"/>
        <v>2.1672775741419525</v>
      </c>
      <c r="AA28" s="10">
        <f t="shared" si="236"/>
        <v>1.4236927932667016</v>
      </c>
      <c r="AL28" s="10" t="s">
        <v>206</v>
      </c>
      <c r="AM28" s="35">
        <f>NPV(AM27,AB21:ID21)</f>
        <v>5227669.9951672591</v>
      </c>
    </row>
    <row r="29" spans="2:238" s="10" customFormat="1" x14ac:dyDescent="0.2">
      <c r="B29" s="10" t="s">
        <v>40</v>
      </c>
      <c r="C29" s="29"/>
      <c r="D29" s="29"/>
      <c r="E29" s="29"/>
      <c r="F29" s="29"/>
      <c r="G29" s="29"/>
      <c r="H29" s="29">
        <f t="shared" si="235"/>
        <v>0.15848753016894612</v>
      </c>
      <c r="I29" s="29">
        <f t="shared" si="235"/>
        <v>0.14810924369747891</v>
      </c>
      <c r="J29" s="29">
        <f t="shared" si="235"/>
        <v>-0.11204188481675392</v>
      </c>
      <c r="K29" s="29">
        <f t="shared" si="235"/>
        <v>0.42160936909709101</v>
      </c>
      <c r="L29" s="29">
        <f t="shared" si="235"/>
        <v>0.48854166666666665</v>
      </c>
      <c r="M29" s="29">
        <f t="shared" si="235"/>
        <v>0.30070143336383048</v>
      </c>
      <c r="V29" s="10">
        <f t="shared" ref="V29" si="240">+V7/U7-1</f>
        <v>-0.11655459494076204</v>
      </c>
      <c r="W29" s="10">
        <f t="shared" ref="W29:X29" si="241">+W7/V7-1</f>
        <v>0.40612540775643358</v>
      </c>
      <c r="X29" s="10">
        <f t="shared" si="241"/>
        <v>0.60613481118700863</v>
      </c>
      <c r="Y29" s="10">
        <f t="shared" ref="Y29" si="242">+Y7/X7-1</f>
        <v>-0.27242818167228378</v>
      </c>
      <c r="Z29" s="10">
        <f t="shared" si="236"/>
        <v>0.15220028675416342</v>
      </c>
      <c r="AA29" s="10">
        <f t="shared" si="236"/>
        <v>8.643629750167503E-2</v>
      </c>
      <c r="AL29" s="10" t="s">
        <v>35</v>
      </c>
      <c r="AM29" s="2">
        <f>+Main!G4</f>
        <v>24300</v>
      </c>
    </row>
    <row r="30" spans="2:238" s="10" customFormat="1" x14ac:dyDescent="0.2">
      <c r="B30" s="10" t="s">
        <v>41</v>
      </c>
      <c r="C30" s="29"/>
      <c r="D30" s="29"/>
      <c r="E30" s="29"/>
      <c r="F30" s="29"/>
      <c r="G30" s="29"/>
      <c r="H30" s="29">
        <f t="shared" si="235"/>
        <v>0.19788918205804751</v>
      </c>
      <c r="I30" s="29">
        <f t="shared" si="235"/>
        <v>0.16826923076923084</v>
      </c>
      <c r="J30" s="29">
        <f t="shared" si="235"/>
        <v>0.10367170626349886</v>
      </c>
      <c r="K30" s="29">
        <f t="shared" si="235"/>
        <v>0.19203747072599531</v>
      </c>
      <c r="L30" s="29">
        <f t="shared" si="235"/>
        <v>0.32378854625550657</v>
      </c>
      <c r="M30" s="29">
        <f t="shared" si="235"/>
        <v>0.56378600823045266</v>
      </c>
      <c r="V30" s="10">
        <f t="shared" ref="V30" si="243">+V8/U8-1</f>
        <v>7.2566371681415998E-2</v>
      </c>
      <c r="W30" s="10">
        <f t="shared" ref="W30:X30" si="244">+W8/V8-1</f>
        <v>-0.13118811881188119</v>
      </c>
      <c r="X30" s="10">
        <f t="shared" si="244"/>
        <v>1.0047483380816713</v>
      </c>
      <c r="Y30" s="10">
        <f t="shared" ref="Y30" si="245">+Y8/X8-1</f>
        <v>-0.26859308384651825</v>
      </c>
      <c r="Z30" s="10">
        <f t="shared" si="236"/>
        <v>5.8290155440414715E-3</v>
      </c>
      <c r="AA30" s="10">
        <f t="shared" si="236"/>
        <v>0.20927237604636195</v>
      </c>
      <c r="AL30" s="10" t="s">
        <v>207</v>
      </c>
      <c r="AM30" s="3">
        <f>+AM28/AM29</f>
        <v>215.13045247601889</v>
      </c>
    </row>
    <row r="31" spans="2:238" s="10" customFormat="1" x14ac:dyDescent="0.2">
      <c r="B31" s="10" t="s">
        <v>42</v>
      </c>
      <c r="C31" s="29"/>
      <c r="D31" s="29"/>
      <c r="E31" s="29"/>
      <c r="F31" s="29"/>
      <c r="G31" s="29"/>
      <c r="H31" s="29">
        <f t="shared" si="235"/>
        <v>0.36758893280632421</v>
      </c>
      <c r="I31" s="29">
        <f t="shared" si="235"/>
        <v>0.72030651340996177</v>
      </c>
      <c r="J31" s="29">
        <f t="shared" si="235"/>
        <v>1.0284697508896796</v>
      </c>
      <c r="K31" s="29">
        <f t="shared" si="235"/>
        <v>0.72340425531914887</v>
      </c>
      <c r="L31" s="29">
        <f t="shared" si="235"/>
        <v>0.69364161849710992</v>
      </c>
      <c r="M31" s="29">
        <f t="shared" si="235"/>
        <v>0.31848552338530056</v>
      </c>
      <c r="V31" s="10">
        <f t="shared" ref="V31" si="246">+V9/U9-1</f>
        <v>9.2043681747269845E-2</v>
      </c>
      <c r="W31" s="10">
        <f t="shared" ref="W31:X31" si="247">+W9/V9-1</f>
        <v>-0.23428571428571432</v>
      </c>
      <c r="X31" s="10">
        <f t="shared" si="247"/>
        <v>5.5970149253731449E-2</v>
      </c>
      <c r="Y31" s="10">
        <f t="shared" ref="Y31" si="248">+Y9/X9-1</f>
        <v>0.59540636042402828</v>
      </c>
      <c r="Z31" s="10">
        <f t="shared" si="236"/>
        <v>0.20819490586932443</v>
      </c>
      <c r="AA31" s="10">
        <f t="shared" si="236"/>
        <v>0.55270394133822176</v>
      </c>
      <c r="AL31" s="10" t="s">
        <v>208</v>
      </c>
      <c r="AM31" s="3">
        <f>+Main!G3</f>
        <v>182</v>
      </c>
    </row>
    <row r="32" spans="2:238" s="10" customFormat="1" x14ac:dyDescent="0.2">
      <c r="B32" s="10" t="s">
        <v>43</v>
      </c>
      <c r="C32" s="29"/>
      <c r="D32" s="29"/>
      <c r="E32" s="29"/>
      <c r="F32" s="29"/>
      <c r="G32" s="29"/>
      <c r="H32" s="29">
        <f t="shared" si="235"/>
        <v>0.33333333333333326</v>
      </c>
      <c r="I32" s="29">
        <f t="shared" si="235"/>
        <v>0.32876712328767121</v>
      </c>
      <c r="J32" s="29">
        <f t="shared" si="235"/>
        <v>0.39999999999999991</v>
      </c>
      <c r="K32" s="29">
        <f t="shared" si="235"/>
        <v>0.42307692307692313</v>
      </c>
      <c r="L32" s="29">
        <f t="shared" si="235"/>
        <v>0.96590909090909083</v>
      </c>
      <c r="M32" s="29">
        <f t="shared" si="235"/>
        <v>0.79381443298969079</v>
      </c>
      <c r="V32" s="10">
        <f t="shared" ref="V32" si="249">+V10/U10-1</f>
        <v>-0.34159061277705349</v>
      </c>
      <c r="W32" s="10">
        <f t="shared" ref="W32:X32" si="250">+W10/V10-1</f>
        <v>0.2495049504950495</v>
      </c>
      <c r="X32" s="10">
        <f t="shared" si="250"/>
        <v>0.84152139461172748</v>
      </c>
      <c r="Y32" s="10">
        <f t="shared" ref="Y32" si="251">+Y10/X10-1</f>
        <v>-0.60843373493975905</v>
      </c>
      <c r="Z32" s="10">
        <f t="shared" si="236"/>
        <v>-0.32747252747252742</v>
      </c>
      <c r="AA32" s="10">
        <f t="shared" si="236"/>
        <v>0.2712418300653594</v>
      </c>
      <c r="AM32" s="10">
        <f>+AM30/AM31-1</f>
        <v>0.18203545316493885</v>
      </c>
    </row>
    <row r="33" spans="2:37" s="10" customFormat="1" x14ac:dyDescent="0.2">
      <c r="B33" s="10" t="s">
        <v>21</v>
      </c>
      <c r="C33" s="29"/>
      <c r="D33" s="29"/>
      <c r="E33" s="29"/>
      <c r="F33" s="29"/>
      <c r="G33" s="29"/>
      <c r="H33" s="29">
        <f t="shared" si="235"/>
        <v>1.2240319834160065</v>
      </c>
      <c r="I33" s="29">
        <f t="shared" si="235"/>
        <v>0.93609271523178816</v>
      </c>
      <c r="J33" s="29">
        <f t="shared" si="235"/>
        <v>0.77944170474596208</v>
      </c>
      <c r="K33" s="29">
        <f t="shared" si="235"/>
        <v>0.69182921210259551</v>
      </c>
      <c r="L33" s="29">
        <f t="shared" si="235"/>
        <v>0.5560252996005326</v>
      </c>
      <c r="M33" s="29">
        <f t="shared" si="235"/>
        <v>0.62493586454592109</v>
      </c>
      <c r="V33" s="10">
        <f t="shared" ref="V33" si="252">+V11/U11-1</f>
        <v>-6.8111983612154314E-2</v>
      </c>
      <c r="W33" s="10">
        <f t="shared" ref="W33:X33" si="253">+W11/V11-1</f>
        <v>0.52729437625938824</v>
      </c>
      <c r="X33" s="10">
        <f t="shared" si="253"/>
        <v>0.61403298350824587</v>
      </c>
      <c r="Y33" s="10">
        <f t="shared" ref="Y33" si="254">+Y11/X11-1</f>
        <v>2.2293230289069932E-3</v>
      </c>
      <c r="Z33" s="10">
        <f t="shared" si="236"/>
        <v>1.2585452658115224</v>
      </c>
      <c r="AA33" s="10">
        <f t="shared" si="236"/>
        <v>1.1420340763599355</v>
      </c>
      <c r="AB33" s="10">
        <f t="shared" ref="AB33" si="255">+AB11/AA11-1</f>
        <v>0.63077312122117757</v>
      </c>
      <c r="AC33" s="10">
        <f t="shared" ref="AC33" si="256">+AC11/AB11-1</f>
        <v>0.39999999999999991</v>
      </c>
      <c r="AD33" s="10">
        <f t="shared" ref="AD33" si="257">+AD11/AC11-1</f>
        <v>0.39999999999999991</v>
      </c>
      <c r="AE33" s="10">
        <f t="shared" ref="AE33" si="258">+AE11/AD11-1</f>
        <v>0.19999999999999996</v>
      </c>
      <c r="AF33" s="10">
        <f t="shared" ref="AF33" si="259">+AF11/AE11-1</f>
        <v>0.19999999999999996</v>
      </c>
      <c r="AG33" s="10">
        <f t="shared" ref="AG33" si="260">+AG11/AF11-1</f>
        <v>0.10000000000000009</v>
      </c>
      <c r="AH33" s="10">
        <f t="shared" ref="AH33" si="261">+AH11/AG11-1</f>
        <v>0.10000000000000009</v>
      </c>
      <c r="AI33" s="10">
        <f t="shared" ref="AI33" si="262">+AI11/AH11-1</f>
        <v>0.10000000000000009</v>
      </c>
      <c r="AJ33" s="10">
        <f t="shared" ref="AJ33:AK33" si="263">+AJ11/AI11-1</f>
        <v>0.10000000000000009</v>
      </c>
      <c r="AK33" s="10">
        <f t="shared" si="263"/>
        <v>0.10000000000000009</v>
      </c>
    </row>
    <row r="35" spans="2:37" x14ac:dyDescent="0.2">
      <c r="B35" s="2" t="s">
        <v>45</v>
      </c>
    </row>
    <row r="36" spans="2:37" x14ac:dyDescent="0.2">
      <c r="B36" s="9" t="s">
        <v>37</v>
      </c>
      <c r="D36" s="29">
        <f t="shared" ref="D36:K37" si="264">+D4/$K$11</f>
        <v>0.19545186328355499</v>
      </c>
      <c r="E36" s="29">
        <f t="shared" si="264"/>
        <v>0.27025554899913756</v>
      </c>
      <c r="F36" s="29">
        <f t="shared" si="264"/>
        <v>0.34208615133221371</v>
      </c>
      <c r="G36" s="29">
        <f t="shared" si="264"/>
        <v>0.4401071217829422</v>
      </c>
      <c r="H36" s="29">
        <f t="shared" si="264"/>
        <v>0.51300440288684124</v>
      </c>
      <c r="I36" s="29">
        <f t="shared" si="264"/>
        <v>0.62738867958785349</v>
      </c>
      <c r="J36" s="29">
        <f t="shared" si="264"/>
        <v>0.73886795878534794</v>
      </c>
      <c r="K36" s="29">
        <f t="shared" si="264"/>
        <v>0.77515773228632379</v>
      </c>
      <c r="L36" s="29">
        <f t="shared" ref="L36:N36" si="265">+L4/$K$11</f>
        <v>0.76809949616449547</v>
      </c>
      <c r="M36" s="29">
        <f t="shared" si="265"/>
        <v>0.97653306704189546</v>
      </c>
      <c r="N36" s="10">
        <f t="shared" si="265"/>
        <v>0</v>
      </c>
    </row>
    <row r="37" spans="2:37" x14ac:dyDescent="0.2">
      <c r="B37" s="9" t="s">
        <v>38</v>
      </c>
      <c r="D37" s="29">
        <f t="shared" si="264"/>
        <v>3.8831646316553947E-2</v>
      </c>
      <c r="E37" s="29">
        <f t="shared" si="264"/>
        <v>5.9143933548182107E-2</v>
      </c>
      <c r="F37" s="29">
        <f t="shared" si="264"/>
        <v>7.5598020970450722E-2</v>
      </c>
      <c r="G37" s="29">
        <f t="shared" si="264"/>
        <v>7.1966774091053509E-2</v>
      </c>
      <c r="H37" s="29">
        <f t="shared" si="264"/>
        <v>8.3246334710181114E-2</v>
      </c>
      <c r="I37" s="29">
        <f t="shared" si="264"/>
        <v>7.0968181199219285E-2</v>
      </c>
      <c r="J37" s="29">
        <f t="shared" si="264"/>
        <v>6.8630566020607325E-2</v>
      </c>
      <c r="K37" s="29">
        <f t="shared" si="264"/>
        <v>0.1125005673823249</v>
      </c>
      <c r="L37" s="29">
        <f t="shared" ref="L37:N37" si="266">+L5/$K$11</f>
        <v>0.16458626480867869</v>
      </c>
      <c r="M37" s="29">
        <f t="shared" si="266"/>
        <v>0.18580636376015613</v>
      </c>
      <c r="N37" s="10">
        <f t="shared" si="266"/>
        <v>0</v>
      </c>
    </row>
    <row r="38" spans="2:37" x14ac:dyDescent="0.2">
      <c r="B38" s="10" t="s">
        <v>39</v>
      </c>
      <c r="D38" s="29">
        <f t="shared" ref="D38" si="267">+D6/$K$11</f>
        <v>0.23428350960010894</v>
      </c>
      <c r="E38" s="29">
        <f t="shared" ref="E38:F38" si="268">+E6/$K$11</f>
        <v>0.32939948254731971</v>
      </c>
      <c r="F38" s="29">
        <f t="shared" si="268"/>
        <v>0.41768417230266441</v>
      </c>
      <c r="G38" s="29">
        <f t="shared" ref="G38" si="269">+G6/$K$11</f>
        <v>0.51207389587399577</v>
      </c>
      <c r="H38" s="29">
        <f t="shared" ref="H38" si="270">+H6/$K$11</f>
        <v>0.59625073759702241</v>
      </c>
      <c r="I38" s="29">
        <f t="shared" ref="I38:K42" si="271">+I6/$K$11</f>
        <v>0.69835686078707271</v>
      </c>
      <c r="J38" s="29">
        <f t="shared" ref="J38" si="272">+J6/$K$11</f>
        <v>0.8074985248059553</v>
      </c>
      <c r="K38" s="29">
        <f t="shared" si="271"/>
        <v>0.88765829966864873</v>
      </c>
      <c r="L38" s="29">
        <f t="shared" ref="L38:N38" si="273">+L6/$K$11</f>
        <v>0.93268576097317413</v>
      </c>
      <c r="M38" s="29">
        <f t="shared" si="273"/>
        <v>1.1623394308020516</v>
      </c>
      <c r="N38" s="10">
        <f t="shared" si="273"/>
        <v>0</v>
      </c>
    </row>
    <row r="39" spans="2:37" x14ac:dyDescent="0.2">
      <c r="B39" s="10" t="s">
        <v>40</v>
      </c>
      <c r="D39" s="29">
        <f t="shared" ref="D39" si="274">+D7/$K$11</f>
        <v>5.6420498388634201E-2</v>
      </c>
      <c r="E39" s="29">
        <f t="shared" ref="E39:F39" si="275">+E7/$K$11</f>
        <v>6.481775679724025E-2</v>
      </c>
      <c r="F39" s="29">
        <f t="shared" si="275"/>
        <v>6.5022014434206341E-2</v>
      </c>
      <c r="G39" s="29">
        <f t="shared" ref="G39" si="276">+G7/$K$11</f>
        <v>6.0074440561027641E-2</v>
      </c>
      <c r="H39" s="29">
        <f t="shared" ref="H39" si="277">+H7/$K$11</f>
        <v>6.5362443829149838E-2</v>
      </c>
      <c r="I39" s="29">
        <f t="shared" si="271"/>
        <v>7.4417865734646635E-2</v>
      </c>
      <c r="J39" s="29">
        <f t="shared" ref="J39" si="278">+J7/$K$11</f>
        <v>5.7736825382415688E-2</v>
      </c>
      <c r="K39" s="29">
        <f t="shared" si="271"/>
        <v>8.5402387544823211E-2</v>
      </c>
      <c r="L39" s="29">
        <f t="shared" ref="L39:N39" si="279">+L7/$K$11</f>
        <v>9.7294721074849072E-2</v>
      </c>
      <c r="M39" s="29">
        <f t="shared" si="279"/>
        <v>9.6795424628931953E-2</v>
      </c>
      <c r="N39" s="10">
        <f t="shared" si="279"/>
        <v>0</v>
      </c>
    </row>
    <row r="40" spans="2:37" x14ac:dyDescent="0.2">
      <c r="B40" s="10" t="s">
        <v>41</v>
      </c>
      <c r="D40" s="29">
        <f t="shared" ref="D40" si="280">+D8/$K$11</f>
        <v>8.6015160455721485E-3</v>
      </c>
      <c r="E40" s="29">
        <f t="shared" ref="E40:F40" si="281">+E8/$K$11</f>
        <v>9.4412418864327531E-3</v>
      </c>
      <c r="F40" s="29">
        <f t="shared" si="281"/>
        <v>1.0507920657255684E-2</v>
      </c>
      <c r="G40" s="29">
        <f t="shared" ref="G40" si="282">+G8/$K$11</f>
        <v>9.6908901093913126E-3</v>
      </c>
      <c r="H40" s="29">
        <f t="shared" ref="H40" si="283">+H8/$K$11</f>
        <v>1.0303663020289592E-2</v>
      </c>
      <c r="I40" s="29">
        <f t="shared" si="271"/>
        <v>1.1029912396169034E-2</v>
      </c>
      <c r="J40" s="29">
        <f t="shared" ref="J40" si="284">+J8/$K$11</f>
        <v>1.1597294721074848E-2</v>
      </c>
      <c r="K40" s="29">
        <f t="shared" si="271"/>
        <v>1.1551904135082385E-2</v>
      </c>
      <c r="L40" s="29">
        <f t="shared" ref="L40:N40" si="285">+L8/$K$11</f>
        <v>1.3639871090735781E-2</v>
      </c>
      <c r="M40" s="29">
        <f t="shared" si="285"/>
        <v>1.7248422677136763E-2</v>
      </c>
      <c r="N40" s="10">
        <f t="shared" si="285"/>
        <v>0</v>
      </c>
    </row>
    <row r="41" spans="2:37" x14ac:dyDescent="0.2">
      <c r="B41" s="10" t="s">
        <v>42</v>
      </c>
      <c r="D41" s="29">
        <f t="shared" ref="D41" si="286">+D9/$K$11</f>
        <v>5.741909128046843E-3</v>
      </c>
      <c r="E41" s="29">
        <f t="shared" ref="E41:F41" si="287">+E9/$K$11</f>
        <v>5.923471472016704E-3</v>
      </c>
      <c r="F41" s="29">
        <f t="shared" si="287"/>
        <v>6.3773773319413555E-3</v>
      </c>
      <c r="G41" s="29">
        <f t="shared" ref="G41" si="288">+G9/$K$11</f>
        <v>7.4667513957605196E-3</v>
      </c>
      <c r="H41" s="29">
        <f t="shared" ref="H41" si="289">+H9/$K$11</f>
        <v>7.8525713766964735E-3</v>
      </c>
      <c r="I41" s="29">
        <f t="shared" si="271"/>
        <v>1.019018655530843E-2</v>
      </c>
      <c r="J41" s="29">
        <f t="shared" ref="J41" si="290">+J9/$K$11</f>
        <v>1.2936317007852572E-2</v>
      </c>
      <c r="K41" s="29">
        <f t="shared" si="271"/>
        <v>1.2868231128863874E-2</v>
      </c>
      <c r="L41" s="29">
        <f t="shared" ref="L41:N41" si="291">+L9/$K$11</f>
        <v>1.3299441695792292E-2</v>
      </c>
      <c r="M41" s="29">
        <f t="shared" si="291"/>
        <v>1.3435613453769688E-2</v>
      </c>
      <c r="N41" s="10">
        <f t="shared" si="291"/>
        <v>0</v>
      </c>
    </row>
    <row r="42" spans="2:37" x14ac:dyDescent="0.2">
      <c r="B42" s="10" t="s">
        <v>43</v>
      </c>
      <c r="D42" s="29">
        <f t="shared" ref="D42" si="292">+D10/$K$11</f>
        <v>1.4978893377513504E-3</v>
      </c>
      <c r="E42" s="29">
        <f t="shared" ref="E42:F42" si="293">+E10/$K$11</f>
        <v>1.6567563887249785E-3</v>
      </c>
      <c r="F42" s="29">
        <f t="shared" si="293"/>
        <v>2.0425763696609324E-3</v>
      </c>
      <c r="G42" s="29">
        <f t="shared" ref="G42" si="294">+G10/$K$11</f>
        <v>1.7702328537061414E-3</v>
      </c>
      <c r="H42" s="29">
        <f t="shared" ref="H42" si="295">+H10/$K$11</f>
        <v>1.9971857836684672E-3</v>
      </c>
      <c r="I42" s="29">
        <f t="shared" si="271"/>
        <v>2.2014434206345606E-3</v>
      </c>
      <c r="J42" s="29">
        <f t="shared" ref="J42" si="296">+J10/$K$11</f>
        <v>2.8596069175253051E-3</v>
      </c>
      <c r="K42" s="29">
        <f t="shared" si="271"/>
        <v>2.5191775225818164E-3</v>
      </c>
      <c r="L42" s="29">
        <f t="shared" ref="L42:N42" si="297">+L10/$K$11</f>
        <v>3.9262856883482368E-3</v>
      </c>
      <c r="M42" s="29">
        <f t="shared" si="297"/>
        <v>3.9489809813444687E-3</v>
      </c>
      <c r="N42" s="10">
        <f t="shared" si="297"/>
        <v>0</v>
      </c>
    </row>
    <row r="44" spans="2:37" x14ac:dyDescent="0.2">
      <c r="B44" s="2" t="s">
        <v>46</v>
      </c>
      <c r="C44" s="29">
        <f>(C11-C12)/C11</f>
        <v>0.64627363737486099</v>
      </c>
      <c r="D44" s="29">
        <f t="shared" ref="D44:J44" si="298">(D11-D12)/D11</f>
        <v>0.7005256533649219</v>
      </c>
      <c r="E44" s="29">
        <f t="shared" si="298"/>
        <v>0.73951434878587197</v>
      </c>
      <c r="F44" s="29">
        <f t="shared" si="298"/>
        <v>0.75967063294575399</v>
      </c>
      <c r="G44" s="29">
        <f t="shared" si="298"/>
        <v>0.78352019659038552</v>
      </c>
      <c r="H44" s="29">
        <f t="shared" si="298"/>
        <v>0.75146471371504664</v>
      </c>
      <c r="I44" s="29">
        <f t="shared" si="298"/>
        <v>0.74556752750698363</v>
      </c>
      <c r="J44" s="29">
        <f t="shared" si="298"/>
        <v>0.73026365970862683</v>
      </c>
      <c r="K44" s="29">
        <f t="shared" ref="K44" si="299">(K11-K12)/K11</f>
        <v>0.60523807362353044</v>
      </c>
      <c r="L44" s="29">
        <f>(L11-L12)/L11</f>
        <v>0.72423678411740799</v>
      </c>
      <c r="M44" s="29">
        <f t="shared" ref="M44:N44" si="300">(M11-M12)/M11</f>
        <v>0.7341157071185489</v>
      </c>
      <c r="N44" s="10">
        <f t="shared" si="300"/>
        <v>0.74</v>
      </c>
      <c r="V44" s="10">
        <f t="shared" ref="V44:AJ44" si="301">(V11-V12)/V11</f>
        <v>0.61989375343469499</v>
      </c>
      <c r="W44" s="10">
        <f t="shared" si="301"/>
        <v>0.62344827586206897</v>
      </c>
      <c r="X44" s="10">
        <f t="shared" si="301"/>
        <v>0.64929033216913135</v>
      </c>
      <c r="Y44" s="10">
        <f t="shared" si="301"/>
        <v>0.56928894490991322</v>
      </c>
      <c r="Z44" s="10">
        <f t="shared" si="301"/>
        <v>0.72717573290436954</v>
      </c>
      <c r="AA44" s="10">
        <f t="shared" si="301"/>
        <v>0.74988697058169917</v>
      </c>
      <c r="AB44" s="10">
        <f t="shared" si="301"/>
        <v>0.70705931554289958</v>
      </c>
      <c r="AC44" s="10">
        <f t="shared" si="301"/>
        <v>0.70705931554289969</v>
      </c>
      <c r="AD44" s="10">
        <f t="shared" si="301"/>
        <v>0.70705931554289958</v>
      </c>
      <c r="AE44" s="10">
        <f t="shared" si="301"/>
        <v>0.70705931554289958</v>
      </c>
      <c r="AF44" s="10">
        <f t="shared" si="301"/>
        <v>0.70705931554289969</v>
      </c>
      <c r="AG44" s="10">
        <f t="shared" si="301"/>
        <v>0.70705931554289958</v>
      </c>
      <c r="AH44" s="10">
        <f t="shared" si="301"/>
        <v>0.70705931554289969</v>
      </c>
      <c r="AI44" s="10">
        <f t="shared" si="301"/>
        <v>0.70705931554289969</v>
      </c>
      <c r="AJ44" s="10">
        <f t="shared" si="301"/>
        <v>0.70705931554289958</v>
      </c>
      <c r="AK44" s="10">
        <f t="shared" ref="AK44" si="302">(AK11-AK12)/AK11</f>
        <v>0.70705931554289969</v>
      </c>
    </row>
    <row r="45" spans="2:37" x14ac:dyDescent="0.2">
      <c r="B45" s="2" t="s">
        <v>47</v>
      </c>
      <c r="C45" s="29">
        <f>+C15/C11</f>
        <v>0.29755283648498332</v>
      </c>
      <c r="D45" s="29">
        <f t="shared" ref="D45:J45" si="303">+D15/D11</f>
        <v>0.50344265936181243</v>
      </c>
      <c r="E45" s="29">
        <f t="shared" si="303"/>
        <v>0.5748896247240618</v>
      </c>
      <c r="F45" s="29">
        <f t="shared" si="303"/>
        <v>0.61597973125820027</v>
      </c>
      <c r="G45" s="29">
        <f t="shared" si="303"/>
        <v>0.64924742743050223</v>
      </c>
      <c r="H45" s="29">
        <f t="shared" si="303"/>
        <v>0.62057256990679099</v>
      </c>
      <c r="I45" s="29">
        <f t="shared" si="303"/>
        <v>0.62336810900176731</v>
      </c>
      <c r="J45" s="29">
        <f t="shared" si="303"/>
        <v>0.61104472299204193</v>
      </c>
      <c r="K45" s="29">
        <f t="shared" ref="K45" si="304">+K15/K11</f>
        <v>0.49108074985248057</v>
      </c>
      <c r="L45" s="29">
        <f t="shared" ref="L45:N45" si="305">+L15/L11</f>
        <v>0.60843334830883766</v>
      </c>
      <c r="M45" s="29">
        <f t="shared" si="305"/>
        <v>0.63168789250254365</v>
      </c>
      <c r="N45" s="10">
        <f t="shared" si="305"/>
        <v>0.63692307692307693</v>
      </c>
      <c r="V45" s="10">
        <f t="shared" ref="V45:AJ45" si="306">+V15/V11</f>
        <v>0.2606704524638212</v>
      </c>
      <c r="W45" s="10">
        <f t="shared" si="306"/>
        <v>0.27178410794602698</v>
      </c>
      <c r="X45" s="10">
        <f t="shared" si="306"/>
        <v>0.37307720888756779</v>
      </c>
      <c r="Y45" s="10">
        <f t="shared" si="306"/>
        <v>0.20675465262845702</v>
      </c>
      <c r="Z45" s="10">
        <f t="shared" si="306"/>
        <v>0.54121663766783756</v>
      </c>
      <c r="AA45" s="10">
        <f t="shared" si="306"/>
        <v>0.62417526839697468</v>
      </c>
      <c r="AB45" s="10">
        <f t="shared" si="306"/>
        <v>0.59906677756318982</v>
      </c>
      <c r="AC45" s="10">
        <f t="shared" si="306"/>
        <v>0.59906677756318993</v>
      </c>
      <c r="AD45" s="10">
        <f t="shared" si="306"/>
        <v>0.59906677756318993</v>
      </c>
      <c r="AE45" s="10">
        <f t="shared" si="306"/>
        <v>0.59906677756318993</v>
      </c>
      <c r="AF45" s="10">
        <f t="shared" si="306"/>
        <v>0.59906677756318993</v>
      </c>
      <c r="AG45" s="10">
        <f t="shared" si="306"/>
        <v>0.59906677756318993</v>
      </c>
      <c r="AH45" s="10">
        <f t="shared" si="306"/>
        <v>0.59906677756318993</v>
      </c>
      <c r="AI45" s="10">
        <f t="shared" si="306"/>
        <v>0.59906677756318993</v>
      </c>
      <c r="AJ45" s="10">
        <f t="shared" si="306"/>
        <v>0.59906677756318993</v>
      </c>
      <c r="AK45" s="10">
        <f t="shared" ref="AK45" si="307">+AK15/AK11</f>
        <v>0.59906677756319004</v>
      </c>
    </row>
    <row r="46" spans="2:37" x14ac:dyDescent="0.2">
      <c r="J46" s="29">
        <f>+J33</f>
        <v>0.77944170474596208</v>
      </c>
      <c r="K46" s="29">
        <f>+K33</f>
        <v>0.69182921210259551</v>
      </c>
      <c r="L46" s="29">
        <f>+L33</f>
        <v>0.5560252996005326</v>
      </c>
      <c r="M46" s="29">
        <f>+M33</f>
        <v>0.62493586454592109</v>
      </c>
      <c r="N46" s="10"/>
    </row>
    <row r="47" spans="2:37" x14ac:dyDescent="0.2">
      <c r="J47" s="29">
        <f>+J50/I50-1</f>
        <v>0.30362290171254158</v>
      </c>
      <c r="K47" s="29">
        <f>+K50/J50-1</f>
        <v>-4.04508996314763E-2</v>
      </c>
      <c r="L47" s="29">
        <f>+L50/K50-1</f>
        <v>0.25646123260437381</v>
      </c>
      <c r="M47" s="29">
        <f>+M50/L50-1</f>
        <v>0.20076956271576529</v>
      </c>
    </row>
    <row r="49" spans="2:13" x14ac:dyDescent="0.2">
      <c r="B49" s="2" t="s">
        <v>56</v>
      </c>
      <c r="C49" s="25">
        <v>15320</v>
      </c>
      <c r="D49" s="25">
        <v>16023</v>
      </c>
      <c r="E49" s="25">
        <v>18281</v>
      </c>
      <c r="F49" s="25">
        <v>25984</v>
      </c>
      <c r="G49" s="25">
        <v>31438</v>
      </c>
      <c r="H49" s="25">
        <v>34800</v>
      </c>
      <c r="I49" s="25">
        <v>38487</v>
      </c>
      <c r="J49" s="25">
        <v>43210</v>
      </c>
      <c r="K49" s="25">
        <v>53691</v>
      </c>
      <c r="L49" s="25">
        <f>11639+45152</f>
        <v>56791</v>
      </c>
      <c r="M49" s="25">
        <v>60608</v>
      </c>
    </row>
    <row r="50" spans="2:13" x14ac:dyDescent="0.2">
      <c r="B50" s="2" t="s">
        <v>57</v>
      </c>
      <c r="C50" s="25">
        <v>4080</v>
      </c>
      <c r="D50" s="25">
        <v>7066</v>
      </c>
      <c r="E50" s="25">
        <v>8309</v>
      </c>
      <c r="F50" s="25">
        <v>9999</v>
      </c>
      <c r="G50" s="25">
        <v>12365</v>
      </c>
      <c r="H50" s="25">
        <v>14132</v>
      </c>
      <c r="I50" s="25">
        <v>17693</v>
      </c>
      <c r="J50" s="25">
        <v>23065</v>
      </c>
      <c r="K50" s="25">
        <v>22132</v>
      </c>
      <c r="L50" s="25">
        <v>27808</v>
      </c>
      <c r="M50" s="25">
        <v>33391</v>
      </c>
    </row>
    <row r="51" spans="2:13" x14ac:dyDescent="0.2">
      <c r="B51" s="2" t="s">
        <v>58</v>
      </c>
      <c r="C51" s="25">
        <v>4611</v>
      </c>
      <c r="D51" s="25">
        <v>4319</v>
      </c>
      <c r="E51" s="25">
        <v>4779</v>
      </c>
      <c r="F51" s="25">
        <v>5282</v>
      </c>
      <c r="G51" s="25">
        <v>5864</v>
      </c>
      <c r="H51" s="25">
        <v>6675</v>
      </c>
      <c r="I51" s="25">
        <v>7654</v>
      </c>
      <c r="J51" s="25">
        <v>10080</v>
      </c>
      <c r="K51" s="25">
        <v>11333</v>
      </c>
      <c r="L51" s="25">
        <v>14962</v>
      </c>
      <c r="M51" s="25">
        <v>19784</v>
      </c>
    </row>
    <row r="52" spans="2:13" x14ac:dyDescent="0.2">
      <c r="B52" s="2" t="s">
        <v>59</v>
      </c>
      <c r="C52" s="25">
        <v>872</v>
      </c>
      <c r="D52" s="25">
        <v>1389</v>
      </c>
      <c r="E52" s="25">
        <v>1289</v>
      </c>
      <c r="F52" s="25">
        <v>3080</v>
      </c>
      <c r="G52" s="25">
        <v>4062</v>
      </c>
      <c r="H52" s="25">
        <v>4026</v>
      </c>
      <c r="I52" s="25">
        <v>3806</v>
      </c>
      <c r="J52" s="25">
        <v>3771</v>
      </c>
      <c r="K52" s="25">
        <v>2779</v>
      </c>
      <c r="L52" s="25">
        <v>2658</v>
      </c>
      <c r="M52" s="25">
        <v>2709</v>
      </c>
    </row>
    <row r="53" spans="2:13" x14ac:dyDescent="0.2">
      <c r="B53" s="2" t="s">
        <v>60</v>
      </c>
      <c r="C53" s="25">
        <v>3740</v>
      </c>
      <c r="D53" s="25">
        <v>3799</v>
      </c>
      <c r="E53" s="25">
        <v>3844</v>
      </c>
      <c r="F53" s="25">
        <v>3914</v>
      </c>
      <c r="G53" s="25">
        <v>4006</v>
      </c>
      <c r="H53" s="25">
        <v>4885</v>
      </c>
      <c r="I53" s="25">
        <v>5343</v>
      </c>
      <c r="J53" s="25">
        <v>6283</v>
      </c>
      <c r="K53" s="25">
        <v>7136</v>
      </c>
      <c r="L53" s="25">
        <v>9141</v>
      </c>
      <c r="M53" s="25">
        <v>9780</v>
      </c>
    </row>
    <row r="54" spans="2:13" x14ac:dyDescent="0.2">
      <c r="B54" s="2" t="s">
        <v>61</v>
      </c>
      <c r="C54" s="25">
        <v>1094</v>
      </c>
      <c r="D54" s="25">
        <v>1235</v>
      </c>
      <c r="E54" s="25">
        <v>1316</v>
      </c>
      <c r="F54" s="25">
        <v>1346</v>
      </c>
      <c r="G54" s="25">
        <v>1532</v>
      </c>
      <c r="H54" s="25">
        <v>1556</v>
      </c>
      <c r="I54" s="25">
        <v>1755</v>
      </c>
      <c r="J54" s="25">
        <v>1793</v>
      </c>
      <c r="K54" s="25">
        <v>1810</v>
      </c>
      <c r="L54" s="25">
        <v>2084</v>
      </c>
      <c r="M54" s="25">
        <v>2281</v>
      </c>
    </row>
    <row r="55" spans="2:13" x14ac:dyDescent="0.2">
      <c r="B55" s="2" t="s">
        <v>62</v>
      </c>
      <c r="C55" s="25">
        <v>4430</v>
      </c>
      <c r="D55" s="25">
        <v>4430</v>
      </c>
      <c r="E55" s="25">
        <v>4430</v>
      </c>
      <c r="F55" s="25">
        <v>4430</v>
      </c>
      <c r="G55" s="25">
        <v>4453</v>
      </c>
      <c r="H55" s="25">
        <v>4622</v>
      </c>
      <c r="I55" s="25">
        <v>4724</v>
      </c>
      <c r="J55" s="25">
        <v>5188</v>
      </c>
      <c r="K55" s="25">
        <v>5498</v>
      </c>
      <c r="L55" s="25">
        <v>5755</v>
      </c>
      <c r="M55" s="25">
        <v>6261</v>
      </c>
    </row>
    <row r="56" spans="2:13" x14ac:dyDescent="0.2">
      <c r="B56" s="2" t="s">
        <v>63</v>
      </c>
      <c r="C56" s="25">
        <v>1541</v>
      </c>
      <c r="D56" s="25">
        <v>1395</v>
      </c>
      <c r="E56" s="25">
        <v>1251</v>
      </c>
      <c r="F56" s="25">
        <v>1112</v>
      </c>
      <c r="G56" s="25">
        <v>986</v>
      </c>
      <c r="H56" s="25">
        <v>952</v>
      </c>
      <c r="I56" s="25">
        <v>838</v>
      </c>
      <c r="J56" s="25">
        <v>807</v>
      </c>
      <c r="K56" s="25">
        <v>769</v>
      </c>
      <c r="L56" s="25">
        <v>755</v>
      </c>
      <c r="M56" s="25">
        <v>936</v>
      </c>
    </row>
    <row r="57" spans="2:13" x14ac:dyDescent="0.2">
      <c r="B57" s="2" t="s">
        <v>64</v>
      </c>
      <c r="C57" s="25">
        <v>4568</v>
      </c>
      <c r="D57" s="25">
        <v>5398</v>
      </c>
      <c r="E57" s="25">
        <v>5982</v>
      </c>
      <c r="F57" s="25">
        <v>6081</v>
      </c>
      <c r="G57" s="25">
        <v>7798</v>
      </c>
      <c r="H57" s="25">
        <v>9578</v>
      </c>
      <c r="I57" s="25">
        <v>10276</v>
      </c>
      <c r="J57" s="25">
        <v>10979</v>
      </c>
      <c r="K57" s="25">
        <v>13318</v>
      </c>
      <c r="L57" s="25">
        <v>13570</v>
      </c>
      <c r="M57" s="25">
        <v>13674</v>
      </c>
    </row>
    <row r="58" spans="2:13" x14ac:dyDescent="0.2">
      <c r="B58" s="2" t="s">
        <v>65</v>
      </c>
      <c r="C58" s="25">
        <v>4204</v>
      </c>
      <c r="D58" s="25">
        <v>4501</v>
      </c>
      <c r="E58" s="25">
        <v>4667</v>
      </c>
      <c r="F58" s="25">
        <v>4500</v>
      </c>
      <c r="G58" s="25">
        <v>4568</v>
      </c>
      <c r="H58" s="25">
        <v>4001</v>
      </c>
      <c r="I58" s="25">
        <v>5437</v>
      </c>
      <c r="J58" s="25">
        <v>6425</v>
      </c>
      <c r="K58" s="25">
        <v>6788</v>
      </c>
      <c r="L58" s="25">
        <v>7216</v>
      </c>
      <c r="M58" s="25">
        <v>11724</v>
      </c>
    </row>
    <row r="59" spans="2:13" x14ac:dyDescent="0.2">
      <c r="B59" s="2" t="s">
        <v>55</v>
      </c>
      <c r="C59" s="25">
        <f t="shared" ref="C59:K59" si="308">+SUM(C49:C58)</f>
        <v>44460</v>
      </c>
      <c r="D59" s="25">
        <f t="shared" si="308"/>
        <v>49555</v>
      </c>
      <c r="E59" s="25">
        <f t="shared" si="308"/>
        <v>54148</v>
      </c>
      <c r="F59" s="25">
        <f t="shared" si="308"/>
        <v>65728</v>
      </c>
      <c r="G59" s="25">
        <f t="shared" si="308"/>
        <v>77072</v>
      </c>
      <c r="H59" s="25">
        <f t="shared" si="308"/>
        <v>85227</v>
      </c>
      <c r="I59" s="25">
        <f t="shared" si="308"/>
        <v>96013</v>
      </c>
      <c r="J59" s="25">
        <f t="shared" si="308"/>
        <v>111601</v>
      </c>
      <c r="K59" s="25">
        <f t="shared" si="308"/>
        <v>125254</v>
      </c>
      <c r="L59" s="25">
        <f>+SUM(L49:L58)</f>
        <v>140740</v>
      </c>
      <c r="M59" s="25">
        <f>+SUM(M49:M58)</f>
        <v>161148</v>
      </c>
    </row>
    <row r="61" spans="2:13" x14ac:dyDescent="0.2">
      <c r="B61" s="2" t="s">
        <v>50</v>
      </c>
      <c r="C61" s="25">
        <v>1141</v>
      </c>
      <c r="D61" s="25">
        <v>1929</v>
      </c>
      <c r="E61" s="25">
        <v>2380</v>
      </c>
      <c r="F61" s="25">
        <v>2699</v>
      </c>
      <c r="G61" s="25">
        <v>2715</v>
      </c>
      <c r="H61" s="25">
        <v>3680</v>
      </c>
      <c r="I61" s="25">
        <v>5353</v>
      </c>
      <c r="J61" s="25">
        <v>6310</v>
      </c>
      <c r="K61" s="25">
        <v>7331</v>
      </c>
      <c r="L61" s="25">
        <v>9064</v>
      </c>
      <c r="M61" s="25">
        <v>8624</v>
      </c>
    </row>
    <row r="62" spans="2:13" x14ac:dyDescent="0.2">
      <c r="B62" s="2" t="s">
        <v>51</v>
      </c>
      <c r="C62" s="25">
        <v>4869</v>
      </c>
      <c r="D62" s="25">
        <v>7156</v>
      </c>
      <c r="E62" s="25">
        <v>5472</v>
      </c>
      <c r="F62" s="25">
        <v>6682</v>
      </c>
      <c r="G62" s="25">
        <v>11258</v>
      </c>
      <c r="H62" s="25">
        <v>10289</v>
      </c>
      <c r="I62" s="25">
        <v>11126</v>
      </c>
      <c r="J62" s="25">
        <v>11737</v>
      </c>
      <c r="K62" s="25">
        <v>19211</v>
      </c>
      <c r="L62" s="25">
        <v>15193</v>
      </c>
      <c r="M62" s="25">
        <v>16452</v>
      </c>
    </row>
    <row r="63" spans="2:13" x14ac:dyDescent="0.2">
      <c r="B63" s="2" t="s">
        <v>67</v>
      </c>
      <c r="C63" s="25">
        <v>1250</v>
      </c>
      <c r="D63" s="25">
        <v>1249</v>
      </c>
      <c r="E63" s="25">
        <v>1249</v>
      </c>
      <c r="F63" s="25">
        <v>1250</v>
      </c>
      <c r="G63" s="25">
        <v>1250</v>
      </c>
      <c r="H63" s="25">
        <v>0</v>
      </c>
      <c r="L63" s="25">
        <v>0</v>
      </c>
      <c r="M63" s="25">
        <v>999</v>
      </c>
    </row>
    <row r="64" spans="2:13" x14ac:dyDescent="0.2">
      <c r="B64" s="2" t="s">
        <v>52</v>
      </c>
      <c r="C64" s="25">
        <v>9704</v>
      </c>
      <c r="D64" s="25">
        <v>8456</v>
      </c>
      <c r="E64" s="25">
        <v>8457</v>
      </c>
      <c r="F64" s="25">
        <v>8459</v>
      </c>
      <c r="G64" s="25">
        <v>8460</v>
      </c>
      <c r="H64" s="25">
        <v>8461</v>
      </c>
      <c r="I64" s="25">
        <v>8462</v>
      </c>
      <c r="J64" s="25">
        <v>8463</v>
      </c>
      <c r="K64" s="25">
        <v>8464</v>
      </c>
      <c r="L64" s="25">
        <v>8466</v>
      </c>
      <c r="M64" s="25">
        <v>7468</v>
      </c>
    </row>
    <row r="65" spans="2:13" x14ac:dyDescent="0.2">
      <c r="B65" s="2" t="s">
        <v>53</v>
      </c>
      <c r="C65" s="25">
        <v>939</v>
      </c>
      <c r="D65" s="25">
        <v>1041</v>
      </c>
      <c r="E65" s="25">
        <v>1091</v>
      </c>
      <c r="F65" s="25">
        <v>1119</v>
      </c>
      <c r="G65" s="25">
        <v>1281</v>
      </c>
      <c r="H65" s="25">
        <v>1304</v>
      </c>
      <c r="I65" s="25">
        <v>1490</v>
      </c>
      <c r="J65" s="25">
        <v>1519</v>
      </c>
      <c r="K65" s="25">
        <v>1521</v>
      </c>
      <c r="L65" s="25">
        <v>1831</v>
      </c>
      <c r="M65" s="25">
        <v>2014</v>
      </c>
    </row>
    <row r="66" spans="2:13" x14ac:dyDescent="0.2">
      <c r="B66" s="2" t="s">
        <v>54</v>
      </c>
      <c r="C66" s="25">
        <v>2037</v>
      </c>
      <c r="D66" s="25">
        <v>2223</v>
      </c>
      <c r="E66" s="25">
        <v>2234</v>
      </c>
      <c r="F66" s="25">
        <v>2541</v>
      </c>
      <c r="G66" s="25">
        <v>2966</v>
      </c>
      <c r="H66" s="25">
        <v>3336</v>
      </c>
      <c r="I66" s="25">
        <v>3683</v>
      </c>
      <c r="J66" s="25">
        <v>4245</v>
      </c>
      <c r="K66" s="25">
        <v>4884</v>
      </c>
      <c r="L66" s="25">
        <v>6055</v>
      </c>
      <c r="M66" s="25">
        <v>6694</v>
      </c>
    </row>
    <row r="67" spans="2:13" x14ac:dyDescent="0.2">
      <c r="B67" s="2" t="s">
        <v>48</v>
      </c>
      <c r="C67" s="25">
        <v>24520</v>
      </c>
      <c r="D67" s="25">
        <v>27501</v>
      </c>
      <c r="E67" s="25">
        <v>33265</v>
      </c>
      <c r="F67" s="25">
        <v>42978</v>
      </c>
      <c r="G67" s="25">
        <v>49142</v>
      </c>
      <c r="H67" s="25">
        <v>58157</v>
      </c>
      <c r="I67" s="25">
        <v>65899</v>
      </c>
      <c r="J67" s="25">
        <v>79327</v>
      </c>
      <c r="K67" s="25">
        <v>83843</v>
      </c>
      <c r="L67" s="25">
        <v>100131</v>
      </c>
      <c r="M67" s="25">
        <v>118897</v>
      </c>
    </row>
    <row r="68" spans="2:13" x14ac:dyDescent="0.2">
      <c r="B68" s="2" t="s">
        <v>49</v>
      </c>
      <c r="C68" s="25">
        <f t="shared" ref="C68:K68" si="309">+SUM(C61:C67)</f>
        <v>44460</v>
      </c>
      <c r="D68" s="25">
        <f t="shared" si="309"/>
        <v>49555</v>
      </c>
      <c r="E68" s="25">
        <f t="shared" si="309"/>
        <v>54148</v>
      </c>
      <c r="F68" s="25">
        <f t="shared" si="309"/>
        <v>65728</v>
      </c>
      <c r="G68" s="25">
        <f t="shared" si="309"/>
        <v>77072</v>
      </c>
      <c r="H68" s="25">
        <f t="shared" si="309"/>
        <v>85227</v>
      </c>
      <c r="I68" s="25">
        <f t="shared" si="309"/>
        <v>96013</v>
      </c>
      <c r="J68" s="25">
        <f t="shared" si="309"/>
        <v>111601</v>
      </c>
      <c r="K68" s="25">
        <f t="shared" si="309"/>
        <v>125254</v>
      </c>
      <c r="L68" s="25">
        <f t="shared" ref="L68:M68" si="310">+SUM(L61:L67)</f>
        <v>140740</v>
      </c>
      <c r="M68" s="25">
        <f t="shared" si="310"/>
        <v>161148</v>
      </c>
    </row>
    <row r="70" spans="2:13" x14ac:dyDescent="0.2">
      <c r="B70" s="2" t="s">
        <v>191</v>
      </c>
      <c r="C70" s="25">
        <f>SUM(C63:C64)</f>
        <v>10954</v>
      </c>
      <c r="D70" s="25">
        <f t="shared" ref="D70:K70" si="311">SUM(D63:D64)</f>
        <v>9705</v>
      </c>
      <c r="E70" s="25">
        <f t="shared" si="311"/>
        <v>9706</v>
      </c>
      <c r="F70" s="25">
        <f t="shared" si="311"/>
        <v>9709</v>
      </c>
      <c r="G70" s="25">
        <f t="shared" si="311"/>
        <v>9710</v>
      </c>
      <c r="H70" s="25">
        <f t="shared" si="311"/>
        <v>8461</v>
      </c>
      <c r="I70" s="25">
        <f t="shared" si="311"/>
        <v>8462</v>
      </c>
      <c r="J70" s="25">
        <f t="shared" si="311"/>
        <v>8463</v>
      </c>
      <c r="K70" s="25">
        <f t="shared" si="311"/>
        <v>8464</v>
      </c>
      <c r="L70" s="25">
        <f t="shared" ref="L70:M70" si="312">SUM(L63:L64)</f>
        <v>8466</v>
      </c>
      <c r="M70" s="25">
        <f t="shared" si="312"/>
        <v>8467</v>
      </c>
    </row>
    <row r="71" spans="2:13" x14ac:dyDescent="0.2">
      <c r="B71" s="2" t="s">
        <v>192</v>
      </c>
      <c r="C71" s="25">
        <f>+C49</f>
        <v>15320</v>
      </c>
      <c r="D71" s="25">
        <f t="shared" ref="D71:K71" si="313">+D49</f>
        <v>16023</v>
      </c>
      <c r="E71" s="25">
        <f t="shared" si="313"/>
        <v>18281</v>
      </c>
      <c r="F71" s="25">
        <f t="shared" si="313"/>
        <v>25984</v>
      </c>
      <c r="G71" s="25">
        <f t="shared" si="313"/>
        <v>31438</v>
      </c>
      <c r="H71" s="25">
        <f t="shared" si="313"/>
        <v>34800</v>
      </c>
      <c r="I71" s="25">
        <f t="shared" si="313"/>
        <v>38487</v>
      </c>
      <c r="J71" s="25">
        <f t="shared" si="313"/>
        <v>43210</v>
      </c>
      <c r="K71" s="25">
        <f t="shared" si="313"/>
        <v>53691</v>
      </c>
      <c r="L71" s="25">
        <f t="shared" ref="L71:M71" si="314">+L49</f>
        <v>56791</v>
      </c>
      <c r="M71" s="25">
        <f t="shared" si="314"/>
        <v>60608</v>
      </c>
    </row>
    <row r="72" spans="2:13" x14ac:dyDescent="0.2">
      <c r="B72" s="2" t="s">
        <v>193</v>
      </c>
      <c r="C72" s="25">
        <f>+C71-C70</f>
        <v>4366</v>
      </c>
      <c r="D72" s="25">
        <f t="shared" ref="D72:K72" si="315">+D71-D70</f>
        <v>6318</v>
      </c>
      <c r="E72" s="25">
        <f t="shared" si="315"/>
        <v>8575</v>
      </c>
      <c r="F72" s="25">
        <f t="shared" si="315"/>
        <v>16275</v>
      </c>
      <c r="G72" s="25">
        <f t="shared" si="315"/>
        <v>21728</v>
      </c>
      <c r="H72" s="25">
        <f t="shared" si="315"/>
        <v>26339</v>
      </c>
      <c r="I72" s="25">
        <f t="shared" si="315"/>
        <v>30025</v>
      </c>
      <c r="J72" s="25">
        <f t="shared" si="315"/>
        <v>34747</v>
      </c>
      <c r="K72" s="25">
        <f t="shared" si="315"/>
        <v>45227</v>
      </c>
      <c r="L72" s="25">
        <f t="shared" ref="L72:M72" si="316">+L71-L70</f>
        <v>48325</v>
      </c>
      <c r="M72" s="25">
        <f t="shared" si="316"/>
        <v>52141</v>
      </c>
    </row>
    <row r="73" spans="2:13" x14ac:dyDescent="0.2">
      <c r="B73" s="2" t="s">
        <v>194</v>
      </c>
      <c r="C73" s="25">
        <f>+C67-C56-C55</f>
        <v>18549</v>
      </c>
      <c r="D73" s="25">
        <f t="shared" ref="D73:K73" si="317">+D67-D56-D55</f>
        <v>21676</v>
      </c>
      <c r="E73" s="25">
        <f t="shared" si="317"/>
        <v>27584</v>
      </c>
      <c r="F73" s="25">
        <f t="shared" si="317"/>
        <v>37436</v>
      </c>
      <c r="G73" s="25">
        <f t="shared" si="317"/>
        <v>43703</v>
      </c>
      <c r="H73" s="25">
        <f t="shared" si="317"/>
        <v>52583</v>
      </c>
      <c r="I73" s="25">
        <f t="shared" si="317"/>
        <v>60337</v>
      </c>
      <c r="J73" s="25">
        <f t="shared" si="317"/>
        <v>73332</v>
      </c>
      <c r="K73" s="25">
        <f t="shared" si="317"/>
        <v>77576</v>
      </c>
      <c r="L73" s="25">
        <f t="shared" ref="L73:M73" si="318">+L67-L56-L55</f>
        <v>93621</v>
      </c>
      <c r="M73" s="25">
        <f t="shared" si="318"/>
        <v>111700</v>
      </c>
    </row>
    <row r="74" spans="2:13" x14ac:dyDescent="0.2">
      <c r="H74" s="30">
        <f t="shared" ref="H74:J74" si="319">SUM(E111:H111)/H73</f>
        <v>0.63176311735732082</v>
      </c>
      <c r="I74" s="30">
        <f t="shared" si="319"/>
        <v>0.82927556888807863</v>
      </c>
      <c r="J74" s="30">
        <f t="shared" si="319"/>
        <v>0.89438444335351552</v>
      </c>
      <c r="K74" s="30">
        <f>SUM(H111:K111)/K73</f>
        <v>0.9289728782097556</v>
      </c>
      <c r="L74" s="30">
        <f>SUM(I111:L111)/L73</f>
        <v>0.76932525822198006</v>
      </c>
      <c r="M74" s="30">
        <f>SUM(J111:M111)/M73</f>
        <v>0.69222918531781563</v>
      </c>
    </row>
    <row r="75" spans="2:13" x14ac:dyDescent="0.2">
      <c r="I75" s="31" t="s">
        <v>66</v>
      </c>
    </row>
    <row r="76" spans="2:13" x14ac:dyDescent="0.2">
      <c r="B76" s="2" t="s">
        <v>34</v>
      </c>
      <c r="G76" s="25">
        <v>14881</v>
      </c>
      <c r="H76" s="25">
        <v>16599</v>
      </c>
      <c r="I76" s="25">
        <v>19309</v>
      </c>
      <c r="J76" s="25">
        <v>22091</v>
      </c>
      <c r="K76" s="25">
        <v>18775</v>
      </c>
    </row>
    <row r="77" spans="2:13" x14ac:dyDescent="0.2">
      <c r="B77" s="2" t="s">
        <v>68</v>
      </c>
      <c r="G77" s="25">
        <v>1011</v>
      </c>
      <c r="H77" s="25">
        <v>1154</v>
      </c>
      <c r="I77" s="25">
        <v>1252</v>
      </c>
      <c r="J77" s="25">
        <v>1321</v>
      </c>
      <c r="K77" s="25">
        <v>1474</v>
      </c>
    </row>
    <row r="78" spans="2:13" x14ac:dyDescent="0.2">
      <c r="B78" s="2" t="s">
        <v>69</v>
      </c>
      <c r="G78" s="25">
        <v>410</v>
      </c>
      <c r="H78" s="25">
        <v>433</v>
      </c>
      <c r="I78" s="25">
        <v>478</v>
      </c>
      <c r="J78" s="25">
        <v>543</v>
      </c>
      <c r="K78" s="25">
        <v>611</v>
      </c>
      <c r="L78" s="25">
        <v>668</v>
      </c>
    </row>
    <row r="79" spans="2:13" x14ac:dyDescent="0.2">
      <c r="B79" s="2" t="s">
        <v>70</v>
      </c>
      <c r="G79" s="25">
        <v>-69</v>
      </c>
      <c r="H79" s="25">
        <v>-193</v>
      </c>
      <c r="I79" s="25">
        <v>-37</v>
      </c>
      <c r="J79" s="25">
        <v>-727</v>
      </c>
      <c r="K79" s="25">
        <v>175</v>
      </c>
    </row>
    <row r="80" spans="2:13" x14ac:dyDescent="0.2">
      <c r="B80" s="2" t="s">
        <v>64</v>
      </c>
      <c r="G80" s="25">
        <v>-1577</v>
      </c>
      <c r="H80" s="25">
        <v>-1699</v>
      </c>
      <c r="I80" s="25">
        <v>-602</v>
      </c>
      <c r="J80" s="25">
        <v>-598</v>
      </c>
      <c r="K80" s="25">
        <v>-2177</v>
      </c>
    </row>
    <row r="81" spans="2:13" x14ac:dyDescent="0.2">
      <c r="B81" s="2" t="s">
        <v>24</v>
      </c>
      <c r="G81" s="25">
        <v>-145</v>
      </c>
      <c r="H81" s="25">
        <v>-144</v>
      </c>
      <c r="I81" s="25">
        <v>-79</v>
      </c>
      <c r="J81" s="25">
        <v>-138</v>
      </c>
      <c r="K81" s="25">
        <v>-98</v>
      </c>
    </row>
    <row r="82" spans="2:13" x14ac:dyDescent="0.2">
      <c r="B82" s="2" t="s">
        <v>57</v>
      </c>
      <c r="G82" s="25">
        <v>2366</v>
      </c>
      <c r="H82" s="25">
        <v>-1767</v>
      </c>
      <c r="I82" s="25">
        <v>-3561</v>
      </c>
      <c r="J82" s="25">
        <v>-5370</v>
      </c>
      <c r="K82" s="25">
        <v>933</v>
      </c>
    </row>
    <row r="83" spans="2:13" x14ac:dyDescent="0.2">
      <c r="B83" s="2" t="s">
        <v>58</v>
      </c>
      <c r="G83" s="25">
        <v>-577</v>
      </c>
      <c r="H83" s="25">
        <v>-803</v>
      </c>
      <c r="I83" s="25">
        <v>-978</v>
      </c>
      <c r="J83" s="25">
        <v>-2424</v>
      </c>
      <c r="K83" s="25">
        <v>-1258</v>
      </c>
    </row>
    <row r="84" spans="2:13" x14ac:dyDescent="0.2">
      <c r="B84" s="2" t="s">
        <v>71</v>
      </c>
      <c r="G84" s="25">
        <v>-726</v>
      </c>
      <c r="H84" s="25">
        <v>714</v>
      </c>
      <c r="I84" s="25">
        <v>-714</v>
      </c>
      <c r="J84" s="25">
        <v>331</v>
      </c>
      <c r="K84" s="25">
        <v>560</v>
      </c>
    </row>
    <row r="85" spans="2:13" x14ac:dyDescent="0.2">
      <c r="B85" s="2" t="s">
        <v>50</v>
      </c>
      <c r="G85" s="25">
        <v>-22</v>
      </c>
      <c r="H85" s="25">
        <v>823</v>
      </c>
      <c r="I85" s="25">
        <v>1689</v>
      </c>
      <c r="J85" s="25">
        <v>867</v>
      </c>
      <c r="K85" s="25">
        <v>941</v>
      </c>
    </row>
    <row r="86" spans="2:13" x14ac:dyDescent="0.2">
      <c r="B86" s="2" t="s">
        <v>72</v>
      </c>
      <c r="G86" s="25">
        <v>4202</v>
      </c>
      <c r="H86" s="25">
        <v>-888</v>
      </c>
      <c r="I86" s="25">
        <v>606</v>
      </c>
      <c r="J86" s="25">
        <v>360</v>
      </c>
      <c r="K86" s="25">
        <v>7128</v>
      </c>
    </row>
    <row r="87" spans="2:13" x14ac:dyDescent="0.2">
      <c r="B87" s="2" t="s">
        <v>54</v>
      </c>
      <c r="G87" s="25">
        <v>323</v>
      </c>
      <c r="H87" s="25">
        <v>260</v>
      </c>
      <c r="I87" s="25">
        <v>266</v>
      </c>
      <c r="J87" s="25">
        <v>372</v>
      </c>
      <c r="K87" s="25">
        <v>350</v>
      </c>
    </row>
    <row r="88" spans="2:13" s="11" customFormat="1" x14ac:dyDescent="0.2">
      <c r="B88" s="11" t="s">
        <v>73</v>
      </c>
      <c r="C88" s="32"/>
      <c r="D88" s="32"/>
      <c r="E88" s="32"/>
      <c r="F88" s="32"/>
      <c r="G88" s="32">
        <f>+SUM(G76:G87)</f>
        <v>20077</v>
      </c>
      <c r="H88" s="32">
        <f>+SUM(H76:H87)</f>
        <v>14489</v>
      </c>
      <c r="I88" s="32">
        <f>+SUM(I76:I87)</f>
        <v>17629</v>
      </c>
      <c r="J88" s="32">
        <f>+SUM(J76:J87)</f>
        <v>16628</v>
      </c>
      <c r="K88" s="32">
        <f>+SUM(K76:K87)</f>
        <v>27414</v>
      </c>
      <c r="L88" s="32">
        <v>15365</v>
      </c>
      <c r="M88" s="32">
        <v>23750</v>
      </c>
    </row>
    <row r="90" spans="2:13" x14ac:dyDescent="0.2">
      <c r="B90" s="2" t="s">
        <v>178</v>
      </c>
      <c r="G90" s="25">
        <v>4004</v>
      </c>
      <c r="H90" s="25">
        <v>4094</v>
      </c>
      <c r="I90" s="25">
        <v>1386</v>
      </c>
      <c r="J90" s="25">
        <v>1710</v>
      </c>
      <c r="K90" s="25">
        <v>3122</v>
      </c>
    </row>
    <row r="91" spans="2:13" x14ac:dyDescent="0.2">
      <c r="B91" s="2" t="s">
        <v>179</v>
      </c>
      <c r="G91" s="25">
        <v>149</v>
      </c>
      <c r="H91" s="25">
        <v>15</v>
      </c>
      <c r="I91" s="25">
        <v>154</v>
      </c>
      <c r="J91" s="25">
        <v>177</v>
      </c>
      <c r="K91" s="25">
        <v>467</v>
      </c>
    </row>
    <row r="92" spans="2:13" x14ac:dyDescent="0.2">
      <c r="B92" s="2" t="s">
        <v>180</v>
      </c>
      <c r="G92" s="25">
        <v>55</v>
      </c>
      <c r="H92" s="25">
        <v>0</v>
      </c>
      <c r="I92" s="25">
        <v>0</v>
      </c>
      <c r="J92" s="25">
        <v>0</v>
      </c>
      <c r="K92" s="25">
        <v>0</v>
      </c>
    </row>
    <row r="93" spans="2:13" x14ac:dyDescent="0.2">
      <c r="B93" s="2" t="s">
        <v>181</v>
      </c>
      <c r="G93" s="25">
        <v>-9303</v>
      </c>
      <c r="H93" s="25">
        <v>-5744</v>
      </c>
      <c r="I93" s="25">
        <v>-4518</v>
      </c>
      <c r="J93" s="25">
        <v>-7010</v>
      </c>
      <c r="K93" s="25">
        <v>-6456</v>
      </c>
    </row>
    <row r="94" spans="2:13" x14ac:dyDescent="0.2">
      <c r="B94" s="2" t="s">
        <v>182</v>
      </c>
      <c r="G94" s="25">
        <v>-369</v>
      </c>
      <c r="H94" s="25">
        <v>-977</v>
      </c>
      <c r="I94" s="25">
        <v>-813</v>
      </c>
      <c r="J94" s="25">
        <v>-1077</v>
      </c>
      <c r="K94" s="25">
        <v>-1227</v>
      </c>
      <c r="L94" s="25">
        <v>-1894</v>
      </c>
      <c r="M94" s="25">
        <v>-1637</v>
      </c>
    </row>
    <row r="95" spans="2:13" x14ac:dyDescent="0.2">
      <c r="B95" s="2" t="s">
        <v>183</v>
      </c>
      <c r="G95" s="25">
        <v>-190</v>
      </c>
      <c r="H95" s="25">
        <v>0</v>
      </c>
      <c r="I95" s="25">
        <v>0</v>
      </c>
      <c r="J95" s="25">
        <v>-478</v>
      </c>
      <c r="K95" s="25">
        <v>-649</v>
      </c>
    </row>
    <row r="96" spans="2:13" x14ac:dyDescent="0.2">
      <c r="B96" s="2" t="s">
        <v>74</v>
      </c>
      <c r="G96" s="25">
        <v>-39</v>
      </c>
      <c r="H96" s="25">
        <v>-279</v>
      </c>
      <c r="I96" s="25">
        <v>-147</v>
      </c>
      <c r="J96" s="25">
        <v>-542</v>
      </c>
      <c r="K96" s="25">
        <v>-383</v>
      </c>
    </row>
    <row r="97" spans="2:13" x14ac:dyDescent="0.2">
      <c r="B97" s="2" t="s">
        <v>184</v>
      </c>
      <c r="H97" s="25">
        <v>-344</v>
      </c>
      <c r="I97" s="25">
        <v>66</v>
      </c>
      <c r="J97" s="25">
        <v>22</v>
      </c>
    </row>
    <row r="98" spans="2:13" x14ac:dyDescent="0.2">
      <c r="B98" s="2" t="s">
        <v>185</v>
      </c>
      <c r="H98" s="25">
        <v>50</v>
      </c>
      <c r="I98" s="25">
        <v>-473</v>
      </c>
    </row>
    <row r="99" spans="2:13" s="11" customFormat="1" x14ac:dyDescent="0.2">
      <c r="B99" s="11" t="s">
        <v>75</v>
      </c>
      <c r="C99" s="32"/>
      <c r="D99" s="32"/>
      <c r="E99" s="32"/>
      <c r="F99" s="32"/>
      <c r="G99" s="32">
        <f>+SUM(G90:G96)</f>
        <v>-5693</v>
      </c>
      <c r="H99" s="32">
        <f>+SUM(H90:H98)</f>
        <v>-3185</v>
      </c>
      <c r="I99" s="32">
        <f>+SUM(I90:I98)</f>
        <v>-4345</v>
      </c>
      <c r="J99" s="32">
        <f>+SUM(J90:J98)</f>
        <v>-7198</v>
      </c>
      <c r="K99" s="32">
        <f>+SUM(K90:K96)</f>
        <v>-5126</v>
      </c>
      <c r="L99" s="32"/>
      <c r="M99" s="32"/>
    </row>
    <row r="101" spans="2:13" x14ac:dyDescent="0.2">
      <c r="B101" s="2" t="s">
        <v>186</v>
      </c>
      <c r="G101" s="25">
        <v>285</v>
      </c>
      <c r="H101" s="25">
        <v>0</v>
      </c>
      <c r="I101" s="25">
        <v>204</v>
      </c>
      <c r="J101" s="25">
        <v>0</v>
      </c>
      <c r="K101" s="25">
        <v>370</v>
      </c>
    </row>
    <row r="102" spans="2:13" x14ac:dyDescent="0.2">
      <c r="B102" s="2" t="s">
        <v>187</v>
      </c>
      <c r="G102" s="25">
        <v>-7740</v>
      </c>
      <c r="H102" s="25">
        <v>-7158</v>
      </c>
      <c r="I102" s="25">
        <v>-10998</v>
      </c>
      <c r="J102" s="25">
        <v>-7810</v>
      </c>
      <c r="K102" s="25">
        <v>-14095</v>
      </c>
    </row>
    <row r="103" spans="2:13" x14ac:dyDescent="0.2">
      <c r="B103" s="2" t="s">
        <v>189</v>
      </c>
      <c r="H103" s="25">
        <v>-1250</v>
      </c>
      <c r="J103" s="25">
        <v>0</v>
      </c>
    </row>
    <row r="104" spans="2:13" x14ac:dyDescent="0.2">
      <c r="B104" s="2" t="s">
        <v>76</v>
      </c>
      <c r="G104" s="25">
        <v>-1752</v>
      </c>
      <c r="H104" s="25">
        <v>-1637</v>
      </c>
      <c r="I104" s="25">
        <v>-1680</v>
      </c>
      <c r="J104" s="25">
        <v>-1861</v>
      </c>
      <c r="K104" s="25">
        <v>-1532</v>
      </c>
    </row>
    <row r="105" spans="2:13" x14ac:dyDescent="0.2">
      <c r="B105" s="2" t="s">
        <v>77</v>
      </c>
      <c r="G105" s="25">
        <v>-98</v>
      </c>
      <c r="H105" s="25">
        <v>-246</v>
      </c>
      <c r="I105" s="25">
        <v>-245</v>
      </c>
      <c r="J105" s="25">
        <v>-245</v>
      </c>
      <c r="K105" s="25">
        <v>-244</v>
      </c>
    </row>
    <row r="106" spans="2:13" x14ac:dyDescent="0.2">
      <c r="B106" s="2" t="s">
        <v>188</v>
      </c>
      <c r="G106" s="25">
        <v>-40</v>
      </c>
      <c r="H106" s="25">
        <v>-29</v>
      </c>
      <c r="I106" s="25">
        <v>-29</v>
      </c>
      <c r="J106" s="25">
        <v>-32</v>
      </c>
      <c r="K106" s="25">
        <v>-52</v>
      </c>
    </row>
    <row r="107" spans="2:13" s="11" customFormat="1" x14ac:dyDescent="0.2">
      <c r="B107" s="11" t="s">
        <v>78</v>
      </c>
      <c r="C107" s="32"/>
      <c r="D107" s="32"/>
      <c r="E107" s="32"/>
      <c r="F107" s="32"/>
      <c r="G107" s="32">
        <f>+SUM(G101:G106)</f>
        <v>-9345</v>
      </c>
      <c r="H107" s="32">
        <f>+SUM(H101:H106)</f>
        <v>-10320</v>
      </c>
      <c r="I107" s="32">
        <f>+SUM(I101:I106)</f>
        <v>-12748</v>
      </c>
      <c r="J107" s="32">
        <f>+SUM(J101:J106)</f>
        <v>-9948</v>
      </c>
      <c r="K107" s="32">
        <f>+SUM(K101:K106)</f>
        <v>-15553</v>
      </c>
      <c r="L107" s="32"/>
      <c r="M107" s="32"/>
    </row>
    <row r="109" spans="2:13" x14ac:dyDescent="0.2">
      <c r="B109" s="2" t="s">
        <v>190</v>
      </c>
      <c r="G109" s="25">
        <f>SUM(G88,G99,G107)</f>
        <v>5039</v>
      </c>
      <c r="H109" s="25">
        <f>SUM(H88,H99,H107)</f>
        <v>984</v>
      </c>
      <c r="I109" s="25">
        <f>SUM(I88,I99,I107)</f>
        <v>536</v>
      </c>
      <c r="J109" s="25">
        <f>SUM(J88,J99,J107)</f>
        <v>-518</v>
      </c>
      <c r="K109" s="25">
        <f>SUM(K88,K99,K107)</f>
        <v>6735</v>
      </c>
    </row>
    <row r="111" spans="2:13" x14ac:dyDescent="0.2">
      <c r="B111" s="2" t="s">
        <v>79</v>
      </c>
      <c r="G111" s="25">
        <f t="shared" ref="G111:M111" si="320">+G88+G94</f>
        <v>19708</v>
      </c>
      <c r="H111" s="25">
        <f t="shared" si="320"/>
        <v>13512</v>
      </c>
      <c r="I111" s="25">
        <f t="shared" si="320"/>
        <v>16816</v>
      </c>
      <c r="J111" s="25">
        <f t="shared" si="320"/>
        <v>15551</v>
      </c>
      <c r="K111" s="25">
        <f t="shared" si="320"/>
        <v>26187</v>
      </c>
      <c r="L111" s="25">
        <f t="shared" si="320"/>
        <v>13471</v>
      </c>
      <c r="M111" s="25">
        <f t="shared" si="320"/>
        <v>22113</v>
      </c>
    </row>
    <row r="112" spans="2:13" x14ac:dyDescent="0.2">
      <c r="B112" s="2" t="s">
        <v>80</v>
      </c>
      <c r="G112" s="25">
        <f t="shared" ref="G112:M112" si="321">+G21</f>
        <v>14046</v>
      </c>
      <c r="H112" s="25">
        <f t="shared" si="321"/>
        <v>16599</v>
      </c>
      <c r="I112" s="25">
        <f t="shared" si="321"/>
        <v>19309</v>
      </c>
      <c r="J112" s="25">
        <f t="shared" si="321"/>
        <v>32926</v>
      </c>
      <c r="K112" s="25">
        <f t="shared" si="321"/>
        <v>18775</v>
      </c>
      <c r="L112" s="25">
        <f t="shared" si="321"/>
        <v>26546</v>
      </c>
      <c r="M112" s="25">
        <f t="shared" si="321"/>
        <v>31910</v>
      </c>
    </row>
    <row r="114" spans="2:13" x14ac:dyDescent="0.2">
      <c r="B114" s="2" t="s">
        <v>196</v>
      </c>
      <c r="G114" s="25">
        <f>+G94</f>
        <v>-369</v>
      </c>
      <c r="H114" s="25">
        <f t="shared" ref="H114:L114" si="322">+H94</f>
        <v>-977</v>
      </c>
      <c r="I114" s="25">
        <f t="shared" si="322"/>
        <v>-813</v>
      </c>
      <c r="J114" s="25">
        <f t="shared" si="322"/>
        <v>-1077</v>
      </c>
      <c r="K114" s="25">
        <f t="shared" si="322"/>
        <v>-1227</v>
      </c>
      <c r="L114" s="25">
        <f t="shared" si="322"/>
        <v>-1894</v>
      </c>
    </row>
    <row r="115" spans="2:13" x14ac:dyDescent="0.2">
      <c r="B115" s="2" t="s">
        <v>197</v>
      </c>
      <c r="G115" s="25">
        <f>+G78</f>
        <v>410</v>
      </c>
      <c r="H115" s="25">
        <f t="shared" ref="H115:L115" si="323">+H78</f>
        <v>433</v>
      </c>
      <c r="I115" s="25">
        <f t="shared" si="323"/>
        <v>478</v>
      </c>
      <c r="J115" s="25">
        <f t="shared" si="323"/>
        <v>543</v>
      </c>
      <c r="K115" s="25">
        <f t="shared" si="323"/>
        <v>611</v>
      </c>
      <c r="L115" s="25">
        <f t="shared" si="323"/>
        <v>668</v>
      </c>
    </row>
    <row r="118" spans="2:13" x14ac:dyDescent="0.2">
      <c r="B118" s="2" t="s">
        <v>202</v>
      </c>
      <c r="H118" s="25">
        <v>1300</v>
      </c>
      <c r="I118" s="25">
        <v>1400</v>
      </c>
      <c r="J118" s="25">
        <v>1600</v>
      </c>
      <c r="K118" s="25">
        <v>1600</v>
      </c>
      <c r="L118" s="25">
        <v>1800</v>
      </c>
      <c r="M118" s="25">
        <v>2000</v>
      </c>
    </row>
    <row r="119" spans="2:13" x14ac:dyDescent="0.2">
      <c r="B119" s="2" t="s">
        <v>203</v>
      </c>
      <c r="H119" s="25">
        <v>123</v>
      </c>
      <c r="I119" s="25">
        <v>187</v>
      </c>
      <c r="J119" s="25">
        <v>151</v>
      </c>
      <c r="K119" s="25">
        <v>160</v>
      </c>
      <c r="L119" s="25">
        <v>118</v>
      </c>
      <c r="M119" s="25">
        <v>449</v>
      </c>
    </row>
    <row r="120" spans="2:13" s="11" customFormat="1" x14ac:dyDescent="0.2">
      <c r="B120" s="11" t="s">
        <v>199</v>
      </c>
      <c r="C120" s="32">
        <v>639</v>
      </c>
      <c r="D120" s="32">
        <v>717</v>
      </c>
      <c r="E120" s="32">
        <v>896</v>
      </c>
      <c r="F120" s="32">
        <v>1100</v>
      </c>
      <c r="G120" s="32">
        <v>1300</v>
      </c>
      <c r="H120" s="32">
        <f t="shared" ref="H120:M120" si="324">SUM(H118:H119)</f>
        <v>1423</v>
      </c>
      <c r="I120" s="32">
        <f t="shared" si="324"/>
        <v>1587</v>
      </c>
      <c r="J120" s="32">
        <f t="shared" si="324"/>
        <v>1751</v>
      </c>
      <c r="K120" s="32">
        <f t="shared" si="324"/>
        <v>1760</v>
      </c>
      <c r="L120" s="32">
        <f t="shared" si="324"/>
        <v>1918</v>
      </c>
      <c r="M120" s="32">
        <f t="shared" si="324"/>
        <v>2449</v>
      </c>
    </row>
    <row r="121" spans="2:13" x14ac:dyDescent="0.2">
      <c r="B121" s="2" t="s">
        <v>198</v>
      </c>
      <c r="C121" s="25">
        <f>+C120*0.46</f>
        <v>293.94</v>
      </c>
      <c r="D121" s="25">
        <f>+D120*0.44</f>
        <v>315.48</v>
      </c>
      <c r="E121" s="25">
        <f>+E120*0.42</f>
        <v>376.32</v>
      </c>
      <c r="F121" s="25">
        <f>+F120*0.4</f>
        <v>440</v>
      </c>
      <c r="G121" s="25">
        <f>+G120*0.38</f>
        <v>494</v>
      </c>
      <c r="H121" s="25">
        <f>+H120*0.37</f>
        <v>526.51</v>
      </c>
      <c r="I121" s="25">
        <f>+I120*0.37</f>
        <v>587.18999999999994</v>
      </c>
      <c r="J121" s="25">
        <f>+J120*0.39</f>
        <v>682.89</v>
      </c>
      <c r="K121" s="25">
        <f>+K120*0.39</f>
        <v>686.4</v>
      </c>
      <c r="L121" s="25">
        <f>+L120*0.4</f>
        <v>767.2</v>
      </c>
      <c r="M121" s="25">
        <f>+M120*0.4</f>
        <v>979.6</v>
      </c>
    </row>
    <row r="122" spans="2:13" s="19" customFormat="1" x14ac:dyDescent="0.2">
      <c r="B122" s="19" t="s">
        <v>200</v>
      </c>
      <c r="C122" s="33">
        <f>+C121/C120</f>
        <v>0.46</v>
      </c>
      <c r="D122" s="33">
        <f t="shared" ref="D122:M122" si="325">+D121/D120</f>
        <v>0.44</v>
      </c>
      <c r="E122" s="33">
        <f t="shared" si="325"/>
        <v>0.42</v>
      </c>
      <c r="F122" s="33">
        <f t="shared" si="325"/>
        <v>0.4</v>
      </c>
      <c r="G122" s="33">
        <f t="shared" si="325"/>
        <v>0.38</v>
      </c>
      <c r="H122" s="33">
        <f t="shared" si="325"/>
        <v>0.37</v>
      </c>
      <c r="I122" s="33">
        <f t="shared" si="325"/>
        <v>0.36999999999999994</v>
      </c>
      <c r="J122" s="33">
        <f t="shared" si="325"/>
        <v>0.39</v>
      </c>
      <c r="K122" s="33">
        <f t="shared" si="325"/>
        <v>0.39</v>
      </c>
      <c r="L122" s="33">
        <f t="shared" si="325"/>
        <v>0.4</v>
      </c>
      <c r="M122" s="33">
        <f t="shared" si="325"/>
        <v>0.4</v>
      </c>
    </row>
    <row r="123" spans="2:13" x14ac:dyDescent="0.2">
      <c r="D123" s="29">
        <f t="shared" ref="D123:L123" si="326">+D120/C120-1</f>
        <v>0.1220657276995305</v>
      </c>
      <c r="E123" s="29">
        <f t="shared" si="326"/>
        <v>0.24965132496513243</v>
      </c>
      <c r="F123" s="29">
        <f t="shared" si="326"/>
        <v>0.2276785714285714</v>
      </c>
      <c r="G123" s="29">
        <f t="shared" si="326"/>
        <v>0.18181818181818188</v>
      </c>
      <c r="H123" s="29">
        <f t="shared" si="326"/>
        <v>9.4615384615384546E-2</v>
      </c>
      <c r="I123" s="29">
        <f t="shared" si="326"/>
        <v>0.11524947294448351</v>
      </c>
      <c r="J123" s="29">
        <f t="shared" si="326"/>
        <v>0.10333963453056083</v>
      </c>
      <c r="K123" s="29">
        <f t="shared" si="326"/>
        <v>5.1399200456880845E-3</v>
      </c>
      <c r="L123" s="29">
        <f t="shared" si="326"/>
        <v>8.9772727272727337E-2</v>
      </c>
      <c r="M123" s="29">
        <f>+M120/L120-1</f>
        <v>0.27685088633993749</v>
      </c>
    </row>
    <row r="124" spans="2:13" x14ac:dyDescent="0.2">
      <c r="B124" s="2" t="s">
        <v>201</v>
      </c>
      <c r="D124" s="25">
        <f t="shared" ref="D124:L124" si="327">+D120-C120</f>
        <v>78</v>
      </c>
      <c r="E124" s="25">
        <f t="shared" si="327"/>
        <v>179</v>
      </c>
      <c r="F124" s="25">
        <f t="shared" si="327"/>
        <v>204</v>
      </c>
      <c r="G124" s="25">
        <f t="shared" si="327"/>
        <v>200</v>
      </c>
      <c r="H124" s="25">
        <f t="shared" si="327"/>
        <v>123</v>
      </c>
      <c r="I124" s="25">
        <f t="shared" si="327"/>
        <v>164</v>
      </c>
      <c r="J124" s="25">
        <f t="shared" si="327"/>
        <v>164</v>
      </c>
      <c r="K124" s="25">
        <f t="shared" si="327"/>
        <v>9</v>
      </c>
      <c r="L124" s="25">
        <f t="shared" si="327"/>
        <v>158</v>
      </c>
      <c r="M124" s="34">
        <f>+M120-L120</f>
        <v>531</v>
      </c>
    </row>
  </sheetData>
  <pageMargins left="0.7" right="0.7" top="0.75" bottom="0.75" header="0.3" footer="0.3"/>
  <ignoredErrors>
    <ignoredError sqref="B6:J21 B26:I27 B23:J23 B22:E22 G22:I22 B25:J25 B24:F24 AB15:AB24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Products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2025-08-09T19:27:43Z</dcterms:created>
  <dcterms:modified xsi:type="dcterms:W3CDTF">2026-02-08T05:06:24Z</dcterms:modified>
</cp:coreProperties>
</file>