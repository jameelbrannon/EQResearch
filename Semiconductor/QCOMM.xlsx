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218BFB74-9696-284B-A0DB-8AECFB6DAFD2}" xr6:coauthVersionLast="47" xr6:coauthVersionMax="47" xr10:uidLastSave="{00000000-0000-0000-0000-000000000000}"/>
  <bookViews>
    <workbookView xWindow="13280" yWindow="2960" windowWidth="32260" windowHeight="24440" xr2:uid="{4BC02444-90DA-5044-8491-8B526222F96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3" i="2" l="1"/>
  <c r="M83" i="2"/>
  <c r="L83" i="2"/>
  <c r="K83" i="2"/>
  <c r="J83" i="2"/>
  <c r="N82" i="2"/>
  <c r="M82" i="2"/>
  <c r="L82" i="2"/>
  <c r="K82" i="2"/>
  <c r="J82" i="2"/>
  <c r="O83" i="2"/>
  <c r="O80" i="2"/>
  <c r="N80" i="2"/>
  <c r="M80" i="2"/>
  <c r="L80" i="2"/>
  <c r="K80" i="2"/>
  <c r="J80" i="2"/>
  <c r="I80" i="2"/>
  <c r="H80" i="2"/>
  <c r="G80" i="2"/>
  <c r="G79" i="2"/>
  <c r="H78" i="2"/>
  <c r="H77" i="2"/>
  <c r="L78" i="2"/>
  <c r="M78" i="2" s="1"/>
  <c r="N78" i="2" s="1"/>
  <c r="L77" i="2"/>
  <c r="L79" i="2" s="1"/>
  <c r="M77" i="2"/>
  <c r="AD79" i="2"/>
  <c r="AE79" i="2"/>
  <c r="O79" i="2"/>
  <c r="K79" i="2"/>
  <c r="AH7" i="2"/>
  <c r="AI7" i="2" s="1"/>
  <c r="AJ7" i="2" s="1"/>
  <c r="AK7" i="2" s="1"/>
  <c r="AL7" i="2" s="1"/>
  <c r="AM7" i="2" s="1"/>
  <c r="AN7" i="2" s="1"/>
  <c r="AO7" i="2" s="1"/>
  <c r="AH37" i="2"/>
  <c r="AG7" i="2"/>
  <c r="AF33" i="2"/>
  <c r="AE39" i="2"/>
  <c r="AE37" i="2"/>
  <c r="AE35" i="2"/>
  <c r="AE34" i="2"/>
  <c r="AE33" i="2"/>
  <c r="AG3" i="2"/>
  <c r="AF10" i="2"/>
  <c r="AF9" i="2"/>
  <c r="AF5" i="2"/>
  <c r="AF4" i="2"/>
  <c r="AF3" i="2"/>
  <c r="AF23" i="2"/>
  <c r="AG23" i="2" s="1"/>
  <c r="AH23" i="2" s="1"/>
  <c r="AI23" i="2" s="1"/>
  <c r="AJ23" i="2" s="1"/>
  <c r="AK23" i="2" s="1"/>
  <c r="AL23" i="2" s="1"/>
  <c r="AM23" i="2" s="1"/>
  <c r="AN23" i="2" s="1"/>
  <c r="AO23" i="2" s="1"/>
  <c r="P4" i="2"/>
  <c r="P5" i="2"/>
  <c r="P35" i="2"/>
  <c r="J9" i="2"/>
  <c r="J10" i="2" s="1"/>
  <c r="J7" i="2"/>
  <c r="J8" i="2" s="1"/>
  <c r="J5" i="2"/>
  <c r="J4" i="2"/>
  <c r="J3" i="2"/>
  <c r="N9" i="2"/>
  <c r="N10" i="2" s="1"/>
  <c r="N7" i="2"/>
  <c r="N8" i="2" s="1"/>
  <c r="N5" i="2"/>
  <c r="N4" i="2"/>
  <c r="N3" i="2"/>
  <c r="P10" i="2"/>
  <c r="I10" i="2"/>
  <c r="H10" i="2"/>
  <c r="G10" i="2"/>
  <c r="F10" i="2"/>
  <c r="E10" i="2"/>
  <c r="D10" i="2"/>
  <c r="C10" i="2"/>
  <c r="I8" i="2"/>
  <c r="H8" i="2"/>
  <c r="G8" i="2"/>
  <c r="F8" i="2"/>
  <c r="E8" i="2"/>
  <c r="D8" i="2"/>
  <c r="C8" i="2"/>
  <c r="I6" i="2"/>
  <c r="I11" i="2" s="1"/>
  <c r="H6" i="2"/>
  <c r="H11" i="2" s="1"/>
  <c r="G6" i="2"/>
  <c r="G11" i="2" s="1"/>
  <c r="F6" i="2"/>
  <c r="F11" i="2" s="1"/>
  <c r="E6" i="2"/>
  <c r="E11" i="2" s="1"/>
  <c r="D6" i="2"/>
  <c r="D11" i="2" s="1"/>
  <c r="C6" i="2"/>
  <c r="C11" i="2" s="1"/>
  <c r="M10" i="2"/>
  <c r="L10" i="2"/>
  <c r="M6" i="2"/>
  <c r="M11" i="2" s="1"/>
  <c r="L6" i="2"/>
  <c r="P33" i="2"/>
  <c r="O37" i="2"/>
  <c r="O35" i="2"/>
  <c r="O34" i="2"/>
  <c r="O33" i="2"/>
  <c r="L8" i="2"/>
  <c r="M8" i="2"/>
  <c r="P7" i="2"/>
  <c r="K10" i="2"/>
  <c r="K8" i="2"/>
  <c r="K6" i="2"/>
  <c r="K11" i="2" s="1"/>
  <c r="O10" i="2"/>
  <c r="O8" i="2"/>
  <c r="O38" i="2" s="1"/>
  <c r="O6" i="2"/>
  <c r="O36" i="2" s="1"/>
  <c r="AD8" i="2"/>
  <c r="AD10" i="2"/>
  <c r="AE8" i="2"/>
  <c r="AE38" i="2" s="1"/>
  <c r="AE10" i="2"/>
  <c r="AE40" i="2" s="1"/>
  <c r="AD6" i="2"/>
  <c r="AE6" i="2"/>
  <c r="P16" i="2"/>
  <c r="AF16" i="2" s="1"/>
  <c r="N25" i="2"/>
  <c r="N23" i="2"/>
  <c r="N22" i="2"/>
  <c r="N20" i="2"/>
  <c r="N19" i="2"/>
  <c r="N18" i="2"/>
  <c r="N17" i="2"/>
  <c r="N15" i="2"/>
  <c r="AE16" i="2"/>
  <c r="N14" i="2"/>
  <c r="N72" i="2"/>
  <c r="N74" i="2" s="1"/>
  <c r="N62" i="2"/>
  <c r="N50" i="2"/>
  <c r="O72" i="2"/>
  <c r="O74" i="2" s="1"/>
  <c r="O62" i="2"/>
  <c r="O50" i="2"/>
  <c r="O46" i="2"/>
  <c r="O45" i="2"/>
  <c r="O16" i="2"/>
  <c r="K6" i="1"/>
  <c r="L7" i="1"/>
  <c r="L6" i="1"/>
  <c r="M50" i="2"/>
  <c r="AD50" i="2" s="1"/>
  <c r="AE50" i="2" s="1"/>
  <c r="L46" i="2"/>
  <c r="K46" i="2"/>
  <c r="I46" i="2"/>
  <c r="H46" i="2"/>
  <c r="G46" i="2"/>
  <c r="L45" i="2"/>
  <c r="K45" i="2"/>
  <c r="I45" i="2"/>
  <c r="H45" i="2"/>
  <c r="G45" i="2"/>
  <c r="M46" i="2"/>
  <c r="M45" i="2"/>
  <c r="M72" i="2"/>
  <c r="M74" i="2" s="1"/>
  <c r="M62" i="2"/>
  <c r="AR34" i="2"/>
  <c r="AR36" i="2"/>
  <c r="AC46" i="2"/>
  <c r="AC45" i="2"/>
  <c r="AD46" i="2"/>
  <c r="AD45" i="2"/>
  <c r="F25" i="2"/>
  <c r="F23" i="2"/>
  <c r="F22" i="2"/>
  <c r="F20" i="2"/>
  <c r="F19" i="2"/>
  <c r="F18" i="2"/>
  <c r="F17" i="2"/>
  <c r="F15" i="2"/>
  <c r="F14" i="2"/>
  <c r="J25" i="2"/>
  <c r="J23" i="2"/>
  <c r="J22" i="2"/>
  <c r="J20" i="2"/>
  <c r="J19" i="2"/>
  <c r="J18" i="2"/>
  <c r="J17" i="2"/>
  <c r="J15" i="2"/>
  <c r="J14" i="2"/>
  <c r="AB16" i="2"/>
  <c r="AB30" i="2" s="1"/>
  <c r="AC16" i="2"/>
  <c r="AC30" i="2" s="1"/>
  <c r="AD16" i="2"/>
  <c r="AD30" i="2" s="1"/>
  <c r="C16" i="2"/>
  <c r="C30" i="2" s="1"/>
  <c r="D16" i="2"/>
  <c r="D30" i="2" s="1"/>
  <c r="E16" i="2"/>
  <c r="E30" i="2" s="1"/>
  <c r="G16" i="2"/>
  <c r="G21" i="2" s="1"/>
  <c r="G24" i="2" s="1"/>
  <c r="G26" i="2" s="1"/>
  <c r="K16" i="2"/>
  <c r="K30" i="2" s="1"/>
  <c r="H16" i="2"/>
  <c r="H21" i="2" s="1"/>
  <c r="H26" i="2" s="1"/>
  <c r="L16" i="2"/>
  <c r="I16" i="2"/>
  <c r="I30" i="2" s="1"/>
  <c r="M16" i="2"/>
  <c r="M30" i="2" s="1"/>
  <c r="V2" i="2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IA2" i="2" s="1"/>
  <c r="IB2" i="2" s="1"/>
  <c r="IC2" i="2" s="1"/>
  <c r="ID2" i="2" s="1"/>
  <c r="IE2" i="2" s="1"/>
  <c r="IF2" i="2" s="1"/>
  <c r="IG2" i="2" s="1"/>
  <c r="K5" i="1"/>
  <c r="K8" i="1" s="1"/>
  <c r="AG37" i="2" l="1"/>
  <c r="AG8" i="2"/>
  <c r="AG38" i="2" s="1"/>
  <c r="AH3" i="2"/>
  <c r="AG33" i="2"/>
  <c r="AG5" i="2"/>
  <c r="AG6" i="2" s="1"/>
  <c r="AF35" i="2"/>
  <c r="AG4" i="2"/>
  <c r="AH4" i="2" s="1"/>
  <c r="AF34" i="2"/>
  <c r="AF6" i="2"/>
  <c r="P34" i="2"/>
  <c r="P6" i="2"/>
  <c r="P11" i="2" s="1"/>
  <c r="P8" i="2"/>
  <c r="P38" i="2" s="1"/>
  <c r="P37" i="2"/>
  <c r="AF7" i="2"/>
  <c r="AF8" i="2" s="1"/>
  <c r="AE11" i="2"/>
  <c r="AE36" i="2"/>
  <c r="P47" i="2"/>
  <c r="I78" i="2"/>
  <c r="J78" i="2"/>
  <c r="H79" i="2"/>
  <c r="I77" i="2"/>
  <c r="J77" i="2"/>
  <c r="J79" i="2"/>
  <c r="I79" i="2"/>
  <c r="M79" i="2"/>
  <c r="O82" i="2" s="1"/>
  <c r="N77" i="2"/>
  <c r="N79" i="2"/>
  <c r="AI37" i="2"/>
  <c r="AG34" i="2"/>
  <c r="AJ8" i="2"/>
  <c r="AI8" i="2"/>
  <c r="AH8" i="2"/>
  <c r="J6" i="2"/>
  <c r="J11" i="2" s="1"/>
  <c r="N6" i="2"/>
  <c r="N11" i="2" s="1"/>
  <c r="P36" i="2"/>
  <c r="L11" i="2"/>
  <c r="P41" i="2" s="1"/>
  <c r="O11" i="2"/>
  <c r="O41" i="2" s="1"/>
  <c r="AD11" i="2"/>
  <c r="N46" i="2"/>
  <c r="N45" i="2"/>
  <c r="J45" i="2"/>
  <c r="J46" i="2"/>
  <c r="O21" i="2"/>
  <c r="O47" i="2"/>
  <c r="O30" i="2"/>
  <c r="P30" i="2"/>
  <c r="P31" i="2"/>
  <c r="AE21" i="2"/>
  <c r="N16" i="2"/>
  <c r="O13" i="2" s="1"/>
  <c r="AF50" i="2"/>
  <c r="AF22" i="2"/>
  <c r="L30" i="2"/>
  <c r="L47" i="2"/>
  <c r="AC47" i="2"/>
  <c r="H31" i="2"/>
  <c r="G47" i="2"/>
  <c r="H47" i="2"/>
  <c r="I47" i="2"/>
  <c r="M47" i="2"/>
  <c r="K47" i="2"/>
  <c r="F16" i="2"/>
  <c r="F30" i="2" s="1"/>
  <c r="AD47" i="2"/>
  <c r="AC21" i="2"/>
  <c r="G31" i="2"/>
  <c r="J16" i="2"/>
  <c r="AB21" i="2"/>
  <c r="AD21" i="2"/>
  <c r="C21" i="2"/>
  <c r="D21" i="2"/>
  <c r="E21" i="2"/>
  <c r="H30" i="2"/>
  <c r="G30" i="2"/>
  <c r="K21" i="2"/>
  <c r="L21" i="2"/>
  <c r="M21" i="2"/>
  <c r="I21" i="2"/>
  <c r="AI3" i="2" l="1"/>
  <c r="AH33" i="2"/>
  <c r="AH5" i="2"/>
  <c r="AH6" i="2" s="1"/>
  <c r="AG35" i="2"/>
  <c r="AI4" i="2"/>
  <c r="AH34" i="2"/>
  <c r="AF36" i="2"/>
  <c r="AF11" i="2"/>
  <c r="AE41" i="2"/>
  <c r="AG11" i="2"/>
  <c r="AG16" i="2" s="1"/>
  <c r="AG36" i="2"/>
  <c r="AJ37" i="2"/>
  <c r="AM37" i="2"/>
  <c r="AL37" i="2"/>
  <c r="AJ38" i="2"/>
  <c r="AI38" i="2"/>
  <c r="AH38" i="2"/>
  <c r="AL8" i="2"/>
  <c r="AK8" i="2"/>
  <c r="AK38" i="2" s="1"/>
  <c r="O24" i="2"/>
  <c r="O31" i="2"/>
  <c r="O26" i="2"/>
  <c r="O32" i="2"/>
  <c r="N21" i="2"/>
  <c r="N31" i="2" s="1"/>
  <c r="AE24" i="2"/>
  <c r="N47" i="2"/>
  <c r="N30" i="2"/>
  <c r="F21" i="2"/>
  <c r="F31" i="2" s="1"/>
  <c r="AG50" i="2"/>
  <c r="AG22" i="2"/>
  <c r="J30" i="2"/>
  <c r="J47" i="2"/>
  <c r="AE47" i="2"/>
  <c r="I24" i="2"/>
  <c r="I26" i="2" s="1"/>
  <c r="I31" i="2"/>
  <c r="D31" i="2"/>
  <c r="D24" i="2"/>
  <c r="D26" i="2" s="1"/>
  <c r="J21" i="2"/>
  <c r="J31" i="2" s="1"/>
  <c r="L24" i="2"/>
  <c r="L26" i="2" s="1"/>
  <c r="L31" i="2"/>
  <c r="M24" i="2"/>
  <c r="M26" i="2" s="1"/>
  <c r="M31" i="2"/>
  <c r="K24" i="2"/>
  <c r="K26" i="2" s="1"/>
  <c r="K31" i="2"/>
  <c r="AB31" i="2"/>
  <c r="AB24" i="2"/>
  <c r="AB26" i="2" s="1"/>
  <c r="AC31" i="2"/>
  <c r="AC24" i="2"/>
  <c r="AD31" i="2"/>
  <c r="AD24" i="2"/>
  <c r="C31" i="2"/>
  <c r="C24" i="2"/>
  <c r="C26" i="2" s="1"/>
  <c r="E31" i="2"/>
  <c r="E24" i="2"/>
  <c r="E26" i="2" s="1"/>
  <c r="AJ3" i="2" l="1"/>
  <c r="AI33" i="2"/>
  <c r="AI5" i="2"/>
  <c r="AI6" i="2" s="1"/>
  <c r="AH35" i="2"/>
  <c r="AJ4" i="2"/>
  <c r="AI34" i="2"/>
  <c r="AH11" i="2"/>
  <c r="AH16" i="2" s="1"/>
  <c r="AH36" i="2"/>
  <c r="AK37" i="2"/>
  <c r="AN8" i="2"/>
  <c r="AN37" i="2"/>
  <c r="AO37" i="2"/>
  <c r="AL38" i="2"/>
  <c r="AO8" i="2"/>
  <c r="AM8" i="2"/>
  <c r="AM38" i="2" s="1"/>
  <c r="AH50" i="2"/>
  <c r="AH22" i="2"/>
  <c r="N24" i="2"/>
  <c r="AE26" i="2"/>
  <c r="N26" i="2" s="1"/>
  <c r="AF19" i="2"/>
  <c r="AF47" i="2"/>
  <c r="AF18" i="2"/>
  <c r="AF20" i="2"/>
  <c r="AF17" i="2"/>
  <c r="AF30" i="2" s="1"/>
  <c r="AE30" i="2"/>
  <c r="AC26" i="2"/>
  <c r="F26" i="2" s="1"/>
  <c r="F24" i="2"/>
  <c r="AD26" i="2"/>
  <c r="J26" i="2" s="1"/>
  <c r="J24" i="2"/>
  <c r="AK3" i="2" l="1"/>
  <c r="AJ6" i="2"/>
  <c r="AJ33" i="2"/>
  <c r="AI36" i="2"/>
  <c r="AI11" i="2"/>
  <c r="AI16" i="2" s="1"/>
  <c r="AI35" i="2"/>
  <c r="AJ5" i="2"/>
  <c r="AK4" i="2"/>
  <c r="AJ34" i="2"/>
  <c r="AN38" i="2"/>
  <c r="AO38" i="2"/>
  <c r="AI50" i="2"/>
  <c r="AI22" i="2"/>
  <c r="AF21" i="2"/>
  <c r="AG18" i="2"/>
  <c r="AG19" i="2"/>
  <c r="AG20" i="2"/>
  <c r="AG17" i="2"/>
  <c r="AG47" i="2"/>
  <c r="AE31" i="2"/>
  <c r="AK6" i="2" l="1"/>
  <c r="AL3" i="2"/>
  <c r="AK33" i="2"/>
  <c r="AJ36" i="2"/>
  <c r="AJ11" i="2"/>
  <c r="AJ16" i="2" s="1"/>
  <c r="AJ35" i="2"/>
  <c r="AK5" i="2"/>
  <c r="AL4" i="2"/>
  <c r="AK34" i="2"/>
  <c r="AJ50" i="2"/>
  <c r="AJ22" i="2"/>
  <c r="AH18" i="2"/>
  <c r="AH19" i="2"/>
  <c r="AH20" i="2"/>
  <c r="AG21" i="2"/>
  <c r="AG30" i="2"/>
  <c r="AH47" i="2"/>
  <c r="AH17" i="2"/>
  <c r="AH30" i="2" s="1"/>
  <c r="AF31" i="2"/>
  <c r="AF24" i="2"/>
  <c r="AF25" i="2" s="1"/>
  <c r="AK36" i="2" l="1"/>
  <c r="AK11" i="2"/>
  <c r="AK16" i="2" s="1"/>
  <c r="AM3" i="2"/>
  <c r="AL33" i="2"/>
  <c r="AK35" i="2"/>
  <c r="AL5" i="2"/>
  <c r="AL6" i="2" s="1"/>
  <c r="AM4" i="2"/>
  <c r="AL34" i="2"/>
  <c r="AK50" i="2"/>
  <c r="AK22" i="2"/>
  <c r="AH21" i="2"/>
  <c r="AG31" i="2"/>
  <c r="AG24" i="2"/>
  <c r="AG25" i="2" s="1"/>
  <c r="AI20" i="2"/>
  <c r="AI47" i="2"/>
  <c r="AI18" i="2"/>
  <c r="AI19" i="2"/>
  <c r="AI17" i="2"/>
  <c r="AI30" i="2" s="1"/>
  <c r="AF26" i="2"/>
  <c r="AL36" i="2" l="1"/>
  <c r="AL11" i="2"/>
  <c r="AL16" i="2" s="1"/>
  <c r="AM6" i="2"/>
  <c r="AN3" i="2"/>
  <c r="AM33" i="2"/>
  <c r="AL35" i="2"/>
  <c r="AM5" i="2"/>
  <c r="AN4" i="2"/>
  <c r="AM34" i="2"/>
  <c r="AL50" i="2"/>
  <c r="AL22" i="2"/>
  <c r="AH31" i="2"/>
  <c r="AH24" i="2"/>
  <c r="AH25" i="2" s="1"/>
  <c r="AJ20" i="2"/>
  <c r="AJ47" i="2"/>
  <c r="AJ18" i="2"/>
  <c r="AJ19" i="2"/>
  <c r="AJ17" i="2"/>
  <c r="AJ30" i="2" s="1"/>
  <c r="AI21" i="2"/>
  <c r="AM36" i="2" l="1"/>
  <c r="AM11" i="2"/>
  <c r="AM16" i="2" s="1"/>
  <c r="AO3" i="2"/>
  <c r="AN33" i="2"/>
  <c r="AM35" i="2"/>
  <c r="AN5" i="2"/>
  <c r="AN6" i="2" s="1"/>
  <c r="AO4" i="2"/>
  <c r="AO34" i="2" s="1"/>
  <c r="AN34" i="2"/>
  <c r="AM50" i="2"/>
  <c r="AM22" i="2"/>
  <c r="AG26" i="2"/>
  <c r="AH26" i="2"/>
  <c r="AJ21" i="2"/>
  <c r="AI31" i="2"/>
  <c r="AI24" i="2"/>
  <c r="AK20" i="2"/>
  <c r="AK47" i="2"/>
  <c r="AK19" i="2"/>
  <c r="AK18" i="2"/>
  <c r="AK17" i="2"/>
  <c r="AK30" i="2" s="1"/>
  <c r="AN36" i="2" l="1"/>
  <c r="AN11" i="2"/>
  <c r="AN16" i="2" s="1"/>
  <c r="AO33" i="2"/>
  <c r="AN35" i="2"/>
  <c r="AO5" i="2"/>
  <c r="AN50" i="2"/>
  <c r="AN22" i="2"/>
  <c r="AI25" i="2"/>
  <c r="AI26" i="2" s="1"/>
  <c r="AJ31" i="2"/>
  <c r="AJ24" i="2"/>
  <c r="AL19" i="2"/>
  <c r="AL47" i="2"/>
  <c r="AL18" i="2"/>
  <c r="AL20" i="2"/>
  <c r="AL17" i="2"/>
  <c r="AL30" i="2" s="1"/>
  <c r="AK21" i="2"/>
  <c r="AO35" i="2" l="1"/>
  <c r="AO6" i="2"/>
  <c r="AO22" i="2"/>
  <c r="AO50" i="2"/>
  <c r="AJ25" i="2"/>
  <c r="AJ26" i="2" s="1"/>
  <c r="AL21" i="2"/>
  <c r="AK31" i="2"/>
  <c r="AK24" i="2"/>
  <c r="AM18" i="2"/>
  <c r="AM47" i="2"/>
  <c r="AM19" i="2"/>
  <c r="AM20" i="2"/>
  <c r="AM17" i="2"/>
  <c r="AM30" i="2" s="1"/>
  <c r="AO11" i="2" l="1"/>
  <c r="AO16" i="2" s="1"/>
  <c r="AO36" i="2"/>
  <c r="AK25" i="2"/>
  <c r="AK26" i="2" s="1"/>
  <c r="AL31" i="2"/>
  <c r="AL24" i="2"/>
  <c r="AN19" i="2"/>
  <c r="AN18" i="2"/>
  <c r="AN47" i="2"/>
  <c r="AN20" i="2"/>
  <c r="AN17" i="2"/>
  <c r="AM21" i="2"/>
  <c r="AO17" i="2" l="1"/>
  <c r="AO30" i="2" s="1"/>
  <c r="AO18" i="2"/>
  <c r="AO19" i="2"/>
  <c r="AO20" i="2"/>
  <c r="AO47" i="2"/>
  <c r="AL25" i="2"/>
  <c r="AL26" i="2" s="1"/>
  <c r="AN30" i="2"/>
  <c r="AN21" i="2"/>
  <c r="AM31" i="2"/>
  <c r="AM24" i="2"/>
  <c r="AO21" i="2" l="1"/>
  <c r="AM25" i="2"/>
  <c r="AM26" i="2" s="1"/>
  <c r="AN31" i="2"/>
  <c r="AN24" i="2"/>
  <c r="AO31" i="2" l="1"/>
  <c r="AO24" i="2"/>
  <c r="AN25" i="2"/>
  <c r="AN26" i="2" l="1"/>
  <c r="AO25" i="2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B26" i="2" s="1"/>
  <c r="DC26" i="2" s="1"/>
  <c r="DD26" i="2" s="1"/>
  <c r="DE26" i="2" s="1"/>
  <c r="DF26" i="2" s="1"/>
  <c r="DG26" i="2" s="1"/>
  <c r="DH26" i="2" s="1"/>
  <c r="DI26" i="2" s="1"/>
  <c r="DJ26" i="2" s="1"/>
  <c r="DK26" i="2" s="1"/>
  <c r="DL26" i="2" s="1"/>
  <c r="DM26" i="2" l="1"/>
  <c r="DN26" i="2" s="1"/>
  <c r="DO26" i="2" s="1"/>
  <c r="DP26" i="2" s="1"/>
  <c r="DQ26" i="2" s="1"/>
  <c r="DR26" i="2" s="1"/>
  <c r="DS26" i="2" s="1"/>
  <c r="DT26" i="2" s="1"/>
  <c r="DU26" i="2" s="1"/>
  <c r="DV26" i="2" s="1"/>
  <c r="DW26" i="2" s="1"/>
  <c r="DX26" i="2" s="1"/>
  <c r="DY26" i="2" s="1"/>
  <c r="DZ26" i="2" s="1"/>
  <c r="EA26" i="2" s="1"/>
  <c r="EB26" i="2" s="1"/>
  <c r="EC26" i="2" s="1"/>
  <c r="ED26" i="2" s="1"/>
  <c r="EE26" i="2" s="1"/>
  <c r="EF26" i="2" s="1"/>
  <c r="EG26" i="2" s="1"/>
  <c r="EH26" i="2" s="1"/>
  <c r="EI26" i="2" s="1"/>
  <c r="EJ26" i="2" s="1"/>
  <c r="EK26" i="2" s="1"/>
  <c r="EL26" i="2" s="1"/>
  <c r="EM26" i="2" s="1"/>
  <c r="EN26" i="2" s="1"/>
  <c r="EO26" i="2" s="1"/>
  <c r="EP26" i="2" s="1"/>
  <c r="EQ26" i="2" s="1"/>
  <c r="ER26" i="2" s="1"/>
  <c r="ES26" i="2" s="1"/>
  <c r="ET26" i="2" s="1"/>
  <c r="EU26" i="2" s="1"/>
  <c r="EV26" i="2" s="1"/>
  <c r="EW26" i="2" s="1"/>
  <c r="EX26" i="2" s="1"/>
  <c r="EY26" i="2" s="1"/>
  <c r="EZ26" i="2" s="1"/>
  <c r="FA26" i="2" s="1"/>
  <c r="FB26" i="2" s="1"/>
  <c r="FC26" i="2" s="1"/>
  <c r="FD26" i="2" s="1"/>
  <c r="FE26" i="2" s="1"/>
  <c r="FF26" i="2" s="1"/>
  <c r="FG26" i="2" s="1"/>
  <c r="FH26" i="2" s="1"/>
  <c r="FI26" i="2" s="1"/>
  <c r="FJ26" i="2" s="1"/>
  <c r="FK26" i="2" s="1"/>
  <c r="FL26" i="2" s="1"/>
  <c r="FM26" i="2" s="1"/>
  <c r="FN26" i="2" s="1"/>
  <c r="FO26" i="2" s="1"/>
  <c r="FP26" i="2" s="1"/>
  <c r="FQ26" i="2" s="1"/>
  <c r="FR26" i="2" s="1"/>
  <c r="FS26" i="2" s="1"/>
  <c r="FT26" i="2" s="1"/>
  <c r="FU26" i="2" s="1"/>
  <c r="FV26" i="2" s="1"/>
  <c r="FW26" i="2" s="1"/>
  <c r="FX26" i="2" s="1"/>
  <c r="FY26" i="2" s="1"/>
  <c r="FZ26" i="2" s="1"/>
  <c r="GA26" i="2" s="1"/>
  <c r="GB26" i="2" s="1"/>
  <c r="GC26" i="2" s="1"/>
  <c r="GD26" i="2" s="1"/>
  <c r="GE26" i="2" s="1"/>
  <c r="GF26" i="2" l="1"/>
  <c r="GG26" i="2" s="1"/>
  <c r="GH26" i="2" s="1"/>
  <c r="GI26" i="2" s="1"/>
  <c r="GJ26" i="2" s="1"/>
  <c r="GK26" i="2" s="1"/>
  <c r="GL26" i="2" s="1"/>
  <c r="GM26" i="2" s="1"/>
  <c r="GN26" i="2" s="1"/>
  <c r="GO26" i="2" s="1"/>
  <c r="GP26" i="2" s="1"/>
  <c r="GQ26" i="2" s="1"/>
  <c r="GR26" i="2" s="1"/>
  <c r="GS26" i="2" s="1"/>
  <c r="GT26" i="2" s="1"/>
  <c r="GU26" i="2" s="1"/>
  <c r="GV26" i="2" s="1"/>
  <c r="GW26" i="2" l="1"/>
  <c r="GX26" i="2" s="1"/>
  <c r="GY26" i="2" s="1"/>
  <c r="GZ26" i="2" s="1"/>
  <c r="HA26" i="2" s="1"/>
  <c r="HB26" i="2" s="1"/>
  <c r="HC26" i="2" s="1"/>
  <c r="HD26" i="2" s="1"/>
  <c r="HE26" i="2" s="1"/>
  <c r="HF26" i="2" s="1"/>
  <c r="HG26" i="2" s="1"/>
  <c r="HH26" i="2" l="1"/>
  <c r="HI26" i="2" l="1"/>
  <c r="HJ26" i="2" s="1"/>
  <c r="HK26" i="2" s="1"/>
  <c r="HL26" i="2" s="1"/>
  <c r="HM26" i="2" s="1"/>
  <c r="HN26" i="2" s="1"/>
  <c r="HO26" i="2" s="1"/>
  <c r="HP26" i="2" s="1"/>
  <c r="HQ26" i="2" s="1"/>
  <c r="HR26" i="2" s="1"/>
  <c r="HS26" i="2" l="1"/>
  <c r="HT26" i="2" l="1"/>
  <c r="HU26" i="2" l="1"/>
  <c r="HV26" i="2" l="1"/>
  <c r="HW26" i="2" l="1"/>
  <c r="HX26" i="2" s="1"/>
  <c r="HY26" i="2" s="1"/>
  <c r="HZ26" i="2" s="1"/>
  <c r="IA26" i="2" s="1"/>
  <c r="IB26" i="2" s="1"/>
  <c r="IC26" i="2" s="1"/>
  <c r="ID26" i="2" s="1"/>
  <c r="IE26" i="2" s="1"/>
  <c r="IF26" i="2" s="1"/>
  <c r="IG26" i="2" s="1"/>
  <c r="AR33" i="2"/>
  <c r="AR35" i="2" s="1"/>
  <c r="AR3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P3" authorId="0" shapeId="0" xr:uid="{98FEB3D1-9B8E-6C4E-89F7-CF8319A1CC2C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lower due to memory constraints</t>
        </r>
      </text>
    </comment>
    <comment ref="P4" authorId="0" shapeId="0" xr:uid="{F0C272BC-E076-CC4D-90D9-DC1015CEA6EF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&gt;35% y/y</t>
        </r>
      </text>
    </comment>
    <comment ref="P5" authorId="0" shapeId="0" xr:uid="{A3A46B52-D466-C043-9ABF-B3322C47FACD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low teens y/y</t>
        </r>
      </text>
    </comment>
    <comment ref="AC47" authorId="0" shapeId="0" xr:uid="{604B99E6-D958-7D46-A12B-3D113E1AA266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Macro environment, mpacted demand for smartphones</t>
        </r>
      </text>
    </comment>
  </commentList>
</comments>
</file>

<file path=xl/sharedStrings.xml><?xml version="1.0" encoding="utf-8"?>
<sst xmlns="http://schemas.openxmlformats.org/spreadsheetml/2006/main" count="124" uniqueCount="109">
  <si>
    <t>P</t>
  </si>
  <si>
    <t>S</t>
  </si>
  <si>
    <t>MC</t>
  </si>
  <si>
    <t>C</t>
  </si>
  <si>
    <t>D</t>
  </si>
  <si>
    <t>EV</t>
  </si>
  <si>
    <t>Q324</t>
  </si>
  <si>
    <t>Q325</t>
  </si>
  <si>
    <t xml:space="preserve">CEO </t>
  </si>
  <si>
    <t xml:space="preserve">CFO </t>
  </si>
  <si>
    <t>Q123</t>
  </si>
  <si>
    <t>Q223</t>
  </si>
  <si>
    <t>Q323</t>
  </si>
  <si>
    <t>Q423</t>
  </si>
  <si>
    <t>Q124</t>
  </si>
  <si>
    <t>Q224</t>
  </si>
  <si>
    <t>Q424</t>
  </si>
  <si>
    <t>Q125</t>
  </si>
  <si>
    <t>Q225</t>
  </si>
  <si>
    <t>Q425</t>
  </si>
  <si>
    <t>Equipment/Services</t>
  </si>
  <si>
    <t xml:space="preserve">Licensing </t>
  </si>
  <si>
    <t xml:space="preserve">Total Revenue </t>
  </si>
  <si>
    <t>Costs</t>
  </si>
  <si>
    <t>R&amp;D</t>
  </si>
  <si>
    <t>Sg&amp;a</t>
  </si>
  <si>
    <t>Other</t>
  </si>
  <si>
    <t>Operating Income</t>
  </si>
  <si>
    <t>Interest Expense</t>
  </si>
  <si>
    <t>Investment/other income</t>
  </si>
  <si>
    <t>EBT</t>
  </si>
  <si>
    <t>Taxes</t>
  </si>
  <si>
    <t>Net Income</t>
  </si>
  <si>
    <t>GM%</t>
  </si>
  <si>
    <t>System on Chip (Soc)</t>
  </si>
  <si>
    <t>cpu</t>
  </si>
  <si>
    <t>gpy</t>
  </si>
  <si>
    <t>modem</t>
  </si>
  <si>
    <t>dsp</t>
  </si>
  <si>
    <t>ai/ml cores</t>
  </si>
  <si>
    <t>image signalprocessor (isp)</t>
  </si>
  <si>
    <t>Modem - converting data into radiowaves that connect to towers</t>
  </si>
  <si>
    <t>OM%</t>
  </si>
  <si>
    <t>NPV</t>
  </si>
  <si>
    <t>Shares</t>
  </si>
  <si>
    <t>Estimate</t>
  </si>
  <si>
    <t>Curr</t>
  </si>
  <si>
    <t>Upside</t>
  </si>
  <si>
    <t>Term</t>
  </si>
  <si>
    <t>Discount</t>
  </si>
  <si>
    <t xml:space="preserve">Cash </t>
  </si>
  <si>
    <t>Restricted Cash</t>
  </si>
  <si>
    <t>Securities</t>
  </si>
  <si>
    <t>A/R</t>
  </si>
  <si>
    <t>Inventories</t>
  </si>
  <si>
    <t>OCA</t>
  </si>
  <si>
    <t>Deferred TA</t>
  </si>
  <si>
    <t>PPE</t>
  </si>
  <si>
    <t>Goodwill</t>
  </si>
  <si>
    <t>Other intangibles</t>
  </si>
  <si>
    <t>OA</t>
  </si>
  <si>
    <t xml:space="preserve">Total Assets </t>
  </si>
  <si>
    <t>Trade A/P</t>
  </si>
  <si>
    <t>Payroll</t>
  </si>
  <si>
    <t>Unearned Rev</t>
  </si>
  <si>
    <t>Short term debt</t>
  </si>
  <si>
    <t>OCL</t>
  </si>
  <si>
    <t>LTD</t>
  </si>
  <si>
    <t xml:space="preserve">Other Liabilities </t>
  </si>
  <si>
    <t xml:space="preserve">Total Liabilities </t>
  </si>
  <si>
    <t xml:space="preserve">Equity </t>
  </si>
  <si>
    <t>TL + E</t>
  </si>
  <si>
    <t xml:space="preserve">Net Cash </t>
  </si>
  <si>
    <t>ROIC</t>
  </si>
  <si>
    <t>1G</t>
  </si>
  <si>
    <t>2G</t>
  </si>
  <si>
    <t>3G</t>
  </si>
  <si>
    <t>4G</t>
  </si>
  <si>
    <t>5G</t>
  </si>
  <si>
    <t>6G</t>
  </si>
  <si>
    <t>1980s</t>
  </si>
  <si>
    <t>1990s</t>
  </si>
  <si>
    <t>2000s</t>
  </si>
  <si>
    <t>Q126</t>
  </si>
  <si>
    <t>Q226</t>
  </si>
  <si>
    <t>Q326</t>
  </si>
  <si>
    <t>Q426</t>
  </si>
  <si>
    <t>Press</t>
  </si>
  <si>
    <t>Contains</t>
  </si>
  <si>
    <t xml:space="preserve">Q126 results; mentions memory shortage (DRAM/NAND).  IF NOT ENOUGH DRAM/NAND then OEMS can't build phones </t>
  </si>
  <si>
    <t>$m</t>
  </si>
  <si>
    <t xml:space="preserve">Call Transcript </t>
  </si>
  <si>
    <t>Q1'26</t>
  </si>
  <si>
    <t xml:space="preserve">Hjandsets </t>
  </si>
  <si>
    <t xml:space="preserve">Automotive </t>
  </si>
  <si>
    <t xml:space="preserve">IoT </t>
  </si>
  <si>
    <t xml:space="preserve">Total QCT </t>
  </si>
  <si>
    <t>Total QTL</t>
  </si>
  <si>
    <t xml:space="preserve">Equipment &amp; Services </t>
  </si>
  <si>
    <t xml:space="preserve">Total QSI </t>
  </si>
  <si>
    <t>Reported</t>
  </si>
  <si>
    <t>CFFO</t>
  </si>
  <si>
    <t>Capex</t>
  </si>
  <si>
    <t>FCF</t>
  </si>
  <si>
    <t>4Q FCF</t>
  </si>
  <si>
    <t xml:space="preserve">4Q NI </t>
  </si>
  <si>
    <t>NI</t>
  </si>
  <si>
    <t>Cristiano Amon</t>
  </si>
  <si>
    <t>Akash Palkhiwala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</si>
</sst>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3" fontId="0" fillId="0" borderId="0" xfId="0" applyNumberFormat="1" applyAlignment="1">
      <alignment horizontal="left" indent="2"/>
    </xf>
    <xf numFmtId="3" fontId="0" fillId="0" borderId="1" xfId="0" applyNumberFormat="1" applyBorder="1"/>
    <xf numFmtId="9" fontId="3" fillId="0" borderId="0" xfId="0" applyNumberFormat="1" applyFont="1"/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4" fillId="0" borderId="0" xfId="0" applyNumberFormat="1" applyFont="1"/>
    <xf numFmtId="3" fontId="3" fillId="0" borderId="0" xfId="0" applyNumberFormat="1" applyFont="1"/>
    <xf numFmtId="14" fontId="0" fillId="0" borderId="0" xfId="0" applyNumberFormat="1"/>
    <xf numFmtId="3" fontId="5" fillId="0" borderId="0" xfId="1" applyNumberFormat="1"/>
    <xf numFmtId="14" fontId="5" fillId="0" borderId="0" xfId="1" applyNumberFormat="1"/>
    <xf numFmtId="3" fontId="6" fillId="0" borderId="0" xfId="0" applyNumberFormat="1" applyFont="1"/>
    <xf numFmtId="1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9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left" indent="1"/>
    </xf>
    <xf numFmtId="3" fontId="6" fillId="0" borderId="0" xfId="0" applyNumberFormat="1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12700</xdr:colOff>
      <xdr:row>0</xdr:row>
      <xdr:rowOff>6293</xdr:rowOff>
    </xdr:from>
    <xdr:to>
      <xdr:col>15</xdr:col>
      <xdr:colOff>25400</xdr:colOff>
      <xdr:row>88</xdr:row>
      <xdr:rowOff>44393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0FF6A44-65F6-C4F6-0E33-A37B9334591D}"/>
            </a:ext>
          </a:extLst>
        </xdr:cNvPr>
        <xdr:cNvCxnSpPr/>
      </xdr:nvCxnSpPr>
      <xdr:spPr>
        <a:xfrm>
          <a:off x="8067475" y="6293"/>
          <a:ext cx="12700" cy="130126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6481</xdr:colOff>
      <xdr:row>0</xdr:row>
      <xdr:rowOff>0</xdr:rowOff>
    </xdr:from>
    <xdr:to>
      <xdr:col>31</xdr:col>
      <xdr:colOff>19181</xdr:colOff>
      <xdr:row>88</xdr:row>
      <xdr:rowOff>38100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95AB0E0-75C6-8343-8929-181526201584}"/>
            </a:ext>
          </a:extLst>
        </xdr:cNvPr>
        <xdr:cNvCxnSpPr/>
      </xdr:nvCxnSpPr>
      <xdr:spPr>
        <a:xfrm>
          <a:off x="16562247" y="0"/>
          <a:ext cx="12700" cy="130126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204.q4cdn.com/645488518/files/doc_events/2026/Feb/04/Q1FY26-Earnings-Call-Transcript_2-5-26_Final.pdf" TargetMode="External"/><Relationship Id="rId1" Type="http://schemas.openxmlformats.org/officeDocument/2006/relationships/hyperlink" Target="https://www.qualcomm.com/news/releases/2026/02/qualcomm-announces-first-quarter-fiscal-2026-resul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8636-F500-E84E-81AF-B2140006E730}">
  <dimension ref="B3:L23"/>
  <sheetViews>
    <sheetView tabSelected="1" zoomScale="171" workbookViewId="0">
      <selection activeCell="F7" sqref="F7"/>
    </sheetView>
  </sheetViews>
  <sheetFormatPr baseColWidth="10" defaultRowHeight="16" x14ac:dyDescent="0.2"/>
  <cols>
    <col min="1" max="1" width="1.6640625" style="1" customWidth="1"/>
    <col min="2" max="2" width="5.1640625" style="1" bestFit="1" customWidth="1"/>
    <col min="3" max="3" width="24.33203125" style="1" bestFit="1" customWidth="1"/>
    <col min="4" max="4" width="6.1640625" style="1" bestFit="1" customWidth="1"/>
    <col min="5" max="7" width="10.83203125" style="1"/>
    <col min="8" max="8" width="10.83203125" style="13"/>
    <col min="9" max="9" width="10.83203125" style="1"/>
    <col min="10" max="10" width="4" style="1" bestFit="1" customWidth="1"/>
    <col min="11" max="11" width="7.6640625" style="1" bestFit="1" customWidth="1"/>
    <col min="12" max="12" width="5.5" style="1" bestFit="1" customWidth="1"/>
    <col min="13" max="16384" width="10.83203125" style="1"/>
  </cols>
  <sheetData>
    <row r="3" spans="2:12" x14ac:dyDescent="0.2">
      <c r="B3" s="1" t="s">
        <v>8</v>
      </c>
      <c r="C3" s="1" t="s">
        <v>107</v>
      </c>
      <c r="J3" s="1" t="s">
        <v>0</v>
      </c>
      <c r="K3" s="1">
        <v>137.34</v>
      </c>
    </row>
    <row r="4" spans="2:12" x14ac:dyDescent="0.2">
      <c r="B4" s="1" t="s">
        <v>9</v>
      </c>
      <c r="C4" s="1" t="s">
        <v>108</v>
      </c>
      <c r="J4" s="1" t="s">
        <v>1</v>
      </c>
      <c r="K4" s="1">
        <v>1067</v>
      </c>
      <c r="L4" s="1" t="s">
        <v>83</v>
      </c>
    </row>
    <row r="5" spans="2:12" x14ac:dyDescent="0.2">
      <c r="J5" s="1" t="s">
        <v>2</v>
      </c>
      <c r="K5" s="1">
        <f>+K3*K4</f>
        <v>146541.78</v>
      </c>
    </row>
    <row r="6" spans="2:12" x14ac:dyDescent="0.2">
      <c r="C6" s="11" t="s">
        <v>34</v>
      </c>
      <c r="J6" s="1" t="s">
        <v>3</v>
      </c>
      <c r="K6" s="1">
        <f>7205+4617</f>
        <v>11822</v>
      </c>
      <c r="L6" s="1" t="str">
        <f>+L4</f>
        <v>Q126</v>
      </c>
    </row>
    <row r="7" spans="2:12" x14ac:dyDescent="0.2">
      <c r="C7" s="5" t="s">
        <v>35</v>
      </c>
      <c r="J7" s="1" t="s">
        <v>4</v>
      </c>
      <c r="K7" s="1">
        <v>14817</v>
      </c>
      <c r="L7" s="1" t="str">
        <f>+L6</f>
        <v>Q126</v>
      </c>
    </row>
    <row r="8" spans="2:12" x14ac:dyDescent="0.2">
      <c r="C8" s="5" t="s">
        <v>36</v>
      </c>
      <c r="J8" s="1" t="s">
        <v>5</v>
      </c>
      <c r="K8" s="1">
        <f>+K5-K6+K7</f>
        <v>149536.78</v>
      </c>
    </row>
    <row r="9" spans="2:12" x14ac:dyDescent="0.2">
      <c r="C9" s="5" t="s">
        <v>37</v>
      </c>
    </row>
    <row r="10" spans="2:12" x14ac:dyDescent="0.2">
      <c r="C10" s="5" t="s">
        <v>38</v>
      </c>
    </row>
    <row r="11" spans="2:12" x14ac:dyDescent="0.2">
      <c r="C11" s="5" t="s">
        <v>39</v>
      </c>
    </row>
    <row r="12" spans="2:12" x14ac:dyDescent="0.2">
      <c r="C12" s="5" t="s">
        <v>40</v>
      </c>
      <c r="G12" s="1" t="s">
        <v>91</v>
      </c>
      <c r="H12" s="13" t="s">
        <v>87</v>
      </c>
      <c r="I12" s="1" t="s">
        <v>88</v>
      </c>
    </row>
    <row r="13" spans="2:12" x14ac:dyDescent="0.2">
      <c r="G13" s="14" t="s">
        <v>92</v>
      </c>
      <c r="H13" s="15">
        <v>46057</v>
      </c>
      <c r="I13" s="1" t="s">
        <v>89</v>
      </c>
    </row>
    <row r="14" spans="2:12" x14ac:dyDescent="0.2">
      <c r="G14" s="14"/>
    </row>
    <row r="15" spans="2:12" x14ac:dyDescent="0.2">
      <c r="C15" s="12" t="s">
        <v>41</v>
      </c>
    </row>
    <row r="18" spans="3:4" x14ac:dyDescent="0.2">
      <c r="C18" s="10" t="s">
        <v>74</v>
      </c>
      <c r="D18" s="8" t="s">
        <v>80</v>
      </c>
    </row>
    <row r="19" spans="3:4" x14ac:dyDescent="0.2">
      <c r="C19" s="10" t="s">
        <v>75</v>
      </c>
      <c r="D19" s="8" t="s">
        <v>81</v>
      </c>
    </row>
    <row r="20" spans="3:4" x14ac:dyDescent="0.2">
      <c r="C20" s="10" t="s">
        <v>76</v>
      </c>
      <c r="D20" s="8" t="s">
        <v>82</v>
      </c>
    </row>
    <row r="21" spans="3:4" x14ac:dyDescent="0.2">
      <c r="C21" s="10" t="s">
        <v>77</v>
      </c>
      <c r="D21" s="9">
        <v>2010</v>
      </c>
    </row>
    <row r="22" spans="3:4" x14ac:dyDescent="0.2">
      <c r="C22" s="10" t="s">
        <v>78</v>
      </c>
      <c r="D22" s="9">
        <v>2020</v>
      </c>
    </row>
    <row r="23" spans="3:4" x14ac:dyDescent="0.2">
      <c r="C23" s="10" t="s">
        <v>79</v>
      </c>
      <c r="D23" s="9">
        <v>2030</v>
      </c>
    </row>
  </sheetData>
  <hyperlinks>
    <hyperlink ref="H13" r:id="rId1" display="https://www.qualcomm.com/news/releases/2026/02/qualcomm-announces-first-quarter-fiscal-2026-results" xr:uid="{63A76FF8-8378-724C-9356-E1E723053F48}"/>
    <hyperlink ref="G13" r:id="rId2" xr:uid="{FF417DF6-1093-3A49-BDA9-3152204DC5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3CA2-0C16-D24F-BC55-74E1F5B20515}">
  <dimension ref="B1:IG83"/>
  <sheetViews>
    <sheetView zoomScale="111" workbookViewId="0">
      <pane xSplit="2" ySplit="2" topLeftCell="F24" activePane="bottomRight" state="frozen"/>
      <selection pane="topRight" activeCell="C1" sqref="C1"/>
      <selection pane="bottomLeft" activeCell="A2" sqref="A2"/>
      <selection pane="bottomRight" activeCell="N26" sqref="N26"/>
    </sheetView>
  </sheetViews>
  <sheetFormatPr baseColWidth="10" defaultRowHeight="16" x14ac:dyDescent="0.2"/>
  <cols>
    <col min="1" max="1" width="1.5" style="1" customWidth="1"/>
    <col min="2" max="2" width="21.83203125" style="1" bestFit="1" customWidth="1"/>
    <col min="3" max="7" width="5.6640625" style="10" bestFit="1" customWidth="1"/>
    <col min="8" max="9" width="7.5" style="10" bestFit="1" customWidth="1"/>
    <col min="10" max="11" width="6.83203125" style="10" bestFit="1" customWidth="1"/>
    <col min="12" max="14" width="7.5" style="10" bestFit="1" customWidth="1"/>
    <col min="15" max="15" width="8.5" style="10" bestFit="1" customWidth="1"/>
    <col min="16" max="16" width="7.33203125" style="10" bestFit="1" customWidth="1"/>
    <col min="17" max="18" width="6.6640625" style="1" customWidth="1"/>
    <col min="19" max="19" width="10.83203125" style="1"/>
    <col min="20" max="20" width="4.6640625" style="1" customWidth="1"/>
    <col min="21" max="27" width="6.6640625" style="1" bestFit="1" customWidth="1"/>
    <col min="28" max="31" width="7.5" style="1" bestFit="1" customWidth="1"/>
    <col min="32" max="35" width="6.83203125" style="1" bestFit="1" customWidth="1"/>
    <col min="36" max="41" width="7.33203125" style="1" bestFit="1" customWidth="1"/>
    <col min="42" max="42" width="6.6640625" style="1" bestFit="1" customWidth="1"/>
    <col min="43" max="43" width="8.1640625" style="1" bestFit="1" customWidth="1"/>
    <col min="44" max="44" width="9.33203125" style="1" bestFit="1" customWidth="1"/>
    <col min="45" max="57" width="6.6640625" style="1" bestFit="1" customWidth="1"/>
    <col min="58" max="87" width="7.83203125" style="1" bestFit="1" customWidth="1"/>
    <col min="88" max="116" width="9.33203125" style="1" bestFit="1" customWidth="1"/>
    <col min="117" max="146" width="10.33203125" style="1" bestFit="1" customWidth="1"/>
    <col min="147" max="176" width="11.5" style="1" bestFit="1" customWidth="1"/>
    <col min="177" max="206" width="13" style="1" bestFit="1" customWidth="1"/>
    <col min="207" max="236" width="14" style="1" bestFit="1" customWidth="1"/>
    <col min="237" max="241" width="15.1640625" style="1" bestFit="1" customWidth="1"/>
    <col min="242" max="16384" width="10.83203125" style="1"/>
  </cols>
  <sheetData>
    <row r="1" spans="2:241" s="13" customFormat="1" x14ac:dyDescent="0.2">
      <c r="C1" s="17"/>
      <c r="D1" s="17"/>
      <c r="E1" s="17"/>
      <c r="F1" s="17"/>
      <c r="G1" s="17"/>
      <c r="H1" s="17">
        <v>45375</v>
      </c>
      <c r="I1" s="17">
        <v>45466</v>
      </c>
      <c r="J1" s="17"/>
      <c r="K1" s="17"/>
      <c r="L1" s="17">
        <v>45746</v>
      </c>
      <c r="M1" s="17">
        <v>45837</v>
      </c>
      <c r="N1" s="17">
        <v>45928</v>
      </c>
      <c r="O1" s="17">
        <v>46019</v>
      </c>
      <c r="P1" s="17"/>
      <c r="AC1" s="13">
        <v>45193</v>
      </c>
      <c r="AD1" s="13">
        <v>45564</v>
      </c>
      <c r="AE1" s="13">
        <v>45928</v>
      </c>
    </row>
    <row r="2" spans="2:241" s="3" customFormat="1" x14ac:dyDescent="0.2">
      <c r="B2" s="3" t="s">
        <v>90</v>
      </c>
      <c r="C2" s="18" t="s">
        <v>10</v>
      </c>
      <c r="D2" s="18" t="s">
        <v>11</v>
      </c>
      <c r="E2" s="18" t="s">
        <v>12</v>
      </c>
      <c r="F2" s="18" t="s">
        <v>13</v>
      </c>
      <c r="G2" s="18" t="s">
        <v>14</v>
      </c>
      <c r="H2" s="18" t="s">
        <v>15</v>
      </c>
      <c r="I2" s="18" t="s">
        <v>6</v>
      </c>
      <c r="J2" s="18" t="s">
        <v>16</v>
      </c>
      <c r="K2" s="18" t="s">
        <v>17</v>
      </c>
      <c r="L2" s="18" t="s">
        <v>18</v>
      </c>
      <c r="M2" s="18" t="s">
        <v>7</v>
      </c>
      <c r="N2" s="18" t="s">
        <v>19</v>
      </c>
      <c r="O2" s="18" t="s">
        <v>83</v>
      </c>
      <c r="P2" s="18" t="s">
        <v>84</v>
      </c>
      <c r="Q2" s="3" t="s">
        <v>85</v>
      </c>
      <c r="R2" s="3" t="s">
        <v>86</v>
      </c>
      <c r="U2" s="3">
        <v>2015</v>
      </c>
      <c r="V2" s="3">
        <f>+U2+1</f>
        <v>2016</v>
      </c>
      <c r="W2" s="3">
        <f t="shared" ref="W2:AO2" si="0">+V2+1</f>
        <v>2017</v>
      </c>
      <c r="X2" s="3">
        <f t="shared" si="0"/>
        <v>2018</v>
      </c>
      <c r="Y2" s="3">
        <f t="shared" si="0"/>
        <v>2019</v>
      </c>
      <c r="Z2" s="3">
        <f t="shared" si="0"/>
        <v>2020</v>
      </c>
      <c r="AA2" s="3">
        <f t="shared" si="0"/>
        <v>2021</v>
      </c>
      <c r="AB2" s="3">
        <f t="shared" si="0"/>
        <v>2022</v>
      </c>
      <c r="AC2" s="3">
        <f t="shared" si="0"/>
        <v>2023</v>
      </c>
      <c r="AD2" s="3">
        <f t="shared" si="0"/>
        <v>2024</v>
      </c>
      <c r="AE2" s="3">
        <f t="shared" si="0"/>
        <v>2025</v>
      </c>
      <c r="AF2" s="3">
        <f t="shared" si="0"/>
        <v>2026</v>
      </c>
      <c r="AG2" s="3">
        <f t="shared" si="0"/>
        <v>2027</v>
      </c>
      <c r="AH2" s="3">
        <f t="shared" si="0"/>
        <v>2028</v>
      </c>
      <c r="AI2" s="3">
        <f t="shared" si="0"/>
        <v>2029</v>
      </c>
      <c r="AJ2" s="3">
        <f t="shared" si="0"/>
        <v>2030</v>
      </c>
      <c r="AK2" s="3">
        <f t="shared" si="0"/>
        <v>2031</v>
      </c>
      <c r="AL2" s="3">
        <f t="shared" si="0"/>
        <v>2032</v>
      </c>
      <c r="AM2" s="3">
        <f t="shared" si="0"/>
        <v>2033</v>
      </c>
      <c r="AN2" s="3">
        <f t="shared" si="0"/>
        <v>2034</v>
      </c>
      <c r="AO2" s="3">
        <f t="shared" si="0"/>
        <v>2035</v>
      </c>
      <c r="AP2" s="3">
        <f t="shared" ref="AP2:DA2" si="1">+AO2+1</f>
        <v>2036</v>
      </c>
      <c r="AQ2" s="3">
        <f t="shared" si="1"/>
        <v>2037</v>
      </c>
      <c r="AR2" s="3">
        <f t="shared" si="1"/>
        <v>2038</v>
      </c>
      <c r="AS2" s="3">
        <f t="shared" si="1"/>
        <v>2039</v>
      </c>
      <c r="AT2" s="3">
        <f t="shared" si="1"/>
        <v>2040</v>
      </c>
      <c r="AU2" s="3">
        <f t="shared" si="1"/>
        <v>2041</v>
      </c>
      <c r="AV2" s="3">
        <f t="shared" si="1"/>
        <v>2042</v>
      </c>
      <c r="AW2" s="3">
        <f t="shared" si="1"/>
        <v>2043</v>
      </c>
      <c r="AX2" s="3">
        <f t="shared" si="1"/>
        <v>2044</v>
      </c>
      <c r="AY2" s="3">
        <f t="shared" si="1"/>
        <v>2045</v>
      </c>
      <c r="AZ2" s="3">
        <f t="shared" si="1"/>
        <v>2046</v>
      </c>
      <c r="BA2" s="3">
        <f t="shared" si="1"/>
        <v>2047</v>
      </c>
      <c r="BB2" s="3">
        <f t="shared" si="1"/>
        <v>2048</v>
      </c>
      <c r="BC2" s="3">
        <f t="shared" si="1"/>
        <v>2049</v>
      </c>
      <c r="BD2" s="3">
        <f t="shared" si="1"/>
        <v>2050</v>
      </c>
      <c r="BE2" s="3">
        <f t="shared" si="1"/>
        <v>2051</v>
      </c>
      <c r="BF2" s="3">
        <f t="shared" si="1"/>
        <v>2052</v>
      </c>
      <c r="BG2" s="3">
        <f t="shared" si="1"/>
        <v>2053</v>
      </c>
      <c r="BH2" s="3">
        <f t="shared" si="1"/>
        <v>2054</v>
      </c>
      <c r="BI2" s="3">
        <f t="shared" si="1"/>
        <v>2055</v>
      </c>
      <c r="BJ2" s="3">
        <f t="shared" si="1"/>
        <v>2056</v>
      </c>
      <c r="BK2" s="3">
        <f t="shared" si="1"/>
        <v>2057</v>
      </c>
      <c r="BL2" s="3">
        <f t="shared" si="1"/>
        <v>2058</v>
      </c>
      <c r="BM2" s="3">
        <f t="shared" si="1"/>
        <v>2059</v>
      </c>
      <c r="BN2" s="3">
        <f t="shared" si="1"/>
        <v>2060</v>
      </c>
      <c r="BO2" s="3">
        <f t="shared" si="1"/>
        <v>2061</v>
      </c>
      <c r="BP2" s="3">
        <f t="shared" si="1"/>
        <v>2062</v>
      </c>
      <c r="BQ2" s="3">
        <f t="shared" si="1"/>
        <v>2063</v>
      </c>
      <c r="BR2" s="3">
        <f t="shared" si="1"/>
        <v>2064</v>
      </c>
      <c r="BS2" s="3">
        <f t="shared" si="1"/>
        <v>2065</v>
      </c>
      <c r="BT2" s="3">
        <f t="shared" si="1"/>
        <v>2066</v>
      </c>
      <c r="BU2" s="3">
        <f t="shared" si="1"/>
        <v>2067</v>
      </c>
      <c r="BV2" s="3">
        <f t="shared" si="1"/>
        <v>2068</v>
      </c>
      <c r="BW2" s="3">
        <f t="shared" si="1"/>
        <v>2069</v>
      </c>
      <c r="BX2" s="3">
        <f t="shared" si="1"/>
        <v>2070</v>
      </c>
      <c r="BY2" s="3">
        <f t="shared" si="1"/>
        <v>2071</v>
      </c>
      <c r="BZ2" s="3">
        <f t="shared" si="1"/>
        <v>2072</v>
      </c>
      <c r="CA2" s="3">
        <f t="shared" si="1"/>
        <v>2073</v>
      </c>
      <c r="CB2" s="3">
        <f t="shared" si="1"/>
        <v>2074</v>
      </c>
      <c r="CC2" s="3">
        <f t="shared" si="1"/>
        <v>2075</v>
      </c>
      <c r="CD2" s="3">
        <f t="shared" si="1"/>
        <v>2076</v>
      </c>
      <c r="CE2" s="3">
        <f t="shared" si="1"/>
        <v>2077</v>
      </c>
      <c r="CF2" s="3">
        <f t="shared" si="1"/>
        <v>2078</v>
      </c>
      <c r="CG2" s="3">
        <f t="shared" si="1"/>
        <v>2079</v>
      </c>
      <c r="CH2" s="3">
        <f t="shared" si="1"/>
        <v>2080</v>
      </c>
      <c r="CI2" s="3">
        <f t="shared" si="1"/>
        <v>2081</v>
      </c>
      <c r="CJ2" s="3">
        <f t="shared" si="1"/>
        <v>2082</v>
      </c>
      <c r="CK2" s="3">
        <f t="shared" si="1"/>
        <v>2083</v>
      </c>
      <c r="CL2" s="3">
        <f t="shared" si="1"/>
        <v>2084</v>
      </c>
      <c r="CM2" s="3">
        <f t="shared" si="1"/>
        <v>2085</v>
      </c>
      <c r="CN2" s="3">
        <f t="shared" si="1"/>
        <v>2086</v>
      </c>
      <c r="CO2" s="3">
        <f t="shared" si="1"/>
        <v>2087</v>
      </c>
      <c r="CP2" s="3">
        <f t="shared" si="1"/>
        <v>2088</v>
      </c>
      <c r="CQ2" s="3">
        <f t="shared" si="1"/>
        <v>2089</v>
      </c>
      <c r="CR2" s="3">
        <f t="shared" si="1"/>
        <v>2090</v>
      </c>
      <c r="CS2" s="3">
        <f t="shared" si="1"/>
        <v>2091</v>
      </c>
      <c r="CT2" s="3">
        <f t="shared" si="1"/>
        <v>2092</v>
      </c>
      <c r="CU2" s="3">
        <f t="shared" si="1"/>
        <v>2093</v>
      </c>
      <c r="CV2" s="3">
        <f t="shared" si="1"/>
        <v>2094</v>
      </c>
      <c r="CW2" s="3">
        <f t="shared" si="1"/>
        <v>2095</v>
      </c>
      <c r="CX2" s="3">
        <f t="shared" si="1"/>
        <v>2096</v>
      </c>
      <c r="CY2" s="3">
        <f t="shared" si="1"/>
        <v>2097</v>
      </c>
      <c r="CZ2" s="3">
        <f t="shared" si="1"/>
        <v>2098</v>
      </c>
      <c r="DA2" s="3">
        <f t="shared" si="1"/>
        <v>2099</v>
      </c>
      <c r="DB2" s="3">
        <f t="shared" ref="DB2:FM2" si="2">+DA2+1</f>
        <v>2100</v>
      </c>
      <c r="DC2" s="3">
        <f t="shared" si="2"/>
        <v>2101</v>
      </c>
      <c r="DD2" s="3">
        <f t="shared" si="2"/>
        <v>2102</v>
      </c>
      <c r="DE2" s="3">
        <f t="shared" si="2"/>
        <v>2103</v>
      </c>
      <c r="DF2" s="3">
        <f t="shared" si="2"/>
        <v>2104</v>
      </c>
      <c r="DG2" s="3">
        <f t="shared" si="2"/>
        <v>2105</v>
      </c>
      <c r="DH2" s="3">
        <f t="shared" si="2"/>
        <v>2106</v>
      </c>
      <c r="DI2" s="3">
        <f t="shared" si="2"/>
        <v>2107</v>
      </c>
      <c r="DJ2" s="3">
        <f t="shared" si="2"/>
        <v>2108</v>
      </c>
      <c r="DK2" s="3">
        <f t="shared" si="2"/>
        <v>2109</v>
      </c>
      <c r="DL2" s="3">
        <f t="shared" si="2"/>
        <v>2110</v>
      </c>
      <c r="DM2" s="3">
        <f t="shared" si="2"/>
        <v>2111</v>
      </c>
      <c r="DN2" s="3">
        <f t="shared" si="2"/>
        <v>2112</v>
      </c>
      <c r="DO2" s="3">
        <f t="shared" si="2"/>
        <v>2113</v>
      </c>
      <c r="DP2" s="3">
        <f t="shared" si="2"/>
        <v>2114</v>
      </c>
      <c r="DQ2" s="3">
        <f t="shared" si="2"/>
        <v>2115</v>
      </c>
      <c r="DR2" s="3">
        <f t="shared" si="2"/>
        <v>2116</v>
      </c>
      <c r="DS2" s="3">
        <f t="shared" si="2"/>
        <v>2117</v>
      </c>
      <c r="DT2" s="3">
        <f t="shared" si="2"/>
        <v>2118</v>
      </c>
      <c r="DU2" s="3">
        <f t="shared" si="2"/>
        <v>2119</v>
      </c>
      <c r="DV2" s="3">
        <f t="shared" si="2"/>
        <v>2120</v>
      </c>
      <c r="DW2" s="3">
        <f t="shared" si="2"/>
        <v>2121</v>
      </c>
      <c r="DX2" s="3">
        <f t="shared" si="2"/>
        <v>2122</v>
      </c>
      <c r="DY2" s="3">
        <f t="shared" si="2"/>
        <v>2123</v>
      </c>
      <c r="DZ2" s="3">
        <f t="shared" si="2"/>
        <v>2124</v>
      </c>
      <c r="EA2" s="3">
        <f t="shared" si="2"/>
        <v>2125</v>
      </c>
      <c r="EB2" s="3">
        <f t="shared" si="2"/>
        <v>2126</v>
      </c>
      <c r="EC2" s="3">
        <f t="shared" si="2"/>
        <v>2127</v>
      </c>
      <c r="ED2" s="3">
        <f t="shared" si="2"/>
        <v>2128</v>
      </c>
      <c r="EE2" s="3">
        <f t="shared" si="2"/>
        <v>2129</v>
      </c>
      <c r="EF2" s="3">
        <f t="shared" si="2"/>
        <v>2130</v>
      </c>
      <c r="EG2" s="3">
        <f t="shared" si="2"/>
        <v>2131</v>
      </c>
      <c r="EH2" s="3">
        <f t="shared" si="2"/>
        <v>2132</v>
      </c>
      <c r="EI2" s="3">
        <f t="shared" si="2"/>
        <v>2133</v>
      </c>
      <c r="EJ2" s="3">
        <f t="shared" si="2"/>
        <v>2134</v>
      </c>
      <c r="EK2" s="3">
        <f t="shared" si="2"/>
        <v>2135</v>
      </c>
      <c r="EL2" s="3">
        <f t="shared" si="2"/>
        <v>2136</v>
      </c>
      <c r="EM2" s="3">
        <f t="shared" si="2"/>
        <v>2137</v>
      </c>
      <c r="EN2" s="3">
        <f t="shared" si="2"/>
        <v>2138</v>
      </c>
      <c r="EO2" s="3">
        <f t="shared" si="2"/>
        <v>2139</v>
      </c>
      <c r="EP2" s="3">
        <f t="shared" si="2"/>
        <v>2140</v>
      </c>
      <c r="EQ2" s="3">
        <f t="shared" si="2"/>
        <v>2141</v>
      </c>
      <c r="ER2" s="3">
        <f t="shared" si="2"/>
        <v>2142</v>
      </c>
      <c r="ES2" s="3">
        <f t="shared" si="2"/>
        <v>2143</v>
      </c>
      <c r="ET2" s="3">
        <f t="shared" si="2"/>
        <v>2144</v>
      </c>
      <c r="EU2" s="3">
        <f t="shared" si="2"/>
        <v>2145</v>
      </c>
      <c r="EV2" s="3">
        <f t="shared" si="2"/>
        <v>2146</v>
      </c>
      <c r="EW2" s="3">
        <f t="shared" si="2"/>
        <v>2147</v>
      </c>
      <c r="EX2" s="3">
        <f t="shared" si="2"/>
        <v>2148</v>
      </c>
      <c r="EY2" s="3">
        <f t="shared" si="2"/>
        <v>2149</v>
      </c>
      <c r="EZ2" s="3">
        <f t="shared" si="2"/>
        <v>2150</v>
      </c>
      <c r="FA2" s="3">
        <f t="shared" si="2"/>
        <v>2151</v>
      </c>
      <c r="FB2" s="3">
        <f t="shared" si="2"/>
        <v>2152</v>
      </c>
      <c r="FC2" s="3">
        <f t="shared" si="2"/>
        <v>2153</v>
      </c>
      <c r="FD2" s="3">
        <f t="shared" si="2"/>
        <v>2154</v>
      </c>
      <c r="FE2" s="3">
        <f t="shared" si="2"/>
        <v>2155</v>
      </c>
      <c r="FF2" s="3">
        <f t="shared" si="2"/>
        <v>2156</v>
      </c>
      <c r="FG2" s="3">
        <f t="shared" si="2"/>
        <v>2157</v>
      </c>
      <c r="FH2" s="3">
        <f t="shared" si="2"/>
        <v>2158</v>
      </c>
      <c r="FI2" s="3">
        <f t="shared" si="2"/>
        <v>2159</v>
      </c>
      <c r="FJ2" s="3">
        <f t="shared" si="2"/>
        <v>2160</v>
      </c>
      <c r="FK2" s="3">
        <f t="shared" si="2"/>
        <v>2161</v>
      </c>
      <c r="FL2" s="3">
        <f t="shared" si="2"/>
        <v>2162</v>
      </c>
      <c r="FM2" s="3">
        <f t="shared" si="2"/>
        <v>2163</v>
      </c>
      <c r="FN2" s="3">
        <f t="shared" ref="FN2:HP2" si="3">+FM2+1</f>
        <v>2164</v>
      </c>
      <c r="FO2" s="3">
        <f t="shared" si="3"/>
        <v>2165</v>
      </c>
      <c r="FP2" s="3">
        <f t="shared" si="3"/>
        <v>2166</v>
      </c>
      <c r="FQ2" s="3">
        <f t="shared" si="3"/>
        <v>2167</v>
      </c>
      <c r="FR2" s="3">
        <f t="shared" si="3"/>
        <v>2168</v>
      </c>
      <c r="FS2" s="3">
        <f t="shared" si="3"/>
        <v>2169</v>
      </c>
      <c r="FT2" s="3">
        <f t="shared" si="3"/>
        <v>2170</v>
      </c>
      <c r="FU2" s="3">
        <f t="shared" si="3"/>
        <v>2171</v>
      </c>
      <c r="FV2" s="3">
        <f t="shared" si="3"/>
        <v>2172</v>
      </c>
      <c r="FW2" s="3">
        <f t="shared" si="3"/>
        <v>2173</v>
      </c>
      <c r="FX2" s="3">
        <f t="shared" si="3"/>
        <v>2174</v>
      </c>
      <c r="FY2" s="3">
        <f t="shared" si="3"/>
        <v>2175</v>
      </c>
      <c r="FZ2" s="3">
        <f t="shared" si="3"/>
        <v>2176</v>
      </c>
      <c r="GA2" s="3">
        <f t="shared" si="3"/>
        <v>2177</v>
      </c>
      <c r="GB2" s="3">
        <f t="shared" si="3"/>
        <v>2178</v>
      </c>
      <c r="GC2" s="3">
        <f t="shared" si="3"/>
        <v>2179</v>
      </c>
      <c r="GD2" s="3">
        <f t="shared" si="3"/>
        <v>2180</v>
      </c>
      <c r="GE2" s="3">
        <f t="shared" si="3"/>
        <v>2181</v>
      </c>
      <c r="GF2" s="3">
        <f t="shared" si="3"/>
        <v>2182</v>
      </c>
      <c r="GG2" s="3">
        <f t="shared" si="3"/>
        <v>2183</v>
      </c>
      <c r="GH2" s="3">
        <f t="shared" si="3"/>
        <v>2184</v>
      </c>
      <c r="GI2" s="3">
        <f t="shared" si="3"/>
        <v>2185</v>
      </c>
      <c r="GJ2" s="3">
        <f t="shared" si="3"/>
        <v>2186</v>
      </c>
      <c r="GK2" s="3">
        <f t="shared" si="3"/>
        <v>2187</v>
      </c>
      <c r="GL2" s="3">
        <f t="shared" si="3"/>
        <v>2188</v>
      </c>
      <c r="GM2" s="3">
        <f t="shared" si="3"/>
        <v>2189</v>
      </c>
      <c r="GN2" s="3">
        <f t="shared" si="3"/>
        <v>2190</v>
      </c>
      <c r="GO2" s="3">
        <f t="shared" si="3"/>
        <v>2191</v>
      </c>
      <c r="GP2" s="3">
        <f t="shared" si="3"/>
        <v>2192</v>
      </c>
      <c r="GQ2" s="3">
        <f t="shared" si="3"/>
        <v>2193</v>
      </c>
      <c r="GR2" s="3">
        <f t="shared" si="3"/>
        <v>2194</v>
      </c>
      <c r="GS2" s="3">
        <f t="shared" si="3"/>
        <v>2195</v>
      </c>
      <c r="GT2" s="3">
        <f t="shared" si="3"/>
        <v>2196</v>
      </c>
      <c r="GU2" s="3">
        <f t="shared" si="3"/>
        <v>2197</v>
      </c>
      <c r="GV2" s="3">
        <f t="shared" si="3"/>
        <v>2198</v>
      </c>
      <c r="GW2" s="3">
        <f t="shared" si="3"/>
        <v>2199</v>
      </c>
      <c r="GX2" s="3">
        <f t="shared" si="3"/>
        <v>2200</v>
      </c>
      <c r="GY2" s="3">
        <f t="shared" si="3"/>
        <v>2201</v>
      </c>
      <c r="GZ2" s="3">
        <f t="shared" si="3"/>
        <v>2202</v>
      </c>
      <c r="HA2" s="3">
        <f t="shared" si="3"/>
        <v>2203</v>
      </c>
      <c r="HB2" s="3">
        <f t="shared" si="3"/>
        <v>2204</v>
      </c>
      <c r="HC2" s="3">
        <f t="shared" si="3"/>
        <v>2205</v>
      </c>
      <c r="HD2" s="3">
        <f t="shared" si="3"/>
        <v>2206</v>
      </c>
      <c r="HE2" s="3">
        <f t="shared" si="3"/>
        <v>2207</v>
      </c>
      <c r="HF2" s="3">
        <f t="shared" si="3"/>
        <v>2208</v>
      </c>
      <c r="HG2" s="3">
        <f t="shared" si="3"/>
        <v>2209</v>
      </c>
      <c r="HH2" s="3">
        <f t="shared" si="3"/>
        <v>2210</v>
      </c>
      <c r="HI2" s="3">
        <f t="shared" si="3"/>
        <v>2211</v>
      </c>
      <c r="HJ2" s="3">
        <f t="shared" si="3"/>
        <v>2212</v>
      </c>
      <c r="HK2" s="3">
        <f t="shared" si="3"/>
        <v>2213</v>
      </c>
      <c r="HL2" s="3">
        <f t="shared" si="3"/>
        <v>2214</v>
      </c>
      <c r="HM2" s="3">
        <f t="shared" si="3"/>
        <v>2215</v>
      </c>
      <c r="HN2" s="3">
        <f t="shared" si="3"/>
        <v>2216</v>
      </c>
      <c r="HO2" s="3">
        <f t="shared" si="3"/>
        <v>2217</v>
      </c>
      <c r="HP2" s="3">
        <f t="shared" si="3"/>
        <v>2218</v>
      </c>
      <c r="HQ2" s="3">
        <f t="shared" ref="HQ2:IF2" si="4">+HP2+1</f>
        <v>2219</v>
      </c>
      <c r="HR2" s="3">
        <f t="shared" si="4"/>
        <v>2220</v>
      </c>
      <c r="HS2" s="3">
        <f t="shared" si="4"/>
        <v>2221</v>
      </c>
      <c r="HT2" s="3">
        <f t="shared" si="4"/>
        <v>2222</v>
      </c>
      <c r="HU2" s="3">
        <f t="shared" si="4"/>
        <v>2223</v>
      </c>
      <c r="HV2" s="3">
        <f t="shared" si="4"/>
        <v>2224</v>
      </c>
      <c r="HW2" s="3">
        <f t="shared" si="4"/>
        <v>2225</v>
      </c>
      <c r="HX2" s="3">
        <f t="shared" si="4"/>
        <v>2226</v>
      </c>
      <c r="HY2" s="3">
        <f t="shared" si="4"/>
        <v>2227</v>
      </c>
      <c r="HZ2" s="3">
        <f t="shared" si="4"/>
        <v>2228</v>
      </c>
      <c r="IA2" s="3">
        <f t="shared" si="4"/>
        <v>2229</v>
      </c>
      <c r="IB2" s="3">
        <f t="shared" si="4"/>
        <v>2230</v>
      </c>
      <c r="IC2" s="3">
        <f t="shared" si="4"/>
        <v>2231</v>
      </c>
      <c r="ID2" s="3">
        <f t="shared" si="4"/>
        <v>2232</v>
      </c>
      <c r="IE2" s="3">
        <f t="shared" si="4"/>
        <v>2233</v>
      </c>
      <c r="IF2" s="3">
        <f t="shared" si="4"/>
        <v>2234</v>
      </c>
      <c r="IG2" s="3">
        <f t="shared" ref="IG2" si="5">+IF2+1</f>
        <v>2235</v>
      </c>
    </row>
    <row r="3" spans="2:241" x14ac:dyDescent="0.2">
      <c r="B3" s="24" t="s">
        <v>93</v>
      </c>
      <c r="G3" s="10">
        <v>6687</v>
      </c>
      <c r="H3" s="10">
        <v>6180</v>
      </c>
      <c r="I3" s="10">
        <v>5899</v>
      </c>
      <c r="J3" s="10">
        <f>+AD3-SUM(G3:I3)</f>
        <v>6097</v>
      </c>
      <c r="K3" s="10">
        <v>7574</v>
      </c>
      <c r="L3" s="10">
        <v>6929</v>
      </c>
      <c r="M3" s="10">
        <v>6328</v>
      </c>
      <c r="N3" s="10">
        <f>+AE3-SUM(K3:M3)</f>
        <v>6962</v>
      </c>
      <c r="O3" s="10">
        <v>7824</v>
      </c>
      <c r="P3" s="10">
        <v>6000</v>
      </c>
      <c r="AD3" s="1">
        <v>24863</v>
      </c>
      <c r="AE3" s="1">
        <v>27793</v>
      </c>
      <c r="AF3" s="1">
        <f>+P3*4</f>
        <v>24000</v>
      </c>
      <c r="AG3" s="1">
        <f>+AE3*1.05</f>
        <v>29182.65</v>
      </c>
      <c r="AH3" s="1">
        <f>+AG3*1.05</f>
        <v>30641.782500000001</v>
      </c>
      <c r="AI3" s="1">
        <f t="shared" ref="AI3:AO3" si="6">+AH3*1.05</f>
        <v>32173.871625000003</v>
      </c>
      <c r="AJ3" s="1">
        <f t="shared" si="6"/>
        <v>33782.565206250008</v>
      </c>
      <c r="AK3" s="1">
        <f t="shared" si="6"/>
        <v>35471.693466562509</v>
      </c>
      <c r="AL3" s="1">
        <f t="shared" si="6"/>
        <v>37245.278139890637</v>
      </c>
      <c r="AM3" s="1">
        <f t="shared" si="6"/>
        <v>39107.542046885173</v>
      </c>
      <c r="AN3" s="1">
        <f t="shared" si="6"/>
        <v>41062.919149229434</v>
      </c>
      <c r="AO3" s="1">
        <f t="shared" si="6"/>
        <v>43116.065106690905</v>
      </c>
    </row>
    <row r="4" spans="2:241" x14ac:dyDescent="0.2">
      <c r="B4" s="24" t="s">
        <v>94</v>
      </c>
      <c r="G4" s="10">
        <v>598</v>
      </c>
      <c r="H4" s="10">
        <v>603</v>
      </c>
      <c r="I4" s="10">
        <v>811</v>
      </c>
      <c r="J4" s="10">
        <f>+AD4-SUM(G4:I4)</f>
        <v>898</v>
      </c>
      <c r="K4" s="10">
        <v>961</v>
      </c>
      <c r="L4" s="10">
        <v>959</v>
      </c>
      <c r="M4" s="10">
        <v>984</v>
      </c>
      <c r="N4" s="10">
        <f>+AE4-SUM(K4:M4)</f>
        <v>1053</v>
      </c>
      <c r="O4" s="10">
        <v>1101</v>
      </c>
      <c r="P4" s="10">
        <f>+L4*1.36</f>
        <v>1304.24</v>
      </c>
      <c r="AD4" s="1">
        <v>2910</v>
      </c>
      <c r="AE4" s="1">
        <v>3957</v>
      </c>
      <c r="AF4" s="1">
        <f>+P4*4</f>
        <v>5216.96</v>
      </c>
      <c r="AG4" s="1">
        <f>+AF4*1.3</f>
        <v>6782.0480000000007</v>
      </c>
      <c r="AH4" s="1">
        <f>+AG4*1.25</f>
        <v>8477.5600000000013</v>
      </c>
      <c r="AI4" s="1">
        <f>+AH4*1.2</f>
        <v>10173.072000000002</v>
      </c>
      <c r="AJ4" s="1">
        <f>+AI4*1.15</f>
        <v>11699.032800000001</v>
      </c>
      <c r="AK4" s="1">
        <f>+AJ4*1.1</f>
        <v>12868.936080000001</v>
      </c>
      <c r="AL4" s="1">
        <f>+AK4*1.1</f>
        <v>14155.829688000003</v>
      </c>
      <c r="AM4" s="1">
        <f>+AL4*1.1</f>
        <v>15571.412656800005</v>
      </c>
      <c r="AN4" s="1">
        <f>+AM4*1.1</f>
        <v>17128.553922480005</v>
      </c>
      <c r="AO4" s="1">
        <f>+AN4*1.1</f>
        <v>18841.409314728007</v>
      </c>
    </row>
    <row r="5" spans="2:241" s="16" customFormat="1" x14ac:dyDescent="0.2">
      <c r="B5" s="25" t="s">
        <v>95</v>
      </c>
      <c r="C5" s="20"/>
      <c r="D5" s="20"/>
      <c r="E5" s="20"/>
      <c r="F5" s="20"/>
      <c r="G5" s="20">
        <v>1138</v>
      </c>
      <c r="H5" s="20">
        <v>1243</v>
      </c>
      <c r="I5" s="20">
        <v>1359</v>
      </c>
      <c r="J5" s="20">
        <f>+AD5-SUM(G5:I5)</f>
        <v>1683</v>
      </c>
      <c r="K5" s="20">
        <v>1549</v>
      </c>
      <c r="L5" s="20">
        <v>1581</v>
      </c>
      <c r="M5" s="20">
        <v>1681</v>
      </c>
      <c r="N5" s="20">
        <f>+AE5-SUM(K5:M5)</f>
        <v>1806</v>
      </c>
      <c r="O5" s="20">
        <v>1688</v>
      </c>
      <c r="P5" s="20">
        <f>+L5*1.13</f>
        <v>1786.5299999999997</v>
      </c>
      <c r="AD5" s="16">
        <v>5423</v>
      </c>
      <c r="AE5" s="16">
        <v>6617</v>
      </c>
      <c r="AF5" s="1">
        <f>+P5*4</f>
        <v>7146.119999999999</v>
      </c>
      <c r="AG5" s="1">
        <f>+AF5*1.08</f>
        <v>7717.8095999999996</v>
      </c>
      <c r="AH5" s="1">
        <f t="shared" ref="AH5" si="7">+AG5*1.08</f>
        <v>8335.2343679999994</v>
      </c>
      <c r="AI5" s="1">
        <f t="shared" ref="AI5:AO5" si="8">+AH5*1.08</f>
        <v>9002.0531174400003</v>
      </c>
      <c r="AJ5" s="1">
        <f t="shared" si="8"/>
        <v>9722.2173668352007</v>
      </c>
      <c r="AK5" s="1">
        <f t="shared" si="8"/>
        <v>10499.994756182017</v>
      </c>
      <c r="AL5" s="1">
        <f t="shared" si="8"/>
        <v>11339.99433667658</v>
      </c>
      <c r="AM5" s="1">
        <f t="shared" si="8"/>
        <v>12247.193883610707</v>
      </c>
      <c r="AN5" s="1">
        <f t="shared" si="8"/>
        <v>13226.969394299565</v>
      </c>
      <c r="AO5" s="1">
        <f t="shared" si="8"/>
        <v>14285.126945843531</v>
      </c>
    </row>
    <row r="6" spans="2:241" s="16" customFormat="1" x14ac:dyDescent="0.2">
      <c r="B6" s="16" t="s">
        <v>96</v>
      </c>
      <c r="C6" s="20">
        <f t="shared" ref="C6" si="9">SUM(C3:C5)</f>
        <v>0</v>
      </c>
      <c r="D6" s="20">
        <f t="shared" ref="D6" si="10">SUM(D3:D5)</f>
        <v>0</v>
      </c>
      <c r="E6" s="20">
        <f t="shared" ref="E6" si="11">SUM(E3:E5)</f>
        <v>0</v>
      </c>
      <c r="F6" s="20">
        <f t="shared" ref="F6" si="12">SUM(F3:F5)</f>
        <v>0</v>
      </c>
      <c r="G6" s="20">
        <f t="shared" ref="G6" si="13">SUM(G3:G5)</f>
        <v>8423</v>
      </c>
      <c r="H6" s="20">
        <f t="shared" ref="H6" si="14">SUM(H3:H5)</f>
        <v>8026</v>
      </c>
      <c r="I6" s="20">
        <f t="shared" ref="I6" si="15">SUM(I3:I5)</f>
        <v>8069</v>
      </c>
      <c r="J6" s="20">
        <f t="shared" ref="J6" si="16">SUM(J3:J5)</f>
        <v>8678</v>
      </c>
      <c r="K6" s="20">
        <f t="shared" ref="K6:N6" si="17">SUM(K3:K5)</f>
        <v>10084</v>
      </c>
      <c r="L6" s="20">
        <f t="shared" si="17"/>
        <v>9469</v>
      </c>
      <c r="M6" s="20">
        <f t="shared" si="17"/>
        <v>8993</v>
      </c>
      <c r="N6" s="20">
        <f t="shared" si="17"/>
        <v>9821</v>
      </c>
      <c r="O6" s="20">
        <f t="shared" ref="O6" si="18">SUM(O3:O5)</f>
        <v>10613</v>
      </c>
      <c r="P6" s="20">
        <f>SUM(P3:P5)</f>
        <v>9090.77</v>
      </c>
      <c r="AD6" s="16">
        <f>SUM(AD3:AD5)</f>
        <v>33196</v>
      </c>
      <c r="AE6" s="16">
        <f>SUM(AE3:AE5)</f>
        <v>38367</v>
      </c>
      <c r="AF6" s="16">
        <f>SUM(AF3:AF5)</f>
        <v>36363.08</v>
      </c>
      <c r="AG6" s="16">
        <f>SUM(AG3:AG5)</f>
        <v>43682.507600000004</v>
      </c>
      <c r="AH6" s="16">
        <f t="shared" ref="AH6" si="19">SUM(AH3:AH5)</f>
        <v>47454.576867999996</v>
      </c>
      <c r="AI6" s="16">
        <f t="shared" ref="AI6" si="20">SUM(AI3:AI5)</f>
        <v>51348.996742440009</v>
      </c>
      <c r="AJ6" s="16">
        <f t="shared" ref="AJ6" si="21">SUM(AJ3:AJ5)</f>
        <v>55203.815373085206</v>
      </c>
      <c r="AK6" s="16">
        <f t="shared" ref="AK6" si="22">SUM(AK3:AK5)</f>
        <v>58840.624302744523</v>
      </c>
      <c r="AL6" s="16">
        <f t="shared" ref="AL6" si="23">SUM(AL3:AL5)</f>
        <v>62741.102164567223</v>
      </c>
      <c r="AM6" s="16">
        <f t="shared" ref="AM6" si="24">SUM(AM3:AM5)</f>
        <v>66926.148587295887</v>
      </c>
      <c r="AN6" s="16">
        <f t="shared" ref="AN6" si="25">SUM(AN3:AN5)</f>
        <v>71418.442466009001</v>
      </c>
      <c r="AO6" s="16">
        <f t="shared" ref="AO6" si="26">SUM(AO3:AO5)</f>
        <v>76242.601367262439</v>
      </c>
    </row>
    <row r="7" spans="2:241" s="16" customFormat="1" x14ac:dyDescent="0.2">
      <c r="B7" s="16" t="s">
        <v>21</v>
      </c>
      <c r="C7" s="20"/>
      <c r="D7" s="20"/>
      <c r="E7" s="20"/>
      <c r="F7" s="20"/>
      <c r="G7" s="20">
        <v>1460</v>
      </c>
      <c r="H7" s="20">
        <v>1318</v>
      </c>
      <c r="I7" s="20">
        <v>1273</v>
      </c>
      <c r="J7" s="20">
        <f>+AD7-SUM(G7:I7)</f>
        <v>1521</v>
      </c>
      <c r="K7" s="20">
        <v>1535</v>
      </c>
      <c r="L7" s="20">
        <v>1319</v>
      </c>
      <c r="M7" s="20">
        <v>1318</v>
      </c>
      <c r="N7" s="20">
        <f>+AE7-SUM(K7:M7)</f>
        <v>1410</v>
      </c>
      <c r="O7" s="20">
        <v>1592</v>
      </c>
      <c r="P7" s="20">
        <f>AVERAGE(1200,1400)</f>
        <v>1300</v>
      </c>
      <c r="AD7" s="16">
        <v>5572</v>
      </c>
      <c r="AE7" s="16">
        <v>5582</v>
      </c>
      <c r="AF7" s="1">
        <f>+P7*4</f>
        <v>5200</v>
      </c>
      <c r="AG7" s="16">
        <f>+AE7*1.05</f>
        <v>5861.1</v>
      </c>
      <c r="AH7" s="16">
        <f>+AG7*1.1</f>
        <v>6447.2100000000009</v>
      </c>
      <c r="AI7" s="16">
        <f t="shared" ref="AI7:AO7" si="27">+AH7*1.1</f>
        <v>7091.9310000000014</v>
      </c>
      <c r="AJ7" s="16">
        <f t="shared" si="27"/>
        <v>7801.1241000000018</v>
      </c>
      <c r="AK7" s="16">
        <f t="shared" si="27"/>
        <v>8581.2365100000025</v>
      </c>
      <c r="AL7" s="16">
        <f t="shared" si="27"/>
        <v>9439.3601610000042</v>
      </c>
      <c r="AM7" s="16">
        <f t="shared" si="27"/>
        <v>10383.296177100005</v>
      </c>
      <c r="AN7" s="16">
        <f t="shared" si="27"/>
        <v>11421.625794810006</v>
      </c>
      <c r="AO7" s="16">
        <f t="shared" si="27"/>
        <v>12563.788374291009</v>
      </c>
    </row>
    <row r="8" spans="2:241" s="16" customFormat="1" x14ac:dyDescent="0.2">
      <c r="B8" s="16" t="s">
        <v>97</v>
      </c>
      <c r="C8" s="20">
        <f t="shared" ref="C8" si="28">+C7</f>
        <v>0</v>
      </c>
      <c r="D8" s="20">
        <f t="shared" ref="D8" si="29">+D7</f>
        <v>0</v>
      </c>
      <c r="E8" s="20">
        <f t="shared" ref="E8" si="30">+E7</f>
        <v>0</v>
      </c>
      <c r="F8" s="20">
        <f t="shared" ref="F8" si="31">+F7</f>
        <v>0</v>
      </c>
      <c r="G8" s="20">
        <f t="shared" ref="G8" si="32">+G7</f>
        <v>1460</v>
      </c>
      <c r="H8" s="20">
        <f t="shared" ref="H8" si="33">+H7</f>
        <v>1318</v>
      </c>
      <c r="I8" s="20">
        <f t="shared" ref="I8" si="34">+I7</f>
        <v>1273</v>
      </c>
      <c r="J8" s="20">
        <f t="shared" ref="J8" si="35">+J7</f>
        <v>1521</v>
      </c>
      <c r="K8" s="20">
        <f t="shared" ref="K8" si="36">+K7</f>
        <v>1535</v>
      </c>
      <c r="L8" s="20">
        <f t="shared" ref="L8:P8" si="37">+L7</f>
        <v>1319</v>
      </c>
      <c r="M8" s="20">
        <f t="shared" si="37"/>
        <v>1318</v>
      </c>
      <c r="N8" s="20">
        <f t="shared" si="37"/>
        <v>1410</v>
      </c>
      <c r="O8" s="20">
        <f t="shared" si="37"/>
        <v>1592</v>
      </c>
      <c r="P8" s="20">
        <f t="shared" si="37"/>
        <v>1300</v>
      </c>
      <c r="AD8" s="16">
        <f t="shared" ref="U8:AD8" si="38">+AD7</f>
        <v>5572</v>
      </c>
      <c r="AE8" s="16">
        <f>+AE7</f>
        <v>5582</v>
      </c>
      <c r="AF8" s="16">
        <f>+AF7</f>
        <v>5200</v>
      </c>
      <c r="AG8" s="16">
        <f>+AG7</f>
        <v>5861.1</v>
      </c>
      <c r="AH8" s="16">
        <f t="shared" ref="AH8" si="39">+AH7</f>
        <v>6447.2100000000009</v>
      </c>
      <c r="AI8" s="16">
        <f t="shared" ref="AI8" si="40">+AI7</f>
        <v>7091.9310000000014</v>
      </c>
      <c r="AJ8" s="16">
        <f t="shared" ref="AJ8" si="41">+AJ7</f>
        <v>7801.1241000000018</v>
      </c>
      <c r="AK8" s="16">
        <f t="shared" ref="AK8" si="42">+AK7</f>
        <v>8581.2365100000025</v>
      </c>
      <c r="AL8" s="16">
        <f t="shared" ref="AL8" si="43">+AL7</f>
        <v>9439.3601610000042</v>
      </c>
      <c r="AM8" s="16">
        <f t="shared" ref="AM8" si="44">+AM7</f>
        <v>10383.296177100005</v>
      </c>
      <c r="AN8" s="16">
        <f t="shared" ref="AN8" si="45">+AN7</f>
        <v>11421.625794810006</v>
      </c>
      <c r="AO8" s="16">
        <f t="shared" ref="AO8" si="46">+AO7</f>
        <v>12563.788374291009</v>
      </c>
    </row>
    <row r="9" spans="2:241" s="16" customFormat="1" x14ac:dyDescent="0.2">
      <c r="B9" s="16" t="s">
        <v>98</v>
      </c>
      <c r="C9" s="20"/>
      <c r="D9" s="20"/>
      <c r="E9" s="20"/>
      <c r="F9" s="20"/>
      <c r="G9" s="20">
        <v>13</v>
      </c>
      <c r="H9" s="20">
        <v>3</v>
      </c>
      <c r="I9" s="20">
        <v>2</v>
      </c>
      <c r="J9" s="20">
        <f>+AD9-SUM(G9:I9)</f>
        <v>0</v>
      </c>
      <c r="K9" s="20">
        <v>0</v>
      </c>
      <c r="L9" s="20">
        <v>0</v>
      </c>
      <c r="M9" s="20">
        <v>0</v>
      </c>
      <c r="N9" s="20">
        <f>+AE9-SUM(K9:M9)</f>
        <v>0</v>
      </c>
      <c r="O9" s="20">
        <v>0</v>
      </c>
      <c r="P9" s="20">
        <v>0</v>
      </c>
      <c r="AD9" s="16">
        <v>18</v>
      </c>
      <c r="AE9" s="16">
        <v>0</v>
      </c>
      <c r="AF9" s="1">
        <f>+P9*4</f>
        <v>0</v>
      </c>
    </row>
    <row r="10" spans="2:241" s="16" customFormat="1" x14ac:dyDescent="0.2">
      <c r="B10" s="16" t="s">
        <v>99</v>
      </c>
      <c r="C10" s="20">
        <f t="shared" ref="C10" si="47">+C9</f>
        <v>0</v>
      </c>
      <c r="D10" s="20">
        <f t="shared" ref="D10" si="48">+D9</f>
        <v>0</v>
      </c>
      <c r="E10" s="20">
        <f t="shared" ref="E10" si="49">+E9</f>
        <v>0</v>
      </c>
      <c r="F10" s="20">
        <f t="shared" ref="F10" si="50">+F9</f>
        <v>0</v>
      </c>
      <c r="G10" s="20">
        <f t="shared" ref="G10" si="51">+G9</f>
        <v>13</v>
      </c>
      <c r="H10" s="20">
        <f t="shared" ref="H10" si="52">+H9</f>
        <v>3</v>
      </c>
      <c r="I10" s="20">
        <f t="shared" ref="I10" si="53">+I9</f>
        <v>2</v>
      </c>
      <c r="J10" s="20">
        <f t="shared" ref="J10" si="54">+J9</f>
        <v>0</v>
      </c>
      <c r="K10" s="20">
        <f t="shared" ref="K10:N10" si="55">+K9</f>
        <v>0</v>
      </c>
      <c r="L10" s="20">
        <f t="shared" si="55"/>
        <v>0</v>
      </c>
      <c r="M10" s="20">
        <f t="shared" si="55"/>
        <v>0</v>
      </c>
      <c r="N10" s="20">
        <f t="shared" si="55"/>
        <v>0</v>
      </c>
      <c r="O10" s="20">
        <f t="shared" ref="O10:P10" si="56">+O9</f>
        <v>0</v>
      </c>
      <c r="P10" s="20">
        <f t="shared" si="56"/>
        <v>0</v>
      </c>
      <c r="AD10" s="16">
        <f t="shared" ref="U10:AD10" si="57">+AD9</f>
        <v>18</v>
      </c>
      <c r="AE10" s="16">
        <f>+AE9</f>
        <v>0</v>
      </c>
      <c r="AF10" s="1">
        <f>+P10*4</f>
        <v>0</v>
      </c>
    </row>
    <row r="11" spans="2:241" s="12" customFormat="1" x14ac:dyDescent="0.2">
      <c r="B11" s="12" t="s">
        <v>100</v>
      </c>
      <c r="C11" s="19">
        <f t="shared" ref="C11:J11" si="58">SUM(C6,C8,C10)</f>
        <v>0</v>
      </c>
      <c r="D11" s="19">
        <f t="shared" si="58"/>
        <v>0</v>
      </c>
      <c r="E11" s="19">
        <f t="shared" si="58"/>
        <v>0</v>
      </c>
      <c r="F11" s="19">
        <f t="shared" si="58"/>
        <v>0</v>
      </c>
      <c r="G11" s="19">
        <f t="shared" si="58"/>
        <v>9896</v>
      </c>
      <c r="H11" s="19">
        <f t="shared" si="58"/>
        <v>9347</v>
      </c>
      <c r="I11" s="19">
        <f t="shared" si="58"/>
        <v>9344</v>
      </c>
      <c r="J11" s="19">
        <f t="shared" si="58"/>
        <v>10199</v>
      </c>
      <c r="K11" s="19">
        <f>SUM(K6,K8,K10)</f>
        <v>11619</v>
      </c>
      <c r="L11" s="19">
        <f>SUM(L6,L8,L10)</f>
        <v>10788</v>
      </c>
      <c r="M11" s="19">
        <f>SUM(M6,M8,M10)</f>
        <v>10311</v>
      </c>
      <c r="N11" s="19">
        <f>SUM(N6,N8,N10)</f>
        <v>11231</v>
      </c>
      <c r="O11" s="19">
        <f>SUM(O6,O8,O10)</f>
        <v>12205</v>
      </c>
      <c r="P11" s="19">
        <f>SUM(P6,P8,P10)</f>
        <v>10390.77</v>
      </c>
      <c r="AD11" s="12">
        <f>SUM(AD6,AD8,AD10)</f>
        <v>38786</v>
      </c>
      <c r="AE11" s="12">
        <f>SUM(AE6,AE8,AE10)</f>
        <v>43949</v>
      </c>
      <c r="AF11" s="12">
        <f>SUM(AF6,AF8,AF10)</f>
        <v>41563.08</v>
      </c>
      <c r="AG11" s="12">
        <f>SUM(AG6,AG8,AG10)</f>
        <v>49543.607600000003</v>
      </c>
      <c r="AH11" s="12">
        <f t="shared" ref="AH11:AO11" si="59">SUM(AH6,AH8,AH10)</f>
        <v>53901.786867999996</v>
      </c>
      <c r="AI11" s="12">
        <f t="shared" si="59"/>
        <v>58440.927742440013</v>
      </c>
      <c r="AJ11" s="12">
        <f t="shared" si="59"/>
        <v>63004.939473085207</v>
      </c>
      <c r="AK11" s="12">
        <f t="shared" si="59"/>
        <v>67421.860812744533</v>
      </c>
      <c r="AL11" s="12">
        <f t="shared" si="59"/>
        <v>72180.462325567234</v>
      </c>
      <c r="AM11" s="12">
        <f t="shared" si="59"/>
        <v>77309.444764395885</v>
      </c>
      <c r="AN11" s="12">
        <f t="shared" si="59"/>
        <v>82840.068260819011</v>
      </c>
      <c r="AO11" s="12">
        <f t="shared" si="59"/>
        <v>88806.389741553445</v>
      </c>
    </row>
    <row r="12" spans="2:241" s="3" customFormat="1" x14ac:dyDescent="0.2">
      <c r="C12" s="18"/>
      <c r="D12" s="18"/>
      <c r="E12" s="18"/>
      <c r="F12" s="18"/>
      <c r="G12" s="18"/>
      <c r="H12" s="18"/>
      <c r="I12" s="18"/>
      <c r="J12" s="18"/>
      <c r="K12" s="21"/>
      <c r="L12" s="18"/>
      <c r="M12" s="18"/>
      <c r="N12" s="18"/>
      <c r="O12" s="21"/>
      <c r="P12" s="18"/>
    </row>
    <row r="13" spans="2:241" s="3" customFormat="1" x14ac:dyDescent="0.2"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>
        <f>SUM(L16:O16)</f>
        <v>44867</v>
      </c>
      <c r="P13" s="18"/>
    </row>
    <row r="14" spans="2:241" x14ac:dyDescent="0.2">
      <c r="B14" s="1" t="s">
        <v>20</v>
      </c>
      <c r="C14" s="10">
        <v>7784</v>
      </c>
      <c r="D14" s="10">
        <v>7846</v>
      </c>
      <c r="E14" s="10">
        <v>7108</v>
      </c>
      <c r="F14" s="10">
        <f>+AC14-SUM(C14:E14)</f>
        <v>7290</v>
      </c>
      <c r="G14" s="10">
        <v>8316</v>
      </c>
      <c r="H14" s="10">
        <v>7950</v>
      </c>
      <c r="I14" s="10">
        <v>7993</v>
      </c>
      <c r="J14" s="10">
        <f>+AD14-SUM(G14:I14)</f>
        <v>8532</v>
      </c>
      <c r="K14" s="10">
        <v>9942</v>
      </c>
      <c r="L14" s="10">
        <v>9359</v>
      </c>
      <c r="M14" s="10">
        <v>8893</v>
      </c>
      <c r="N14" s="10">
        <f>+AE14-SUM(K14:M14)</f>
        <v>9675</v>
      </c>
      <c r="O14" s="10">
        <v>10466</v>
      </c>
      <c r="AB14" s="1">
        <v>37171</v>
      </c>
      <c r="AC14" s="1">
        <v>30028</v>
      </c>
      <c r="AD14" s="1">
        <v>32791</v>
      </c>
      <c r="AE14" s="1">
        <v>37869</v>
      </c>
    </row>
    <row r="15" spans="2:241" x14ac:dyDescent="0.2">
      <c r="B15" s="1" t="s">
        <v>21</v>
      </c>
      <c r="C15" s="10">
        <v>1679</v>
      </c>
      <c r="D15" s="10">
        <v>1429</v>
      </c>
      <c r="E15" s="10">
        <v>1343</v>
      </c>
      <c r="F15" s="10">
        <f t="shared" ref="F15:F26" si="60">+AC15-SUM(C15:E15)</f>
        <v>1341</v>
      </c>
      <c r="G15" s="10">
        <v>1619</v>
      </c>
      <c r="H15" s="10">
        <v>1439</v>
      </c>
      <c r="I15" s="10">
        <v>1400</v>
      </c>
      <c r="J15" s="10">
        <f t="shared" ref="J15:J26" si="61">+AD15-SUM(G15:I15)</f>
        <v>1713</v>
      </c>
      <c r="K15" s="10">
        <v>1727</v>
      </c>
      <c r="L15" s="10">
        <v>1620</v>
      </c>
      <c r="M15" s="10">
        <v>1472</v>
      </c>
      <c r="N15" s="10">
        <f t="shared" ref="N15:N26" si="62">+AE15-SUM(K15:M15)</f>
        <v>1596</v>
      </c>
      <c r="O15" s="10">
        <v>1786</v>
      </c>
      <c r="AB15" s="1">
        <v>7029</v>
      </c>
      <c r="AC15" s="1">
        <v>5792</v>
      </c>
      <c r="AD15" s="1">
        <v>6171</v>
      </c>
      <c r="AE15" s="1">
        <v>6415</v>
      </c>
    </row>
    <row r="16" spans="2:241" s="12" customFormat="1" x14ac:dyDescent="0.2">
      <c r="B16" s="12" t="s">
        <v>22</v>
      </c>
      <c r="C16" s="19">
        <f>+SUM(C14:C15)</f>
        <v>9463</v>
      </c>
      <c r="D16" s="19">
        <f>+SUM(D14:D15)</f>
        <v>9275</v>
      </c>
      <c r="E16" s="19">
        <f>+SUM(E14:E15)</f>
        <v>8451</v>
      </c>
      <c r="F16" s="19">
        <f t="shared" si="60"/>
        <v>8631</v>
      </c>
      <c r="G16" s="19">
        <f>+SUM(G14:G15)</f>
        <v>9935</v>
      </c>
      <c r="H16" s="19">
        <f>+SUM(H14:H15)</f>
        <v>9389</v>
      </c>
      <c r="I16" s="19">
        <f>+SUM(I14:I15)</f>
        <v>9393</v>
      </c>
      <c r="J16" s="19">
        <f t="shared" si="61"/>
        <v>10245</v>
      </c>
      <c r="K16" s="19">
        <f>+SUM(K14:K15)</f>
        <v>11669</v>
      </c>
      <c r="L16" s="19">
        <f>+SUM(L14:L15)</f>
        <v>10979</v>
      </c>
      <c r="M16" s="19">
        <f>+SUM(M14:M15)</f>
        <v>10365</v>
      </c>
      <c r="N16" s="19">
        <f t="shared" si="62"/>
        <v>11271</v>
      </c>
      <c r="O16" s="19">
        <f>+SUM(O14:O15)</f>
        <v>12252</v>
      </c>
      <c r="P16" s="19">
        <f>AVERAGE(10.2,11) * 10^3</f>
        <v>10600</v>
      </c>
      <c r="U16" s="12">
        <v>25281</v>
      </c>
      <c r="V16" s="12">
        <v>23554</v>
      </c>
      <c r="W16" s="12">
        <v>22258</v>
      </c>
      <c r="X16" s="12">
        <v>22611</v>
      </c>
      <c r="Y16" s="12">
        <v>24273</v>
      </c>
      <c r="Z16" s="12">
        <v>23531</v>
      </c>
      <c r="AA16" s="12">
        <v>33566</v>
      </c>
      <c r="AB16" s="12">
        <f>+SUM(AB14:AB15)</f>
        <v>44200</v>
      </c>
      <c r="AC16" s="12">
        <f>+SUM(AC14:AC15)</f>
        <v>35820</v>
      </c>
      <c r="AD16" s="12">
        <f>+SUM(AD14:AD15)</f>
        <v>38962</v>
      </c>
      <c r="AE16" s="12">
        <f>+SUM(AE14:AE15)</f>
        <v>44284</v>
      </c>
      <c r="AF16" s="12">
        <f>+P16*4</f>
        <v>42400</v>
      </c>
      <c r="AG16" s="12">
        <f>+AG11</f>
        <v>49543.607600000003</v>
      </c>
      <c r="AH16" s="12">
        <f t="shared" ref="AH16:AO16" si="63">+AH11</f>
        <v>53901.786867999996</v>
      </c>
      <c r="AI16" s="12">
        <f t="shared" si="63"/>
        <v>58440.927742440013</v>
      </c>
      <c r="AJ16" s="12">
        <f t="shared" si="63"/>
        <v>63004.939473085207</v>
      </c>
      <c r="AK16" s="12">
        <f t="shared" si="63"/>
        <v>67421.860812744533</v>
      </c>
      <c r="AL16" s="12">
        <f t="shared" si="63"/>
        <v>72180.462325567234</v>
      </c>
      <c r="AM16" s="12">
        <f t="shared" si="63"/>
        <v>77309.444764395885</v>
      </c>
      <c r="AN16" s="12">
        <f t="shared" si="63"/>
        <v>82840.068260819011</v>
      </c>
      <c r="AO16" s="12">
        <f t="shared" si="63"/>
        <v>88806.389741553445</v>
      </c>
    </row>
    <row r="17" spans="2:241" x14ac:dyDescent="0.2">
      <c r="B17" s="1" t="s">
        <v>23</v>
      </c>
      <c r="C17" s="10">
        <v>4044</v>
      </c>
      <c r="D17" s="10">
        <v>4153</v>
      </c>
      <c r="E17" s="10">
        <v>3792</v>
      </c>
      <c r="F17" s="10">
        <f t="shared" si="60"/>
        <v>3880</v>
      </c>
      <c r="G17" s="10">
        <v>4312</v>
      </c>
      <c r="H17" s="10">
        <v>4106</v>
      </c>
      <c r="I17" s="10">
        <v>4174</v>
      </c>
      <c r="J17" s="10">
        <f t="shared" si="61"/>
        <v>4468</v>
      </c>
      <c r="K17" s="10">
        <v>5161</v>
      </c>
      <c r="L17" s="10">
        <v>4937</v>
      </c>
      <c r="M17" s="10">
        <v>4606</v>
      </c>
      <c r="N17" s="10">
        <f t="shared" si="62"/>
        <v>5034</v>
      </c>
      <c r="O17" s="10">
        <v>5568</v>
      </c>
      <c r="AB17" s="1">
        <v>18635</v>
      </c>
      <c r="AC17" s="1">
        <v>15869</v>
      </c>
      <c r="AD17" s="1">
        <v>17060</v>
      </c>
      <c r="AE17" s="1">
        <v>19738</v>
      </c>
      <c r="AF17" s="1">
        <f t="shared" ref="AF17:AO17" si="64">+AF$16*(AE17/AE$16)</f>
        <v>18898.274771926655</v>
      </c>
      <c r="AG17" s="1">
        <f t="shared" si="64"/>
        <v>22082.280887200799</v>
      </c>
      <c r="AH17" s="1">
        <f t="shared" si="64"/>
        <v>24024.782521917263</v>
      </c>
      <c r="AI17" s="1">
        <f t="shared" si="64"/>
        <v>26047.941283088276</v>
      </c>
      <c r="AJ17" s="1">
        <f t="shared" si="64"/>
        <v>28082.185333749345</v>
      </c>
      <c r="AK17" s="1">
        <f t="shared" si="64"/>
        <v>30050.869133816996</v>
      </c>
      <c r="AL17" s="1">
        <f t="shared" si="64"/>
        <v>32171.844580029949</v>
      </c>
      <c r="AM17" s="1">
        <f t="shared" si="64"/>
        <v>34457.90400053397</v>
      </c>
      <c r="AN17" s="1">
        <f t="shared" si="64"/>
        <v>36922.98047448392</v>
      </c>
      <c r="AO17" s="1">
        <f t="shared" si="64"/>
        <v>39582.253651855797</v>
      </c>
    </row>
    <row r="18" spans="2:241" x14ac:dyDescent="0.2">
      <c r="B18" s="1" t="s">
        <v>24</v>
      </c>
      <c r="C18" s="10">
        <v>2251</v>
      </c>
      <c r="D18" s="10">
        <v>2210</v>
      </c>
      <c r="E18" s="10">
        <v>2222</v>
      </c>
      <c r="F18" s="10">
        <f t="shared" si="60"/>
        <v>2135</v>
      </c>
      <c r="G18" s="10">
        <v>2096</v>
      </c>
      <c r="H18" s="10">
        <v>2236</v>
      </c>
      <c r="I18" s="10">
        <v>2259</v>
      </c>
      <c r="J18" s="10">
        <f t="shared" si="61"/>
        <v>2302</v>
      </c>
      <c r="K18" s="10">
        <v>2230</v>
      </c>
      <c r="L18" s="10">
        <v>2216</v>
      </c>
      <c r="M18" s="10">
        <v>2226</v>
      </c>
      <c r="N18" s="10">
        <f t="shared" si="62"/>
        <v>2370</v>
      </c>
      <c r="O18" s="10">
        <v>2453</v>
      </c>
      <c r="AB18" s="1">
        <v>8194</v>
      </c>
      <c r="AC18" s="1">
        <v>8818</v>
      </c>
      <c r="AD18" s="1">
        <v>8893</v>
      </c>
      <c r="AE18" s="1">
        <v>9042</v>
      </c>
      <c r="AF18" s="1">
        <f t="shared" ref="AF18:AO18" si="65">+AF$16*(AE18/AE$16)</f>
        <v>8657.3209285520734</v>
      </c>
      <c r="AG18" s="1">
        <f t="shared" si="65"/>
        <v>10115.91771111914</v>
      </c>
      <c r="AH18" s="1">
        <f t="shared" si="65"/>
        <v>11005.779894780415</v>
      </c>
      <c r="AI18" s="1">
        <f t="shared" si="65"/>
        <v>11932.591198788334</v>
      </c>
      <c r="AJ18" s="1">
        <f t="shared" si="65"/>
        <v>12864.480686379649</v>
      </c>
      <c r="AK18" s="1">
        <f t="shared" si="65"/>
        <v>13766.336949436276</v>
      </c>
      <c r="AL18" s="1">
        <f t="shared" si="65"/>
        <v>14737.958186879659</v>
      </c>
      <c r="AM18" s="1">
        <f t="shared" si="65"/>
        <v>15785.204578621342</v>
      </c>
      <c r="AN18" s="1">
        <f t="shared" si="65"/>
        <v>16914.458883893178</v>
      </c>
      <c r="AO18" s="1">
        <f t="shared" si="65"/>
        <v>18132.674917422235</v>
      </c>
    </row>
    <row r="19" spans="2:241" x14ac:dyDescent="0.2">
      <c r="B19" s="1" t="s">
        <v>25</v>
      </c>
      <c r="C19" s="10">
        <v>623</v>
      </c>
      <c r="D19" s="10">
        <v>614</v>
      </c>
      <c r="E19" s="10">
        <v>618</v>
      </c>
      <c r="F19" s="10">
        <f t="shared" si="60"/>
        <v>628</v>
      </c>
      <c r="G19" s="10">
        <v>627</v>
      </c>
      <c r="H19" s="10">
        <v>707</v>
      </c>
      <c r="I19" s="10">
        <v>664</v>
      </c>
      <c r="J19" s="10">
        <f t="shared" si="61"/>
        <v>761</v>
      </c>
      <c r="K19" s="10">
        <v>723</v>
      </c>
      <c r="L19" s="10">
        <v>706</v>
      </c>
      <c r="M19" s="10">
        <v>771</v>
      </c>
      <c r="N19" s="10">
        <f t="shared" si="62"/>
        <v>910</v>
      </c>
      <c r="O19" s="10">
        <v>865</v>
      </c>
      <c r="AB19" s="1">
        <v>2570</v>
      </c>
      <c r="AC19" s="1">
        <v>2483</v>
      </c>
      <c r="AD19" s="1">
        <v>2759</v>
      </c>
      <c r="AE19" s="1">
        <v>3110</v>
      </c>
      <c r="AF19" s="1">
        <f t="shared" ref="AF19:AO19" si="66">+AF$16*(AE19/AE$16)</f>
        <v>2977.6894589467979</v>
      </c>
      <c r="AG19" s="1">
        <f t="shared" si="66"/>
        <v>3479.3744836961432</v>
      </c>
      <c r="AH19" s="1">
        <f t="shared" si="66"/>
        <v>3785.4429852651065</v>
      </c>
      <c r="AI19" s="1">
        <f t="shared" si="66"/>
        <v>4104.2201535314889</v>
      </c>
      <c r="AJ19" s="1">
        <f t="shared" si="66"/>
        <v>4424.7439653440297</v>
      </c>
      <c r="AK19" s="1">
        <f t="shared" si="66"/>
        <v>4734.937835959613</v>
      </c>
      <c r="AL19" s="1">
        <f t="shared" si="66"/>
        <v>5069.127401149718</v>
      </c>
      <c r="AM19" s="1">
        <f t="shared" si="66"/>
        <v>5429.3282724521541</v>
      </c>
      <c r="AN19" s="1">
        <f t="shared" si="66"/>
        <v>5817.7358027989139</v>
      </c>
      <c r="AO19" s="1">
        <f t="shared" si="66"/>
        <v>6236.7417599185083</v>
      </c>
    </row>
    <row r="20" spans="2:241" x14ac:dyDescent="0.2">
      <c r="B20" s="1" t="s">
        <v>26</v>
      </c>
      <c r="C20" s="10">
        <v>80</v>
      </c>
      <c r="D20" s="10">
        <v>208</v>
      </c>
      <c r="E20" s="10">
        <v>-4</v>
      </c>
      <c r="F20" s="10">
        <f t="shared" si="60"/>
        <v>578</v>
      </c>
      <c r="G20" s="10">
        <v>-28</v>
      </c>
      <c r="H20" s="10">
        <v>0</v>
      </c>
      <c r="I20" s="10">
        <v>74</v>
      </c>
      <c r="J20" s="10">
        <f t="shared" si="61"/>
        <v>133</v>
      </c>
      <c r="K20" s="10">
        <v>0</v>
      </c>
      <c r="L20" s="10">
        <v>0</v>
      </c>
      <c r="M20" s="10">
        <v>0</v>
      </c>
      <c r="N20" s="10">
        <f t="shared" si="62"/>
        <v>39</v>
      </c>
      <c r="O20" s="10">
        <v>0</v>
      </c>
      <c r="AB20" s="1">
        <v>-1059</v>
      </c>
      <c r="AC20" s="1">
        <v>862</v>
      </c>
      <c r="AD20" s="1">
        <v>179</v>
      </c>
      <c r="AE20" s="1">
        <v>39</v>
      </c>
      <c r="AF20" s="1">
        <f t="shared" ref="AF20:AO20" si="67">+AF$16*(AE20/AE$16)</f>
        <v>37.340800289043443</v>
      </c>
      <c r="AG20" s="1">
        <f t="shared" si="67"/>
        <v>43.632027287507903</v>
      </c>
      <c r="AH20" s="1">
        <f t="shared" si="67"/>
        <v>47.470185345768215</v>
      </c>
      <c r="AI20" s="1">
        <f t="shared" si="67"/>
        <v>51.467712536246964</v>
      </c>
      <c r="AJ20" s="1">
        <f t="shared" si="67"/>
        <v>55.487142973767568</v>
      </c>
      <c r="AK20" s="1">
        <f t="shared" si="67"/>
        <v>59.377033955763629</v>
      </c>
      <c r="AL20" s="1">
        <f t="shared" si="67"/>
        <v>63.567835577118643</v>
      </c>
      <c r="AM20" s="1">
        <f t="shared" si="67"/>
        <v>68.084823995380717</v>
      </c>
      <c r="AN20" s="1">
        <f t="shared" si="67"/>
        <v>72.955529359857778</v>
      </c>
      <c r="AO20" s="1">
        <f t="shared" si="67"/>
        <v>78.209944899299629</v>
      </c>
    </row>
    <row r="21" spans="2:241" x14ac:dyDescent="0.2">
      <c r="B21" s="1" t="s">
        <v>27</v>
      </c>
      <c r="C21" s="10">
        <f>+C16-SUM(C17:C20)</f>
        <v>2465</v>
      </c>
      <c r="D21" s="10">
        <f>+D16-SUM(D17:D20)</f>
        <v>2090</v>
      </c>
      <c r="E21" s="10">
        <f>+E16-SUM(E17:E20)</f>
        <v>1823</v>
      </c>
      <c r="F21" s="10">
        <f t="shared" si="60"/>
        <v>1410</v>
      </c>
      <c r="G21" s="10">
        <f>+G16-SUM(G17:G20)</f>
        <v>2928</v>
      </c>
      <c r="H21" s="10">
        <f>+H16-SUM(H17:H20)</f>
        <v>2340</v>
      </c>
      <c r="I21" s="10">
        <f>+I16-SUM(I17:I20)</f>
        <v>2222</v>
      </c>
      <c r="J21" s="10">
        <f t="shared" si="61"/>
        <v>2581</v>
      </c>
      <c r="K21" s="10">
        <f>+K16-SUM(K17:K20)</f>
        <v>3555</v>
      </c>
      <c r="L21" s="10">
        <f>+L16-SUM(L17:L20)</f>
        <v>3120</v>
      </c>
      <c r="M21" s="10">
        <f>+M16-SUM(M17:M20)</f>
        <v>2762</v>
      </c>
      <c r="N21" s="10">
        <f t="shared" si="62"/>
        <v>2918</v>
      </c>
      <c r="O21" s="10">
        <f>+O16-SUM(O17:O20)</f>
        <v>3366</v>
      </c>
      <c r="AB21" s="1">
        <f>+AB16-SUM(AB17:AB20)</f>
        <v>15860</v>
      </c>
      <c r="AC21" s="1">
        <f>+AC16-SUM(AC17:AC20)</f>
        <v>7788</v>
      </c>
      <c r="AD21" s="1">
        <f>+AD16-SUM(AD17:AD20)</f>
        <v>10071</v>
      </c>
      <c r="AE21" s="1">
        <f>+AE16-SUM(AE17:AE20)</f>
        <v>12355</v>
      </c>
      <c r="AF21" s="1">
        <f t="shared" ref="AF21:AN21" si="68">+AF16-SUM(AF17:AF20)</f>
        <v>11829.374040285431</v>
      </c>
      <c r="AG21" s="1">
        <f t="shared" si="68"/>
        <v>13822.402490696411</v>
      </c>
      <c r="AH21" s="1">
        <f t="shared" si="68"/>
        <v>15038.311280691443</v>
      </c>
      <c r="AI21" s="1">
        <f t="shared" si="68"/>
        <v>16304.707394495665</v>
      </c>
      <c r="AJ21" s="1">
        <f t="shared" si="68"/>
        <v>17578.042344638416</v>
      </c>
      <c r="AK21" s="1">
        <f t="shared" si="68"/>
        <v>18810.339859575877</v>
      </c>
      <c r="AL21" s="1">
        <f t="shared" si="68"/>
        <v>20137.964321930798</v>
      </c>
      <c r="AM21" s="1">
        <f t="shared" si="68"/>
        <v>21568.923088793039</v>
      </c>
      <c r="AN21" s="1">
        <f t="shared" si="68"/>
        <v>23111.937570283138</v>
      </c>
      <c r="AO21" s="1">
        <f t="shared" ref="AO21" si="69">+AO16-SUM(AO17:AO20)</f>
        <v>24776.509467457603</v>
      </c>
    </row>
    <row r="22" spans="2:241" x14ac:dyDescent="0.2">
      <c r="B22" s="1" t="s">
        <v>28</v>
      </c>
      <c r="C22" s="10">
        <v>-170</v>
      </c>
      <c r="D22" s="10">
        <v>-179</v>
      </c>
      <c r="E22" s="10">
        <v>-172</v>
      </c>
      <c r="F22" s="10">
        <f t="shared" si="60"/>
        <v>-173</v>
      </c>
      <c r="G22" s="10">
        <v>-178</v>
      </c>
      <c r="H22" s="10">
        <v>-172</v>
      </c>
      <c r="I22" s="10">
        <v>-168</v>
      </c>
      <c r="J22" s="10">
        <f t="shared" si="61"/>
        <v>-179</v>
      </c>
      <c r="K22" s="10">
        <v>-163</v>
      </c>
      <c r="L22" s="10">
        <v>-163</v>
      </c>
      <c r="M22" s="10">
        <v>-168</v>
      </c>
      <c r="N22" s="10">
        <f t="shared" si="62"/>
        <v>-170</v>
      </c>
      <c r="O22" s="10">
        <v>-169</v>
      </c>
      <c r="AB22" s="1">
        <v>-490</v>
      </c>
      <c r="AC22" s="1">
        <v>-694</v>
      </c>
      <c r="AD22" s="1">
        <v>-697</v>
      </c>
      <c r="AE22" s="1">
        <v>-664</v>
      </c>
      <c r="AF22" s="1">
        <f>+AE50*$AR$30*4</f>
        <v>-625.27920000000006</v>
      </c>
      <c r="AG22" s="1">
        <f>+AF50*$AR$30*4</f>
        <v>-594.01524000000006</v>
      </c>
      <c r="AH22" s="1">
        <f>+AG50*$AR$30*4</f>
        <v>-564.31447800000001</v>
      </c>
      <c r="AI22" s="1">
        <f>+AH50*$AR$30*4</f>
        <v>-536.09875409999995</v>
      </c>
      <c r="AJ22" s="1">
        <f>+AI50*$AR$30*4</f>
        <v>-509.29381639499991</v>
      </c>
      <c r="AK22" s="1">
        <f>+AJ50*$AR$30*4</f>
        <v>-483.82912557524992</v>
      </c>
      <c r="AL22" s="1">
        <f>+AK50*$AR$30*4</f>
        <v>-459.63766929648739</v>
      </c>
      <c r="AM22" s="1">
        <f>+AL50*$AR$30*4</f>
        <v>-436.65578583166297</v>
      </c>
      <c r="AN22" s="1">
        <f>+AM50*$AR$30*4</f>
        <v>-414.82299654007983</v>
      </c>
      <c r="AO22" s="1">
        <f>+AN50*$AR$30*4</f>
        <v>-394.08184671307589</v>
      </c>
    </row>
    <row r="23" spans="2:241" x14ac:dyDescent="0.2">
      <c r="B23" s="1" t="s">
        <v>29</v>
      </c>
      <c r="C23" s="10">
        <v>76</v>
      </c>
      <c r="D23" s="10">
        <v>-16</v>
      </c>
      <c r="E23" s="10">
        <v>106</v>
      </c>
      <c r="F23" s="10">
        <f t="shared" si="60"/>
        <v>183</v>
      </c>
      <c r="G23" s="10">
        <v>212</v>
      </c>
      <c r="H23" s="10">
        <v>330</v>
      </c>
      <c r="I23" s="10">
        <v>226</v>
      </c>
      <c r="J23" s="10">
        <f t="shared" si="61"/>
        <v>194</v>
      </c>
      <c r="K23" s="10">
        <v>243</v>
      </c>
      <c r="L23" s="10">
        <v>148</v>
      </c>
      <c r="M23" s="10">
        <v>358</v>
      </c>
      <c r="N23" s="10">
        <f t="shared" si="62"/>
        <v>223</v>
      </c>
      <c r="O23" s="10">
        <v>350</v>
      </c>
      <c r="AB23" s="1">
        <v>-372</v>
      </c>
      <c r="AC23" s="1">
        <v>349</v>
      </c>
      <c r="AD23" s="1">
        <v>962</v>
      </c>
      <c r="AE23" s="1">
        <v>972</v>
      </c>
      <c r="AF23" s="1">
        <f>+AE23</f>
        <v>972</v>
      </c>
      <c r="AG23" s="1">
        <f t="shared" ref="AG23:AO23" si="70">+AF23</f>
        <v>972</v>
      </c>
      <c r="AH23" s="1">
        <f t="shared" si="70"/>
        <v>972</v>
      </c>
      <c r="AI23" s="1">
        <f t="shared" si="70"/>
        <v>972</v>
      </c>
      <c r="AJ23" s="1">
        <f t="shared" si="70"/>
        <v>972</v>
      </c>
      <c r="AK23" s="1">
        <f t="shared" si="70"/>
        <v>972</v>
      </c>
      <c r="AL23" s="1">
        <f t="shared" si="70"/>
        <v>972</v>
      </c>
      <c r="AM23" s="1">
        <f t="shared" si="70"/>
        <v>972</v>
      </c>
      <c r="AN23" s="1">
        <f t="shared" si="70"/>
        <v>972</v>
      </c>
      <c r="AO23" s="1">
        <f t="shared" si="70"/>
        <v>972</v>
      </c>
    </row>
    <row r="24" spans="2:241" x14ac:dyDescent="0.2">
      <c r="B24" s="1" t="s">
        <v>30</v>
      </c>
      <c r="C24" s="10">
        <f>+C21+SUM(C22:C23)</f>
        <v>2371</v>
      </c>
      <c r="D24" s="10">
        <f>+D21+SUM(D22:D23)</f>
        <v>1895</v>
      </c>
      <c r="E24" s="10">
        <f>+E21+SUM(E22:E23)</f>
        <v>1757</v>
      </c>
      <c r="F24" s="10">
        <f t="shared" si="60"/>
        <v>1420</v>
      </c>
      <c r="G24" s="10">
        <f>+G21+SUM(G22:G23)</f>
        <v>2962</v>
      </c>
      <c r="H24" s="10">
        <v>2498</v>
      </c>
      <c r="I24" s="10">
        <f>+I21+SUM(I22:I23)</f>
        <v>2280</v>
      </c>
      <c r="J24" s="10">
        <f t="shared" si="61"/>
        <v>2596</v>
      </c>
      <c r="K24" s="10">
        <f>+K21+SUM(K22:K23)</f>
        <v>3635</v>
      </c>
      <c r="L24" s="10">
        <f>+L21+SUM(L22:L23)</f>
        <v>3105</v>
      </c>
      <c r="M24" s="10">
        <f>+M21+SUM(M22:M23)</f>
        <v>2952</v>
      </c>
      <c r="N24" s="10">
        <f t="shared" si="62"/>
        <v>2971</v>
      </c>
      <c r="O24" s="10">
        <f>+O21+SUM(O22:O23)</f>
        <v>3547</v>
      </c>
      <c r="AB24" s="1">
        <f>+AB21+SUM(AB22:AB23)</f>
        <v>14998</v>
      </c>
      <c r="AC24" s="1">
        <f>+AC21+SUM(AC22:AC23)</f>
        <v>7443</v>
      </c>
      <c r="AD24" s="1">
        <f>+AD21+SUM(AD22:AD23)</f>
        <v>10336</v>
      </c>
      <c r="AE24" s="1">
        <f>+AE21+SUM(AE22:AE23)</f>
        <v>12663</v>
      </c>
      <c r="AF24" s="1">
        <f t="shared" ref="AF24:AN24" si="71">+AF21+SUM(AF22:AF23)</f>
        <v>12176.09484028543</v>
      </c>
      <c r="AG24" s="1">
        <f t="shared" si="71"/>
        <v>14200.387250696411</v>
      </c>
      <c r="AH24" s="1">
        <f t="shared" si="71"/>
        <v>15445.996802691443</v>
      </c>
      <c r="AI24" s="1">
        <f t="shared" si="71"/>
        <v>16740.608640395665</v>
      </c>
      <c r="AJ24" s="1">
        <f t="shared" si="71"/>
        <v>18040.748528243417</v>
      </c>
      <c r="AK24" s="1">
        <f t="shared" si="71"/>
        <v>19298.510734000629</v>
      </c>
      <c r="AL24" s="1">
        <f t="shared" si="71"/>
        <v>20650.32665263431</v>
      </c>
      <c r="AM24" s="1">
        <f t="shared" si="71"/>
        <v>22104.267302961376</v>
      </c>
      <c r="AN24" s="1">
        <f t="shared" si="71"/>
        <v>23669.11457374306</v>
      </c>
      <c r="AO24" s="1">
        <f t="shared" ref="AO24" si="72">+AO21+SUM(AO22:AO23)</f>
        <v>25354.427620744525</v>
      </c>
    </row>
    <row r="25" spans="2:241" x14ac:dyDescent="0.2">
      <c r="B25" s="1" t="s">
        <v>31</v>
      </c>
      <c r="C25" s="10">
        <v>-98</v>
      </c>
      <c r="D25" s="10">
        <v>-193</v>
      </c>
      <c r="E25" s="10">
        <v>-22</v>
      </c>
      <c r="F25" s="10">
        <f t="shared" si="60"/>
        <v>209</v>
      </c>
      <c r="G25" s="10">
        <v>-151</v>
      </c>
      <c r="H25" s="10">
        <v>-223</v>
      </c>
      <c r="I25" s="10">
        <v>-171</v>
      </c>
      <c r="J25" s="10">
        <f t="shared" si="61"/>
        <v>319</v>
      </c>
      <c r="K25" s="10">
        <v>-455</v>
      </c>
      <c r="L25" s="10">
        <v>-293</v>
      </c>
      <c r="M25" s="10">
        <v>-286</v>
      </c>
      <c r="N25" s="10">
        <f t="shared" si="62"/>
        <v>-6088</v>
      </c>
      <c r="O25" s="10">
        <v>-543</v>
      </c>
      <c r="AB25" s="1">
        <v>-2012</v>
      </c>
      <c r="AC25" s="1">
        <v>-104</v>
      </c>
      <c r="AD25" s="1">
        <v>-226</v>
      </c>
      <c r="AE25" s="1">
        <v>-7122</v>
      </c>
      <c r="AF25" s="1">
        <f>+AF24*(AE25/AE24)</f>
        <v>-6848.1518954839166</v>
      </c>
      <c r="AG25" s="1">
        <f>+AG24*(AF25/AF24)</f>
        <v>-7986.6665086835537</v>
      </c>
      <c r="AH25" s="1">
        <f>+AH24*(AG25/AG24)</f>
        <v>-8687.2296634895738</v>
      </c>
      <c r="AI25" s="1">
        <f t="shared" ref="AF25:AO25" si="73">+AI24*(AH25/AH24)</f>
        <v>-9415.3529761429327</v>
      </c>
      <c r="AJ25" s="1">
        <f t="shared" si="73"/>
        <v>-10146.585407735107</v>
      </c>
      <c r="AK25" s="1">
        <f t="shared" si="73"/>
        <v>-10853.983530565625</v>
      </c>
      <c r="AL25" s="1">
        <f t="shared" si="73"/>
        <v>-11614.279903661185</v>
      </c>
      <c r="AM25" s="1">
        <f t="shared" si="73"/>
        <v>-12432.013877571741</v>
      </c>
      <c r="AN25" s="1">
        <f t="shared" si="73"/>
        <v>-13312.124614561961</v>
      </c>
      <c r="AO25" s="1">
        <f t="shared" si="73"/>
        <v>-14259.988432041582</v>
      </c>
    </row>
    <row r="26" spans="2:241" x14ac:dyDescent="0.2">
      <c r="B26" s="1" t="s">
        <v>32</v>
      </c>
      <c r="C26" s="10">
        <f>+C24+C25</f>
        <v>2273</v>
      </c>
      <c r="D26" s="10">
        <f>+D24+D25</f>
        <v>1702</v>
      </c>
      <c r="E26" s="10">
        <f>+E24+E25</f>
        <v>1735</v>
      </c>
      <c r="F26" s="10">
        <f t="shared" si="60"/>
        <v>1629</v>
      </c>
      <c r="G26" s="10">
        <f>+G24+G25</f>
        <v>2811</v>
      </c>
      <c r="H26" s="10">
        <f>+H24+H25</f>
        <v>2275</v>
      </c>
      <c r="I26" s="10">
        <f>+I24+I25</f>
        <v>2109</v>
      </c>
      <c r="J26" s="10">
        <f t="shared" si="61"/>
        <v>2915</v>
      </c>
      <c r="K26" s="10">
        <f>+K24+K25</f>
        <v>3180</v>
      </c>
      <c r="L26" s="10">
        <f>+L24+L25</f>
        <v>2812</v>
      </c>
      <c r="M26" s="10">
        <f>+M24+M25</f>
        <v>2666</v>
      </c>
      <c r="N26" s="10">
        <f t="shared" si="62"/>
        <v>-3117</v>
      </c>
      <c r="O26" s="10">
        <f>+O24+O25</f>
        <v>3004</v>
      </c>
      <c r="AB26" s="1">
        <f>+AB24+AB25</f>
        <v>12986</v>
      </c>
      <c r="AC26" s="1">
        <f>+AC24+AC25</f>
        <v>7339</v>
      </c>
      <c r="AD26" s="1">
        <f>+AD24+AD25</f>
        <v>10110</v>
      </c>
      <c r="AE26" s="1">
        <f>+AE24+AE25</f>
        <v>5541</v>
      </c>
      <c r="AF26" s="1">
        <f t="shared" ref="AF26:AN26" si="74">+AF24+AF25</f>
        <v>5327.9429448015135</v>
      </c>
      <c r="AG26" s="1">
        <f t="shared" si="74"/>
        <v>6213.720742012857</v>
      </c>
      <c r="AH26" s="1">
        <f t="shared" si="74"/>
        <v>6758.7671392018692</v>
      </c>
      <c r="AI26" s="1">
        <f t="shared" si="74"/>
        <v>7325.2556642527325</v>
      </c>
      <c r="AJ26" s="1">
        <f t="shared" si="74"/>
        <v>7894.1631205083104</v>
      </c>
      <c r="AK26" s="1">
        <f t="shared" si="74"/>
        <v>8444.5272034350037</v>
      </c>
      <c r="AL26" s="1">
        <f t="shared" si="74"/>
        <v>9036.0467489731254</v>
      </c>
      <c r="AM26" s="1">
        <f t="shared" si="74"/>
        <v>9672.2534253896356</v>
      </c>
      <c r="AN26" s="1">
        <f t="shared" si="74"/>
        <v>10356.989959181099</v>
      </c>
      <c r="AO26" s="1">
        <f t="shared" ref="AO26" si="75">+AO24+AO25</f>
        <v>11094.439188702943</v>
      </c>
      <c r="AP26" s="1">
        <f>+AO26*(1+$AR$31)</f>
        <v>11205.383580589973</v>
      </c>
      <c r="AQ26" s="1">
        <f>+AP26*(1+$AR$31)</f>
        <v>11317.437416395873</v>
      </c>
      <c r="AR26" s="1">
        <f>+AQ26*(1+$AR$31)</f>
        <v>11430.611790559831</v>
      </c>
      <c r="AS26" s="1">
        <f>+AR26*(1+$AR$31)</f>
        <v>11544.91790846543</v>
      </c>
      <c r="AT26" s="1">
        <f>+AS26*(1+$AR$31)</f>
        <v>11660.367087550085</v>
      </c>
      <c r="AU26" s="1">
        <f>+AT26*(1+$AR$31)</f>
        <v>11776.970758425587</v>
      </c>
      <c r="AV26" s="1">
        <f>+AU26*(1+$AR$31)</f>
        <v>11894.740466009842</v>
      </c>
      <c r="AW26" s="1">
        <f>+AV26*(1+$AR$31)</f>
        <v>12013.687870669941</v>
      </c>
      <c r="AX26" s="1">
        <f>+AW26*(1+$AR$31)</f>
        <v>12133.824749376641</v>
      </c>
      <c r="AY26" s="1">
        <f>+AX26*(1+$AR$31)</f>
        <v>12255.162996870407</v>
      </c>
      <c r="AZ26" s="1">
        <f>+AY26*(1+$AR$31)</f>
        <v>12377.714626839112</v>
      </c>
      <c r="BA26" s="1">
        <f>+AZ26*(1+$AR$31)</f>
        <v>12501.491773107502</v>
      </c>
      <c r="BB26" s="1">
        <f>+BA26*(1+$AR$31)</f>
        <v>12626.506690838578</v>
      </c>
      <c r="BC26" s="1">
        <f>+BB26*(1+$AR$31)</f>
        <v>12752.771757746963</v>
      </c>
      <c r="BD26" s="1">
        <f>+BC26*(1+$AR$31)</f>
        <v>12880.299475324433</v>
      </c>
      <c r="BE26" s="1">
        <f>+BD26*(1+$AR$31)</f>
        <v>13009.102470077678</v>
      </c>
      <c r="BF26" s="1">
        <f>+BE26*(1+$AR$31)</f>
        <v>13139.193494778456</v>
      </c>
      <c r="BG26" s="1">
        <f>+BF26*(1+$AR$31)</f>
        <v>13270.585429726241</v>
      </c>
      <c r="BH26" s="1">
        <f>+BG26*(1+$AR$31)</f>
        <v>13403.291284023504</v>
      </c>
      <c r="BI26" s="1">
        <f>+BH26*(1+$AR$31)</f>
        <v>13537.324196863739</v>
      </c>
      <c r="BJ26" s="1">
        <f>+BI26*(1+$AR$31)</f>
        <v>13672.697438832376</v>
      </c>
      <c r="BK26" s="1">
        <f>+BJ26*(1+$AR$31)</f>
        <v>13809.4244132207</v>
      </c>
      <c r="BL26" s="1">
        <f>+BK26*(1+$AR$31)</f>
        <v>13947.518657352908</v>
      </c>
      <c r="BM26" s="1">
        <f>+BL26*(1+$AR$31)</f>
        <v>14086.993843926437</v>
      </c>
      <c r="BN26" s="1">
        <f>+BM26*(1+$AR$31)</f>
        <v>14227.863782365701</v>
      </c>
      <c r="BO26" s="1">
        <f>+BN26*(1+$AR$31)</f>
        <v>14370.142420189359</v>
      </c>
      <c r="BP26" s="1">
        <f>+BO26*(1+$AR$31)</f>
        <v>14513.843844391253</v>
      </c>
      <c r="BQ26" s="1">
        <f>+BP26*(1+$AR$31)</f>
        <v>14658.982282835166</v>
      </c>
      <c r="BR26" s="1">
        <f>+BQ26*(1+$AR$31)</f>
        <v>14805.572105663518</v>
      </c>
      <c r="BS26" s="1">
        <f>+BR26*(1+$AR$31)</f>
        <v>14953.627826720152</v>
      </c>
      <c r="BT26" s="1">
        <f>+BS26*(1+$AR$31)</f>
        <v>15103.164104987354</v>
      </c>
      <c r="BU26" s="1">
        <f>+BT26*(1+$AR$31)</f>
        <v>15254.195746037229</v>
      </c>
      <c r="BV26" s="1">
        <f>+BU26*(1+$AR$31)</f>
        <v>15406.737703497602</v>
      </c>
      <c r="BW26" s="1">
        <f>+BV26*(1+$AR$31)</f>
        <v>15560.805080532578</v>
      </c>
      <c r="BX26" s="1">
        <f>+BW26*(1+$AR$31)</f>
        <v>15716.413131337904</v>
      </c>
      <c r="BY26" s="1">
        <f>+BX26*(1+$AR$31)</f>
        <v>15873.577262651283</v>
      </c>
      <c r="BZ26" s="1">
        <f>+BY26*(1+$AR$31)</f>
        <v>16032.313035277795</v>
      </c>
      <c r="CA26" s="1">
        <f>+BZ26*(1+$AR$31)</f>
        <v>16192.636165630573</v>
      </c>
      <c r="CB26" s="1">
        <f>+CA26*(1+$AR$31)</f>
        <v>16354.562527286878</v>
      </c>
      <c r="CC26" s="1">
        <f>+CB26*(1+$AR$31)</f>
        <v>16518.108152559747</v>
      </c>
      <c r="CD26" s="1">
        <f>+CC26*(1+$AR$31)</f>
        <v>16683.289234085347</v>
      </c>
      <c r="CE26" s="1">
        <f>+CD26*(1+$AR$31)</f>
        <v>16850.122126426202</v>
      </c>
      <c r="CF26" s="1">
        <f>+CE26*(1+$AR$31)</f>
        <v>17018.623347690464</v>
      </c>
      <c r="CG26" s="1">
        <f>+CF26*(1+$AR$31)</f>
        <v>17188.809581167367</v>
      </c>
      <c r="CH26" s="1">
        <f>+CG26*(1+$AR$31)</f>
        <v>17360.697676979042</v>
      </c>
      <c r="CI26" s="1">
        <f>+CH26*(1+$AR$31)</f>
        <v>17534.304653748834</v>
      </c>
      <c r="CJ26" s="1">
        <f>+CI26*(1+$AR$31)</f>
        <v>17709.647700286321</v>
      </c>
      <c r="CK26" s="1">
        <f>+CJ26*(1+$AR$31)</f>
        <v>17886.744177289183</v>
      </c>
      <c r="CL26" s="1">
        <f>+CK26*(1+$AR$31)</f>
        <v>18065.611619062074</v>
      </c>
      <c r="CM26" s="1">
        <f>+CL26*(1+$AR$31)</f>
        <v>18246.267735252695</v>
      </c>
      <c r="CN26" s="1">
        <f>+CM26*(1+$AR$31)</f>
        <v>18428.730412605222</v>
      </c>
      <c r="CO26" s="1">
        <f>+CN26*(1+$AR$31)</f>
        <v>18613.017716731276</v>
      </c>
      <c r="CP26" s="1">
        <f>+CO26*(1+$AR$31)</f>
        <v>18799.147893898589</v>
      </c>
      <c r="CQ26" s="1">
        <f>+CP26*(1+$AR$31)</f>
        <v>18987.139372837577</v>
      </c>
      <c r="CR26" s="1">
        <f>+CQ26*(1+$AR$31)</f>
        <v>19177.010766565953</v>
      </c>
      <c r="CS26" s="1">
        <f>+CR26*(1+$AR$31)</f>
        <v>19368.780874231612</v>
      </c>
      <c r="CT26" s="1">
        <f>+CS26*(1+$AR$31)</f>
        <v>19562.468682973929</v>
      </c>
      <c r="CU26" s="1">
        <f>+CT26*(1+$AR$31)</f>
        <v>19758.093369803668</v>
      </c>
      <c r="CV26" s="1">
        <f>+CU26*(1+$AR$31)</f>
        <v>19955.674303501706</v>
      </c>
      <c r="CW26" s="1">
        <f>+CV26*(1+$AR$31)</f>
        <v>20155.231046536723</v>
      </c>
      <c r="CX26" s="1">
        <f>+CW26*(1+$AR$31)</f>
        <v>20356.783357002088</v>
      </c>
      <c r="CY26" s="1">
        <f>+CX26*(1+$AR$31)</f>
        <v>20560.35119057211</v>
      </c>
      <c r="CZ26" s="1">
        <f>+CY26*(1+$AR$31)</f>
        <v>20765.954702477829</v>
      </c>
      <c r="DA26" s="1">
        <f>+CZ26*(1+$AR$31)</f>
        <v>20973.614249502607</v>
      </c>
      <c r="DB26" s="1">
        <f>+DA26*(1+$AR$31)</f>
        <v>21183.350391997632</v>
      </c>
      <c r="DC26" s="1">
        <f>+DB26*(1+$AR$31)</f>
        <v>21395.183895917609</v>
      </c>
      <c r="DD26" s="1">
        <f>+DC26*(1+$AR$31)</f>
        <v>21609.135734876785</v>
      </c>
      <c r="DE26" s="1">
        <f>+DD26*(1+$AR$31)</f>
        <v>21825.227092225552</v>
      </c>
      <c r="DF26" s="1">
        <f>+DE26*(1+$AR$31)</f>
        <v>22043.479363147806</v>
      </c>
      <c r="DG26" s="1">
        <f>+DF26*(1+$AR$31)</f>
        <v>22263.914156779283</v>
      </c>
      <c r="DH26" s="1">
        <f>+DG26*(1+$AR$31)</f>
        <v>22486.553298347077</v>
      </c>
      <c r="DI26" s="1">
        <f>+DH26*(1+$AR$31)</f>
        <v>22711.418831330546</v>
      </c>
      <c r="DJ26" s="1">
        <f>+DI26*(1+$AR$31)</f>
        <v>22938.533019643852</v>
      </c>
      <c r="DK26" s="1">
        <f>+DJ26*(1+$AR$31)</f>
        <v>23167.918349840289</v>
      </c>
      <c r="DL26" s="1">
        <f>+DK26*(1+$AR$31)</f>
        <v>23399.597533338692</v>
      </c>
      <c r="DM26" s="1">
        <f>+DL26*(1+$AR$31)</f>
        <v>23633.593508672078</v>
      </c>
      <c r="DN26" s="1">
        <f>+DM26*(1+$AR$31)</f>
        <v>23869.9294437588</v>
      </c>
      <c r="DO26" s="1">
        <f>+DN26*(1+$AR$31)</f>
        <v>24108.628738196388</v>
      </c>
      <c r="DP26" s="1">
        <f>+DO26*(1+$AR$31)</f>
        <v>24349.715025578353</v>
      </c>
      <c r="DQ26" s="1">
        <f>+DP26*(1+$AR$31)</f>
        <v>24593.212175834138</v>
      </c>
      <c r="DR26" s="1">
        <f>+DQ26*(1+$AR$31)</f>
        <v>24839.14429759248</v>
      </c>
      <c r="DS26" s="1">
        <f>+DR26*(1+$AR$31)</f>
        <v>25087.535740568404</v>
      </c>
      <c r="DT26" s="1">
        <f>+DS26*(1+$AR$31)</f>
        <v>25338.411097974087</v>
      </c>
      <c r="DU26" s="1">
        <f>+DT26*(1+$AR$31)</f>
        <v>25591.795208953827</v>
      </c>
      <c r="DV26" s="1">
        <f>+DU26*(1+$AR$31)</f>
        <v>25847.713161043364</v>
      </c>
      <c r="DW26" s="1">
        <f>+DV26*(1+$AR$31)</f>
        <v>26106.190292653799</v>
      </c>
      <c r="DX26" s="1">
        <f>+DW26*(1+$AR$31)</f>
        <v>26367.252195580339</v>
      </c>
      <c r="DY26" s="1">
        <f>+DX26*(1+$AR$31)</f>
        <v>26630.924717536142</v>
      </c>
      <c r="DZ26" s="1">
        <f>+DY26*(1+$AR$31)</f>
        <v>26897.233964711504</v>
      </c>
      <c r="EA26" s="1">
        <f>+DZ26*(1+$AR$31)</f>
        <v>27166.20630435862</v>
      </c>
      <c r="EB26" s="1">
        <f>+EA26*(1+$AR$31)</f>
        <v>27437.868367402207</v>
      </c>
      <c r="EC26" s="1">
        <f>+EB26*(1+$AR$31)</f>
        <v>27712.247051076229</v>
      </c>
      <c r="ED26" s="1">
        <f>+EC26*(1+$AR$31)</f>
        <v>27989.369521586992</v>
      </c>
      <c r="EE26" s="1">
        <f>+ED26*(1+$AR$31)</f>
        <v>28269.263216802861</v>
      </c>
      <c r="EF26" s="1">
        <f>+EE26*(1+$AR$31)</f>
        <v>28551.955848970891</v>
      </c>
      <c r="EG26" s="1">
        <f>+EF26*(1+$AR$31)</f>
        <v>28837.475407460599</v>
      </c>
      <c r="EH26" s="1">
        <f>+EG26*(1+$AR$31)</f>
        <v>29125.850161535207</v>
      </c>
      <c r="EI26" s="1">
        <f>+EH26*(1+$AR$31)</f>
        <v>29417.10866315056</v>
      </c>
      <c r="EJ26" s="1">
        <f>+EI26*(1+$AR$31)</f>
        <v>29711.279749782065</v>
      </c>
      <c r="EK26" s="1">
        <f>+EJ26*(1+$AR$31)</f>
        <v>30008.392547279887</v>
      </c>
      <c r="EL26" s="1">
        <f>+EK26*(1+$AR$31)</f>
        <v>30308.476472752685</v>
      </c>
      <c r="EM26" s="1">
        <f>+EL26*(1+$AR$31)</f>
        <v>30611.561237480211</v>
      </c>
      <c r="EN26" s="1">
        <f>+EM26*(1+$AR$31)</f>
        <v>30917.676849855015</v>
      </c>
      <c r="EO26" s="1">
        <f>+EN26*(1+$AR$31)</f>
        <v>31226.853618353565</v>
      </c>
      <c r="EP26" s="1">
        <f>+EO26*(1+$AR$31)</f>
        <v>31539.122154537101</v>
      </c>
      <c r="EQ26" s="1">
        <f>+EP26*(1+$AR$31)</f>
        <v>31854.513376082472</v>
      </c>
      <c r="ER26" s="1">
        <f>+EQ26*(1+$AR$31)</f>
        <v>32173.058509843297</v>
      </c>
      <c r="ES26" s="1">
        <f>+ER26*(1+$AR$31)</f>
        <v>32494.789094941731</v>
      </c>
      <c r="ET26" s="1">
        <f>+ES26*(1+$AR$31)</f>
        <v>32819.736985891148</v>
      </c>
      <c r="EU26" s="1">
        <f>+ET26*(1+$AR$31)</f>
        <v>33147.934355750062</v>
      </c>
      <c r="EV26" s="1">
        <f>+EU26*(1+$AR$31)</f>
        <v>33479.413699307559</v>
      </c>
      <c r="EW26" s="1">
        <f>+EV26*(1+$AR$31)</f>
        <v>33814.207836300637</v>
      </c>
      <c r="EX26" s="1">
        <f>+EW26*(1+$AR$31)</f>
        <v>34152.349914663646</v>
      </c>
      <c r="EY26" s="1">
        <f>+EX26*(1+$AR$31)</f>
        <v>34493.873413810281</v>
      </c>
      <c r="EZ26" s="1">
        <f>+EY26*(1+$AR$31)</f>
        <v>34838.812147948382</v>
      </c>
      <c r="FA26" s="1">
        <f>+EZ26*(1+$AR$31)</f>
        <v>35187.200269427864</v>
      </c>
      <c r="FB26" s="1">
        <f>+FA26*(1+$AR$31)</f>
        <v>35539.072272122139</v>
      </c>
      <c r="FC26" s="1">
        <f>+FB26*(1+$AR$31)</f>
        <v>35894.462994843358</v>
      </c>
      <c r="FD26" s="1">
        <f>+FC26*(1+$AR$31)</f>
        <v>36253.407624791791</v>
      </c>
      <c r="FE26" s="1">
        <f>+FD26*(1+$AR$31)</f>
        <v>36615.941701039708</v>
      </c>
      <c r="FF26" s="1">
        <f>+FE26*(1+$AR$31)</f>
        <v>36982.101118050108</v>
      </c>
      <c r="FG26" s="1">
        <f>+FF26*(1+$AR$31)</f>
        <v>37351.92212923061</v>
      </c>
      <c r="FH26" s="1">
        <f>+FG26*(1+$AR$31)</f>
        <v>37725.441350522917</v>
      </c>
      <c r="FI26" s="1">
        <f>+FH26*(1+$AR$31)</f>
        <v>38102.695764028147</v>
      </c>
      <c r="FJ26" s="1">
        <f>+FI26*(1+$AR$31)</f>
        <v>38483.722721668426</v>
      </c>
      <c r="FK26" s="1">
        <f>+FJ26*(1+$AR$31)</f>
        <v>38868.559948885108</v>
      </c>
      <c r="FL26" s="1">
        <f>+FK26*(1+$AR$31)</f>
        <v>39257.245548373961</v>
      </c>
      <c r="FM26" s="1">
        <f>+FL26*(1+$AR$31)</f>
        <v>39649.818003857705</v>
      </c>
      <c r="FN26" s="1">
        <f>+FM26*(1+$AR$31)</f>
        <v>40046.316183896284</v>
      </c>
      <c r="FO26" s="1">
        <f>+FN26*(1+$AR$31)</f>
        <v>40446.779345735245</v>
      </c>
      <c r="FP26" s="1">
        <f>+FO26*(1+$AR$31)</f>
        <v>40851.247139192601</v>
      </c>
      <c r="FQ26" s="1">
        <f>+FP26*(1+$AR$31)</f>
        <v>41259.75961058453</v>
      </c>
      <c r="FR26" s="1">
        <f>+FQ26*(1+$AR$31)</f>
        <v>41672.357206690373</v>
      </c>
      <c r="FS26" s="1">
        <f>+FR26*(1+$AR$31)</f>
        <v>42089.080778757278</v>
      </c>
      <c r="FT26" s="1">
        <f>+FS26*(1+$AR$31)</f>
        <v>42509.971586544852</v>
      </c>
      <c r="FU26" s="1">
        <f>+FT26*(1+$AR$31)</f>
        <v>42935.071302410302</v>
      </c>
      <c r="FV26" s="1">
        <f>+FU26*(1+$AR$31)</f>
        <v>43364.422015434408</v>
      </c>
      <c r="FW26" s="1">
        <f>+FV26*(1+$AR$31)</f>
        <v>43798.066235588754</v>
      </c>
      <c r="FX26" s="1">
        <f>+FW26*(1+$AR$31)</f>
        <v>44236.046897944645</v>
      </c>
      <c r="FY26" s="1">
        <f>+FX26*(1+$AR$31)</f>
        <v>44678.40736692409</v>
      </c>
      <c r="FZ26" s="1">
        <f>+FY26*(1+$AR$31)</f>
        <v>45125.191440593328</v>
      </c>
      <c r="GA26" s="1">
        <f>+FZ26*(1+$AR$31)</f>
        <v>45576.443354999261</v>
      </c>
      <c r="GB26" s="1">
        <f>+GA26*(1+$AR$31)</f>
        <v>46032.207788549254</v>
      </c>
      <c r="GC26" s="1">
        <f>+GB26*(1+$AR$31)</f>
        <v>46492.52986643475</v>
      </c>
      <c r="GD26" s="1">
        <f>+GC26*(1+$AR$31)</f>
        <v>46957.455165099098</v>
      </c>
      <c r="GE26" s="1">
        <f>+GD26*(1+$AR$31)</f>
        <v>47427.02971675009</v>
      </c>
      <c r="GF26" s="1">
        <f>+GE26*(1+$AR$31)</f>
        <v>47901.300013917593</v>
      </c>
      <c r="GG26" s="1">
        <f>+GF26*(1+$AR$31)</f>
        <v>48380.313014056766</v>
      </c>
      <c r="GH26" s="1">
        <f>+GG26*(1+$AR$31)</f>
        <v>48864.116144197331</v>
      </c>
      <c r="GI26" s="1">
        <f>+GH26*(1+$AR$31)</f>
        <v>49352.757305639301</v>
      </c>
      <c r="GJ26" s="1">
        <f>+GI26*(1+$AR$31)</f>
        <v>49846.284878695697</v>
      </c>
      <c r="GK26" s="1">
        <f>+GJ26*(1+$AR$31)</f>
        <v>50344.747727482652</v>
      </c>
      <c r="GL26" s="1">
        <f>+GK26*(1+$AR$31)</f>
        <v>50848.195204757481</v>
      </c>
      <c r="GM26" s="1">
        <f>+GL26*(1+$AR$31)</f>
        <v>51356.677156805054</v>
      </c>
      <c r="GN26" s="1">
        <f>+GM26*(1+$AR$31)</f>
        <v>51870.243928373107</v>
      </c>
      <c r="GO26" s="1">
        <f>+GN26*(1+$AR$31)</f>
        <v>52388.946367656841</v>
      </c>
      <c r="GP26" s="1">
        <f>+GO26*(1+$AR$31)</f>
        <v>52912.83583133341</v>
      </c>
      <c r="GQ26" s="1">
        <f>+GP26*(1+$AR$31)</f>
        <v>53441.964189646744</v>
      </c>
      <c r="GR26" s="1">
        <f>+GQ26*(1+$AR$31)</f>
        <v>53976.383831543215</v>
      </c>
      <c r="GS26" s="1">
        <f>+GR26*(1+$AR$31)</f>
        <v>54516.147669858648</v>
      </c>
      <c r="GT26" s="1">
        <f>+GS26*(1+$AR$31)</f>
        <v>55061.309146557236</v>
      </c>
      <c r="GU26" s="1">
        <f>+GT26*(1+$AR$31)</f>
        <v>55611.922238022809</v>
      </c>
      <c r="GV26" s="1">
        <f>+GU26*(1+$AR$31)</f>
        <v>56168.041460403037</v>
      </c>
      <c r="GW26" s="1">
        <f>+GV26*(1+$AR$31)</f>
        <v>56729.721875007068</v>
      </c>
      <c r="GX26" s="1">
        <f>+GW26*(1+$AR$31)</f>
        <v>57297.019093757139</v>
      </c>
      <c r="GY26" s="1">
        <f>+GX26*(1+$AR$31)</f>
        <v>57869.989284694711</v>
      </c>
      <c r="GZ26" s="1">
        <f>+GY26*(1+$AR$31)</f>
        <v>58448.689177541659</v>
      </c>
      <c r="HA26" s="1">
        <f>+GZ26*(1+$AR$31)</f>
        <v>59033.176069317073</v>
      </c>
      <c r="HB26" s="1">
        <f>+HA26*(1+$AR$31)</f>
        <v>59623.507830010247</v>
      </c>
      <c r="HC26" s="1">
        <f>+HB26*(1+$AR$31)</f>
        <v>60219.742908310349</v>
      </c>
      <c r="HD26" s="1">
        <f>+HC26*(1+$AR$31)</f>
        <v>60821.940337393455</v>
      </c>
      <c r="HE26" s="1">
        <f>+HD26*(1+$AR$31)</f>
        <v>61430.159740767391</v>
      </c>
      <c r="HF26" s="1">
        <f>+HE26*(1+$AR$31)</f>
        <v>62044.461338175068</v>
      </c>
      <c r="HG26" s="1">
        <f>+HF26*(1+$AR$31)</f>
        <v>62664.905951556822</v>
      </c>
      <c r="HH26" s="1">
        <f>+HG26*(1+$AR$31)</f>
        <v>63291.555011072393</v>
      </c>
      <c r="HI26" s="1">
        <f>+HH26*(1+$AR$31)</f>
        <v>63924.470561183116</v>
      </c>
      <c r="HJ26" s="1">
        <f>+HI26*(1+$AR$31)</f>
        <v>64563.715266794949</v>
      </c>
      <c r="HK26" s="1">
        <f>+HJ26*(1+$AR$31)</f>
        <v>65209.352419462899</v>
      </c>
      <c r="HL26" s="1">
        <f>+HK26*(1+$AR$31)</f>
        <v>65861.445943657527</v>
      </c>
      <c r="HM26" s="1">
        <f>+HL26*(1+$AR$31)</f>
        <v>66520.060403094103</v>
      </c>
      <c r="HN26" s="1">
        <f>+HM26*(1+$AR$31)</f>
        <v>67185.261007125038</v>
      </c>
      <c r="HO26" s="1">
        <f>+HN26*(1+$AR$31)</f>
        <v>67857.113617196286</v>
      </c>
      <c r="HP26" s="1">
        <f>+HO26*(1+$AR$31)</f>
        <v>68535.684753368245</v>
      </c>
      <c r="HQ26" s="1">
        <f>+HP26*(1+$AR$31)</f>
        <v>69221.041600901925</v>
      </c>
      <c r="HR26" s="1">
        <f>+HQ26*(1+$AR$31)</f>
        <v>69913.252016910948</v>
      </c>
      <c r="HS26" s="1">
        <f>+HR26*(1+$AR$31)</f>
        <v>70612.384537080055</v>
      </c>
      <c r="HT26" s="1">
        <f>+HS26*(1+$AR$31)</f>
        <v>71318.508382450862</v>
      </c>
      <c r="HU26" s="1">
        <f>+HT26*(1+$AR$31)</f>
        <v>72031.693466275377</v>
      </c>
      <c r="HV26" s="1">
        <f>+HU26*(1+$AR$31)</f>
        <v>72752.010400938132</v>
      </c>
      <c r="HW26" s="1">
        <f>+HV26*(1+$AR$31)</f>
        <v>73479.530504947514</v>
      </c>
      <c r="HX26" s="1">
        <f>+HW26*(1+$AR$31)</f>
        <v>74214.325809996983</v>
      </c>
      <c r="HY26" s="1">
        <f>+HX26*(1+$AR$31)</f>
        <v>74956.469068096951</v>
      </c>
      <c r="HZ26" s="1">
        <f>+HY26*(1+$AR$31)</f>
        <v>75706.033758777921</v>
      </c>
      <c r="IA26" s="1">
        <f>+HZ26*(1+$AR$31)</f>
        <v>76463.094096365705</v>
      </c>
      <c r="IB26" s="1">
        <f>+IA26*(1+$AR$31)</f>
        <v>77227.725037329365</v>
      </c>
      <c r="IC26" s="1">
        <f>+IB26*(1+$AR$31)</f>
        <v>78000.002287702664</v>
      </c>
      <c r="ID26" s="1">
        <f>+IC26*(1+$AR$31)</f>
        <v>78780.002310579686</v>
      </c>
      <c r="IE26" s="1">
        <f>+ID26*(1+$AR$31)</f>
        <v>79567.802333685482</v>
      </c>
      <c r="IF26" s="1">
        <f>+IE26*(1+$AR$31)</f>
        <v>80363.480357022345</v>
      </c>
      <c r="IG26" s="1">
        <f>+IF26*(1+$AR$31)</f>
        <v>81167.11516059257</v>
      </c>
    </row>
    <row r="27" spans="2:241" s="2" customFormat="1" x14ac:dyDescent="0.2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10"/>
      <c r="O27" s="22"/>
      <c r="P27" s="22"/>
    </row>
    <row r="30" spans="2:241" s="4" customFormat="1" x14ac:dyDescent="0.2">
      <c r="B30" s="4" t="s">
        <v>33</v>
      </c>
      <c r="C30" s="21">
        <f t="shared" ref="C30:M30" si="76">(C16-C17)/C16</f>
        <v>0.57265137905526786</v>
      </c>
      <c r="D30" s="21">
        <f t="shared" si="76"/>
        <v>0.55223719676549865</v>
      </c>
      <c r="E30" s="21">
        <f t="shared" si="76"/>
        <v>0.55129570465033728</v>
      </c>
      <c r="F30" s="21">
        <f t="shared" si="76"/>
        <v>0.55045765264743363</v>
      </c>
      <c r="G30" s="21">
        <f t="shared" si="76"/>
        <v>0.56597886260694519</v>
      </c>
      <c r="H30" s="21">
        <f t="shared" si="76"/>
        <v>0.56267973160080942</v>
      </c>
      <c r="I30" s="21">
        <f t="shared" si="76"/>
        <v>0.555626530394975</v>
      </c>
      <c r="J30" s="21">
        <f t="shared" si="76"/>
        <v>0.56388482186432409</v>
      </c>
      <c r="K30" s="21">
        <f t="shared" si="76"/>
        <v>0.55771702802296685</v>
      </c>
      <c r="L30" s="21">
        <f t="shared" si="76"/>
        <v>0.55032334456690046</v>
      </c>
      <c r="M30" s="21">
        <f t="shared" si="76"/>
        <v>0.5556198745779064</v>
      </c>
      <c r="N30" s="21">
        <f t="shared" ref="N30" si="77">(N16-N17)/N16</f>
        <v>0.55336704817673676</v>
      </c>
      <c r="O30" s="21">
        <f t="shared" ref="O30:P30" si="78">(O16-O17)/O16</f>
        <v>0.54554358472086195</v>
      </c>
      <c r="P30" s="21">
        <f t="shared" si="78"/>
        <v>1</v>
      </c>
      <c r="AB30" s="4">
        <f>(AB16-AB17)/AB16</f>
        <v>0.5783936651583711</v>
      </c>
      <c r="AC30" s="4">
        <f>(AC16-AC17)/AC16</f>
        <v>0.55697934115019543</v>
      </c>
      <c r="AD30" s="4">
        <f>(AD16-AD17)/AD16</f>
        <v>0.56213746727580716</v>
      </c>
      <c r="AE30" s="4">
        <f>(AE16-AE17)/AE16</f>
        <v>0.55428597236022037</v>
      </c>
      <c r="AF30" s="4">
        <f t="shared" ref="AF30:AN30" si="79">(AF16-AF17)/AF16</f>
        <v>0.55428597236022037</v>
      </c>
      <c r="AG30" s="4">
        <f t="shared" si="79"/>
        <v>0.55428597236022037</v>
      </c>
      <c r="AH30" s="4">
        <f t="shared" si="79"/>
        <v>0.55428597236022037</v>
      </c>
      <c r="AI30" s="4">
        <f t="shared" si="79"/>
        <v>0.55428597236022026</v>
      </c>
      <c r="AJ30" s="4">
        <f t="shared" si="79"/>
        <v>0.55428597236022037</v>
      </c>
      <c r="AK30" s="4">
        <f t="shared" si="79"/>
        <v>0.55428597236022037</v>
      </c>
      <c r="AL30" s="4">
        <f t="shared" si="79"/>
        <v>0.55428597236022026</v>
      </c>
      <c r="AM30" s="4">
        <f t="shared" si="79"/>
        <v>0.55428597236022026</v>
      </c>
      <c r="AN30" s="4">
        <f t="shared" si="79"/>
        <v>0.55428597236022037</v>
      </c>
      <c r="AO30" s="4">
        <f t="shared" ref="AO30" si="80">(AO16-AO17)/AO16</f>
        <v>0.55428597236022037</v>
      </c>
      <c r="AQ30" s="1" t="s">
        <v>73</v>
      </c>
      <c r="AR30" s="4">
        <v>6.5000000000000002E-2</v>
      </c>
    </row>
    <row r="31" spans="2:241" s="4" customFormat="1" x14ac:dyDescent="0.2">
      <c r="B31" s="4" t="s">
        <v>42</v>
      </c>
      <c r="C31" s="21">
        <f t="shared" ref="C31" si="81">+C21/C16</f>
        <v>0.26048821726725141</v>
      </c>
      <c r="D31" s="21">
        <f t="shared" ref="D31" si="82">+D21/D16</f>
        <v>0.22533692722371967</v>
      </c>
      <c r="E31" s="21">
        <f t="shared" ref="E31:F31" si="83">+E21/E16</f>
        <v>0.21571411667258314</v>
      </c>
      <c r="F31" s="21">
        <f t="shared" si="83"/>
        <v>0.16336461591936044</v>
      </c>
      <c r="G31" s="21">
        <f t="shared" ref="G31:L31" si="84">+G21/G16</f>
        <v>0.29471565173628583</v>
      </c>
      <c r="H31" s="21">
        <f t="shared" si="84"/>
        <v>0.24922781978911493</v>
      </c>
      <c r="I31" s="21">
        <f t="shared" si="84"/>
        <v>0.23655913978494625</v>
      </c>
      <c r="J31" s="21">
        <f t="shared" ref="J31" si="85">+J21/J16</f>
        <v>0.25192776964372865</v>
      </c>
      <c r="K31" s="21">
        <f t="shared" si="84"/>
        <v>0.30465335504327706</v>
      </c>
      <c r="L31" s="21">
        <f t="shared" si="84"/>
        <v>0.28417888696602606</v>
      </c>
      <c r="M31" s="21">
        <f>+M21/M16</f>
        <v>0.26647370959961408</v>
      </c>
      <c r="N31" s="21">
        <f>+N21/N16</f>
        <v>0.25889450802945613</v>
      </c>
      <c r="O31" s="21">
        <f>+O21/O16</f>
        <v>0.27473065621939274</v>
      </c>
      <c r="P31" s="21">
        <f t="shared" ref="P31" si="86">+P21/P16</f>
        <v>0</v>
      </c>
      <c r="AB31" s="4">
        <f>+AB21/AB16</f>
        <v>0.35882352941176471</v>
      </c>
      <c r="AC31" s="4">
        <f>+AC21/AC16</f>
        <v>0.21742043551088777</v>
      </c>
      <c r="AD31" s="4">
        <f>+AD21/AD16</f>
        <v>0.25848262409527234</v>
      </c>
      <c r="AE31" s="4">
        <f>+AE21/AE16</f>
        <v>0.27899467076144885</v>
      </c>
      <c r="AF31" s="4">
        <f t="shared" ref="AF31:AN31" si="87">+AF21/AF16</f>
        <v>0.27899467076144885</v>
      </c>
      <c r="AG31" s="4">
        <f t="shared" si="87"/>
        <v>0.27899467076144874</v>
      </c>
      <c r="AH31" s="4">
        <f t="shared" si="87"/>
        <v>0.27899467076144879</v>
      </c>
      <c r="AI31" s="4">
        <f t="shared" si="87"/>
        <v>0.27899467076144868</v>
      </c>
      <c r="AJ31" s="4">
        <f t="shared" si="87"/>
        <v>0.27899467076144879</v>
      </c>
      <c r="AK31" s="4">
        <f t="shared" si="87"/>
        <v>0.27899467076144863</v>
      </c>
      <c r="AL31" s="4">
        <f t="shared" si="87"/>
        <v>0.2789946707614489</v>
      </c>
      <c r="AM31" s="4">
        <f t="shared" si="87"/>
        <v>0.27899467076144879</v>
      </c>
      <c r="AN31" s="4">
        <f t="shared" si="87"/>
        <v>0.27899467076144874</v>
      </c>
      <c r="AO31" s="4">
        <f t="shared" ref="AO31" si="88">+AO21/AO16</f>
        <v>0.27899467076144874</v>
      </c>
      <c r="AQ31" s="1" t="s">
        <v>48</v>
      </c>
      <c r="AR31" s="4">
        <v>0.01</v>
      </c>
    </row>
    <row r="32" spans="2:241" s="4" customFormat="1" x14ac:dyDescent="0.2"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>
        <f>+O24/O16</f>
        <v>0.28950375448906301</v>
      </c>
      <c r="P32" s="21"/>
      <c r="AQ32" s="1" t="s">
        <v>49</v>
      </c>
      <c r="AR32" s="4">
        <v>7.0000000000000007E-2</v>
      </c>
    </row>
    <row r="33" spans="2:44" s="4" customFormat="1" x14ac:dyDescent="0.2">
      <c r="B33" s="1" t="s">
        <v>93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>
        <f>+O3/K3-1</f>
        <v>3.3007657776604082E-2</v>
      </c>
      <c r="P33" s="21">
        <f>+P3/L3-1</f>
        <v>-0.13407418097849622</v>
      </c>
      <c r="AE33" s="4">
        <f>+AE3/AD3-1</f>
        <v>0.11784579495636094</v>
      </c>
      <c r="AF33" s="4">
        <f>+AF3/AE3-1</f>
        <v>-0.13647321267945167</v>
      </c>
      <c r="AG33" s="4">
        <f>+AG3/AF3-1</f>
        <v>0.2159437500000001</v>
      </c>
      <c r="AH33" s="4">
        <f t="shared" ref="AH33:AO33" si="89">+AH3/AG3-1</f>
        <v>5.0000000000000044E-2</v>
      </c>
      <c r="AI33" s="4">
        <f t="shared" si="89"/>
        <v>5.0000000000000044E-2</v>
      </c>
      <c r="AJ33" s="4">
        <f t="shared" si="89"/>
        <v>5.0000000000000044E-2</v>
      </c>
      <c r="AK33" s="4">
        <f t="shared" si="89"/>
        <v>5.0000000000000044E-2</v>
      </c>
      <c r="AL33" s="4">
        <f t="shared" si="89"/>
        <v>5.0000000000000044E-2</v>
      </c>
      <c r="AM33" s="4">
        <f t="shared" si="89"/>
        <v>5.0000000000000044E-2</v>
      </c>
      <c r="AN33" s="4">
        <f t="shared" si="89"/>
        <v>5.0000000000000044E-2</v>
      </c>
      <c r="AO33" s="4">
        <f t="shared" si="89"/>
        <v>5.0000000000000044E-2</v>
      </c>
      <c r="AQ33" s="6" t="s">
        <v>43</v>
      </c>
      <c r="AR33" s="6">
        <f>NPV(AR32,AE26:IG26)</f>
        <v>145584.19991953712</v>
      </c>
    </row>
    <row r="34" spans="2:44" s="4" customFormat="1" x14ac:dyDescent="0.2">
      <c r="B34" s="1" t="s">
        <v>94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>
        <f t="shared" ref="O34:P41" si="90">+O4/K4-1</f>
        <v>0.14568158168574397</v>
      </c>
      <c r="P34" s="21">
        <f t="shared" si="90"/>
        <v>0.3600000000000001</v>
      </c>
      <c r="AE34" s="4">
        <f t="shared" ref="AE34:AF41" si="91">+AE4/AD4-1</f>
        <v>0.35979381443298974</v>
      </c>
      <c r="AF34" s="4">
        <f t="shared" si="91"/>
        <v>0.31841293909527413</v>
      </c>
      <c r="AG34" s="4">
        <f t="shared" ref="AG34:AO34" si="92">+AG4/AF4-1</f>
        <v>0.30000000000000004</v>
      </c>
      <c r="AH34" s="4">
        <f t="shared" si="92"/>
        <v>0.25</v>
      </c>
      <c r="AI34" s="4">
        <f t="shared" si="92"/>
        <v>0.19999999999999996</v>
      </c>
      <c r="AJ34" s="4">
        <f t="shared" si="92"/>
        <v>0.14999999999999991</v>
      </c>
      <c r="AK34" s="4">
        <f t="shared" si="92"/>
        <v>0.10000000000000009</v>
      </c>
      <c r="AL34" s="4">
        <f t="shared" si="92"/>
        <v>0.10000000000000009</v>
      </c>
      <c r="AM34" s="4">
        <f t="shared" si="92"/>
        <v>0.10000000000000009</v>
      </c>
      <c r="AN34" s="4">
        <f t="shared" si="92"/>
        <v>0.10000000000000009</v>
      </c>
      <c r="AO34" s="4">
        <f t="shared" si="92"/>
        <v>0.10000000000000009</v>
      </c>
      <c r="AQ34" s="1" t="s">
        <v>44</v>
      </c>
      <c r="AR34" s="1">
        <f>+Main!K4</f>
        <v>1067</v>
      </c>
    </row>
    <row r="35" spans="2:44" s="4" customFormat="1" x14ac:dyDescent="0.2">
      <c r="B35" s="1" t="s">
        <v>95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>
        <f t="shared" si="90"/>
        <v>8.9735313105229197E-2</v>
      </c>
      <c r="P35" s="21">
        <f t="shared" si="90"/>
        <v>0.12999999999999989</v>
      </c>
      <c r="AE35" s="4">
        <f t="shared" si="91"/>
        <v>0.22017333579199705</v>
      </c>
      <c r="AF35" s="4">
        <f t="shared" si="91"/>
        <v>7.9963729786912241E-2</v>
      </c>
      <c r="AG35" s="4">
        <f t="shared" ref="AG35:AO35" si="93">+AG5/AF5-1</f>
        <v>8.0000000000000071E-2</v>
      </c>
      <c r="AH35" s="4">
        <f t="shared" si="93"/>
        <v>8.0000000000000071E-2</v>
      </c>
      <c r="AI35" s="4">
        <f t="shared" si="93"/>
        <v>8.0000000000000071E-2</v>
      </c>
      <c r="AJ35" s="4">
        <f t="shared" si="93"/>
        <v>8.0000000000000071E-2</v>
      </c>
      <c r="AK35" s="4">
        <f t="shared" si="93"/>
        <v>8.0000000000000071E-2</v>
      </c>
      <c r="AL35" s="4">
        <f t="shared" si="93"/>
        <v>8.0000000000000071E-2</v>
      </c>
      <c r="AM35" s="4">
        <f t="shared" si="93"/>
        <v>8.0000000000000071E-2</v>
      </c>
      <c r="AN35" s="4">
        <f t="shared" si="93"/>
        <v>8.0000000000000071E-2</v>
      </c>
      <c r="AO35" s="4">
        <f t="shared" si="93"/>
        <v>8.0000000000000071E-2</v>
      </c>
      <c r="AQ35" s="6" t="s">
        <v>45</v>
      </c>
      <c r="AR35" s="6">
        <f>+AR33/AR34</f>
        <v>136.44254912796356</v>
      </c>
    </row>
    <row r="36" spans="2:44" s="4" customFormat="1" x14ac:dyDescent="0.2">
      <c r="B36" s="12" t="s">
        <v>96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>
        <f t="shared" si="90"/>
        <v>5.2459341531138515E-2</v>
      </c>
      <c r="P36" s="21">
        <f t="shared" si="90"/>
        <v>-3.9944027880451927E-2</v>
      </c>
      <c r="AE36" s="4">
        <f t="shared" si="91"/>
        <v>0.15577177973249778</v>
      </c>
      <c r="AF36" s="4">
        <f t="shared" si="91"/>
        <v>-5.2230302082518776E-2</v>
      </c>
      <c r="AG36" s="4">
        <f t="shared" ref="AG36:AO38" si="94">+AG6/AF6-1</f>
        <v>0.20128733869628213</v>
      </c>
      <c r="AH36" s="4">
        <f t="shared" si="94"/>
        <v>8.6351939832318481E-2</v>
      </c>
      <c r="AI36" s="4">
        <f t="shared" si="94"/>
        <v>8.2066264867828531E-2</v>
      </c>
      <c r="AJ36" s="4">
        <f t="shared" si="94"/>
        <v>7.5070962924173035E-2</v>
      </c>
      <c r="AK36" s="4">
        <f t="shared" si="94"/>
        <v>6.5879666198442877E-2</v>
      </c>
      <c r="AL36" s="4">
        <f t="shared" si="94"/>
        <v>6.6288859237014774E-2</v>
      </c>
      <c r="AM36" s="4">
        <f t="shared" si="94"/>
        <v>6.6703425319999399E-2</v>
      </c>
      <c r="AN36" s="4">
        <f t="shared" si="94"/>
        <v>6.7123149524337844E-2</v>
      </c>
      <c r="AO36" s="4">
        <f t="shared" si="94"/>
        <v>6.7547803265934458E-2</v>
      </c>
      <c r="AQ36" s="1" t="s">
        <v>46</v>
      </c>
      <c r="AR36" s="1">
        <f>+Main!K3</f>
        <v>137.34</v>
      </c>
    </row>
    <row r="37" spans="2:44" s="4" customFormat="1" x14ac:dyDescent="0.2">
      <c r="B37" s="16" t="s">
        <v>21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>
        <f t="shared" si="90"/>
        <v>3.7133550488599454E-2</v>
      </c>
      <c r="P37" s="21">
        <f t="shared" si="90"/>
        <v>-1.4404852160727843E-2</v>
      </c>
      <c r="AE37" s="4">
        <f t="shared" si="91"/>
        <v>1.7946877243359971E-3</v>
      </c>
      <c r="AG37" s="4">
        <f t="shared" si="94"/>
        <v>0.12713461538461535</v>
      </c>
      <c r="AH37" s="4">
        <f t="shared" si="94"/>
        <v>0.10000000000000009</v>
      </c>
      <c r="AI37" s="4">
        <f t="shared" si="94"/>
        <v>0.10000000000000009</v>
      </c>
      <c r="AJ37" s="4">
        <f t="shared" si="94"/>
        <v>0.10000000000000009</v>
      </c>
      <c r="AK37" s="4">
        <f t="shared" si="94"/>
        <v>0.10000000000000009</v>
      </c>
      <c r="AL37" s="4">
        <f t="shared" si="94"/>
        <v>0.10000000000000009</v>
      </c>
      <c r="AM37" s="4">
        <f t="shared" si="94"/>
        <v>0.10000000000000009</v>
      </c>
      <c r="AN37" s="4">
        <f t="shared" si="94"/>
        <v>0.10000000000000009</v>
      </c>
      <c r="AO37" s="4">
        <f t="shared" si="94"/>
        <v>0.10000000000000009</v>
      </c>
      <c r="AQ37" s="1" t="s">
        <v>47</v>
      </c>
      <c r="AR37" s="7">
        <f>+AR35/AR36-1</f>
        <v>-6.5345192371956129E-3</v>
      </c>
    </row>
    <row r="38" spans="2:44" s="4" customFormat="1" x14ac:dyDescent="0.2">
      <c r="B38" s="12" t="s">
        <v>97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>
        <f t="shared" si="90"/>
        <v>3.7133550488599454E-2</v>
      </c>
      <c r="P38" s="21">
        <f t="shared" si="90"/>
        <v>-1.4404852160727843E-2</v>
      </c>
      <c r="AE38" s="4">
        <f t="shared" si="91"/>
        <v>1.7946877243359971E-3</v>
      </c>
      <c r="AG38" s="4">
        <f t="shared" si="94"/>
        <v>0.12713461538461535</v>
      </c>
      <c r="AH38" s="4">
        <f t="shared" si="94"/>
        <v>0.10000000000000009</v>
      </c>
      <c r="AI38" s="4">
        <f t="shared" si="94"/>
        <v>0.10000000000000009</v>
      </c>
      <c r="AJ38" s="4">
        <f t="shared" si="94"/>
        <v>0.10000000000000009</v>
      </c>
      <c r="AK38" s="4">
        <f t="shared" si="94"/>
        <v>0.10000000000000009</v>
      </c>
      <c r="AL38" s="4">
        <f t="shared" si="94"/>
        <v>0.10000000000000009</v>
      </c>
      <c r="AM38" s="4">
        <f t="shared" si="94"/>
        <v>0.10000000000000009</v>
      </c>
      <c r="AN38" s="4">
        <f t="shared" si="94"/>
        <v>0.10000000000000009</v>
      </c>
      <c r="AO38" s="4">
        <f t="shared" si="94"/>
        <v>0.10000000000000009</v>
      </c>
    </row>
    <row r="39" spans="2:44" s="4" customFormat="1" x14ac:dyDescent="0.2">
      <c r="B39" s="16" t="s">
        <v>98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AE39" s="4">
        <f t="shared" si="91"/>
        <v>-1</v>
      </c>
    </row>
    <row r="40" spans="2:44" s="4" customFormat="1" x14ac:dyDescent="0.2">
      <c r="B40" s="12" t="s">
        <v>99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AE40" s="4">
        <f t="shared" si="91"/>
        <v>-1</v>
      </c>
    </row>
    <row r="41" spans="2:44" s="4" customFormat="1" x14ac:dyDescent="0.2">
      <c r="B41" s="1" t="s">
        <v>100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>
        <f t="shared" si="90"/>
        <v>5.0434632928823442E-2</v>
      </c>
      <c r="P41" s="21">
        <f t="shared" si="90"/>
        <v>-3.682146829810895E-2</v>
      </c>
      <c r="AE41" s="4">
        <f t="shared" si="91"/>
        <v>0.13311504150982323</v>
      </c>
    </row>
    <row r="42" spans="2:44" s="4" customFormat="1" x14ac:dyDescent="0.2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2:44" s="4" customFormat="1" x14ac:dyDescent="0.2"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2:44" s="4" customFormat="1" x14ac:dyDescent="0.2"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2:44" s="4" customFormat="1" x14ac:dyDescent="0.2">
      <c r="B45" s="4" t="s">
        <v>20</v>
      </c>
      <c r="C45" s="21"/>
      <c r="D45" s="21"/>
      <c r="E45" s="21"/>
      <c r="F45" s="21"/>
      <c r="G45" s="21">
        <f>+G14/C14-1</f>
        <v>6.8345323741007213E-2</v>
      </c>
      <c r="H45" s="21">
        <f>+H14/D14-1</f>
        <v>1.3255161865918907E-2</v>
      </c>
      <c r="I45" s="21">
        <f>+I14/E14-1</f>
        <v>0.12450759707371972</v>
      </c>
      <c r="J45" s="21">
        <f>+J14/F14-1</f>
        <v>0.17037037037037028</v>
      </c>
      <c r="K45" s="21">
        <f>+K14/G14-1</f>
        <v>0.19552669552669544</v>
      </c>
      <c r="L45" s="21">
        <f>+L14/H14-1</f>
        <v>0.17723270440251571</v>
      </c>
      <c r="M45" s="21">
        <f>+M14/I14-1</f>
        <v>0.11259852370824475</v>
      </c>
      <c r="N45" s="21">
        <f>+N14/J14-1</f>
        <v>0.13396624472573837</v>
      </c>
      <c r="O45" s="21">
        <f>+O14/K14-1</f>
        <v>5.2705693019513111E-2</v>
      </c>
      <c r="P45" s="21"/>
      <c r="AC45" s="4">
        <f>+AC14/AB14-1</f>
        <v>-0.1921659358101746</v>
      </c>
      <c r="AD45" s="4">
        <f>+AD14/AC14-1</f>
        <v>9.2014120154522372E-2</v>
      </c>
    </row>
    <row r="46" spans="2:44" s="4" customFormat="1" x14ac:dyDescent="0.2">
      <c r="B46" s="4" t="s">
        <v>21</v>
      </c>
      <c r="C46" s="21"/>
      <c r="D46" s="21"/>
      <c r="E46" s="21"/>
      <c r="F46" s="21"/>
      <c r="G46" s="21">
        <f>+G15/C15-1</f>
        <v>-3.5735556879094688E-2</v>
      </c>
      <c r="H46" s="21">
        <f>+H15/D15-1</f>
        <v>6.9979006298110935E-3</v>
      </c>
      <c r="I46" s="21">
        <f>+I15/E15-1</f>
        <v>4.2442293373045503E-2</v>
      </c>
      <c r="J46" s="21">
        <f>+J15/F15-1</f>
        <v>0.27740492170022368</v>
      </c>
      <c r="K46" s="21">
        <f>+K15/G15-1</f>
        <v>6.6707844348363077E-2</v>
      </c>
      <c r="L46" s="21">
        <f>+L15/H15-1</f>
        <v>0.12578179291174418</v>
      </c>
      <c r="M46" s="21">
        <f>+M15/I15-1</f>
        <v>5.1428571428571379E-2</v>
      </c>
      <c r="N46" s="21">
        <f>+N15/J15-1</f>
        <v>-6.8301225919439545E-2</v>
      </c>
      <c r="O46" s="21">
        <f>+O15/K15-1</f>
        <v>3.4163288940358916E-2</v>
      </c>
      <c r="P46" s="21"/>
      <c r="AC46" s="4">
        <f>+AC15/AB15-1</f>
        <v>-0.17598520415421826</v>
      </c>
      <c r="AD46" s="4">
        <f>+AD15/AC15-1</f>
        <v>6.5435082872928207E-2</v>
      </c>
    </row>
    <row r="47" spans="2:44" s="7" customFormat="1" x14ac:dyDescent="0.2">
      <c r="B47" s="7" t="s">
        <v>22</v>
      </c>
      <c r="C47" s="23"/>
      <c r="D47" s="23"/>
      <c r="E47" s="23"/>
      <c r="F47" s="23"/>
      <c r="G47" s="23">
        <f>+G16/C16-1</f>
        <v>4.9878474056852973E-2</v>
      </c>
      <c r="H47" s="23">
        <f>+H16/D16-1</f>
        <v>1.2291105121293722E-2</v>
      </c>
      <c r="I47" s="23">
        <f>+I16/E16-1</f>
        <v>0.11146609868654589</v>
      </c>
      <c r="J47" s="23">
        <f>+J16/F16-1</f>
        <v>0.18700034758428918</v>
      </c>
      <c r="K47" s="23">
        <f>+K16/G16-1</f>
        <v>0.17453447408153</v>
      </c>
      <c r="L47" s="23">
        <f>+L16/H16-1</f>
        <v>0.16934710831824473</v>
      </c>
      <c r="M47" s="23">
        <f>+M16/I16-1</f>
        <v>0.10348131587352283</v>
      </c>
      <c r="N47" s="23">
        <f>+N16/J16-1</f>
        <v>0.1001464128843339</v>
      </c>
      <c r="O47" s="23">
        <f>+O16/K16-1</f>
        <v>4.9961436284171823E-2</v>
      </c>
      <c r="P47" s="23">
        <f>+P16/L16-1</f>
        <v>-3.4520448128244841E-2</v>
      </c>
      <c r="AC47" s="7">
        <f>+AC16/AB16-1</f>
        <v>-0.18959276018099547</v>
      </c>
      <c r="AD47" s="7">
        <f>+AD16/AC16-1</f>
        <v>8.7716359575656044E-2</v>
      </c>
      <c r="AE47" s="7">
        <f>+AE16/AD16-1</f>
        <v>0.13659463066577682</v>
      </c>
      <c r="AF47" s="7">
        <f t="shared" ref="AF47:AO47" si="95">+AF16/AE16-1</f>
        <v>-4.2543582332219332E-2</v>
      </c>
      <c r="AG47" s="7">
        <f t="shared" si="95"/>
        <v>0.16848131132075483</v>
      </c>
      <c r="AH47" s="7">
        <f t="shared" si="95"/>
        <v>8.7966530479302252E-2</v>
      </c>
      <c r="AI47" s="7">
        <f t="shared" si="95"/>
        <v>8.4211324673816756E-2</v>
      </c>
      <c r="AJ47" s="7">
        <f t="shared" si="95"/>
        <v>7.8096154646271954E-2</v>
      </c>
      <c r="AK47" s="7">
        <f t="shared" si="95"/>
        <v>7.0104366048096445E-2</v>
      </c>
      <c r="AL47" s="7">
        <f t="shared" si="95"/>
        <v>7.0579504265524395E-2</v>
      </c>
      <c r="AM47" s="7">
        <f t="shared" si="95"/>
        <v>7.1057766514359022E-2</v>
      </c>
      <c r="AN47" s="7">
        <f t="shared" si="95"/>
        <v>7.1538781752707781E-2</v>
      </c>
      <c r="AO47" s="7">
        <f t="shared" si="95"/>
        <v>7.2022170019822918E-2</v>
      </c>
    </row>
    <row r="50" spans="2:41" x14ac:dyDescent="0.2">
      <c r="B50" s="1" t="s">
        <v>72</v>
      </c>
      <c r="M50" s="10">
        <f>SUM(M51:M53)-M67-M70</f>
        <v>-2454</v>
      </c>
      <c r="N50" s="10">
        <f>SUM(N51:N53)-N67-N70</f>
        <v>-2333</v>
      </c>
      <c r="O50" s="10">
        <f>SUM(O51:O53)-O67-O70</f>
        <v>-2995</v>
      </c>
      <c r="AD50" s="1">
        <f>+M50</f>
        <v>-2454</v>
      </c>
      <c r="AE50" s="1">
        <f>+AD50*0.98</f>
        <v>-2404.92</v>
      </c>
      <c r="AF50" s="1">
        <f t="shared" ref="AF50:AO50" si="96">+AE50*0.95</f>
        <v>-2284.674</v>
      </c>
      <c r="AG50" s="1">
        <f t="shared" si="96"/>
        <v>-2170.4402999999998</v>
      </c>
      <c r="AH50" s="1">
        <f t="shared" si="96"/>
        <v>-2061.9182849999997</v>
      </c>
      <c r="AI50" s="1">
        <f t="shared" si="96"/>
        <v>-1958.8223707499997</v>
      </c>
      <c r="AJ50" s="1">
        <f t="shared" si="96"/>
        <v>-1860.8812522124997</v>
      </c>
      <c r="AK50" s="1">
        <f t="shared" si="96"/>
        <v>-1767.8371896018746</v>
      </c>
      <c r="AL50" s="1">
        <f t="shared" si="96"/>
        <v>-1679.4453301217807</v>
      </c>
      <c r="AM50" s="1">
        <f t="shared" si="96"/>
        <v>-1595.4730636156917</v>
      </c>
      <c r="AN50" s="1">
        <f t="shared" si="96"/>
        <v>-1515.6994104349071</v>
      </c>
      <c r="AO50" s="1">
        <f t="shared" si="96"/>
        <v>-1439.9144399131617</v>
      </c>
    </row>
    <row r="51" spans="2:41" x14ac:dyDescent="0.2">
      <c r="B51" s="1" t="s">
        <v>50</v>
      </c>
      <c r="M51" s="10">
        <v>5448</v>
      </c>
      <c r="N51" s="10">
        <v>5520</v>
      </c>
      <c r="O51" s="10">
        <v>7205</v>
      </c>
    </row>
    <row r="52" spans="2:41" x14ac:dyDescent="0.2">
      <c r="B52" s="1" t="s">
        <v>51</v>
      </c>
      <c r="M52" s="10">
        <v>2323</v>
      </c>
      <c r="N52" s="10">
        <v>2323</v>
      </c>
      <c r="O52" s="10">
        <v>0</v>
      </c>
    </row>
    <row r="53" spans="2:41" x14ac:dyDescent="0.2">
      <c r="B53" s="1" t="s">
        <v>52</v>
      </c>
      <c r="M53" s="10">
        <v>4563</v>
      </c>
      <c r="N53" s="10">
        <v>4635</v>
      </c>
      <c r="O53" s="10">
        <v>4617</v>
      </c>
    </row>
    <row r="54" spans="2:41" x14ac:dyDescent="0.2">
      <c r="B54" s="1" t="s">
        <v>53</v>
      </c>
      <c r="M54" s="10">
        <v>3410</v>
      </c>
      <c r="N54" s="10">
        <v>4315</v>
      </c>
      <c r="O54" s="10">
        <v>4153</v>
      </c>
    </row>
    <row r="55" spans="2:41" x14ac:dyDescent="0.2">
      <c r="B55" s="1" t="s">
        <v>54</v>
      </c>
      <c r="M55" s="10">
        <v>6338</v>
      </c>
      <c r="N55" s="10">
        <v>6526</v>
      </c>
      <c r="O55" s="10">
        <v>6665</v>
      </c>
    </row>
    <row r="56" spans="2:41" x14ac:dyDescent="0.2">
      <c r="B56" s="1" t="s">
        <v>55</v>
      </c>
      <c r="M56" s="10">
        <v>2831</v>
      </c>
      <c r="N56" s="10">
        <v>2435</v>
      </c>
      <c r="O56" s="10">
        <v>1968</v>
      </c>
    </row>
    <row r="57" spans="2:41" x14ac:dyDescent="0.2">
      <c r="B57" s="1" t="s">
        <v>56</v>
      </c>
      <c r="M57" s="10">
        <v>6114</v>
      </c>
      <c r="N57" s="10">
        <v>0</v>
      </c>
      <c r="O57" s="10">
        <v>0</v>
      </c>
    </row>
    <row r="58" spans="2:41" x14ac:dyDescent="0.2">
      <c r="B58" s="1" t="s">
        <v>57</v>
      </c>
      <c r="M58" s="10">
        <v>4496</v>
      </c>
      <c r="N58" s="10">
        <v>4690</v>
      </c>
      <c r="O58" s="10">
        <v>4893</v>
      </c>
    </row>
    <row r="59" spans="2:41" x14ac:dyDescent="0.2">
      <c r="B59" s="1" t="s">
        <v>58</v>
      </c>
      <c r="M59" s="10">
        <v>11366</v>
      </c>
      <c r="N59" s="10">
        <v>11358</v>
      </c>
      <c r="O59" s="10">
        <v>14183</v>
      </c>
    </row>
    <row r="60" spans="2:41" x14ac:dyDescent="0.2">
      <c r="B60" s="1" t="s">
        <v>59</v>
      </c>
      <c r="M60" s="10">
        <v>1202</v>
      </c>
      <c r="N60" s="10">
        <v>1148</v>
      </c>
      <c r="O60" s="10">
        <v>1627</v>
      </c>
    </row>
    <row r="61" spans="2:41" x14ac:dyDescent="0.2">
      <c r="B61" s="1" t="s">
        <v>60</v>
      </c>
      <c r="M61" s="10">
        <v>6771</v>
      </c>
      <c r="N61" s="10">
        <v>7193</v>
      </c>
      <c r="O61" s="10">
        <v>7723</v>
      </c>
    </row>
    <row r="62" spans="2:41" x14ac:dyDescent="0.2">
      <c r="B62" s="1" t="s">
        <v>61</v>
      </c>
      <c r="M62" s="10">
        <f>+SUM(M51:M61)</f>
        <v>54862</v>
      </c>
      <c r="N62" s="10">
        <f>+SUM(N51:N61)</f>
        <v>50143</v>
      </c>
      <c r="O62" s="10">
        <f>+SUM(O51:O61)</f>
        <v>53034</v>
      </c>
    </row>
    <row r="64" spans="2:41" x14ac:dyDescent="0.2">
      <c r="B64" s="1" t="s">
        <v>62</v>
      </c>
      <c r="M64" s="10">
        <v>2337</v>
      </c>
      <c r="N64" s="10">
        <v>2791</v>
      </c>
      <c r="O64" s="10">
        <v>2709</v>
      </c>
    </row>
    <row r="65" spans="2:31" x14ac:dyDescent="0.2">
      <c r="B65" s="1" t="s">
        <v>63</v>
      </c>
      <c r="M65" s="10">
        <v>1586</v>
      </c>
      <c r="N65" s="10">
        <v>1839</v>
      </c>
      <c r="O65" s="10">
        <v>1505</v>
      </c>
    </row>
    <row r="66" spans="2:31" x14ac:dyDescent="0.2">
      <c r="B66" s="1" t="s">
        <v>64</v>
      </c>
      <c r="M66" s="10">
        <v>285</v>
      </c>
      <c r="N66" s="10">
        <v>358</v>
      </c>
      <c r="O66" s="10">
        <v>379</v>
      </c>
    </row>
    <row r="67" spans="2:31" x14ac:dyDescent="0.2">
      <c r="B67" s="1" t="s">
        <v>65</v>
      </c>
      <c r="M67" s="10">
        <v>0</v>
      </c>
      <c r="N67" s="10">
        <v>0</v>
      </c>
      <c r="O67" s="10">
        <v>0</v>
      </c>
    </row>
    <row r="68" spans="2:31" x14ac:dyDescent="0.2">
      <c r="B68" s="1" t="s">
        <v>66</v>
      </c>
      <c r="M68" s="10">
        <v>3592</v>
      </c>
      <c r="N68" s="10">
        <v>4156</v>
      </c>
      <c r="O68" s="10">
        <v>5229</v>
      </c>
    </row>
    <row r="69" spans="2:31" x14ac:dyDescent="0.2">
      <c r="B69" s="1" t="s">
        <v>64</v>
      </c>
      <c r="M69" s="10">
        <v>93</v>
      </c>
      <c r="N69" s="10">
        <v>71</v>
      </c>
      <c r="O69" s="10">
        <v>79</v>
      </c>
    </row>
    <row r="70" spans="2:31" x14ac:dyDescent="0.2">
      <c r="B70" s="1" t="s">
        <v>67</v>
      </c>
      <c r="M70" s="10">
        <v>14788</v>
      </c>
      <c r="N70" s="10">
        <v>14811</v>
      </c>
      <c r="O70" s="10">
        <v>14817</v>
      </c>
    </row>
    <row r="71" spans="2:31" x14ac:dyDescent="0.2">
      <c r="B71" s="1" t="s">
        <v>68</v>
      </c>
      <c r="M71" s="10">
        <v>4972</v>
      </c>
      <c r="N71" s="10">
        <v>4911</v>
      </c>
      <c r="O71" s="10">
        <v>5243</v>
      </c>
    </row>
    <row r="72" spans="2:31" x14ac:dyDescent="0.2">
      <c r="B72" s="1" t="s">
        <v>69</v>
      </c>
      <c r="M72" s="10">
        <f>+SUM(M64:M71)</f>
        <v>27653</v>
      </c>
      <c r="N72" s="10">
        <f>+SUM(N64:N71)</f>
        <v>28937</v>
      </c>
      <c r="O72" s="10">
        <f>+SUM(O64:O71)</f>
        <v>29961</v>
      </c>
    </row>
    <row r="73" spans="2:31" x14ac:dyDescent="0.2">
      <c r="B73" s="1" t="s">
        <v>70</v>
      </c>
      <c r="M73" s="10">
        <v>27209</v>
      </c>
      <c r="N73" s="10">
        <v>21206</v>
      </c>
      <c r="O73" s="10">
        <v>23073</v>
      </c>
    </row>
    <row r="74" spans="2:31" x14ac:dyDescent="0.2">
      <c r="B74" s="1" t="s">
        <v>71</v>
      </c>
      <c r="M74" s="10">
        <f>+SUM(M72:M73)</f>
        <v>54862</v>
      </c>
      <c r="N74" s="10">
        <f>+SUM(N72:N73)</f>
        <v>50143</v>
      </c>
      <c r="O74" s="10">
        <f>+SUM(O72:O73)</f>
        <v>53034</v>
      </c>
    </row>
    <row r="77" spans="2:31" x14ac:dyDescent="0.2">
      <c r="B77" s="1" t="s">
        <v>101</v>
      </c>
      <c r="G77" s="10">
        <v>2949</v>
      </c>
      <c r="H77" s="10">
        <f>6503-G77</f>
        <v>3554</v>
      </c>
      <c r="I77" s="10">
        <f>9555-H77-G77</f>
        <v>3052</v>
      </c>
      <c r="J77" s="10">
        <f>+AD77-SUM(G77:I77)</f>
        <v>2647</v>
      </c>
      <c r="K77" s="10">
        <v>4587</v>
      </c>
      <c r="L77" s="10">
        <f>7141-K77</f>
        <v>2554</v>
      </c>
      <c r="M77" s="10">
        <f>10016-L77-K77</f>
        <v>2875</v>
      </c>
      <c r="N77" s="10">
        <f>+AE77-SUM(K77:M77)</f>
        <v>3996</v>
      </c>
      <c r="O77" s="10">
        <v>4965</v>
      </c>
      <c r="AD77" s="1">
        <v>12202</v>
      </c>
      <c r="AE77" s="1">
        <v>14012</v>
      </c>
    </row>
    <row r="78" spans="2:31" x14ac:dyDescent="0.2">
      <c r="B78" s="1" t="s">
        <v>102</v>
      </c>
      <c r="G78" s="10">
        <v>-214</v>
      </c>
      <c r="H78" s="10">
        <f>+-398-G78</f>
        <v>-184</v>
      </c>
      <c r="I78" s="10">
        <f>+-785-H78-G78</f>
        <v>-387</v>
      </c>
      <c r="J78" s="10">
        <f>+AD78-SUM(G78:I78)</f>
        <v>-256</v>
      </c>
      <c r="K78" s="10">
        <v>-277</v>
      </c>
      <c r="L78" s="10">
        <f>+-491-K78</f>
        <v>-214</v>
      </c>
      <c r="M78" s="10">
        <f>+-785-L78-K78</f>
        <v>-294</v>
      </c>
      <c r="N78" s="10">
        <f>+AE78-SUM(K78:M78)</f>
        <v>-407</v>
      </c>
      <c r="O78" s="10">
        <v>-549</v>
      </c>
      <c r="AD78" s="1">
        <v>-1041</v>
      </c>
      <c r="AE78" s="1">
        <v>-1192</v>
      </c>
    </row>
    <row r="79" spans="2:31" x14ac:dyDescent="0.2">
      <c r="B79" s="1" t="s">
        <v>103</v>
      </c>
      <c r="G79" s="10">
        <f>+G77+G78</f>
        <v>2735</v>
      </c>
      <c r="H79" s="10">
        <f>+H77+H78</f>
        <v>3370</v>
      </c>
      <c r="I79" s="10">
        <f>+I77+I78</f>
        <v>2665</v>
      </c>
      <c r="J79" s="10">
        <f>+J77+J78</f>
        <v>2391</v>
      </c>
      <c r="K79" s="10">
        <f>+K77+K78</f>
        <v>4310</v>
      </c>
      <c r="L79" s="10">
        <f>+L77+L78</f>
        <v>2340</v>
      </c>
      <c r="M79" s="10">
        <f>+M77+M78</f>
        <v>2581</v>
      </c>
      <c r="N79" s="10">
        <f>+N77+N78</f>
        <v>3589</v>
      </c>
      <c r="O79" s="10">
        <f>+O77+O78</f>
        <v>4416</v>
      </c>
      <c r="AD79" s="10">
        <f>+AD77+AD78</f>
        <v>11161</v>
      </c>
      <c r="AE79" s="10">
        <f>+AE77+AE78</f>
        <v>12820</v>
      </c>
    </row>
    <row r="80" spans="2:31" x14ac:dyDescent="0.2">
      <c r="B80" s="1" t="s">
        <v>106</v>
      </c>
      <c r="G80" s="10">
        <f>+G26</f>
        <v>2811</v>
      </c>
      <c r="H80" s="10">
        <f t="shared" ref="H80:O80" si="97">+H26</f>
        <v>2275</v>
      </c>
      <c r="I80" s="10">
        <f t="shared" si="97"/>
        <v>2109</v>
      </c>
      <c r="J80" s="10">
        <f t="shared" si="97"/>
        <v>2915</v>
      </c>
      <c r="K80" s="10">
        <f t="shared" si="97"/>
        <v>3180</v>
      </c>
      <c r="L80" s="10">
        <f t="shared" si="97"/>
        <v>2812</v>
      </c>
      <c r="M80" s="10">
        <f t="shared" si="97"/>
        <v>2666</v>
      </c>
      <c r="N80" s="10">
        <f t="shared" si="97"/>
        <v>-3117</v>
      </c>
      <c r="O80" s="10">
        <f t="shared" si="97"/>
        <v>3004</v>
      </c>
    </row>
    <row r="82" spans="2:15" x14ac:dyDescent="0.2">
      <c r="B82" s="1" t="s">
        <v>104</v>
      </c>
      <c r="J82" s="10">
        <f t="shared" ref="J82:N82" si="98">SUM(G79:J79)</f>
        <v>11161</v>
      </c>
      <c r="K82" s="10">
        <f t="shared" si="98"/>
        <v>12736</v>
      </c>
      <c r="L82" s="10">
        <f t="shared" si="98"/>
        <v>11706</v>
      </c>
      <c r="M82" s="10">
        <f t="shared" si="98"/>
        <v>11622</v>
      </c>
      <c r="N82" s="10">
        <f t="shared" si="98"/>
        <v>12820</v>
      </c>
      <c r="O82" s="10">
        <f>SUM(L79:O79)</f>
        <v>12926</v>
      </c>
    </row>
    <row r="83" spans="2:15" x14ac:dyDescent="0.2">
      <c r="B83" s="1" t="s">
        <v>105</v>
      </c>
      <c r="J83" s="10">
        <f t="shared" ref="J83:N83" si="99">SUM(G80:J80)</f>
        <v>10110</v>
      </c>
      <c r="K83" s="10">
        <f t="shared" si="99"/>
        <v>10479</v>
      </c>
      <c r="L83" s="10">
        <f t="shared" si="99"/>
        <v>11016</v>
      </c>
      <c r="M83" s="10">
        <f t="shared" si="99"/>
        <v>11573</v>
      </c>
      <c r="N83" s="10">
        <f t="shared" si="99"/>
        <v>5541</v>
      </c>
      <c r="O83" s="10">
        <f>SUM(L80:O80)</f>
        <v>5365</v>
      </c>
    </row>
  </sheetData>
  <pageMargins left="0.7" right="0.7" top="0.75" bottom="0.75" header="0.3" footer="0.3"/>
  <ignoredErrors>
    <ignoredError sqref="F16:H16 S16 F17:H17 S17 F18:H18 S18 F19:H19 S19 F20:H20 S20 F21:H21 S21 F22:H22 S22 F23:H23 S23 F24:H24 S24 F25:H25 S25 F26:H26 S26 N16 M27:N28 N26 N25 N24 N23 N22 N21 N20 N19 N18 N17 D6:N11" formula="1"/>
    <ignoredError sqref="I26:L26 I25:L25 I24:L24 I23:L23 I22:L22 I21:L21 I20:L20 I19:L19 I18:L18 I17:L17 I16:L16 M16 M17 M18 M19 M20 M21 M22 M23 M24 M25 M26 M30:N31 M29:N29" formula="1" formulaRange="1"/>
    <ignoredError sqref="I15:M15 I29:L29 O26 O16 O17 O18 O19 O20 O21 O22 O23 O24 O25 O15 I45:O50 I30:L31 O29" formulaRange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2025-08-14T02:21:04Z</dcterms:created>
  <dcterms:modified xsi:type="dcterms:W3CDTF">2026-02-08T07:05:36Z</dcterms:modified>
</cp:coreProperties>
</file>