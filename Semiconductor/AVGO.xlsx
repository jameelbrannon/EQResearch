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E41112E5-6B2F-5C4E-9260-4EAEEA803E4B}" xr6:coauthVersionLast="47" xr6:coauthVersionMax="47" xr10:uidLastSave="{00000000-0000-0000-0000-000000000000}"/>
  <bookViews>
    <workbookView xWindow="20700" yWindow="600" windowWidth="24100" windowHeight="24620" xr2:uid="{C080E77C-0EAD-A94A-B00E-ECE566F422A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F17" i="2" l="1"/>
  <c r="R6" i="2"/>
  <c r="Q6" i="2"/>
  <c r="Q11" i="2" s="1"/>
  <c r="Q30" i="2" s="1"/>
  <c r="P6" i="2"/>
  <c r="Q10" i="2"/>
  <c r="Q29" i="2" s="1"/>
  <c r="AD30" i="2"/>
  <c r="AC30" i="2"/>
  <c r="AB30" i="2"/>
  <c r="AA30" i="2"/>
  <c r="Z30" i="2"/>
  <c r="AD29" i="2"/>
  <c r="AC29" i="2"/>
  <c r="AB29" i="2"/>
  <c r="AA29" i="2"/>
  <c r="Z29" i="2"/>
  <c r="Y30" i="2"/>
  <c r="Y29" i="2"/>
  <c r="AF13" i="2"/>
  <c r="AG13" i="2" s="1"/>
  <c r="AH13" i="2" s="1"/>
  <c r="AI13" i="2" s="1"/>
  <c r="AJ13" i="2" s="1"/>
  <c r="AK13" i="2" s="1"/>
  <c r="AL13" i="2" s="1"/>
  <c r="AM13" i="2" s="1"/>
  <c r="AN13" i="2" s="1"/>
  <c r="AE13" i="2"/>
  <c r="AF14" i="2"/>
  <c r="AG14" i="2" s="1"/>
  <c r="AH14" i="2" s="1"/>
  <c r="AI14" i="2" s="1"/>
  <c r="AJ14" i="2" s="1"/>
  <c r="AK14" i="2" s="1"/>
  <c r="AL14" i="2" s="1"/>
  <c r="AM14" i="2" s="1"/>
  <c r="AN14" i="2" s="1"/>
  <c r="AE14" i="2"/>
  <c r="AD17" i="2"/>
  <c r="AF35" i="2"/>
  <c r="AG35" i="2" s="1"/>
  <c r="AH35" i="2" s="1"/>
  <c r="AI35" i="2" s="1"/>
  <c r="AJ35" i="2" s="1"/>
  <c r="AK35" i="2" s="1"/>
  <c r="AL35" i="2" s="1"/>
  <c r="AM35" i="2" s="1"/>
  <c r="AN35" i="2" s="1"/>
  <c r="AE35" i="2"/>
  <c r="AD35" i="2"/>
  <c r="AF36" i="2"/>
  <c r="AG36" i="2" s="1"/>
  <c r="AH36" i="2" s="1"/>
  <c r="AI36" i="2" s="1"/>
  <c r="AJ36" i="2" s="1"/>
  <c r="AK36" i="2" s="1"/>
  <c r="AL36" i="2" s="1"/>
  <c r="AM36" i="2" s="1"/>
  <c r="AN36" i="2" s="1"/>
  <c r="AE36" i="2"/>
  <c r="AD36" i="2"/>
  <c r="O11" i="2"/>
  <c r="O10" i="2"/>
  <c r="O29" i="2" s="1"/>
  <c r="O30" i="2"/>
  <c r="N10" i="2"/>
  <c r="N11" i="2"/>
  <c r="M30" i="2"/>
  <c r="L30" i="2"/>
  <c r="K30" i="2"/>
  <c r="J30" i="2"/>
  <c r="I30" i="2"/>
  <c r="H30" i="2"/>
  <c r="G30" i="2"/>
  <c r="F30" i="2"/>
  <c r="E30" i="2"/>
  <c r="D30" i="2"/>
  <c r="M29" i="2"/>
  <c r="L29" i="2"/>
  <c r="K29" i="2"/>
  <c r="J29" i="2"/>
  <c r="I29" i="2"/>
  <c r="H29" i="2"/>
  <c r="G29" i="2"/>
  <c r="F29" i="2"/>
  <c r="E29" i="2"/>
  <c r="D29" i="2"/>
  <c r="C30" i="2"/>
  <c r="C29" i="2"/>
  <c r="AD26" i="2"/>
  <c r="AD25" i="2"/>
  <c r="N56" i="2"/>
  <c r="N55" i="2"/>
  <c r="N57" i="2" s="1"/>
  <c r="N35" i="2" s="1"/>
  <c r="M56" i="2"/>
  <c r="M55" i="2"/>
  <c r="M57" i="2" s="1"/>
  <c r="M35" i="2" s="1"/>
  <c r="L56" i="2"/>
  <c r="L55" i="2"/>
  <c r="L57" i="2" s="1"/>
  <c r="L35" i="2" s="1"/>
  <c r="K56" i="2"/>
  <c r="K55" i="2"/>
  <c r="K57" i="2" s="1"/>
  <c r="K35" i="2" s="1"/>
  <c r="J56" i="2"/>
  <c r="J55" i="2"/>
  <c r="M59" i="2"/>
  <c r="L59" i="2"/>
  <c r="K59" i="2"/>
  <c r="J59" i="2"/>
  <c r="K53" i="2"/>
  <c r="K44" i="2"/>
  <c r="H65" i="2"/>
  <c r="H64" i="2"/>
  <c r="L65" i="2"/>
  <c r="M65" i="2" s="1"/>
  <c r="N65" i="2" s="1"/>
  <c r="L64" i="2"/>
  <c r="L53" i="2"/>
  <c r="L44" i="2"/>
  <c r="G66" i="2"/>
  <c r="K66" i="2"/>
  <c r="M53" i="2"/>
  <c r="M44" i="2"/>
  <c r="AD21" i="2"/>
  <c r="AD20" i="2"/>
  <c r="AC21" i="2"/>
  <c r="AC20" i="2"/>
  <c r="M26" i="2"/>
  <c r="M25" i="2"/>
  <c r="M21" i="2"/>
  <c r="M20" i="2"/>
  <c r="M6" i="2"/>
  <c r="AD65" i="2"/>
  <c r="AD64" i="2"/>
  <c r="N59" i="2"/>
  <c r="J53" i="2"/>
  <c r="J44" i="2"/>
  <c r="N53" i="2"/>
  <c r="N44" i="2"/>
  <c r="N16" i="2"/>
  <c r="N14" i="2"/>
  <c r="N13" i="2"/>
  <c r="N8" i="2"/>
  <c r="N7" i="2"/>
  <c r="N5" i="2"/>
  <c r="N4" i="2"/>
  <c r="AD6" i="2"/>
  <c r="H9" i="1"/>
  <c r="AQ26" i="2"/>
  <c r="AQ24" i="2"/>
  <c r="L6" i="2"/>
  <c r="K6" i="2"/>
  <c r="I6" i="2"/>
  <c r="H6" i="2"/>
  <c r="H9" i="2" s="1"/>
  <c r="H12" i="2" s="1"/>
  <c r="H15" i="2" s="1"/>
  <c r="H17" i="2" s="1"/>
  <c r="H67" i="2" s="1"/>
  <c r="G6" i="2"/>
  <c r="G9" i="2" s="1"/>
  <c r="G12" i="2" s="1"/>
  <c r="G15" i="2" s="1"/>
  <c r="G17" i="2" s="1"/>
  <c r="G67" i="2" s="1"/>
  <c r="C6" i="2"/>
  <c r="C9" i="2" s="1"/>
  <c r="C12" i="2" s="1"/>
  <c r="C15" i="2" s="1"/>
  <c r="C17" i="2" s="1"/>
  <c r="D6" i="2"/>
  <c r="E6" i="2"/>
  <c r="Y6" i="2"/>
  <c r="Z6" i="2"/>
  <c r="Z9" i="2" s="1"/>
  <c r="Z12" i="2" s="1"/>
  <c r="Z15" i="2" s="1"/>
  <c r="Z17" i="2" s="1"/>
  <c r="AA6" i="2"/>
  <c r="AA9" i="2" s="1"/>
  <c r="AA12" i="2" s="1"/>
  <c r="AA15" i="2" s="1"/>
  <c r="AA17" i="2" s="1"/>
  <c r="AA67" i="2" s="1"/>
  <c r="AB6" i="2"/>
  <c r="AB9" i="2" s="1"/>
  <c r="AB12" i="2" s="1"/>
  <c r="AB15" i="2" s="1"/>
  <c r="AB17" i="2" s="1"/>
  <c r="AB67" i="2" s="1"/>
  <c r="AC6" i="2"/>
  <c r="Y26" i="2"/>
  <c r="Y25" i="2"/>
  <c r="Z26" i="2"/>
  <c r="Z25" i="2"/>
  <c r="Z21" i="2"/>
  <c r="Z20" i="2"/>
  <c r="Y9" i="2"/>
  <c r="AA21" i="2"/>
  <c r="AA20" i="2"/>
  <c r="K21" i="2"/>
  <c r="I21" i="2"/>
  <c r="H21" i="2"/>
  <c r="G21" i="2"/>
  <c r="K20" i="2"/>
  <c r="I20" i="2"/>
  <c r="H20" i="2"/>
  <c r="G20" i="2"/>
  <c r="C26" i="2"/>
  <c r="C25" i="2"/>
  <c r="D26" i="2"/>
  <c r="D25" i="2"/>
  <c r="F16" i="2"/>
  <c r="F14" i="2"/>
  <c r="F13" i="2"/>
  <c r="F11" i="2"/>
  <c r="F10" i="2"/>
  <c r="F8" i="2"/>
  <c r="F7" i="2"/>
  <c r="F5" i="2"/>
  <c r="F4" i="2"/>
  <c r="F6" i="2" s="1"/>
  <c r="J16" i="2"/>
  <c r="J14" i="2"/>
  <c r="J13" i="2"/>
  <c r="J11" i="2"/>
  <c r="J10" i="2"/>
  <c r="J8" i="2"/>
  <c r="J7" i="2"/>
  <c r="J5" i="2"/>
  <c r="J4" i="2"/>
  <c r="J6" i="2" s="1"/>
  <c r="D9" i="2"/>
  <c r="D12" i="2" s="1"/>
  <c r="D15" i="2" s="1"/>
  <c r="D17" i="2" s="1"/>
  <c r="I26" i="2"/>
  <c r="I25" i="2"/>
  <c r="E26" i="2"/>
  <c r="E25" i="2"/>
  <c r="E9" i="2"/>
  <c r="E12" i="2" s="1"/>
  <c r="E15" i="2" s="1"/>
  <c r="E17" i="2" s="1"/>
  <c r="AC26" i="2"/>
  <c r="AC25" i="2"/>
  <c r="AB26" i="2"/>
  <c r="AB25" i="2"/>
  <c r="AA26" i="2"/>
  <c r="AA25" i="2"/>
  <c r="G26" i="2"/>
  <c r="G25" i="2"/>
  <c r="H26" i="2"/>
  <c r="H25" i="2"/>
  <c r="K26" i="2"/>
  <c r="K25" i="2"/>
  <c r="L26" i="2"/>
  <c r="L25" i="2"/>
  <c r="K9" i="2"/>
  <c r="K12" i="2" s="1"/>
  <c r="K15" i="2" s="1"/>
  <c r="K17" i="2" s="1"/>
  <c r="K67" i="2" s="1"/>
  <c r="L21" i="2"/>
  <c r="L20" i="2"/>
  <c r="AC66" i="2"/>
  <c r="AB66" i="2"/>
  <c r="AA66" i="2"/>
  <c r="AB21" i="2"/>
  <c r="AB20" i="2"/>
  <c r="R11" i="2" l="1"/>
  <c r="R30" i="2" s="1"/>
  <c r="R10" i="2"/>
  <c r="R29" i="2" s="1"/>
  <c r="P11" i="2"/>
  <c r="P30" i="2" s="1"/>
  <c r="P10" i="2"/>
  <c r="P29" i="2" s="1"/>
  <c r="N29" i="2"/>
  <c r="N30" i="2"/>
  <c r="J57" i="2"/>
  <c r="J35" i="2" s="1"/>
  <c r="AC22" i="2"/>
  <c r="AC9" i="2"/>
  <c r="AC12" i="2" s="1"/>
  <c r="AC15" i="2" s="1"/>
  <c r="AC17" i="2" s="1"/>
  <c r="AC67" i="2" s="1"/>
  <c r="L9" i="2"/>
  <c r="O22" i="2"/>
  <c r="O4" i="2"/>
  <c r="AD22" i="2"/>
  <c r="I65" i="2"/>
  <c r="J65" i="2" s="1"/>
  <c r="I64" i="2"/>
  <c r="J64" i="2" s="1"/>
  <c r="L66" i="2"/>
  <c r="M64" i="2"/>
  <c r="N64" i="2" s="1"/>
  <c r="N66" i="2" s="1"/>
  <c r="M22" i="2"/>
  <c r="M9" i="2"/>
  <c r="I66" i="2"/>
  <c r="H66" i="2"/>
  <c r="M66" i="2"/>
  <c r="N26" i="2"/>
  <c r="N21" i="2"/>
  <c r="N25" i="2"/>
  <c r="N20" i="2"/>
  <c r="AD66" i="2"/>
  <c r="AD9" i="2"/>
  <c r="AD27" i="2" s="1"/>
  <c r="I9" i="2"/>
  <c r="I27" i="2" s="1"/>
  <c r="J20" i="2"/>
  <c r="AB27" i="2"/>
  <c r="D27" i="2"/>
  <c r="J21" i="2"/>
  <c r="F25" i="2"/>
  <c r="K22" i="2"/>
  <c r="E27" i="2"/>
  <c r="F26" i="2"/>
  <c r="J22" i="2"/>
  <c r="J25" i="2"/>
  <c r="K27" i="2"/>
  <c r="G27" i="2"/>
  <c r="AC27" i="2"/>
  <c r="F15" i="2"/>
  <c r="F17" i="2"/>
  <c r="F9" i="2"/>
  <c r="J26" i="2"/>
  <c r="Y27" i="2"/>
  <c r="Y12" i="2"/>
  <c r="Y15" i="2" s="1"/>
  <c r="Y17" i="2" s="1"/>
  <c r="Z22" i="2"/>
  <c r="G22" i="2"/>
  <c r="Z27" i="2"/>
  <c r="AA27" i="2"/>
  <c r="H22" i="2"/>
  <c r="H27" i="2"/>
  <c r="L22" i="2"/>
  <c r="F12" i="2"/>
  <c r="C27" i="2"/>
  <c r="I22" i="2"/>
  <c r="AA22" i="2"/>
  <c r="AB22" i="2"/>
  <c r="Z3" i="2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IB3" i="2" s="1"/>
  <c r="IC3" i="2" s="1"/>
  <c r="ID3" i="2" s="1"/>
  <c r="IE3" i="2" s="1"/>
  <c r="I8" i="1"/>
  <c r="I9" i="1" s="1"/>
  <c r="H7" i="1"/>
  <c r="H10" i="1" s="1"/>
  <c r="N69" i="2" l="1"/>
  <c r="L27" i="2"/>
  <c r="L12" i="2"/>
  <c r="L15" i="2" s="1"/>
  <c r="L17" i="2" s="1"/>
  <c r="L67" i="2" s="1"/>
  <c r="Q22" i="2"/>
  <c r="Q4" i="2"/>
  <c r="Q5" i="2" s="1"/>
  <c r="P4" i="2"/>
  <c r="P5" i="2" s="1"/>
  <c r="P22" i="2"/>
  <c r="AE6" i="2"/>
  <c r="AE22" i="2" s="1"/>
  <c r="O5" i="2"/>
  <c r="O7" i="2"/>
  <c r="O20" i="2"/>
  <c r="O25" i="2"/>
  <c r="J66" i="2"/>
  <c r="M27" i="2"/>
  <c r="M12" i="2"/>
  <c r="M15" i="2" s="1"/>
  <c r="M17" i="2" s="1"/>
  <c r="M67" i="2" s="1"/>
  <c r="N60" i="2"/>
  <c r="N9" i="2"/>
  <c r="I12" i="2"/>
  <c r="J9" i="2"/>
  <c r="N6" i="2"/>
  <c r="AD12" i="2"/>
  <c r="N12" i="2" s="1"/>
  <c r="J27" i="2"/>
  <c r="F27" i="2"/>
  <c r="Q7" i="2" l="1"/>
  <c r="Q25" i="2" s="1"/>
  <c r="Q20" i="2"/>
  <c r="Q8" i="2"/>
  <c r="Q21" i="2"/>
  <c r="Q26" i="2"/>
  <c r="P7" i="2"/>
  <c r="P25" i="2" s="1"/>
  <c r="P20" i="2"/>
  <c r="P8" i="2"/>
  <c r="P21" i="2"/>
  <c r="P26" i="2"/>
  <c r="O8" i="2"/>
  <c r="O21" i="2"/>
  <c r="K69" i="2"/>
  <c r="J69" i="2"/>
  <c r="M69" i="2"/>
  <c r="L69" i="2"/>
  <c r="R4" i="2"/>
  <c r="AE10" i="2"/>
  <c r="AE29" i="2" s="1"/>
  <c r="AE11" i="2"/>
  <c r="AE30" i="2" s="1"/>
  <c r="R22" i="2"/>
  <c r="K60" i="2"/>
  <c r="L60" i="2"/>
  <c r="M60" i="2"/>
  <c r="N22" i="2"/>
  <c r="N27" i="2"/>
  <c r="J12" i="2"/>
  <c r="I15" i="2"/>
  <c r="P9" i="2" l="1"/>
  <c r="P27" i="2" s="1"/>
  <c r="O26" i="2"/>
  <c r="O9" i="2"/>
  <c r="O12" i="2" s="1"/>
  <c r="O27" i="2"/>
  <c r="AE4" i="2"/>
  <c r="AF4" i="2" s="1"/>
  <c r="AG4" i="2" s="1"/>
  <c r="R20" i="2"/>
  <c r="R7" i="2"/>
  <c r="R25" i="2" s="1"/>
  <c r="R5" i="2"/>
  <c r="Q9" i="2"/>
  <c r="Q27" i="2" s="1"/>
  <c r="I17" i="2"/>
  <c r="I67" i="2" s="1"/>
  <c r="J15" i="2"/>
  <c r="AD15" i="2"/>
  <c r="AH4" i="2" l="1"/>
  <c r="AG20" i="2"/>
  <c r="AE20" i="2"/>
  <c r="AE7" i="2"/>
  <c r="AE25" i="2" s="1"/>
  <c r="AE5" i="2"/>
  <c r="AF5" i="2" s="1"/>
  <c r="AG5" i="2" s="1"/>
  <c r="AH5" i="2" s="1"/>
  <c r="AI5" i="2" s="1"/>
  <c r="AJ5" i="2" s="1"/>
  <c r="AK5" i="2" s="1"/>
  <c r="AL5" i="2" s="1"/>
  <c r="AM5" i="2" s="1"/>
  <c r="AN5" i="2" s="1"/>
  <c r="R21" i="2"/>
  <c r="R8" i="2"/>
  <c r="J17" i="2"/>
  <c r="J67" i="2" s="1"/>
  <c r="N15" i="2"/>
  <c r="AH20" i="2" l="1"/>
  <c r="AI4" i="2"/>
  <c r="AF7" i="2"/>
  <c r="AF25" i="2" s="1"/>
  <c r="AF20" i="2"/>
  <c r="AF6" i="2"/>
  <c r="AE21" i="2"/>
  <c r="AE8" i="2"/>
  <c r="AE26" i="2" s="1"/>
  <c r="R26" i="2"/>
  <c r="R9" i="2"/>
  <c r="J70" i="2"/>
  <c r="L70" i="2"/>
  <c r="K70" i="2"/>
  <c r="M70" i="2"/>
  <c r="N17" i="2"/>
  <c r="N67" i="2" s="1"/>
  <c r="N70" i="2" s="1"/>
  <c r="AD67" i="2"/>
  <c r="AI20" i="2" l="1"/>
  <c r="AJ4" i="2"/>
  <c r="AK4" i="2" s="1"/>
  <c r="AL4" i="2" s="1"/>
  <c r="AM4" i="2" s="1"/>
  <c r="AN4" i="2" s="1"/>
  <c r="AF22" i="2"/>
  <c r="AF11" i="2"/>
  <c r="AF30" i="2" s="1"/>
  <c r="AF10" i="2"/>
  <c r="AF29" i="2" s="1"/>
  <c r="AG7" i="2"/>
  <c r="AG25" i="2" s="1"/>
  <c r="AF8" i="2"/>
  <c r="AF21" i="2"/>
  <c r="R27" i="2"/>
  <c r="AE9" i="2"/>
  <c r="AE27" i="2" s="1"/>
  <c r="AJ20" i="2" l="1"/>
  <c r="AG6" i="2"/>
  <c r="AG21" i="2"/>
  <c r="AH7" i="2"/>
  <c r="AH25" i="2" s="1"/>
  <c r="AG8" i="2"/>
  <c r="AF9" i="2"/>
  <c r="AF26" i="2"/>
  <c r="AK20" i="2" l="1"/>
  <c r="AG10" i="2"/>
  <c r="AG29" i="2" s="1"/>
  <c r="AG11" i="2"/>
  <c r="AG30" i="2" s="1"/>
  <c r="AG22" i="2"/>
  <c r="AH6" i="2"/>
  <c r="AH21" i="2"/>
  <c r="AI7" i="2"/>
  <c r="AI25" i="2" s="1"/>
  <c r="AH8" i="2"/>
  <c r="AF12" i="2"/>
  <c r="AF27" i="2"/>
  <c r="AG9" i="2"/>
  <c r="AG26" i="2"/>
  <c r="AL20" i="2" l="1"/>
  <c r="AH11" i="2"/>
  <c r="AH30" i="2" s="1"/>
  <c r="AH10" i="2"/>
  <c r="AH29" i="2" s="1"/>
  <c r="AH22" i="2"/>
  <c r="AI6" i="2"/>
  <c r="AI21" i="2"/>
  <c r="AH9" i="2"/>
  <c r="AH26" i="2"/>
  <c r="AJ7" i="2"/>
  <c r="AJ25" i="2" s="1"/>
  <c r="AI8" i="2"/>
  <c r="AG27" i="2"/>
  <c r="AG12" i="2"/>
  <c r="AM20" i="2" l="1"/>
  <c r="AN20" i="2"/>
  <c r="AI10" i="2"/>
  <c r="AI29" i="2" s="1"/>
  <c r="AI11" i="2"/>
  <c r="AI30" i="2" s="1"/>
  <c r="AI22" i="2"/>
  <c r="AJ6" i="2"/>
  <c r="AJ22" i="2" s="1"/>
  <c r="AJ21" i="2"/>
  <c r="AH12" i="2"/>
  <c r="AH27" i="2"/>
  <c r="AI9" i="2"/>
  <c r="AI26" i="2"/>
  <c r="AK7" i="2"/>
  <c r="AK25" i="2" s="1"/>
  <c r="AJ8" i="2"/>
  <c r="AJ9" i="2" l="1"/>
  <c r="AJ27" i="2" s="1"/>
  <c r="AJ26" i="2"/>
  <c r="AJ10" i="2"/>
  <c r="AJ29" i="2" s="1"/>
  <c r="AJ11" i="2"/>
  <c r="AJ30" i="2" s="1"/>
  <c r="AK6" i="2"/>
  <c r="AK21" i="2"/>
  <c r="AI27" i="2"/>
  <c r="AI12" i="2"/>
  <c r="AL7" i="2"/>
  <c r="AL25" i="2" s="1"/>
  <c r="AK8" i="2"/>
  <c r="AK26" i="2" s="1"/>
  <c r="AJ12" i="2" l="1"/>
  <c r="AK22" i="2"/>
  <c r="AK11" i="2"/>
  <c r="AK30" i="2" s="1"/>
  <c r="AK10" i="2"/>
  <c r="AK29" i="2" s="1"/>
  <c r="AK9" i="2"/>
  <c r="AK27" i="2" s="1"/>
  <c r="AL6" i="2"/>
  <c r="AL21" i="2"/>
  <c r="AM7" i="2"/>
  <c r="AM25" i="2" s="1"/>
  <c r="AL8" i="2"/>
  <c r="AK12" i="2" l="1"/>
  <c r="AL11" i="2"/>
  <c r="AL30" i="2" s="1"/>
  <c r="AL22" i="2"/>
  <c r="AL10" i="2"/>
  <c r="AL29" i="2" s="1"/>
  <c r="AM6" i="2"/>
  <c r="AM22" i="2" s="1"/>
  <c r="AM21" i="2"/>
  <c r="AL9" i="2"/>
  <c r="AL26" i="2"/>
  <c r="AN7" i="2"/>
  <c r="AN25" i="2" s="1"/>
  <c r="AM8" i="2"/>
  <c r="AM11" i="2" l="1"/>
  <c r="AM30" i="2" s="1"/>
  <c r="AM10" i="2"/>
  <c r="AM29" i="2" s="1"/>
  <c r="AN6" i="2"/>
  <c r="AN21" i="2"/>
  <c r="AL27" i="2"/>
  <c r="AL12" i="2"/>
  <c r="AM9" i="2"/>
  <c r="AM26" i="2"/>
  <c r="AN8" i="2"/>
  <c r="AN11" i="2" l="1"/>
  <c r="AN30" i="2" s="1"/>
  <c r="AN10" i="2"/>
  <c r="AN29" i="2" s="1"/>
  <c r="AN22" i="2"/>
  <c r="AM12" i="2"/>
  <c r="AM27" i="2"/>
  <c r="AN26" i="2"/>
  <c r="AN9" i="2"/>
  <c r="AN27" i="2" l="1"/>
  <c r="AN12" i="2"/>
  <c r="O13" i="2" l="1"/>
  <c r="O14" i="2"/>
  <c r="P12" i="2"/>
  <c r="O15" i="2" l="1"/>
  <c r="P13" i="2"/>
  <c r="P14" i="2"/>
  <c r="Q12" i="2"/>
  <c r="R12" i="2" s="1"/>
  <c r="AE12" i="2" l="1"/>
  <c r="Q13" i="2"/>
  <c r="Q14" i="2"/>
  <c r="R13" i="2" l="1"/>
  <c r="R14" i="2"/>
  <c r="AF15" i="2" l="1"/>
  <c r="AG15" i="2" l="1"/>
  <c r="AH15" i="2" l="1"/>
  <c r="AI15" i="2" l="1"/>
  <c r="O16" i="2"/>
  <c r="O17" i="2" s="1"/>
  <c r="P15" i="2"/>
  <c r="AJ15" i="2" l="1"/>
  <c r="P16" i="2"/>
  <c r="Q15" i="2"/>
  <c r="R15" i="2" s="1"/>
  <c r="AK15" i="2" l="1"/>
  <c r="Q16" i="2"/>
  <c r="R16" i="2" s="1"/>
  <c r="AE16" i="2" s="1"/>
  <c r="AE15" i="2"/>
  <c r="AE17" i="2" l="1"/>
  <c r="AF16" i="2"/>
  <c r="AF17" i="2" s="1"/>
  <c r="AL15" i="2"/>
  <c r="AG16" i="2" l="1"/>
  <c r="AG17" i="2" s="1"/>
  <c r="P17" i="2"/>
  <c r="AN15" i="2"/>
  <c r="AM15" i="2"/>
  <c r="AH16" i="2" l="1"/>
  <c r="AH17" i="2" s="1"/>
  <c r="Q17" i="2"/>
  <c r="AI16" i="2" l="1"/>
  <c r="AI17" i="2" s="1"/>
  <c r="R17" i="2"/>
  <c r="AJ16" i="2" l="1"/>
  <c r="AJ17" i="2" s="1"/>
  <c r="AK16" i="2" l="1"/>
  <c r="AK17" i="2" s="1"/>
  <c r="AL16" i="2" l="1"/>
  <c r="AL17" i="2" s="1"/>
  <c r="AM16" i="2" l="1"/>
  <c r="AM17" i="2" s="1"/>
  <c r="AN16" i="2" l="1"/>
  <c r="AN17" i="2" s="1"/>
  <c r="AO17" i="2" l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l="1"/>
  <c r="BY17" i="2" l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l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ES17" i="2" s="1"/>
  <c r="ET17" i="2" s="1"/>
  <c r="EU17" i="2" s="1"/>
  <c r="EV17" i="2" s="1"/>
  <c r="EW17" i="2" s="1"/>
  <c r="EX17" i="2" s="1"/>
  <c r="EY17" i="2" s="1"/>
  <c r="EZ17" i="2" s="1"/>
  <c r="FA17" i="2" s="1"/>
  <c r="FB17" i="2" s="1"/>
  <c r="FC17" i="2" s="1"/>
  <c r="FD17" i="2" s="1"/>
  <c r="FE17" i="2" s="1"/>
  <c r="FF17" i="2" s="1"/>
  <c r="FG17" i="2" s="1"/>
  <c r="FH17" i="2" s="1"/>
  <c r="FI17" i="2" s="1"/>
  <c r="FJ17" i="2" s="1"/>
  <c r="FK17" i="2" s="1"/>
  <c r="FL17" i="2" s="1"/>
  <c r="FM17" i="2" s="1"/>
  <c r="FN17" i="2" s="1"/>
  <c r="FO17" i="2" s="1"/>
  <c r="FP17" i="2" s="1"/>
  <c r="FQ17" i="2" s="1"/>
  <c r="FR17" i="2" s="1"/>
  <c r="FS17" i="2" s="1"/>
  <c r="FT17" i="2" s="1"/>
  <c r="FU17" i="2" s="1"/>
  <c r="FV17" i="2" s="1"/>
  <c r="FW17" i="2" s="1"/>
  <c r="FX17" i="2" l="1"/>
  <c r="FY17" i="2" s="1"/>
  <c r="FZ17" i="2" s="1"/>
  <c r="GA17" i="2" s="1"/>
  <c r="GB17" i="2" s="1"/>
  <c r="GC17" i="2" s="1"/>
  <c r="GD17" i="2" s="1"/>
  <c r="GE17" i="2" s="1"/>
  <c r="GF17" i="2" s="1"/>
  <c r="GG17" i="2" s="1"/>
  <c r="GH17" i="2" s="1"/>
  <c r="GI17" i="2" s="1"/>
  <c r="GJ17" i="2" s="1"/>
  <c r="GK17" i="2" s="1"/>
  <c r="GL17" i="2" s="1"/>
  <c r="GM17" i="2" s="1"/>
  <c r="GN17" i="2" s="1"/>
  <c r="GO17" i="2" s="1"/>
  <c r="GP17" i="2" s="1"/>
  <c r="GQ17" i="2" s="1"/>
  <c r="GR17" i="2" s="1"/>
  <c r="GS17" i="2" s="1"/>
  <c r="GT17" i="2" s="1"/>
  <c r="GU17" i="2" s="1"/>
  <c r="GV17" i="2" s="1"/>
  <c r="GW17" i="2" s="1"/>
  <c r="GX17" i="2" s="1"/>
  <c r="GY17" i="2" s="1"/>
  <c r="GZ17" i="2" s="1"/>
  <c r="HA17" i="2" s="1"/>
  <c r="HB17" i="2" s="1"/>
  <c r="HC17" i="2" s="1"/>
  <c r="HD17" i="2" s="1"/>
  <c r="HE17" i="2" s="1"/>
  <c r="HF17" i="2" s="1"/>
  <c r="HG17" i="2" s="1"/>
  <c r="HH17" i="2" s="1"/>
  <c r="HI17" i="2" s="1"/>
  <c r="HJ17" i="2" s="1"/>
  <c r="HK17" i="2" s="1"/>
  <c r="HL17" i="2" s="1"/>
  <c r="HM17" i="2" s="1"/>
  <c r="HN17" i="2" s="1"/>
  <c r="HO17" i="2" s="1"/>
  <c r="HP17" i="2" s="1"/>
  <c r="HQ17" i="2" s="1"/>
  <c r="HR17" i="2" s="1"/>
  <c r="HS17" i="2" s="1"/>
  <c r="HT17" i="2" s="1"/>
  <c r="HU17" i="2" s="1"/>
  <c r="HV17" i="2" s="1"/>
  <c r="HW17" i="2" s="1"/>
  <c r="HX17" i="2" s="1"/>
  <c r="HY17" i="2" s="1"/>
  <c r="HZ17" i="2" s="1"/>
  <c r="IA17" i="2" s="1"/>
  <c r="IB17" i="2" s="1"/>
  <c r="IC17" i="2" s="1"/>
  <c r="ID17" i="2" s="1"/>
  <c r="IE17" i="2" s="1"/>
  <c r="AQ23" i="2" s="1"/>
  <c r="AQ25" i="2" s="1"/>
  <c r="AO64" i="2" l="1"/>
  <c r="AQ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N4" authorId="0" shapeId="0" xr:uid="{E2B61E9A-4401-BE46-BD4D-E6A33D5A7C36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MT"/>
          </rPr>
          <t> increased due to strong demand for our networking solutions, primarily custom AI accelerators and AI networking products</t>
        </r>
      </text>
    </comment>
    <comment ref="N5" authorId="0" shapeId="0" xr:uid="{80A18219-4054-CD4F-BF71-1E67A0844DCF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MT"/>
          </rPr>
          <t> increased primarily due to strong demand for our VCF product</t>
        </r>
      </text>
    </comment>
    <comment ref="O6" authorId="0" shapeId="0" xr:uid="{B9902B71-57AB-B04B-8C98-8E29DE24BD6A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q126 guidance</t>
        </r>
      </text>
    </comment>
  </commentList>
</comments>
</file>

<file path=xl/sharedStrings.xml><?xml version="1.0" encoding="utf-8"?>
<sst xmlns="http://schemas.openxmlformats.org/spreadsheetml/2006/main" count="101" uniqueCount="94">
  <si>
    <t>P</t>
  </si>
  <si>
    <t>S</t>
  </si>
  <si>
    <t>MC</t>
  </si>
  <si>
    <t>C</t>
  </si>
  <si>
    <t>D</t>
  </si>
  <si>
    <t>EV</t>
  </si>
  <si>
    <t>Q123</t>
  </si>
  <si>
    <t>Q223</t>
  </si>
  <si>
    <t>Q323</t>
  </si>
  <si>
    <t>Q423</t>
  </si>
  <si>
    <t>Q124</t>
  </si>
  <si>
    <t>Q224</t>
  </si>
  <si>
    <t>Q324</t>
  </si>
  <si>
    <t>Q424</t>
  </si>
  <si>
    <t>Products</t>
  </si>
  <si>
    <t xml:space="preserve">Susbcriptions </t>
  </si>
  <si>
    <t xml:space="preserve">Net R </t>
  </si>
  <si>
    <t>Product costs</t>
  </si>
  <si>
    <t>Subscription costs</t>
  </si>
  <si>
    <t xml:space="preserve">Gross Margin </t>
  </si>
  <si>
    <t>R&amp;D</t>
  </si>
  <si>
    <t>SG&amp;A</t>
  </si>
  <si>
    <t>Operating Income</t>
  </si>
  <si>
    <t>Interest Expense</t>
  </si>
  <si>
    <t>Other income</t>
  </si>
  <si>
    <t>EBT</t>
  </si>
  <si>
    <t xml:space="preserve">T </t>
  </si>
  <si>
    <t>Net Income</t>
  </si>
  <si>
    <t>Growth Analysis Y/Y</t>
  </si>
  <si>
    <t xml:space="preserve">CFFO </t>
  </si>
  <si>
    <t>Capex</t>
  </si>
  <si>
    <t>FCF</t>
  </si>
  <si>
    <t>Q225</t>
  </si>
  <si>
    <t>Q125</t>
  </si>
  <si>
    <t>Q325</t>
  </si>
  <si>
    <t>Q425</t>
  </si>
  <si>
    <t>PM%</t>
  </si>
  <si>
    <t>SM%</t>
  </si>
  <si>
    <t>GM%</t>
  </si>
  <si>
    <t xml:space="preserve">CEO </t>
  </si>
  <si>
    <t xml:space="preserve">CFO </t>
  </si>
  <si>
    <t xml:space="preserve">Semiconductor Solutions </t>
  </si>
  <si>
    <t xml:space="preserve">Infrastructure Software </t>
  </si>
  <si>
    <t xml:space="preserve">terminal </t>
  </si>
  <si>
    <t>discount</t>
  </si>
  <si>
    <t>npv</t>
  </si>
  <si>
    <t>Shares</t>
  </si>
  <si>
    <t>Estimate</t>
  </si>
  <si>
    <t>Current</t>
  </si>
  <si>
    <t>numbers in $m</t>
  </si>
  <si>
    <t>$m</t>
  </si>
  <si>
    <t>Q126</t>
  </si>
  <si>
    <t>Q226</t>
  </si>
  <si>
    <t>Q426</t>
  </si>
  <si>
    <t>Q326</t>
  </si>
  <si>
    <t>TL + E</t>
  </si>
  <si>
    <t>A/P</t>
  </si>
  <si>
    <t>Employee comp</t>
  </si>
  <si>
    <t xml:space="preserve">short term debt </t>
  </si>
  <si>
    <t>OCL</t>
  </si>
  <si>
    <t>LTD</t>
  </si>
  <si>
    <t>OLTL</t>
  </si>
  <si>
    <t xml:space="preserve">Equity </t>
  </si>
  <si>
    <t xml:space="preserve">Cash </t>
  </si>
  <si>
    <t>Trade Rec</t>
  </si>
  <si>
    <t>Inventory</t>
  </si>
  <si>
    <t>OCA</t>
  </si>
  <si>
    <t>PPE</t>
  </si>
  <si>
    <t>Goodwill</t>
  </si>
  <si>
    <t>Intangibles</t>
  </si>
  <si>
    <t>OLTA</t>
  </si>
  <si>
    <t xml:space="preserve">Total Assets </t>
  </si>
  <si>
    <t xml:space="preserve">Book Value </t>
  </si>
  <si>
    <t>Return on Tangible Book</t>
  </si>
  <si>
    <t>News/Press</t>
  </si>
  <si>
    <t>Contains</t>
  </si>
  <si>
    <t xml:space="preserve">Q4 &amp; FY25 earnings </t>
  </si>
  <si>
    <t xml:space="preserve">Segments </t>
  </si>
  <si>
    <t xml:space="preserve">About </t>
  </si>
  <si>
    <t>chips (customer accelerators, networking chips, storage controllers), connectivity hardware (ethernet swtiches, NICs,PHYsoptical parts), modules/systems (full datacenter racks)</t>
  </si>
  <si>
    <t>Customers</t>
  </si>
  <si>
    <t>hyperscalers (cloudai data centers), OEMs &amp; system integrators, telecom operators, device makers (phones, routers, TVs, cars, factories)</t>
  </si>
  <si>
    <t>End Market</t>
  </si>
  <si>
    <t xml:space="preserve">ethernet switches, NICs, phone RF chips, wi-fi, bluetooth, Pcle switches, RAID, HDD/SDD controllers, broadband, industrial </t>
  </si>
  <si>
    <t xml:space="preserve">Software Solutions </t>
  </si>
  <si>
    <t xml:space="preserve">Total Debt </t>
  </si>
  <si>
    <t xml:space="preserve">Net Cash </t>
  </si>
  <si>
    <t>HQ: Palo Alto, Ca</t>
  </si>
  <si>
    <t xml:space="preserve">Net Income </t>
  </si>
  <si>
    <t xml:space="preserve">4Q FCF </t>
  </si>
  <si>
    <t>4Q NI</t>
  </si>
  <si>
    <t>Upside</t>
  </si>
  <si>
    <t>Broadcom</t>
  </si>
  <si>
    <t>roic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</si>
</sst>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>
    <font>
      <sz val="10"/>
      <color theme="1"/>
      <name val="ArialMT"/>
      <family val="2"/>
    </font>
    <font>
      <u/>
      <sz val="10"/>
      <color theme="1"/>
      <name val="ArialMT"/>
      <family val="2"/>
    </font>
    <font>
      <u/>
      <sz val="10"/>
      <color theme="10"/>
      <name val="ArialMT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MT"/>
    </font>
    <font>
      <b/>
      <sz val="10"/>
      <color theme="1"/>
      <name val="ArialM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3" fontId="0" fillId="0" borderId="0" xfId="0" applyNumberFormat="1"/>
    <xf numFmtId="1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14" fontId="0" fillId="0" borderId="0" xfId="0" applyNumberFormat="1"/>
    <xf numFmtId="6" fontId="0" fillId="0" borderId="0" xfId="0" applyNumberFormat="1"/>
    <xf numFmtId="14" fontId="2" fillId="0" borderId="0" xfId="1" applyNumberFormat="1"/>
    <xf numFmtId="3" fontId="0" fillId="0" borderId="1" xfId="0" applyNumberFormat="1" applyBorder="1"/>
    <xf numFmtId="14" fontId="0" fillId="0" borderId="0" xfId="0" applyNumberFormat="1" applyBorder="1"/>
    <xf numFmtId="3" fontId="0" fillId="0" borderId="0" xfId="0" applyNumberFormat="1" applyBorder="1"/>
    <xf numFmtId="3" fontId="0" fillId="0" borderId="2" xfId="0" applyNumberFormat="1" applyBorder="1"/>
    <xf numFmtId="3" fontId="0" fillId="0" borderId="3" xfId="0" applyNumberFormat="1" applyBorder="1"/>
    <xf numFmtId="14" fontId="0" fillId="0" borderId="4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14" fontId="0" fillId="0" borderId="7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6" fillId="0" borderId="0" xfId="0" applyNumberFormat="1" applyFont="1"/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6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8944</xdr:colOff>
      <xdr:row>0</xdr:row>
      <xdr:rowOff>17887</xdr:rowOff>
    </xdr:from>
    <xdr:to>
      <xdr:col>14</xdr:col>
      <xdr:colOff>26831</xdr:colOff>
      <xdr:row>89</xdr:row>
      <xdr:rowOff>8944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6924FF1-96D1-6EA0-F7B0-56C4E6595E6B}"/>
            </a:ext>
          </a:extLst>
        </xdr:cNvPr>
        <xdr:cNvCxnSpPr/>
      </xdr:nvCxnSpPr>
      <xdr:spPr>
        <a:xfrm>
          <a:off x="8094014" y="17887"/>
          <a:ext cx="17887" cy="143188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697605</xdr:colOff>
      <xdr:row>0</xdr:row>
      <xdr:rowOff>0</xdr:rowOff>
    </xdr:from>
    <xdr:to>
      <xdr:col>29</xdr:col>
      <xdr:colOff>697605</xdr:colOff>
      <xdr:row>88</xdr:row>
      <xdr:rowOff>134154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95A170-6584-0D44-9E71-6E68209B4FBC}"/>
            </a:ext>
          </a:extLst>
        </xdr:cNvPr>
        <xdr:cNvCxnSpPr/>
      </xdr:nvCxnSpPr>
      <xdr:spPr>
        <a:xfrm>
          <a:off x="17583239" y="0"/>
          <a:ext cx="0" cy="143009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s.broadcom.com/news-releases/news-release-details/broadcom-inc-announces-fourth-quarter-and-fiscal-year-202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EBE9-8D7D-A54F-9085-C1F9E4B12AD0}">
  <dimension ref="A1:I21"/>
  <sheetViews>
    <sheetView tabSelected="1" zoomScale="159" workbookViewId="0">
      <selection activeCell="G12" sqref="G12"/>
    </sheetView>
  </sheetViews>
  <sheetFormatPr baseColWidth="10" defaultRowHeight="13"/>
  <cols>
    <col min="1" max="1" width="3" style="1" customWidth="1"/>
    <col min="2" max="2" width="21" style="1" bestFit="1" customWidth="1"/>
    <col min="3" max="3" width="14.1640625" style="5" customWidth="1"/>
    <col min="4" max="5" width="14.1640625" style="1" customWidth="1"/>
    <col min="6" max="6" width="10.83203125" style="1"/>
    <col min="7" max="7" width="3.6640625" style="1" bestFit="1" customWidth="1"/>
    <col min="8" max="8" width="9.1640625" style="1" bestFit="1" customWidth="1"/>
    <col min="9" max="9" width="5.1640625" style="2" bestFit="1" customWidth="1"/>
    <col min="10" max="16384" width="10.83203125" style="1"/>
  </cols>
  <sheetData>
    <row r="1" spans="1:9">
      <c r="A1" s="1" t="s">
        <v>49</v>
      </c>
    </row>
    <row r="2" spans="1:9">
      <c r="B2" s="1" t="s">
        <v>92</v>
      </c>
    </row>
    <row r="3" spans="1:9">
      <c r="B3" s="1" t="s">
        <v>87</v>
      </c>
    </row>
    <row r="4" spans="1:9">
      <c r="B4" s="1" t="s">
        <v>39</v>
      </c>
    </row>
    <row r="5" spans="1:9">
      <c r="B5" s="1" t="s">
        <v>40</v>
      </c>
      <c r="G5" s="1" t="s">
        <v>0</v>
      </c>
      <c r="H5" s="1">
        <v>332.5</v>
      </c>
    </row>
    <row r="6" spans="1:9">
      <c r="G6" s="1" t="s">
        <v>1</v>
      </c>
      <c r="H6" s="1">
        <v>4741.2737989999996</v>
      </c>
      <c r="I6" s="2" t="s">
        <v>35</v>
      </c>
    </row>
    <row r="7" spans="1:9">
      <c r="G7" s="1" t="s">
        <v>2</v>
      </c>
      <c r="H7" s="1">
        <f>+H6*H5</f>
        <v>1576473.5381674999</v>
      </c>
    </row>
    <row r="8" spans="1:9">
      <c r="B8" s="16" t="s">
        <v>77</v>
      </c>
      <c r="C8" s="17" t="s">
        <v>78</v>
      </c>
      <c r="D8" s="18" t="s">
        <v>80</v>
      </c>
      <c r="E8" s="19" t="s">
        <v>82</v>
      </c>
      <c r="G8" s="1" t="s">
        <v>3</v>
      </c>
      <c r="H8" s="1">
        <v>16178</v>
      </c>
      <c r="I8" s="2" t="str">
        <f>+I6</f>
        <v>Q425</v>
      </c>
    </row>
    <row r="9" spans="1:9">
      <c r="B9" s="8" t="s">
        <v>41</v>
      </c>
      <c r="C9" s="9" t="s">
        <v>79</v>
      </c>
      <c r="D9" s="10" t="s">
        <v>81</v>
      </c>
      <c r="E9" s="11" t="s">
        <v>83</v>
      </c>
      <c r="G9" s="1" t="s">
        <v>4</v>
      </c>
      <c r="H9" s="1">
        <f>3152+61984</f>
        <v>65136</v>
      </c>
      <c r="I9" s="2" t="str">
        <f>+I8</f>
        <v>Q425</v>
      </c>
    </row>
    <row r="10" spans="1:9">
      <c r="B10" s="8" t="s">
        <v>84</v>
      </c>
      <c r="C10" s="9"/>
      <c r="D10" s="10"/>
      <c r="E10" s="11"/>
      <c r="G10" s="1" t="s">
        <v>5</v>
      </c>
      <c r="H10" s="1">
        <f>+H7-H8+H9</f>
        <v>1625431.5381674999</v>
      </c>
    </row>
    <row r="11" spans="1:9">
      <c r="B11" s="8"/>
      <c r="C11" s="9"/>
      <c r="D11" s="10"/>
      <c r="E11" s="11"/>
    </row>
    <row r="12" spans="1:9">
      <c r="B12" s="8"/>
      <c r="C12" s="9"/>
      <c r="D12" s="10"/>
      <c r="E12" s="11"/>
    </row>
    <row r="13" spans="1:9">
      <c r="B13" s="8"/>
      <c r="C13" s="9"/>
      <c r="D13" s="10"/>
      <c r="E13" s="11"/>
    </row>
    <row r="14" spans="1:9">
      <c r="B14" s="12"/>
      <c r="C14" s="13"/>
      <c r="D14" s="14"/>
      <c r="E14" s="15"/>
    </row>
    <row r="20" spans="3:4">
      <c r="C20" s="5" t="s">
        <v>74</v>
      </c>
      <c r="D20" s="1" t="s">
        <v>75</v>
      </c>
    </row>
    <row r="21" spans="3:4">
      <c r="C21" s="7">
        <v>46002</v>
      </c>
      <c r="D21" s="1" t="s">
        <v>76</v>
      </c>
    </row>
  </sheetData>
  <hyperlinks>
    <hyperlink ref="C21" r:id="rId1" display="https://investors.broadcom.com/news-releases/news-release-details/broadcom-inc-announces-fourth-quarter-and-fiscal-year-2025" xr:uid="{33A51680-FF05-884E-A827-55423A2541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F7B3-94C1-BC4E-85DE-9FBFF8D48FA4}">
  <dimension ref="B2:IF70"/>
  <sheetViews>
    <sheetView zoomScale="142" workbookViewId="0">
      <pane xSplit="2" ySplit="3" topLeftCell="AG4" activePane="bottomRight" state="frozen"/>
      <selection pane="topRight" activeCell="C1" sqref="C1"/>
      <selection pane="bottomLeft" activeCell="A3" sqref="A3"/>
      <selection pane="bottomRight" activeCell="AI17" sqref="AI17"/>
    </sheetView>
  </sheetViews>
  <sheetFormatPr baseColWidth="10" defaultRowHeight="13"/>
  <cols>
    <col min="1" max="1" width="1.33203125" style="1" customWidth="1"/>
    <col min="2" max="2" width="21" style="1" bestFit="1" customWidth="1"/>
    <col min="3" max="6" width="5.6640625" style="21" bestFit="1" customWidth="1"/>
    <col min="7" max="9" width="6.6640625" style="21" bestFit="1" customWidth="1"/>
    <col min="10" max="14" width="7.6640625" style="21" bestFit="1" customWidth="1"/>
    <col min="15" max="18" width="6.6640625" style="21" bestFit="1" customWidth="1"/>
    <col min="19" max="24" width="5.5" style="1" customWidth="1"/>
    <col min="25" max="29" width="6.6640625" style="1" bestFit="1" customWidth="1"/>
    <col min="30" max="32" width="7.1640625" style="1" bestFit="1" customWidth="1"/>
    <col min="33" max="40" width="7.6640625" style="1" bestFit="1" customWidth="1"/>
    <col min="41" max="41" width="6.6640625" style="1" bestFit="1" customWidth="1"/>
    <col min="42" max="42" width="7.83203125" style="1" bestFit="1" customWidth="1"/>
    <col min="43" max="43" width="10.6640625" style="1" bestFit="1" customWidth="1"/>
    <col min="44" max="49" width="6.6640625" style="1" bestFit="1" customWidth="1"/>
    <col min="50" max="239" width="7.6640625" style="1" bestFit="1" customWidth="1"/>
    <col min="240" max="16384" width="10.83203125" style="1"/>
  </cols>
  <sheetData>
    <row r="2" spans="2:239">
      <c r="B2" s="1" t="s">
        <v>50</v>
      </c>
      <c r="E2" s="22"/>
      <c r="F2" s="22"/>
      <c r="G2" s="22"/>
      <c r="H2" s="22"/>
      <c r="I2" s="22"/>
      <c r="J2" s="22"/>
      <c r="K2" s="22">
        <v>45690</v>
      </c>
      <c r="L2" s="22">
        <v>45781</v>
      </c>
      <c r="M2" s="22">
        <v>45872</v>
      </c>
    </row>
    <row r="3" spans="2:239" s="2" customFormat="1">
      <c r="C3" s="23" t="s">
        <v>6</v>
      </c>
      <c r="D3" s="23" t="s">
        <v>7</v>
      </c>
      <c r="E3" s="23" t="s">
        <v>8</v>
      </c>
      <c r="F3" s="23" t="s">
        <v>9</v>
      </c>
      <c r="G3" s="23" t="s">
        <v>10</v>
      </c>
      <c r="H3" s="23" t="s">
        <v>11</v>
      </c>
      <c r="I3" s="23" t="s">
        <v>12</v>
      </c>
      <c r="J3" s="23" t="s">
        <v>13</v>
      </c>
      <c r="K3" s="23" t="s">
        <v>33</v>
      </c>
      <c r="L3" s="23" t="s">
        <v>32</v>
      </c>
      <c r="M3" s="23" t="s">
        <v>34</v>
      </c>
      <c r="N3" s="23" t="s">
        <v>35</v>
      </c>
      <c r="O3" s="23" t="s">
        <v>51</v>
      </c>
      <c r="P3" s="23" t="s">
        <v>52</v>
      </c>
      <c r="Q3" s="23" t="s">
        <v>54</v>
      </c>
      <c r="R3" s="23" t="s">
        <v>53</v>
      </c>
      <c r="Y3" s="2">
        <v>2020</v>
      </c>
      <c r="Z3" s="2">
        <f t="shared" ref="Z3:AL3" si="0">+Y3+1</f>
        <v>2021</v>
      </c>
      <c r="AA3" s="2">
        <f t="shared" si="0"/>
        <v>2022</v>
      </c>
      <c r="AB3" s="2">
        <f t="shared" si="0"/>
        <v>2023</v>
      </c>
      <c r="AC3" s="2">
        <f t="shared" si="0"/>
        <v>2024</v>
      </c>
      <c r="AD3" s="2">
        <f t="shared" si="0"/>
        <v>2025</v>
      </c>
      <c r="AE3" s="2">
        <f t="shared" si="0"/>
        <v>2026</v>
      </c>
      <c r="AF3" s="2">
        <f t="shared" si="0"/>
        <v>2027</v>
      </c>
      <c r="AG3" s="2">
        <f t="shared" si="0"/>
        <v>2028</v>
      </c>
      <c r="AH3" s="2">
        <f t="shared" si="0"/>
        <v>2029</v>
      </c>
      <c r="AI3" s="2">
        <f t="shared" si="0"/>
        <v>2030</v>
      </c>
      <c r="AJ3" s="2">
        <f t="shared" si="0"/>
        <v>2031</v>
      </c>
      <c r="AK3" s="2">
        <f t="shared" si="0"/>
        <v>2032</v>
      </c>
      <c r="AL3" s="2">
        <f t="shared" si="0"/>
        <v>2033</v>
      </c>
      <c r="AM3" s="2">
        <f>+AL3+1</f>
        <v>2034</v>
      </c>
      <c r="AN3" s="2">
        <f t="shared" ref="AN3:CY3" si="1">+AM3+1</f>
        <v>2035</v>
      </c>
      <c r="AO3" s="2">
        <f t="shared" si="1"/>
        <v>2036</v>
      </c>
      <c r="AP3" s="2">
        <f t="shared" si="1"/>
        <v>2037</v>
      </c>
      <c r="AQ3" s="2">
        <f t="shared" si="1"/>
        <v>2038</v>
      </c>
      <c r="AR3" s="2">
        <f t="shared" si="1"/>
        <v>2039</v>
      </c>
      <c r="AS3" s="2">
        <f t="shared" si="1"/>
        <v>2040</v>
      </c>
      <c r="AT3" s="2">
        <f t="shared" si="1"/>
        <v>2041</v>
      </c>
      <c r="AU3" s="2">
        <f t="shared" si="1"/>
        <v>2042</v>
      </c>
      <c r="AV3" s="2">
        <f t="shared" si="1"/>
        <v>2043</v>
      </c>
      <c r="AW3" s="2">
        <f t="shared" si="1"/>
        <v>2044</v>
      </c>
      <c r="AX3" s="2">
        <f t="shared" si="1"/>
        <v>2045</v>
      </c>
      <c r="AY3" s="2">
        <f t="shared" si="1"/>
        <v>2046</v>
      </c>
      <c r="AZ3" s="2">
        <f t="shared" si="1"/>
        <v>2047</v>
      </c>
      <c r="BA3" s="2">
        <f t="shared" si="1"/>
        <v>2048</v>
      </c>
      <c r="BB3" s="2">
        <f t="shared" si="1"/>
        <v>2049</v>
      </c>
      <c r="BC3" s="2">
        <f t="shared" si="1"/>
        <v>2050</v>
      </c>
      <c r="BD3" s="2">
        <f t="shared" si="1"/>
        <v>2051</v>
      </c>
      <c r="BE3" s="2">
        <f t="shared" si="1"/>
        <v>2052</v>
      </c>
      <c r="BF3" s="2">
        <f t="shared" si="1"/>
        <v>2053</v>
      </c>
      <c r="BG3" s="2">
        <f t="shared" si="1"/>
        <v>2054</v>
      </c>
      <c r="BH3" s="2">
        <f t="shared" si="1"/>
        <v>2055</v>
      </c>
      <c r="BI3" s="2">
        <f t="shared" si="1"/>
        <v>2056</v>
      </c>
      <c r="BJ3" s="2">
        <f t="shared" si="1"/>
        <v>2057</v>
      </c>
      <c r="BK3" s="2">
        <f t="shared" si="1"/>
        <v>2058</v>
      </c>
      <c r="BL3" s="2">
        <f t="shared" si="1"/>
        <v>2059</v>
      </c>
      <c r="BM3" s="2">
        <f t="shared" si="1"/>
        <v>2060</v>
      </c>
      <c r="BN3" s="2">
        <f t="shared" si="1"/>
        <v>2061</v>
      </c>
      <c r="BO3" s="2">
        <f t="shared" si="1"/>
        <v>2062</v>
      </c>
      <c r="BP3" s="2">
        <f t="shared" si="1"/>
        <v>2063</v>
      </c>
      <c r="BQ3" s="2">
        <f t="shared" si="1"/>
        <v>2064</v>
      </c>
      <c r="BR3" s="2">
        <f t="shared" si="1"/>
        <v>2065</v>
      </c>
      <c r="BS3" s="2">
        <f t="shared" si="1"/>
        <v>2066</v>
      </c>
      <c r="BT3" s="2">
        <f t="shared" si="1"/>
        <v>2067</v>
      </c>
      <c r="BU3" s="2">
        <f t="shared" si="1"/>
        <v>2068</v>
      </c>
      <c r="BV3" s="2">
        <f t="shared" si="1"/>
        <v>2069</v>
      </c>
      <c r="BW3" s="2">
        <f t="shared" si="1"/>
        <v>2070</v>
      </c>
      <c r="BX3" s="2">
        <f t="shared" si="1"/>
        <v>2071</v>
      </c>
      <c r="BY3" s="2">
        <f t="shared" si="1"/>
        <v>2072</v>
      </c>
      <c r="BZ3" s="2">
        <f t="shared" si="1"/>
        <v>2073</v>
      </c>
      <c r="CA3" s="2">
        <f t="shared" si="1"/>
        <v>2074</v>
      </c>
      <c r="CB3" s="2">
        <f t="shared" si="1"/>
        <v>2075</v>
      </c>
      <c r="CC3" s="2">
        <f t="shared" si="1"/>
        <v>2076</v>
      </c>
      <c r="CD3" s="2">
        <f t="shared" si="1"/>
        <v>2077</v>
      </c>
      <c r="CE3" s="2">
        <f t="shared" si="1"/>
        <v>2078</v>
      </c>
      <c r="CF3" s="2">
        <f t="shared" si="1"/>
        <v>2079</v>
      </c>
      <c r="CG3" s="2">
        <f t="shared" si="1"/>
        <v>2080</v>
      </c>
      <c r="CH3" s="2">
        <f t="shared" si="1"/>
        <v>2081</v>
      </c>
      <c r="CI3" s="2">
        <f t="shared" si="1"/>
        <v>2082</v>
      </c>
      <c r="CJ3" s="2">
        <f t="shared" si="1"/>
        <v>2083</v>
      </c>
      <c r="CK3" s="2">
        <f t="shared" si="1"/>
        <v>2084</v>
      </c>
      <c r="CL3" s="2">
        <f t="shared" si="1"/>
        <v>2085</v>
      </c>
      <c r="CM3" s="2">
        <f t="shared" si="1"/>
        <v>2086</v>
      </c>
      <c r="CN3" s="2">
        <f t="shared" si="1"/>
        <v>2087</v>
      </c>
      <c r="CO3" s="2">
        <f t="shared" si="1"/>
        <v>2088</v>
      </c>
      <c r="CP3" s="2">
        <f t="shared" si="1"/>
        <v>2089</v>
      </c>
      <c r="CQ3" s="2">
        <f t="shared" si="1"/>
        <v>2090</v>
      </c>
      <c r="CR3" s="2">
        <f t="shared" si="1"/>
        <v>2091</v>
      </c>
      <c r="CS3" s="2">
        <f t="shared" si="1"/>
        <v>2092</v>
      </c>
      <c r="CT3" s="2">
        <f t="shared" si="1"/>
        <v>2093</v>
      </c>
      <c r="CU3" s="2">
        <f t="shared" si="1"/>
        <v>2094</v>
      </c>
      <c r="CV3" s="2">
        <f t="shared" si="1"/>
        <v>2095</v>
      </c>
      <c r="CW3" s="2">
        <f t="shared" si="1"/>
        <v>2096</v>
      </c>
      <c r="CX3" s="2">
        <f t="shared" si="1"/>
        <v>2097</v>
      </c>
      <c r="CY3" s="2">
        <f t="shared" si="1"/>
        <v>2098</v>
      </c>
      <c r="CZ3" s="2">
        <f t="shared" ref="CZ3:EF3" si="2">+CY3+1</f>
        <v>2099</v>
      </c>
      <c r="DA3" s="2">
        <f t="shared" si="2"/>
        <v>2100</v>
      </c>
      <c r="DB3" s="2">
        <f t="shared" si="2"/>
        <v>2101</v>
      </c>
      <c r="DC3" s="2">
        <f t="shared" si="2"/>
        <v>2102</v>
      </c>
      <c r="DD3" s="2">
        <f t="shared" si="2"/>
        <v>2103</v>
      </c>
      <c r="DE3" s="2">
        <f t="shared" si="2"/>
        <v>2104</v>
      </c>
      <c r="DF3" s="2">
        <f t="shared" si="2"/>
        <v>2105</v>
      </c>
      <c r="DG3" s="2">
        <f t="shared" si="2"/>
        <v>2106</v>
      </c>
      <c r="DH3" s="2">
        <f t="shared" si="2"/>
        <v>2107</v>
      </c>
      <c r="DI3" s="2">
        <f t="shared" si="2"/>
        <v>2108</v>
      </c>
      <c r="DJ3" s="2">
        <f t="shared" si="2"/>
        <v>2109</v>
      </c>
      <c r="DK3" s="2">
        <f t="shared" si="2"/>
        <v>2110</v>
      </c>
      <c r="DL3" s="2">
        <f t="shared" si="2"/>
        <v>2111</v>
      </c>
      <c r="DM3" s="2">
        <f t="shared" si="2"/>
        <v>2112</v>
      </c>
      <c r="DN3" s="2">
        <f t="shared" si="2"/>
        <v>2113</v>
      </c>
      <c r="DO3" s="2">
        <f t="shared" si="2"/>
        <v>2114</v>
      </c>
      <c r="DP3" s="2">
        <f t="shared" si="2"/>
        <v>2115</v>
      </c>
      <c r="DQ3" s="2">
        <f t="shared" si="2"/>
        <v>2116</v>
      </c>
      <c r="DR3" s="2">
        <f t="shared" si="2"/>
        <v>2117</v>
      </c>
      <c r="DS3" s="2">
        <f t="shared" si="2"/>
        <v>2118</v>
      </c>
      <c r="DT3" s="2">
        <f t="shared" si="2"/>
        <v>2119</v>
      </c>
      <c r="DU3" s="2">
        <f t="shared" si="2"/>
        <v>2120</v>
      </c>
      <c r="DV3" s="2">
        <f t="shared" si="2"/>
        <v>2121</v>
      </c>
      <c r="DW3" s="2">
        <f t="shared" si="2"/>
        <v>2122</v>
      </c>
      <c r="DX3" s="2">
        <f t="shared" si="2"/>
        <v>2123</v>
      </c>
      <c r="DY3" s="2">
        <f t="shared" si="2"/>
        <v>2124</v>
      </c>
      <c r="DZ3" s="2">
        <f t="shared" si="2"/>
        <v>2125</v>
      </c>
      <c r="EA3" s="2">
        <f t="shared" si="2"/>
        <v>2126</v>
      </c>
      <c r="EB3" s="2">
        <f t="shared" si="2"/>
        <v>2127</v>
      </c>
      <c r="EC3" s="2">
        <f t="shared" si="2"/>
        <v>2128</v>
      </c>
      <c r="ED3" s="2">
        <f t="shared" si="2"/>
        <v>2129</v>
      </c>
      <c r="EE3" s="2">
        <f t="shared" si="2"/>
        <v>2130</v>
      </c>
      <c r="EF3" s="2">
        <f t="shared" si="2"/>
        <v>2131</v>
      </c>
      <c r="EG3" s="2">
        <f t="shared" ref="EG3:FY3" si="3">+EF3+1</f>
        <v>2132</v>
      </c>
      <c r="EH3" s="2">
        <f t="shared" si="3"/>
        <v>2133</v>
      </c>
      <c r="EI3" s="2">
        <f t="shared" si="3"/>
        <v>2134</v>
      </c>
      <c r="EJ3" s="2">
        <f t="shared" si="3"/>
        <v>2135</v>
      </c>
      <c r="EK3" s="2">
        <f t="shared" si="3"/>
        <v>2136</v>
      </c>
      <c r="EL3" s="2">
        <f t="shared" si="3"/>
        <v>2137</v>
      </c>
      <c r="EM3" s="2">
        <f t="shared" si="3"/>
        <v>2138</v>
      </c>
      <c r="EN3" s="2">
        <f t="shared" si="3"/>
        <v>2139</v>
      </c>
      <c r="EO3" s="2">
        <f t="shared" si="3"/>
        <v>2140</v>
      </c>
      <c r="EP3" s="2">
        <f t="shared" si="3"/>
        <v>2141</v>
      </c>
      <c r="EQ3" s="2">
        <f t="shared" si="3"/>
        <v>2142</v>
      </c>
      <c r="ER3" s="2">
        <f t="shared" si="3"/>
        <v>2143</v>
      </c>
      <c r="ES3" s="2">
        <f t="shared" si="3"/>
        <v>2144</v>
      </c>
      <c r="ET3" s="2">
        <f t="shared" si="3"/>
        <v>2145</v>
      </c>
      <c r="EU3" s="2">
        <f t="shared" si="3"/>
        <v>2146</v>
      </c>
      <c r="EV3" s="2">
        <f t="shared" si="3"/>
        <v>2147</v>
      </c>
      <c r="EW3" s="2">
        <f t="shared" si="3"/>
        <v>2148</v>
      </c>
      <c r="EX3" s="2">
        <f t="shared" si="3"/>
        <v>2149</v>
      </c>
      <c r="EY3" s="2">
        <f t="shared" si="3"/>
        <v>2150</v>
      </c>
      <c r="EZ3" s="2">
        <f t="shared" si="3"/>
        <v>2151</v>
      </c>
      <c r="FA3" s="2">
        <f t="shared" si="3"/>
        <v>2152</v>
      </c>
      <c r="FB3" s="2">
        <f t="shared" si="3"/>
        <v>2153</v>
      </c>
      <c r="FC3" s="2">
        <f t="shared" si="3"/>
        <v>2154</v>
      </c>
      <c r="FD3" s="2">
        <f t="shared" si="3"/>
        <v>2155</v>
      </c>
      <c r="FE3" s="2">
        <f t="shared" si="3"/>
        <v>2156</v>
      </c>
      <c r="FF3" s="2">
        <f t="shared" si="3"/>
        <v>2157</v>
      </c>
      <c r="FG3" s="2">
        <f t="shared" si="3"/>
        <v>2158</v>
      </c>
      <c r="FH3" s="2">
        <f t="shared" si="3"/>
        <v>2159</v>
      </c>
      <c r="FI3" s="2">
        <f t="shared" si="3"/>
        <v>2160</v>
      </c>
      <c r="FJ3" s="2">
        <f t="shared" si="3"/>
        <v>2161</v>
      </c>
      <c r="FK3" s="2">
        <f t="shared" si="3"/>
        <v>2162</v>
      </c>
      <c r="FL3" s="2">
        <f t="shared" si="3"/>
        <v>2163</v>
      </c>
      <c r="FM3" s="2">
        <f t="shared" si="3"/>
        <v>2164</v>
      </c>
      <c r="FN3" s="2">
        <f t="shared" si="3"/>
        <v>2165</v>
      </c>
      <c r="FO3" s="2">
        <f t="shared" si="3"/>
        <v>2166</v>
      </c>
      <c r="FP3" s="2">
        <f t="shared" si="3"/>
        <v>2167</v>
      </c>
      <c r="FQ3" s="2">
        <f t="shared" si="3"/>
        <v>2168</v>
      </c>
      <c r="FR3" s="2">
        <f t="shared" si="3"/>
        <v>2169</v>
      </c>
      <c r="FS3" s="2">
        <f t="shared" si="3"/>
        <v>2170</v>
      </c>
      <c r="FT3" s="2">
        <f t="shared" si="3"/>
        <v>2171</v>
      </c>
      <c r="FU3" s="2">
        <f t="shared" si="3"/>
        <v>2172</v>
      </c>
      <c r="FV3" s="2">
        <f t="shared" si="3"/>
        <v>2173</v>
      </c>
      <c r="FW3" s="2">
        <f t="shared" si="3"/>
        <v>2174</v>
      </c>
      <c r="FX3" s="2">
        <f t="shared" si="3"/>
        <v>2175</v>
      </c>
      <c r="FY3" s="2">
        <f t="shared" si="3"/>
        <v>2176</v>
      </c>
      <c r="FZ3" s="2">
        <f t="shared" ref="FZ3:GU3" si="4">+FY3+1</f>
        <v>2177</v>
      </c>
      <c r="GA3" s="2">
        <f t="shared" si="4"/>
        <v>2178</v>
      </c>
      <c r="GB3" s="2">
        <f t="shared" si="4"/>
        <v>2179</v>
      </c>
      <c r="GC3" s="2">
        <f t="shared" si="4"/>
        <v>2180</v>
      </c>
      <c r="GD3" s="2">
        <f t="shared" si="4"/>
        <v>2181</v>
      </c>
      <c r="GE3" s="2">
        <f t="shared" si="4"/>
        <v>2182</v>
      </c>
      <c r="GF3" s="2">
        <f t="shared" si="4"/>
        <v>2183</v>
      </c>
      <c r="GG3" s="2">
        <f t="shared" si="4"/>
        <v>2184</v>
      </c>
      <c r="GH3" s="2">
        <f t="shared" si="4"/>
        <v>2185</v>
      </c>
      <c r="GI3" s="2">
        <f t="shared" si="4"/>
        <v>2186</v>
      </c>
      <c r="GJ3" s="2">
        <f t="shared" si="4"/>
        <v>2187</v>
      </c>
      <c r="GK3" s="2">
        <f t="shared" si="4"/>
        <v>2188</v>
      </c>
      <c r="GL3" s="2">
        <f t="shared" si="4"/>
        <v>2189</v>
      </c>
      <c r="GM3" s="2">
        <f t="shared" si="4"/>
        <v>2190</v>
      </c>
      <c r="GN3" s="2">
        <f t="shared" si="4"/>
        <v>2191</v>
      </c>
      <c r="GO3" s="2">
        <f t="shared" si="4"/>
        <v>2192</v>
      </c>
      <c r="GP3" s="2">
        <f t="shared" si="4"/>
        <v>2193</v>
      </c>
      <c r="GQ3" s="2">
        <f t="shared" si="4"/>
        <v>2194</v>
      </c>
      <c r="GR3" s="2">
        <f t="shared" si="4"/>
        <v>2195</v>
      </c>
      <c r="GS3" s="2">
        <f t="shared" si="4"/>
        <v>2196</v>
      </c>
      <c r="GT3" s="2">
        <f t="shared" si="4"/>
        <v>2197</v>
      </c>
      <c r="GU3" s="2">
        <f t="shared" si="4"/>
        <v>2198</v>
      </c>
      <c r="GV3" s="2">
        <f t="shared" ref="GV3:IA3" si="5">+GU3+1</f>
        <v>2199</v>
      </c>
      <c r="GW3" s="2">
        <f t="shared" si="5"/>
        <v>2200</v>
      </c>
      <c r="GX3" s="2">
        <f t="shared" si="5"/>
        <v>2201</v>
      </c>
      <c r="GY3" s="2">
        <f t="shared" si="5"/>
        <v>2202</v>
      </c>
      <c r="GZ3" s="2">
        <f t="shared" si="5"/>
        <v>2203</v>
      </c>
      <c r="HA3" s="2">
        <f t="shared" si="5"/>
        <v>2204</v>
      </c>
      <c r="HB3" s="2">
        <f t="shared" si="5"/>
        <v>2205</v>
      </c>
      <c r="HC3" s="2">
        <f t="shared" si="5"/>
        <v>2206</v>
      </c>
      <c r="HD3" s="2">
        <f t="shared" si="5"/>
        <v>2207</v>
      </c>
      <c r="HE3" s="2">
        <f t="shared" si="5"/>
        <v>2208</v>
      </c>
      <c r="HF3" s="2">
        <f t="shared" si="5"/>
        <v>2209</v>
      </c>
      <c r="HG3" s="2">
        <f t="shared" si="5"/>
        <v>2210</v>
      </c>
      <c r="HH3" s="2">
        <f t="shared" si="5"/>
        <v>2211</v>
      </c>
      <c r="HI3" s="2">
        <f t="shared" si="5"/>
        <v>2212</v>
      </c>
      <c r="HJ3" s="2">
        <f t="shared" si="5"/>
        <v>2213</v>
      </c>
      <c r="HK3" s="2">
        <f t="shared" si="5"/>
        <v>2214</v>
      </c>
      <c r="HL3" s="2">
        <f t="shared" si="5"/>
        <v>2215</v>
      </c>
      <c r="HM3" s="2">
        <f t="shared" si="5"/>
        <v>2216</v>
      </c>
      <c r="HN3" s="2">
        <f t="shared" si="5"/>
        <v>2217</v>
      </c>
      <c r="HO3" s="2">
        <f t="shared" si="5"/>
        <v>2218</v>
      </c>
      <c r="HP3" s="2">
        <f t="shared" si="5"/>
        <v>2219</v>
      </c>
      <c r="HQ3" s="2">
        <f t="shared" si="5"/>
        <v>2220</v>
      </c>
      <c r="HR3" s="2">
        <f t="shared" si="5"/>
        <v>2221</v>
      </c>
      <c r="HS3" s="2">
        <f t="shared" si="5"/>
        <v>2222</v>
      </c>
      <c r="HT3" s="2">
        <f t="shared" si="5"/>
        <v>2223</v>
      </c>
      <c r="HU3" s="2">
        <f t="shared" si="5"/>
        <v>2224</v>
      </c>
      <c r="HV3" s="2">
        <f t="shared" si="5"/>
        <v>2225</v>
      </c>
      <c r="HW3" s="2">
        <f t="shared" si="5"/>
        <v>2226</v>
      </c>
      <c r="HX3" s="2">
        <f t="shared" si="5"/>
        <v>2227</v>
      </c>
      <c r="HY3" s="2">
        <f t="shared" si="5"/>
        <v>2228</v>
      </c>
      <c r="HZ3" s="2">
        <f t="shared" si="5"/>
        <v>2229</v>
      </c>
      <c r="IA3" s="2">
        <f t="shared" si="5"/>
        <v>2230</v>
      </c>
      <c r="IB3" s="2">
        <f t="shared" ref="IB3:IE3" si="6">+IA3+1</f>
        <v>2231</v>
      </c>
      <c r="IC3" s="2">
        <f t="shared" si="6"/>
        <v>2232</v>
      </c>
      <c r="ID3" s="2">
        <f t="shared" si="6"/>
        <v>2233</v>
      </c>
      <c r="IE3" s="2">
        <f t="shared" si="6"/>
        <v>2234</v>
      </c>
    </row>
    <row r="4" spans="2:239">
      <c r="B4" s="1" t="s">
        <v>41</v>
      </c>
      <c r="C4" s="21">
        <v>7107</v>
      </c>
      <c r="D4" s="21">
        <v>6808</v>
      </c>
      <c r="E4" s="21">
        <v>6941</v>
      </c>
      <c r="F4" s="21">
        <f>+AB4-SUM(C4:E4)</f>
        <v>7326</v>
      </c>
      <c r="G4" s="21">
        <v>7390</v>
      </c>
      <c r="H4" s="21">
        <v>7202</v>
      </c>
      <c r="I4" s="21">
        <v>7274</v>
      </c>
      <c r="J4" s="21">
        <f>+AC4-SUM(G4:I4)</f>
        <v>8230</v>
      </c>
      <c r="K4" s="21">
        <v>8212</v>
      </c>
      <c r="L4" s="21">
        <v>8408</v>
      </c>
      <c r="M4" s="21">
        <v>9257</v>
      </c>
      <c r="N4" s="21">
        <f>+AD4-SUM(K4:M4)</f>
        <v>10981</v>
      </c>
      <c r="O4" s="21">
        <f>+O6*(K4/K6)</f>
        <v>10515.500134084206</v>
      </c>
      <c r="P4" s="21">
        <f>+P6*(L4/L6)</f>
        <v>10699.11835777126</v>
      </c>
      <c r="Q4" s="21">
        <f>+Q6*(M4/M6)</f>
        <v>11144.796629889668</v>
      </c>
      <c r="R4" s="21">
        <f>+R6*(N4/N6)</f>
        <v>13126.729458784346</v>
      </c>
      <c r="Y4" s="1">
        <v>17267</v>
      </c>
      <c r="Z4" s="1">
        <v>20383</v>
      </c>
      <c r="AA4" s="1">
        <v>25818</v>
      </c>
      <c r="AB4" s="1">
        <v>28182</v>
      </c>
      <c r="AC4" s="1">
        <v>30096</v>
      </c>
      <c r="AD4" s="1">
        <v>36858</v>
      </c>
      <c r="AE4" s="1">
        <f>SUM(O4:R4)</f>
        <v>45486.144580529479</v>
      </c>
      <c r="AF4" s="1">
        <f>+AE4*1.15</f>
        <v>52309.066267608898</v>
      </c>
      <c r="AG4" s="1">
        <f>+AF4*1.14</f>
        <v>59632.335545074136</v>
      </c>
      <c r="AH4" s="1">
        <f>+AG4*1.13</f>
        <v>67384.539165933762</v>
      </c>
      <c r="AI4" s="1">
        <f>+AH4*1.12</f>
        <v>75470.683865845815</v>
      </c>
      <c r="AJ4" s="1">
        <f>+AI4*1.11</f>
        <v>83772.459091088866</v>
      </c>
      <c r="AK4" s="1">
        <f>+AJ4*1.1</f>
        <v>92149.705000197762</v>
      </c>
      <c r="AL4" s="1">
        <f t="shared" ref="AL4:AN4" si="7">+AK4*1.1</f>
        <v>101364.67550021755</v>
      </c>
      <c r="AM4" s="1">
        <f t="shared" si="7"/>
        <v>111501.14305023932</v>
      </c>
      <c r="AN4" s="1">
        <f t="shared" si="7"/>
        <v>122651.25735526327</v>
      </c>
    </row>
    <row r="5" spans="2:239">
      <c r="B5" s="1" t="s">
        <v>42</v>
      </c>
      <c r="C5" s="21">
        <v>1808</v>
      </c>
      <c r="D5" s="21">
        <v>1925</v>
      </c>
      <c r="E5" s="21">
        <v>1935</v>
      </c>
      <c r="F5" s="21">
        <f>+AB5-SUM(C5:E5)</f>
        <v>1969</v>
      </c>
      <c r="G5" s="21">
        <v>4571</v>
      </c>
      <c r="H5" s="21">
        <v>5285</v>
      </c>
      <c r="I5" s="21">
        <v>5798</v>
      </c>
      <c r="J5" s="21">
        <f>+AC5-SUM(G5:I5)</f>
        <v>5824</v>
      </c>
      <c r="K5" s="21">
        <v>6704</v>
      </c>
      <c r="L5" s="21">
        <v>6596</v>
      </c>
      <c r="M5" s="21">
        <v>6695</v>
      </c>
      <c r="N5" s="21">
        <f>+AD5-SUM(K5:M5)</f>
        <v>7034</v>
      </c>
      <c r="O5" s="21">
        <f>+O6-O4</f>
        <v>8584.4998659157936</v>
      </c>
      <c r="P5" s="21">
        <f>+P6-P4</f>
        <v>8393.3616422287396</v>
      </c>
      <c r="Q5" s="21">
        <f>+Q6-Q4</f>
        <v>8060.3233701103309</v>
      </c>
      <c r="R5" s="21">
        <f>+R6-R4</f>
        <v>8408.4705412156545</v>
      </c>
      <c r="Y5" s="1">
        <v>6621</v>
      </c>
      <c r="Z5" s="1">
        <v>7067</v>
      </c>
      <c r="AA5" s="1">
        <v>7385</v>
      </c>
      <c r="AB5" s="1">
        <v>7637</v>
      </c>
      <c r="AC5" s="1">
        <v>21478</v>
      </c>
      <c r="AD5" s="1">
        <v>27029</v>
      </c>
      <c r="AE5" s="1">
        <f>SUM(O5:R5)</f>
        <v>33446.655419470517</v>
      </c>
      <c r="AF5" s="1">
        <f>+AE5*1.15</f>
        <v>38463.653732391089</v>
      </c>
      <c r="AG5" s="1">
        <f>+AF5*1.14</f>
        <v>43848.565254925838</v>
      </c>
      <c r="AH5" s="1">
        <f>+AG5*1.13</f>
        <v>49548.878738066189</v>
      </c>
      <c r="AI5" s="1">
        <f>+AH5*1.12</f>
        <v>55494.74418663414</v>
      </c>
      <c r="AJ5" s="1">
        <f>+AI5*1.11</f>
        <v>61599.166047163897</v>
      </c>
      <c r="AK5" s="1">
        <f>+AJ5*1.1</f>
        <v>67759.082651880293</v>
      </c>
      <c r="AL5" s="1">
        <f t="shared" ref="AL5:AN5" si="8">+AK5*1.1</f>
        <v>74534.990917068324</v>
      </c>
      <c r="AM5" s="1">
        <f t="shared" si="8"/>
        <v>81988.490008775159</v>
      </c>
      <c r="AN5" s="1">
        <f t="shared" si="8"/>
        <v>90187.339009652685</v>
      </c>
    </row>
    <row r="6" spans="2:239" s="20" customFormat="1">
      <c r="B6" s="20" t="s">
        <v>16</v>
      </c>
      <c r="C6" s="24">
        <f t="shared" ref="C6:M6" si="9">SUM(C4:C5)</f>
        <v>8915</v>
      </c>
      <c r="D6" s="24">
        <f t="shared" si="9"/>
        <v>8733</v>
      </c>
      <c r="E6" s="24">
        <f t="shared" si="9"/>
        <v>8876</v>
      </c>
      <c r="F6" s="24">
        <f t="shared" si="9"/>
        <v>9295</v>
      </c>
      <c r="G6" s="24">
        <f t="shared" si="9"/>
        <v>11961</v>
      </c>
      <c r="H6" s="24">
        <f t="shared" si="9"/>
        <v>12487</v>
      </c>
      <c r="I6" s="24">
        <f t="shared" si="9"/>
        <v>13072</v>
      </c>
      <c r="J6" s="24">
        <f t="shared" si="9"/>
        <v>14054</v>
      </c>
      <c r="K6" s="24">
        <f t="shared" si="9"/>
        <v>14916</v>
      </c>
      <c r="L6" s="24">
        <f t="shared" si="9"/>
        <v>15004</v>
      </c>
      <c r="M6" s="24">
        <f t="shared" si="9"/>
        <v>15952</v>
      </c>
      <c r="N6" s="24">
        <f>+AD6-SUM(K6:M6)</f>
        <v>18015</v>
      </c>
      <c r="O6" s="24">
        <v>19100</v>
      </c>
      <c r="P6" s="24">
        <f>+K6*1.28</f>
        <v>19092.48</v>
      </c>
      <c r="Q6" s="24">
        <f>+L6*1.28</f>
        <v>19205.12</v>
      </c>
      <c r="R6" s="24">
        <f>+M6*1.35</f>
        <v>21535.200000000001</v>
      </c>
      <c r="Y6" s="20">
        <f>SUM(Y4:Y5)</f>
        <v>23888</v>
      </c>
      <c r="Z6" s="20">
        <f>SUM(Z4:Z5)</f>
        <v>27450</v>
      </c>
      <c r="AA6" s="20">
        <f>SUM(AA4:AA5)</f>
        <v>33203</v>
      </c>
      <c r="AB6" s="20">
        <f>SUM(AB4:AB5)</f>
        <v>35819</v>
      </c>
      <c r="AC6" s="20">
        <f>SUM(AC4:AC5)</f>
        <v>51574</v>
      </c>
      <c r="AD6" s="20">
        <f>SUM(AD4:AD5)</f>
        <v>63887</v>
      </c>
      <c r="AE6" s="20">
        <f>SUM(O6:R6)</f>
        <v>78932.799999999988</v>
      </c>
      <c r="AF6" s="20">
        <f>SUM(AF4:AF5)</f>
        <v>90772.719999999987</v>
      </c>
      <c r="AG6" s="20">
        <f t="shared" ref="AG6:AN6" si="10">SUM(AG4:AG5)</f>
        <v>103480.90079999997</v>
      </c>
      <c r="AH6" s="20">
        <f t="shared" si="10"/>
        <v>116933.41790399994</v>
      </c>
      <c r="AI6" s="20">
        <f t="shared" si="10"/>
        <v>130965.42805247995</v>
      </c>
      <c r="AJ6" s="20">
        <f t="shared" si="10"/>
        <v>145371.62513825277</v>
      </c>
      <c r="AK6" s="20">
        <f t="shared" si="10"/>
        <v>159908.78765207806</v>
      </c>
      <c r="AL6" s="20">
        <f t="shared" si="10"/>
        <v>175899.66641728586</v>
      </c>
      <c r="AM6" s="20">
        <f t="shared" si="10"/>
        <v>193489.63305901448</v>
      </c>
      <c r="AN6" s="20">
        <f t="shared" si="10"/>
        <v>212838.59636491595</v>
      </c>
    </row>
    <row r="7" spans="2:239">
      <c r="B7" s="1" t="s">
        <v>17</v>
      </c>
      <c r="C7" s="21">
        <v>2225</v>
      </c>
      <c r="D7" s="21">
        <v>2019</v>
      </c>
      <c r="E7" s="21">
        <v>2107</v>
      </c>
      <c r="F7" s="21">
        <f t="shared" ref="F7:F17" si="11">+AB7-SUM(C7:E7)</f>
        <v>2285</v>
      </c>
      <c r="G7" s="21">
        <v>2160</v>
      </c>
      <c r="H7" s="21">
        <v>2429</v>
      </c>
      <c r="I7" s="21">
        <v>2434</v>
      </c>
      <c r="J7" s="21">
        <f t="shared" ref="J7:J17" si="12">+AC7-SUM(G7:I7)</f>
        <v>2774</v>
      </c>
      <c r="K7" s="21">
        <v>2693</v>
      </c>
      <c r="L7" s="21">
        <v>2720</v>
      </c>
      <c r="M7" s="21">
        <v>3096</v>
      </c>
      <c r="N7" s="21">
        <f>+AD7-SUM(K7:M7)</f>
        <v>3606</v>
      </c>
      <c r="O7" s="21">
        <f>+O4*(K7/K4)</f>
        <v>3448.3976937516763</v>
      </c>
      <c r="P7" s="21">
        <f>+P4*(L7/L4)</f>
        <v>3461.1800586510262</v>
      </c>
      <c r="Q7" s="21">
        <f>+Q4*(M7/M4)</f>
        <v>3727.3728385155464</v>
      </c>
      <c r="R7" s="21">
        <f>+R4*(N7/N4)</f>
        <v>4310.6262114904248</v>
      </c>
      <c r="Y7" s="1">
        <v>5892</v>
      </c>
      <c r="Z7" s="1">
        <v>6555</v>
      </c>
      <c r="AA7" s="1">
        <v>7629</v>
      </c>
      <c r="AB7" s="1">
        <v>8636</v>
      </c>
      <c r="AC7" s="1">
        <v>9797</v>
      </c>
      <c r="AD7" s="1">
        <v>12115</v>
      </c>
      <c r="AE7" s="1">
        <f>SUM(O7:R7)</f>
        <v>14947.576802408672</v>
      </c>
      <c r="AF7" s="1">
        <f>+AF4*(AE7/AE4)</f>
        <v>17189.713322769974</v>
      </c>
      <c r="AG7" s="1">
        <f t="shared" ref="AG7:AN7" si="13">+AG4*(AF7/AF4)</f>
        <v>19596.273187957766</v>
      </c>
      <c r="AH7" s="1">
        <f t="shared" si="13"/>
        <v>22143.788702392274</v>
      </c>
      <c r="AI7" s="1">
        <f t="shared" si="13"/>
        <v>24801.043346679344</v>
      </c>
      <c r="AJ7" s="1">
        <f t="shared" si="13"/>
        <v>27529.158114814076</v>
      </c>
      <c r="AK7" s="1">
        <f t="shared" si="13"/>
        <v>30282.073926295488</v>
      </c>
      <c r="AL7" s="1">
        <f t="shared" si="13"/>
        <v>33310.281318925037</v>
      </c>
      <c r="AM7" s="1">
        <f t="shared" si="13"/>
        <v>36641.309450817542</v>
      </c>
      <c r="AN7" s="1">
        <f t="shared" si="13"/>
        <v>40305.440395899306</v>
      </c>
    </row>
    <row r="8" spans="2:239">
      <c r="B8" s="1" t="s">
        <v>18</v>
      </c>
      <c r="C8" s="21">
        <v>149</v>
      </c>
      <c r="D8" s="21">
        <v>158</v>
      </c>
      <c r="E8" s="21">
        <v>165</v>
      </c>
      <c r="F8" s="21">
        <f t="shared" si="11"/>
        <v>164</v>
      </c>
      <c r="G8" s="21">
        <v>954</v>
      </c>
      <c r="H8" s="21">
        <v>713</v>
      </c>
      <c r="I8" s="21">
        <v>699</v>
      </c>
      <c r="J8" s="21">
        <f t="shared" si="12"/>
        <v>625</v>
      </c>
      <c r="K8" s="21">
        <v>580</v>
      </c>
      <c r="L8" s="21">
        <v>576</v>
      </c>
      <c r="M8" s="21">
        <v>608</v>
      </c>
      <c r="N8" s="21">
        <f>+AD8-SUM(K8:M8)</f>
        <v>607</v>
      </c>
      <c r="O8" s="21">
        <f>+O5*(K8/K5)</f>
        <v>742.69241083400368</v>
      </c>
      <c r="P8" s="21">
        <f>+P5*(L8/L5)</f>
        <v>732.95577712609975</v>
      </c>
      <c r="Q8" s="21">
        <f>+Q5*(M8/M5)</f>
        <v>731.99053159478433</v>
      </c>
      <c r="R8" s="21">
        <f>+R5*(N8/N5)</f>
        <v>725.61012489592019</v>
      </c>
      <c r="Y8" s="1">
        <v>626</v>
      </c>
      <c r="Z8" s="1">
        <v>607</v>
      </c>
      <c r="AA8" s="1">
        <v>627</v>
      </c>
      <c r="AB8" s="1">
        <v>636</v>
      </c>
      <c r="AC8" s="1">
        <v>2991</v>
      </c>
      <c r="AD8" s="1">
        <v>2371</v>
      </c>
      <c r="AE8" s="1">
        <f t="shared" ref="AE8:AE17" si="14">SUM(O8:R8)</f>
        <v>2933.2488444508081</v>
      </c>
      <c r="AF8" s="1">
        <f>+AF5*(AE8/AE5)</f>
        <v>3373.2361711184285</v>
      </c>
      <c r="AG8" s="1">
        <f t="shared" ref="AG8:AN8" si="15">+AG5*(AF8/AF5)</f>
        <v>3845.4892350750083</v>
      </c>
      <c r="AH8" s="1">
        <f t="shared" si="15"/>
        <v>4345.402835634759</v>
      </c>
      <c r="AI8" s="1">
        <f t="shared" si="15"/>
        <v>4866.8511759109306</v>
      </c>
      <c r="AJ8" s="1">
        <f t="shared" si="15"/>
        <v>5402.2048052611326</v>
      </c>
      <c r="AK8" s="1">
        <f t="shared" si="15"/>
        <v>5942.425285787247</v>
      </c>
      <c r="AL8" s="1">
        <f t="shared" si="15"/>
        <v>6536.6678143659719</v>
      </c>
      <c r="AM8" s="1">
        <f t="shared" si="15"/>
        <v>7190.3345958025693</v>
      </c>
      <c r="AN8" s="1">
        <f t="shared" si="15"/>
        <v>7909.3680553828272</v>
      </c>
    </row>
    <row r="9" spans="2:239">
      <c r="B9" s="1" t="s">
        <v>19</v>
      </c>
      <c r="C9" s="21">
        <f>+C6-SUM(C7:C8)</f>
        <v>6541</v>
      </c>
      <c r="D9" s="21">
        <f>+D6-SUM(D7:D8)</f>
        <v>6556</v>
      </c>
      <c r="E9" s="21">
        <f>+E6-SUM(E7:E8)</f>
        <v>6604</v>
      </c>
      <c r="F9" s="21">
        <f t="shared" si="11"/>
        <v>6846</v>
      </c>
      <c r="G9" s="21">
        <f>+G6-SUM(G7:G8)</f>
        <v>8847</v>
      </c>
      <c r="H9" s="21">
        <f>+H6-SUM(H7:H8)</f>
        <v>9345</v>
      </c>
      <c r="I9" s="21">
        <f>+I6-SUM(I7:I8)</f>
        <v>9939</v>
      </c>
      <c r="J9" s="21">
        <f t="shared" si="12"/>
        <v>10655</v>
      </c>
      <c r="K9" s="21">
        <f>+K6-SUM(K7:K8)</f>
        <v>11643</v>
      </c>
      <c r="L9" s="21">
        <f>+L6-SUM(L7:L8)</f>
        <v>11708</v>
      </c>
      <c r="M9" s="21">
        <f>+M6-SUM(M7:M8)</f>
        <v>12248</v>
      </c>
      <c r="N9" s="21">
        <f>+AD9-SUM(K9:M9)</f>
        <v>13802</v>
      </c>
      <c r="O9" s="21">
        <f>+O6-SUM(O7:O8)</f>
        <v>14908.909895414319</v>
      </c>
      <c r="P9" s="21">
        <f>+P6-SUM(P7:P8)</f>
        <v>14898.344164222874</v>
      </c>
      <c r="Q9" s="21">
        <f>+Q6-SUM(Q7:Q8)</f>
        <v>14745.756629889667</v>
      </c>
      <c r="R9" s="21">
        <f>+R6-SUM(R7:R8)</f>
        <v>16498.963663613657</v>
      </c>
      <c r="Y9" s="1">
        <f>+Y6-SUM(Y7:Y8)</f>
        <v>17370</v>
      </c>
      <c r="Z9" s="1">
        <f>+Z6-SUM(Z7:Z8)</f>
        <v>20288</v>
      </c>
      <c r="AA9" s="1">
        <f>+AA6-SUM(AA7:AA8)</f>
        <v>24947</v>
      </c>
      <c r="AB9" s="1">
        <f>+AB6-SUM(AB7:AB8)</f>
        <v>26547</v>
      </c>
      <c r="AC9" s="1">
        <f>+AC6-SUM(AC7:AC8)</f>
        <v>38786</v>
      </c>
      <c r="AD9" s="1">
        <f>+AD6-SUM(AD7:AD8)</f>
        <v>49401</v>
      </c>
      <c r="AE9" s="1">
        <f t="shared" si="14"/>
        <v>61051.974353140511</v>
      </c>
      <c r="AF9" s="1">
        <f>+AF6-SUM(AF7:AF8)</f>
        <v>70209.770506111585</v>
      </c>
      <c r="AG9" s="1">
        <f t="shared" ref="AG9:AN9" si="16">+AG6-SUM(AG7:AG8)</f>
        <v>80039.138376967196</v>
      </c>
      <c r="AH9" s="1">
        <f t="shared" si="16"/>
        <v>90444.226365972907</v>
      </c>
      <c r="AI9" s="1">
        <f t="shared" si="16"/>
        <v>101297.53352988968</v>
      </c>
      <c r="AJ9" s="1">
        <f t="shared" si="16"/>
        <v>112440.26221817755</v>
      </c>
      <c r="AK9" s="1">
        <f t="shared" si="16"/>
        <v>123684.28843999532</v>
      </c>
      <c r="AL9" s="1">
        <f t="shared" si="16"/>
        <v>136052.71728399483</v>
      </c>
      <c r="AM9" s="1">
        <f t="shared" si="16"/>
        <v>149657.98901239436</v>
      </c>
      <c r="AN9" s="1">
        <f t="shared" si="16"/>
        <v>164623.7879136338</v>
      </c>
    </row>
    <row r="10" spans="2:239">
      <c r="B10" s="1" t="s">
        <v>20</v>
      </c>
      <c r="C10" s="21">
        <v>1195</v>
      </c>
      <c r="D10" s="21">
        <v>1312</v>
      </c>
      <c r="E10" s="21">
        <v>1358</v>
      </c>
      <c r="F10" s="21">
        <f t="shared" si="11"/>
        <v>1388</v>
      </c>
      <c r="G10" s="21">
        <v>2308</v>
      </c>
      <c r="H10" s="21">
        <v>2415</v>
      </c>
      <c r="I10" s="21">
        <v>2353</v>
      </c>
      <c r="J10" s="21">
        <f t="shared" si="12"/>
        <v>2234</v>
      </c>
      <c r="K10" s="21">
        <v>2253</v>
      </c>
      <c r="L10" s="21">
        <v>2693</v>
      </c>
      <c r="M10" s="21">
        <v>3050</v>
      </c>
      <c r="N10" s="21">
        <f>+AD10-SUM(K10:M10)</f>
        <v>2981</v>
      </c>
      <c r="O10" s="21">
        <f>+O6*0.17</f>
        <v>3247.0000000000005</v>
      </c>
      <c r="P10" s="21">
        <f t="shared" ref="P10:R10" si="17">+P6*0.17</f>
        <v>3245.7216000000003</v>
      </c>
      <c r="Q10" s="21">
        <f t="shared" si="17"/>
        <v>3264.8704000000002</v>
      </c>
      <c r="R10" s="21">
        <f t="shared" si="17"/>
        <v>3660.9840000000004</v>
      </c>
      <c r="Y10" s="1">
        <v>4968</v>
      </c>
      <c r="Z10" s="1">
        <v>4854</v>
      </c>
      <c r="AA10" s="1">
        <v>4919</v>
      </c>
      <c r="AB10" s="1">
        <v>5253</v>
      </c>
      <c r="AC10" s="1">
        <v>9310</v>
      </c>
      <c r="AD10" s="1">
        <v>10977</v>
      </c>
      <c r="AE10" s="1">
        <f t="shared" si="14"/>
        <v>13418.576000000001</v>
      </c>
      <c r="AF10" s="1">
        <f>+AF$6*(AE10/AE$6)</f>
        <v>15431.362400000002</v>
      </c>
      <c r="AG10" s="1">
        <f t="shared" ref="AG10:AN10" si="18">+AG$6*(AF10/AF$6)</f>
        <v>17591.753135999999</v>
      </c>
      <c r="AH10" s="1">
        <f t="shared" si="18"/>
        <v>19878.681043679993</v>
      </c>
      <c r="AI10" s="1">
        <f t="shared" si="18"/>
        <v>22264.122768921592</v>
      </c>
      <c r="AJ10" s="1">
        <f t="shared" si="18"/>
        <v>24713.176273502973</v>
      </c>
      <c r="AK10" s="1">
        <f t="shared" si="18"/>
        <v>27184.493900853271</v>
      </c>
      <c r="AL10" s="1">
        <f t="shared" si="18"/>
        <v>29902.943290938598</v>
      </c>
      <c r="AM10" s="1">
        <f t="shared" si="18"/>
        <v>32893.237620032465</v>
      </c>
      <c r="AN10" s="1">
        <f t="shared" si="18"/>
        <v>36182.561382035718</v>
      </c>
    </row>
    <row r="11" spans="2:239">
      <c r="B11" s="1" t="s">
        <v>21</v>
      </c>
      <c r="C11" s="21">
        <v>348</v>
      </c>
      <c r="D11" s="21">
        <v>438</v>
      </c>
      <c r="E11" s="21">
        <v>388</v>
      </c>
      <c r="F11" s="21">
        <f t="shared" si="11"/>
        <v>418</v>
      </c>
      <c r="G11" s="21">
        <v>1572</v>
      </c>
      <c r="H11" s="21">
        <v>1277</v>
      </c>
      <c r="I11" s="21">
        <v>1100</v>
      </c>
      <c r="J11" s="21">
        <f t="shared" si="12"/>
        <v>1010</v>
      </c>
      <c r="K11" s="21">
        <v>949</v>
      </c>
      <c r="L11" s="21">
        <v>1083</v>
      </c>
      <c r="M11" s="21">
        <v>1072</v>
      </c>
      <c r="N11" s="21">
        <f>+AD11-SUM(K11:M11)</f>
        <v>1107</v>
      </c>
      <c r="O11" s="21">
        <f>+O6*0.07</f>
        <v>1337.0000000000002</v>
      </c>
      <c r="P11" s="21">
        <f>+P6*0.07</f>
        <v>1336.4736</v>
      </c>
      <c r="Q11" s="21">
        <f>+Q6*0.07</f>
        <v>1344.3584000000001</v>
      </c>
      <c r="R11" s="21">
        <f>+R6*0.07</f>
        <v>1507.4640000000002</v>
      </c>
      <c r="Y11" s="1">
        <v>1935</v>
      </c>
      <c r="Z11" s="1">
        <v>1347</v>
      </c>
      <c r="AA11" s="1">
        <v>1382</v>
      </c>
      <c r="AB11" s="1">
        <v>1592</v>
      </c>
      <c r="AC11" s="1">
        <v>4959</v>
      </c>
      <c r="AD11" s="1">
        <v>4211</v>
      </c>
      <c r="AE11" s="1">
        <f t="shared" si="14"/>
        <v>5525.2960000000003</v>
      </c>
      <c r="AF11" s="1">
        <f>+AF$6*(AE11/AE$6)</f>
        <v>6354.090400000001</v>
      </c>
      <c r="AG11" s="1">
        <f t="shared" ref="AG11:AN11" si="19">+AG$6*(AF11/AF$6)</f>
        <v>7243.6630560000003</v>
      </c>
      <c r="AH11" s="1">
        <f t="shared" si="19"/>
        <v>8185.339253279998</v>
      </c>
      <c r="AI11" s="1">
        <f t="shared" si="19"/>
        <v>9167.5799636735992</v>
      </c>
      <c r="AJ11" s="1">
        <f t="shared" si="19"/>
        <v>10176.013759677697</v>
      </c>
      <c r="AK11" s="1">
        <f t="shared" si="19"/>
        <v>11193.615135645467</v>
      </c>
      <c r="AL11" s="1">
        <f t="shared" si="19"/>
        <v>12312.976649210013</v>
      </c>
      <c r="AM11" s="1">
        <f t="shared" si="19"/>
        <v>13544.274314131018</v>
      </c>
      <c r="AN11" s="1">
        <f t="shared" si="19"/>
        <v>14898.701745544122</v>
      </c>
    </row>
    <row r="12" spans="2:239">
      <c r="B12" s="1" t="s">
        <v>22</v>
      </c>
      <c r="C12" s="21">
        <f>+C9-SUM(C10:C11)</f>
        <v>4998</v>
      </c>
      <c r="D12" s="21">
        <f>+D9-SUM(D10:D11)</f>
        <v>4806</v>
      </c>
      <c r="E12" s="21">
        <f>+E9-SUM(E10:E11)</f>
        <v>4858</v>
      </c>
      <c r="F12" s="21">
        <f t="shared" si="11"/>
        <v>5040</v>
      </c>
      <c r="G12" s="21">
        <f>+G9-SUM(G10:G11)</f>
        <v>4967</v>
      </c>
      <c r="H12" s="21">
        <f>+H9-SUM(H10:H11)</f>
        <v>5653</v>
      </c>
      <c r="I12" s="21">
        <f>+I9-SUM(I10:I11)</f>
        <v>6486</v>
      </c>
      <c r="J12" s="21">
        <f t="shared" si="12"/>
        <v>7411</v>
      </c>
      <c r="K12" s="21">
        <f>+K9-SUM(K10:K11)</f>
        <v>8441</v>
      </c>
      <c r="L12" s="21">
        <f>+L9-SUM(L10:L11)</f>
        <v>7932</v>
      </c>
      <c r="M12" s="21">
        <f>+M9-SUM(M10:M11)</f>
        <v>8126</v>
      </c>
      <c r="N12" s="21">
        <f>+AD12-SUM(K12:M12)</f>
        <v>9714</v>
      </c>
      <c r="O12" s="21">
        <f>+O9-SUM(O10:O11)</f>
        <v>10324.909895414319</v>
      </c>
      <c r="P12" s="21">
        <f>+AF12-SUM(M12:O12)</f>
        <v>20259.407810697267</v>
      </c>
      <c r="Q12" s="21">
        <f>+AG12-SUM(N12:P12)</f>
        <v>14905.404478855606</v>
      </c>
      <c r="R12" s="21">
        <f>+AH12-SUM(O12:Q12)</f>
        <v>16890.483884045723</v>
      </c>
      <c r="Y12" s="1">
        <f t="shared" ref="Y12:AF12" si="20">+Y9-SUM(Y10:Y11)</f>
        <v>10467</v>
      </c>
      <c r="Z12" s="1">
        <f t="shared" si="20"/>
        <v>14087</v>
      </c>
      <c r="AA12" s="1">
        <f t="shared" si="20"/>
        <v>18646</v>
      </c>
      <c r="AB12" s="1">
        <f t="shared" si="20"/>
        <v>19702</v>
      </c>
      <c r="AC12" s="1">
        <f t="shared" si="20"/>
        <v>24517</v>
      </c>
      <c r="AD12" s="1">
        <f t="shared" si="20"/>
        <v>34213</v>
      </c>
      <c r="AE12" s="1">
        <f t="shared" si="14"/>
        <v>62380.206069012915</v>
      </c>
      <c r="AF12" s="1">
        <f t="shared" si="20"/>
        <v>48424.317706111586</v>
      </c>
      <c r="AG12" s="1">
        <f t="shared" ref="AG12" si="21">+AG9-SUM(AG10:AG11)</f>
        <v>55203.722184967191</v>
      </c>
      <c r="AH12" s="1">
        <f t="shared" ref="AH12" si="22">+AH9-SUM(AH10:AH11)</f>
        <v>62380.206069012915</v>
      </c>
      <c r="AI12" s="1">
        <f t="shared" ref="AI12" si="23">+AI9-SUM(AI10:AI11)</f>
        <v>69865.830797294489</v>
      </c>
      <c r="AJ12" s="1">
        <f t="shared" ref="AJ12" si="24">+AJ9-SUM(AJ10:AJ11)</f>
        <v>77551.072184996883</v>
      </c>
      <c r="AK12" s="1">
        <f t="shared" ref="AK12" si="25">+AK9-SUM(AK10:AK11)</f>
        <v>85306.179403496586</v>
      </c>
      <c r="AL12" s="1">
        <f t="shared" ref="AL12" si="26">+AL9-SUM(AL10:AL11)</f>
        <v>93836.797343846221</v>
      </c>
      <c r="AM12" s="1">
        <f t="shared" ref="AM12" si="27">+AM9-SUM(AM10:AM11)</f>
        <v>103220.47707823088</v>
      </c>
      <c r="AN12" s="1">
        <f t="shared" ref="AN12" si="28">+AN9-SUM(AN10:AN11)</f>
        <v>113542.52478605395</v>
      </c>
    </row>
    <row r="13" spans="2:239">
      <c r="B13" s="1" t="s">
        <v>23</v>
      </c>
      <c r="C13" s="21">
        <v>-406</v>
      </c>
      <c r="D13" s="21">
        <v>-405</v>
      </c>
      <c r="E13" s="21">
        <v>-406</v>
      </c>
      <c r="F13" s="21">
        <f t="shared" si="11"/>
        <v>-405</v>
      </c>
      <c r="G13" s="21">
        <v>-926</v>
      </c>
      <c r="H13" s="21">
        <v>-1047</v>
      </c>
      <c r="I13" s="21">
        <v>-1064</v>
      </c>
      <c r="J13" s="21">
        <f t="shared" si="12"/>
        <v>-916</v>
      </c>
      <c r="K13" s="21">
        <v>-873</v>
      </c>
      <c r="L13" s="21">
        <v>-769</v>
      </c>
      <c r="M13" s="21">
        <v>-807</v>
      </c>
      <c r="N13" s="21">
        <f>+AD13-SUM(K13:M13)</f>
        <v>-761</v>
      </c>
      <c r="O13" s="21">
        <f>+O$12*(N13/N$12)</f>
        <v>-808.85901074843491</v>
      </c>
      <c r="P13" s="21">
        <f>+P$12*(O13/O$12)</f>
        <v>-1587.1329363743689</v>
      </c>
      <c r="Q13" s="21">
        <f>+Q$12*(P13/P$12)</f>
        <v>-1167.6974272605637</v>
      </c>
      <c r="R13" s="21">
        <f>+R$12*(Q13/Q$12)</f>
        <v>-1323.2096186698368</v>
      </c>
      <c r="Y13" s="1">
        <v>-1777</v>
      </c>
      <c r="Z13" s="1">
        <v>-1885</v>
      </c>
      <c r="AA13" s="1">
        <v>-1737</v>
      </c>
      <c r="AB13" s="1">
        <v>-1622</v>
      </c>
      <c r="AC13" s="1">
        <v>-3953</v>
      </c>
      <c r="AD13" s="1">
        <v>-3210</v>
      </c>
      <c r="AE13" s="1">
        <f>+AD13</f>
        <v>-3210</v>
      </c>
      <c r="AF13" s="1">
        <f t="shared" ref="AF13:AN13" si="29">+AE13</f>
        <v>-3210</v>
      </c>
      <c r="AG13" s="1">
        <f t="shared" si="29"/>
        <v>-3210</v>
      </c>
      <c r="AH13" s="1">
        <f t="shared" si="29"/>
        <v>-3210</v>
      </c>
      <c r="AI13" s="1">
        <f t="shared" si="29"/>
        <v>-3210</v>
      </c>
      <c r="AJ13" s="1">
        <f t="shared" si="29"/>
        <v>-3210</v>
      </c>
      <c r="AK13" s="1">
        <f t="shared" si="29"/>
        <v>-3210</v>
      </c>
      <c r="AL13" s="1">
        <f t="shared" si="29"/>
        <v>-3210</v>
      </c>
      <c r="AM13" s="1">
        <f t="shared" si="29"/>
        <v>-3210</v>
      </c>
      <c r="AN13" s="1">
        <f t="shared" si="29"/>
        <v>-3210</v>
      </c>
    </row>
    <row r="14" spans="2:239">
      <c r="B14" s="1" t="s">
        <v>24</v>
      </c>
      <c r="C14" s="21">
        <v>143</v>
      </c>
      <c r="D14" s="21">
        <v>113</v>
      </c>
      <c r="E14" s="21">
        <v>124</v>
      </c>
      <c r="F14" s="21">
        <f t="shared" si="11"/>
        <v>132</v>
      </c>
      <c r="G14" s="21">
        <v>185</v>
      </c>
      <c r="H14" s="21">
        <v>87</v>
      </c>
      <c r="I14" s="21">
        <v>82</v>
      </c>
      <c r="J14" s="21">
        <f t="shared" si="12"/>
        <v>52</v>
      </c>
      <c r="K14" s="21">
        <v>103</v>
      </c>
      <c r="L14" s="21">
        <v>25</v>
      </c>
      <c r="M14" s="21">
        <v>205</v>
      </c>
      <c r="N14" s="21">
        <f>+AD14-SUM(K14:M14)</f>
        <v>122</v>
      </c>
      <c r="O14" s="21">
        <f>+O$12*(N14/N$12)</f>
        <v>129.67253523168077</v>
      </c>
      <c r="P14" s="21">
        <f>+P$12*(O14/O$12)</f>
        <v>254.44181108761236</v>
      </c>
      <c r="Q14" s="21">
        <f>+Q$12*(P14/P$12)</f>
        <v>187.19985036240311</v>
      </c>
      <c r="R14" s="21">
        <f>+R$12*(Q14/Q$12)</f>
        <v>212.13084556862037</v>
      </c>
      <c r="Y14" s="1">
        <v>206</v>
      </c>
      <c r="Z14" s="1">
        <v>131</v>
      </c>
      <c r="AA14" s="1">
        <v>-54</v>
      </c>
      <c r="AB14" s="1">
        <v>512</v>
      </c>
      <c r="AC14" s="1">
        <v>406</v>
      </c>
      <c r="AD14" s="1">
        <v>455</v>
      </c>
      <c r="AE14" s="1">
        <f>+AD14*1.03</f>
        <v>468.65000000000003</v>
      </c>
      <c r="AF14" s="1">
        <f t="shared" ref="AF14:AN14" si="30">+AE14*1.03</f>
        <v>482.70950000000005</v>
      </c>
      <c r="AG14" s="1">
        <f t="shared" si="30"/>
        <v>497.19078500000006</v>
      </c>
      <c r="AH14" s="1">
        <f t="shared" si="30"/>
        <v>512.10650855000006</v>
      </c>
      <c r="AI14" s="1">
        <f t="shared" si="30"/>
        <v>527.46970380650009</v>
      </c>
      <c r="AJ14" s="1">
        <f t="shared" si="30"/>
        <v>543.29379492069506</v>
      </c>
      <c r="AK14" s="1">
        <f t="shared" si="30"/>
        <v>559.59260876831593</v>
      </c>
      <c r="AL14" s="1">
        <f t="shared" si="30"/>
        <v>576.38038703136544</v>
      </c>
      <c r="AM14" s="1">
        <f t="shared" si="30"/>
        <v>593.67179864230638</v>
      </c>
      <c r="AN14" s="1">
        <f t="shared" si="30"/>
        <v>611.48195260157559</v>
      </c>
    </row>
    <row r="15" spans="2:239">
      <c r="B15" s="1" t="s">
        <v>25</v>
      </c>
      <c r="C15" s="21">
        <f>+SUM(C12:C14)</f>
        <v>4735</v>
      </c>
      <c r="D15" s="21">
        <f>+SUM(D12:D14)</f>
        <v>4514</v>
      </c>
      <c r="E15" s="21">
        <f>+SUM(E12:E14)</f>
        <v>4576</v>
      </c>
      <c r="F15" s="21">
        <f t="shared" si="11"/>
        <v>4767</v>
      </c>
      <c r="G15" s="21">
        <f>+SUM(G12:G14)</f>
        <v>4226</v>
      </c>
      <c r="H15" s="21">
        <f>+SUM(H12:H14)</f>
        <v>4693</v>
      </c>
      <c r="I15" s="21">
        <f>+SUM(I12:I14)</f>
        <v>5504</v>
      </c>
      <c r="J15" s="21">
        <f t="shared" si="12"/>
        <v>6547</v>
      </c>
      <c r="K15" s="21">
        <f>+SUM(K12:K14)</f>
        <v>7671</v>
      </c>
      <c r="L15" s="21">
        <f>+SUM(L12:L14)</f>
        <v>7188</v>
      </c>
      <c r="M15" s="21">
        <f>+SUM(M12:M14)</f>
        <v>7524</v>
      </c>
      <c r="N15" s="21">
        <f>+AD15-SUM(K15:M15)</f>
        <v>9075</v>
      </c>
      <c r="O15" s="21">
        <f>+SUM(O12:O14)</f>
        <v>9645.7234198975657</v>
      </c>
      <c r="P15" s="21">
        <f>+AF15-SUM(M15:O15)</f>
        <v>19452.303786214019</v>
      </c>
      <c r="Q15" s="21">
        <f>+AG15-SUM(N15:P15)</f>
        <v>14317.885763855607</v>
      </c>
      <c r="R15" s="21">
        <f>+AH15-SUM(O15:Q15)</f>
        <v>16266.399607595726</v>
      </c>
      <c r="Y15" s="1">
        <f t="shared" ref="Y15:AF15" si="31">+SUM(Y12:Y14)</f>
        <v>8896</v>
      </c>
      <c r="Z15" s="1">
        <f t="shared" si="31"/>
        <v>12333</v>
      </c>
      <c r="AA15" s="1">
        <f t="shared" si="31"/>
        <v>16855</v>
      </c>
      <c r="AB15" s="1">
        <f t="shared" si="31"/>
        <v>18592</v>
      </c>
      <c r="AC15" s="1">
        <f t="shared" si="31"/>
        <v>20970</v>
      </c>
      <c r="AD15" s="1">
        <f t="shared" si="31"/>
        <v>31458</v>
      </c>
      <c r="AE15" s="1">
        <f t="shared" si="14"/>
        <v>59682.312577562916</v>
      </c>
      <c r="AF15" s="1">
        <f t="shared" si="31"/>
        <v>45697.027206111583</v>
      </c>
      <c r="AG15" s="1">
        <f t="shared" ref="AG15" si="32">+SUM(AG12:AG14)</f>
        <v>52490.91296996719</v>
      </c>
      <c r="AH15" s="1">
        <f t="shared" ref="AH15" si="33">+SUM(AH12:AH14)</f>
        <v>59682.312577562916</v>
      </c>
      <c r="AI15" s="1">
        <f t="shared" ref="AI15" si="34">+SUM(AI12:AI14)</f>
        <v>67183.300501100995</v>
      </c>
      <c r="AJ15" s="1">
        <f t="shared" ref="AJ15" si="35">+SUM(AJ12:AJ14)</f>
        <v>74884.36597991758</v>
      </c>
      <c r="AK15" s="1">
        <f t="shared" ref="AK15" si="36">+SUM(AK12:AK14)</f>
        <v>82655.772012264904</v>
      </c>
      <c r="AL15" s="1">
        <f t="shared" ref="AL15" si="37">+SUM(AL12:AL14)</f>
        <v>91203.177730877593</v>
      </c>
      <c r="AM15" s="1">
        <f t="shared" ref="AM15" si="38">+SUM(AM12:AM14)</f>
        <v>100604.14887687318</v>
      </c>
      <c r="AN15" s="1">
        <f t="shared" ref="AN15" si="39">+SUM(AN12:AN14)</f>
        <v>110944.00673865553</v>
      </c>
    </row>
    <row r="16" spans="2:239">
      <c r="B16" s="1" t="s">
        <v>26</v>
      </c>
      <c r="C16" s="21">
        <v>66</v>
      </c>
      <c r="D16" s="21">
        <v>235</v>
      </c>
      <c r="E16" s="21">
        <v>271</v>
      </c>
      <c r="F16" s="21">
        <f t="shared" si="11"/>
        <v>443</v>
      </c>
      <c r="G16" s="21">
        <v>68</v>
      </c>
      <c r="H16" s="21">
        <v>-116</v>
      </c>
      <c r="I16" s="21">
        <v>4238</v>
      </c>
      <c r="J16" s="21">
        <f t="shared" si="12"/>
        <v>-442</v>
      </c>
      <c r="K16" s="21">
        <v>-13</v>
      </c>
      <c r="L16" s="21">
        <v>120</v>
      </c>
      <c r="M16" s="21">
        <v>1145</v>
      </c>
      <c r="N16" s="21">
        <f>+AD16-SUM(K16:M16)</f>
        <v>-1649</v>
      </c>
      <c r="O16" s="21">
        <f>+O15*(N16/N15)</f>
        <v>-1752.7050048937836</v>
      </c>
      <c r="P16" s="21">
        <f>+P15*(O16/O15)</f>
        <v>-3534.6390020349218</v>
      </c>
      <c r="Q16" s="21">
        <f>+Q15*(P16/P15)</f>
        <v>-2601.6742286058288</v>
      </c>
      <c r="R16" s="21">
        <f>+R15*(Q16/Q15)</f>
        <v>-2955.7347606529311</v>
      </c>
      <c r="Y16" s="1">
        <v>-518</v>
      </c>
      <c r="Z16" s="1">
        <v>29</v>
      </c>
      <c r="AA16" s="1">
        <v>939</v>
      </c>
      <c r="AB16" s="1">
        <v>1015</v>
      </c>
      <c r="AC16" s="1">
        <v>3748</v>
      </c>
      <c r="AD16" s="1">
        <v>-397</v>
      </c>
      <c r="AE16" s="1">
        <f t="shared" si="14"/>
        <v>-10844.752996187464</v>
      </c>
      <c r="AF16" s="1">
        <f>+AF15*(AE16/AE15)</f>
        <v>-8303.5149160196142</v>
      </c>
      <c r="AG16" s="1">
        <f t="shared" ref="AG16:AN16" si="40">+AG15*(AF16/AF15)</f>
        <v>-9538.0182355345332</v>
      </c>
      <c r="AH16" s="1">
        <f t="shared" si="40"/>
        <v>-10844.752996187464</v>
      </c>
      <c r="AI16" s="1">
        <f t="shared" si="40"/>
        <v>-12207.742427142208</v>
      </c>
      <c r="AJ16" s="1">
        <f t="shared" si="40"/>
        <v>-13607.087548306787</v>
      </c>
      <c r="AK16" s="1">
        <f t="shared" si="40"/>
        <v>-15019.214109997225</v>
      </c>
      <c r="AL16" s="1">
        <f t="shared" si="40"/>
        <v>-16572.346014128612</v>
      </c>
      <c r="AM16" s="1">
        <f t="shared" si="40"/>
        <v>-18280.577575533211</v>
      </c>
      <c r="AN16" s="1">
        <f t="shared" si="40"/>
        <v>-20159.412353944132</v>
      </c>
    </row>
    <row r="17" spans="2:240">
      <c r="B17" s="1" t="s">
        <v>27</v>
      </c>
      <c r="C17" s="21">
        <f>+C15-C16</f>
        <v>4669</v>
      </c>
      <c r="D17" s="21">
        <f>+D15-D16</f>
        <v>4279</v>
      </c>
      <c r="E17" s="21">
        <f>+E15-E16</f>
        <v>4305</v>
      </c>
      <c r="F17" s="21">
        <f t="shared" si="11"/>
        <v>4324</v>
      </c>
      <c r="G17" s="21">
        <f>+G15-G16</f>
        <v>4158</v>
      </c>
      <c r="H17" s="21">
        <f>+H15-H16</f>
        <v>4809</v>
      </c>
      <c r="I17" s="21">
        <f>+I15-I16</f>
        <v>1266</v>
      </c>
      <c r="J17" s="21">
        <f t="shared" si="12"/>
        <v>6989</v>
      </c>
      <c r="K17" s="21">
        <f>+K15-K16</f>
        <v>7684</v>
      </c>
      <c r="L17" s="21">
        <f>+L15-L16</f>
        <v>7068</v>
      </c>
      <c r="M17" s="21">
        <f>+M15-M16</f>
        <v>6379</v>
      </c>
      <c r="N17" s="21">
        <f>+AD17-SUM(K17:M17)</f>
        <v>9930</v>
      </c>
      <c r="O17" s="21">
        <f>+O15-O16</f>
        <v>11398.428424791349</v>
      </c>
      <c r="P17" s="21">
        <f>+AF17-SUM(M17:O17)</f>
        <v>9686.0838653006176</v>
      </c>
      <c r="Q17" s="21">
        <f>+AG17-SUM(N17:P17)</f>
        <v>11938.382444340692</v>
      </c>
      <c r="R17" s="21">
        <f>+AH17-SUM(O17:Q17)</f>
        <v>15814.664846942789</v>
      </c>
      <c r="Y17" s="1">
        <f t="shared" ref="Y17:AF17" si="41">+Y15-Y16</f>
        <v>9414</v>
      </c>
      <c r="Z17" s="1">
        <f t="shared" si="41"/>
        <v>12304</v>
      </c>
      <c r="AA17" s="1">
        <f t="shared" si="41"/>
        <v>15916</v>
      </c>
      <c r="AB17" s="1">
        <f t="shared" si="41"/>
        <v>17577</v>
      </c>
      <c r="AC17" s="1">
        <f t="shared" si="41"/>
        <v>17222</v>
      </c>
      <c r="AD17" s="1">
        <f>+AD15+AD16</f>
        <v>31061</v>
      </c>
      <c r="AE17" s="1">
        <f>+AE15+AE16</f>
        <v>48837.559581375448</v>
      </c>
      <c r="AF17" s="1">
        <f>+AF15+AF16</f>
        <v>37393.512290091967</v>
      </c>
      <c r="AG17" s="1">
        <f>+AG15+AG16</f>
        <v>42952.894734432659</v>
      </c>
      <c r="AH17" s="1">
        <f>+AH15+AH16</f>
        <v>48837.559581375448</v>
      </c>
      <c r="AI17" s="1">
        <f>+AI15+AI16</f>
        <v>54975.558073958789</v>
      </c>
      <c r="AJ17" s="1">
        <f>+AJ15+AJ16</f>
        <v>61277.278431610794</v>
      </c>
      <c r="AK17" s="1">
        <f>+AK15+AK16</f>
        <v>67636.557902267683</v>
      </c>
      <c r="AL17" s="1">
        <f>+AL15+AL16</f>
        <v>74630.831716748973</v>
      </c>
      <c r="AM17" s="1">
        <f>+AM15+AM16</f>
        <v>82323.571301339965</v>
      </c>
      <c r="AN17" s="1">
        <f>+AN15+AN16</f>
        <v>90784.594384711396</v>
      </c>
      <c r="AO17" s="1">
        <f>+AN17*(1+$AQ$21)</f>
        <v>91692.440328558514</v>
      </c>
      <c r="AP17" s="1">
        <f>+AO17*(1+$AQ$21)</f>
        <v>92609.364731844107</v>
      </c>
      <c r="AQ17" s="1">
        <f>+AP17*(1+$AQ$21)</f>
        <v>93535.458379162548</v>
      </c>
      <c r="AR17" s="1">
        <f>+AQ17*(1+$AQ$21)</f>
        <v>94470.81296295418</v>
      </c>
      <c r="AS17" s="1">
        <f>+AR17*(1+$AQ$21)</f>
        <v>95415.521092583716</v>
      </c>
      <c r="AT17" s="1">
        <f>+AS17*(1+$AQ$21)</f>
        <v>96369.67630350955</v>
      </c>
      <c r="AU17" s="1">
        <f>+AT17*(1+$AQ$21)</f>
        <v>97333.373066544649</v>
      </c>
      <c r="AV17" s="1">
        <f>+AU17*(1+$AQ$21)</f>
        <v>98306.706797210092</v>
      </c>
      <c r="AW17" s="1">
        <f>+AV17*(1+$AQ$21)</f>
        <v>99289.7738651822</v>
      </c>
      <c r="AX17" s="1">
        <f>+AW17*(1+$AQ$21)</f>
        <v>100282.67160383402</v>
      </c>
      <c r="AY17" s="1">
        <f>+AX17*(1+$AQ$21)</f>
        <v>101285.49831987236</v>
      </c>
      <c r="AZ17" s="1">
        <f>+AY17*(1+$AQ$21)</f>
        <v>102298.35330307108</v>
      </c>
      <c r="BA17" s="1">
        <f>+AZ17*(1+$AQ$21)</f>
        <v>103321.33683610179</v>
      </c>
      <c r="BB17" s="1">
        <f>+BA17*(1+$AQ$21)</f>
        <v>104354.55020446281</v>
      </c>
      <c r="BC17" s="1">
        <f>+BB17*(1+$AQ$21)</f>
        <v>105398.09570650743</v>
      </c>
      <c r="BD17" s="1">
        <f>+BC17*(1+$AQ$21)</f>
        <v>106452.0766635725</v>
      </c>
      <c r="BE17" s="1">
        <f>+BD17*(1+$AQ$21)</f>
        <v>107516.59743020823</v>
      </c>
      <c r="BF17" s="1">
        <f>+BE17*(1+$AQ$21)</f>
        <v>108591.76340451032</v>
      </c>
      <c r="BG17" s="1">
        <f>+BF17*(1+$AQ$21)</f>
        <v>109677.68103855543</v>
      </c>
      <c r="BH17" s="1">
        <f>+BG17*(1+$AQ$21)</f>
        <v>110774.45784894098</v>
      </c>
      <c r="BI17" s="1">
        <f>+BH17*(1+$AQ$21)</f>
        <v>111882.20242743038</v>
      </c>
      <c r="BJ17" s="1">
        <f>+BI17*(1+$AQ$21)</f>
        <v>113001.0244517047</v>
      </c>
      <c r="BK17" s="1">
        <f>+BJ17*(1+$AQ$21)</f>
        <v>114131.03469622174</v>
      </c>
      <c r="BL17" s="1">
        <f>+BK17*(1+$AQ$21)</f>
        <v>115272.34504318396</v>
      </c>
      <c r="BM17" s="1">
        <f>+BL17*(1+$AQ$21)</f>
        <v>116425.06849361581</v>
      </c>
      <c r="BN17" s="1">
        <f>+BM17*(1+$AQ$21)</f>
        <v>117589.31917855196</v>
      </c>
      <c r="BO17" s="1">
        <f>+BN17*(1+$AQ$21)</f>
        <v>118765.21237033748</v>
      </c>
      <c r="BP17" s="1">
        <f>+BO17*(1+$AQ$21)</f>
        <v>119952.86449404086</v>
      </c>
      <c r="BQ17" s="1">
        <f>+BP17*(1+$AQ$21)</f>
        <v>121152.39313898126</v>
      </c>
      <c r="BR17" s="1">
        <f>+BQ17*(1+$AQ$21)</f>
        <v>122363.91707037108</v>
      </c>
      <c r="BS17" s="1">
        <f>+BR17*(1+$AQ$21)</f>
        <v>123587.5562410748</v>
      </c>
      <c r="BT17" s="1">
        <f>+BS17*(1+$AQ$21)</f>
        <v>124823.43180348554</v>
      </c>
      <c r="BU17" s="1">
        <f>+BT17*(1+$AQ$21)</f>
        <v>126071.66612152039</v>
      </c>
      <c r="BV17" s="1">
        <f>+BU17*(1+$AQ$21)</f>
        <v>127332.3827827356</v>
      </c>
      <c r="BW17" s="1">
        <f>+BV17*(1+$AQ$21)</f>
        <v>128605.70661056296</v>
      </c>
      <c r="BX17" s="1">
        <f>+BW17*(1+$AQ$21)</f>
        <v>129891.76367666859</v>
      </c>
      <c r="BY17" s="1">
        <f>+BX17*(1+$AQ$21)</f>
        <v>131190.68131343529</v>
      </c>
      <c r="BZ17" s="1">
        <f>+BY17*(1+$AQ$21)</f>
        <v>132502.58812656964</v>
      </c>
      <c r="CA17" s="1">
        <f>+BZ17*(1+$AQ$21)</f>
        <v>133827.61400783533</v>
      </c>
      <c r="CB17" s="1">
        <f>+CA17*(1+$AQ$21)</f>
        <v>135165.89014791368</v>
      </c>
      <c r="CC17" s="1">
        <f>+CB17*(1+$AQ$21)</f>
        <v>136517.54904939281</v>
      </c>
      <c r="CD17" s="1">
        <f>+CC17*(1+$AQ$21)</f>
        <v>137882.72453988672</v>
      </c>
      <c r="CE17" s="1">
        <f>+CD17*(1+$AQ$21)</f>
        <v>139261.55178528558</v>
      </c>
      <c r="CF17" s="1">
        <f>+CE17*(1+$AQ$21)</f>
        <v>140654.16730313844</v>
      </c>
      <c r="CG17" s="1">
        <f>+CF17*(1+$AQ$21)</f>
        <v>142060.70897616982</v>
      </c>
      <c r="CH17" s="1">
        <f>+CG17*(1+$AQ$21)</f>
        <v>143481.31606593152</v>
      </c>
      <c r="CI17" s="1">
        <f>+CH17*(1+$AQ$21)</f>
        <v>144916.12922659083</v>
      </c>
      <c r="CJ17" s="1">
        <f>+CI17*(1+$AQ$21)</f>
        <v>146365.29051885672</v>
      </c>
      <c r="CK17" s="1">
        <f>+CJ17*(1+$AQ$21)</f>
        <v>147828.94342404528</v>
      </c>
      <c r="CL17" s="1">
        <f>+CK17*(1+$AQ$21)</f>
        <v>149307.23285828574</v>
      </c>
      <c r="CM17" s="1">
        <f>+CL17*(1+$AQ$21)</f>
        <v>150800.30518686862</v>
      </c>
      <c r="CN17" s="1">
        <f>+CM17*(1+$AQ$21)</f>
        <v>152308.30823873731</v>
      </c>
      <c r="CO17" s="1">
        <f>+CN17*(1+$AQ$21)</f>
        <v>153831.39132112468</v>
      </c>
      <c r="CP17" s="1">
        <f>+CO17*(1+$AQ$21)</f>
        <v>155369.70523433594</v>
      </c>
      <c r="CQ17" s="1">
        <f>+CP17*(1+$AQ$21)</f>
        <v>156923.40228667931</v>
      </c>
      <c r="CR17" s="1">
        <f>+CQ17*(1+$AQ$21)</f>
        <v>158492.6363095461</v>
      </c>
      <c r="CS17" s="1">
        <f>+CR17*(1+$AQ$21)</f>
        <v>160077.56267264156</v>
      </c>
      <c r="CT17" s="1">
        <f>+CS17*(1+$AQ$21)</f>
        <v>161678.33829936798</v>
      </c>
      <c r="CU17" s="1">
        <f>+CT17*(1+$AQ$21)</f>
        <v>163295.12168236167</v>
      </c>
      <c r="CV17" s="1">
        <f>+CU17*(1+$AQ$21)</f>
        <v>164928.0728991853</v>
      </c>
      <c r="CW17" s="1">
        <f>+CV17*(1+$AQ$21)</f>
        <v>166577.35362817714</v>
      </c>
      <c r="CX17" s="1">
        <f>+CW17*(1+$AQ$21)</f>
        <v>168243.12716445891</v>
      </c>
      <c r="CY17" s="1">
        <f>+CX17*(1+$AQ$21)</f>
        <v>169925.55843610351</v>
      </c>
      <c r="CZ17" s="1">
        <f>+CY17*(1+$AQ$21)</f>
        <v>171624.81402046455</v>
      </c>
      <c r="DA17" s="1">
        <f>+CZ17*(1+$AQ$21)</f>
        <v>173341.06216066919</v>
      </c>
      <c r="DB17" s="1">
        <f>+DA17*(1+$AQ$21)</f>
        <v>175074.47278227587</v>
      </c>
      <c r="DC17" s="1">
        <f>+DB17*(1+$AQ$21)</f>
        <v>176825.21751009862</v>
      </c>
      <c r="DD17" s="1">
        <f>+DC17*(1+$AQ$21)</f>
        <v>178593.46968519961</v>
      </c>
      <c r="DE17" s="1">
        <f>+DD17*(1+$AQ$21)</f>
        <v>180379.40438205161</v>
      </c>
      <c r="DF17" s="1">
        <f>+DE17*(1+$AQ$21)</f>
        <v>182183.19842587213</v>
      </c>
      <c r="DG17" s="1">
        <f>+DF17*(1+$AQ$21)</f>
        <v>184005.03041013086</v>
      </c>
      <c r="DH17" s="1">
        <f>+DG17*(1+$AQ$21)</f>
        <v>185845.08071423217</v>
      </c>
      <c r="DI17" s="1">
        <f>+DH17*(1+$AQ$21)</f>
        <v>187703.53152137451</v>
      </c>
      <c r="DJ17" s="1">
        <f>+DI17*(1+$AQ$21)</f>
        <v>189580.56683658826</v>
      </c>
      <c r="DK17" s="1">
        <f>+DJ17*(1+$AQ$21)</f>
        <v>191476.37250495414</v>
      </c>
      <c r="DL17" s="1">
        <f>+DK17*(1+$AQ$21)</f>
        <v>193391.13623000367</v>
      </c>
      <c r="DM17" s="1">
        <f>+DL17*(1+$AQ$21)</f>
        <v>195325.04759230372</v>
      </c>
      <c r="DN17" s="1">
        <f>+DM17*(1+$AQ$21)</f>
        <v>197278.29806822675</v>
      </c>
      <c r="DO17" s="1">
        <f>+DN17*(1+$AQ$21)</f>
        <v>199251.08104890902</v>
      </c>
      <c r="DP17" s="1">
        <f>+DO17*(1+$AQ$21)</f>
        <v>201243.59185939812</v>
      </c>
      <c r="DQ17" s="1">
        <f>+DP17*(1+$AQ$21)</f>
        <v>203256.0277779921</v>
      </c>
      <c r="DR17" s="1">
        <f>+DQ17*(1+$AQ$21)</f>
        <v>205288.58805577204</v>
      </c>
      <c r="DS17" s="1">
        <f>+DR17*(1+$AQ$21)</f>
        <v>207341.47393632977</v>
      </c>
      <c r="DT17" s="1">
        <f>+DS17*(1+$AQ$21)</f>
        <v>209414.88867569307</v>
      </c>
      <c r="DU17" s="1">
        <f>+DT17*(1+$AQ$21)</f>
        <v>211509.03756245002</v>
      </c>
      <c r="DV17" s="1">
        <f>+DU17*(1+$AQ$21)</f>
        <v>213624.12793807453</v>
      </c>
      <c r="DW17" s="1">
        <f>+DV17*(1+$AQ$21)</f>
        <v>215760.36921745527</v>
      </c>
      <c r="DX17" s="1">
        <f>+DW17*(1+$AQ$21)</f>
        <v>217917.97290962984</v>
      </c>
      <c r="DY17" s="1">
        <f>+DX17*(1+$AQ$21)</f>
        <v>220097.15263872614</v>
      </c>
      <c r="DZ17" s="1">
        <f>+DY17*(1+$AQ$21)</f>
        <v>222298.1241651134</v>
      </c>
      <c r="EA17" s="1">
        <f>+DZ17*(1+$AQ$21)</f>
        <v>224521.10540676455</v>
      </c>
      <c r="EB17" s="1">
        <f>+EA17*(1+$AQ$21)</f>
        <v>226766.3164608322</v>
      </c>
      <c r="EC17" s="1">
        <f>+EB17*(1+$AQ$21)</f>
        <v>229033.97962544052</v>
      </c>
      <c r="ED17" s="1">
        <f>+EC17*(1+$AQ$21)</f>
        <v>231324.31942169493</v>
      </c>
      <c r="EE17" s="1">
        <f>+ED17*(1+$AQ$21)</f>
        <v>233637.56261591188</v>
      </c>
      <c r="EF17" s="1">
        <f>+EE17*(1+$AQ$21)</f>
        <v>235973.93824207102</v>
      </c>
      <c r="EG17" s="1">
        <f>+EF17*(1+$AQ$21)</f>
        <v>238333.67762449174</v>
      </c>
      <c r="EH17" s="1">
        <f>+EG17*(1+$AQ$21)</f>
        <v>240717.01440073666</v>
      </c>
      <c r="EI17" s="1">
        <f>+EH17*(1+$AQ$21)</f>
        <v>243124.18454474403</v>
      </c>
      <c r="EJ17" s="1">
        <f>+EI17*(1+$AQ$21)</f>
        <v>245555.42639019148</v>
      </c>
      <c r="EK17" s="1">
        <f>+EJ17*(1+$AQ$21)</f>
        <v>248010.98065409341</v>
      </c>
      <c r="EL17" s="1">
        <f>+EK17*(1+$AQ$21)</f>
        <v>250491.09046063435</v>
      </c>
      <c r="EM17" s="1">
        <f>+EL17*(1+$AQ$21)</f>
        <v>252996.00136524069</v>
      </c>
      <c r="EN17" s="1">
        <f>+EM17*(1+$AQ$21)</f>
        <v>255525.96137889309</v>
      </c>
      <c r="EO17" s="1">
        <f>+EN17*(1+$AQ$21)</f>
        <v>258081.22099268201</v>
      </c>
      <c r="EP17" s="1">
        <f>+EO17*(1+$AQ$21)</f>
        <v>260662.03320260884</v>
      </c>
      <c r="EQ17" s="1">
        <f>+EP17*(1+$AQ$21)</f>
        <v>263268.65353463491</v>
      </c>
      <c r="ER17" s="1">
        <f>+EQ17*(1+$AQ$21)</f>
        <v>265901.34006998129</v>
      </c>
      <c r="ES17" s="1">
        <f>+ER17*(1+$AQ$21)</f>
        <v>268560.35347068112</v>
      </c>
      <c r="ET17" s="1">
        <f>+ES17*(1+$AQ$21)</f>
        <v>271245.95700538793</v>
      </c>
      <c r="EU17" s="1">
        <f>+ET17*(1+$AQ$21)</f>
        <v>273958.41657544184</v>
      </c>
      <c r="EV17" s="1">
        <f>+EU17*(1+$AQ$21)</f>
        <v>276698.00074119627</v>
      </c>
      <c r="EW17" s="1">
        <f>+EV17*(1+$AQ$21)</f>
        <v>279464.98074860824</v>
      </c>
      <c r="EX17" s="1">
        <f>+EW17*(1+$AQ$21)</f>
        <v>282259.63055609434</v>
      </c>
      <c r="EY17" s="1">
        <f>+EX17*(1+$AQ$21)</f>
        <v>285082.2268616553</v>
      </c>
      <c r="EZ17" s="1">
        <f>+EY17*(1+$AQ$21)</f>
        <v>287933.04913027189</v>
      </c>
      <c r="FA17" s="1">
        <f>+EZ17*(1+$AQ$21)</f>
        <v>290812.3796215746</v>
      </c>
      <c r="FB17" s="1">
        <f>+FA17*(1+$AQ$21)</f>
        <v>293720.50341779034</v>
      </c>
      <c r="FC17" s="1">
        <f>+FB17*(1+$AQ$21)</f>
        <v>296657.70845196827</v>
      </c>
      <c r="FD17" s="1">
        <f>+FC17*(1+$AQ$21)</f>
        <v>299624.28553648794</v>
      </c>
      <c r="FE17" s="1">
        <f>+FD17*(1+$AQ$21)</f>
        <v>302620.5283918528</v>
      </c>
      <c r="FF17" s="1">
        <f>+FE17*(1+$AQ$21)</f>
        <v>305646.73367577133</v>
      </c>
      <c r="FG17" s="1">
        <f>+FF17*(1+$AQ$21)</f>
        <v>308703.20101252903</v>
      </c>
      <c r="FH17" s="1">
        <f>+FG17*(1+$AQ$21)</f>
        <v>311790.23302265431</v>
      </c>
      <c r="FI17" s="1">
        <f>+FH17*(1+$AQ$21)</f>
        <v>314908.13535288087</v>
      </c>
      <c r="FJ17" s="1">
        <f>+FI17*(1+$AQ$21)</f>
        <v>318057.2167064097</v>
      </c>
      <c r="FK17" s="1">
        <f>+FJ17*(1+$AQ$21)</f>
        <v>321237.78887347382</v>
      </c>
      <c r="FL17" s="1">
        <f>+FK17*(1+$AQ$21)</f>
        <v>324450.16676220857</v>
      </c>
      <c r="FM17" s="1">
        <f>+FL17*(1+$AQ$21)</f>
        <v>327694.66842983064</v>
      </c>
      <c r="FN17" s="1">
        <f>+FM17*(1+$AQ$21)</f>
        <v>330971.61511412897</v>
      </c>
      <c r="FO17" s="1">
        <f>+FN17*(1+$AQ$21)</f>
        <v>334281.33126527024</v>
      </c>
      <c r="FP17" s="1">
        <f>+FO17*(1+$AQ$21)</f>
        <v>337624.14457792294</v>
      </c>
      <c r="FQ17" s="1">
        <f>+FP17*(1+$AQ$21)</f>
        <v>341000.38602370216</v>
      </c>
      <c r="FR17" s="1">
        <f>+FQ17*(1+$AQ$21)</f>
        <v>344410.38988393918</v>
      </c>
      <c r="FS17" s="1">
        <f>+FR17*(1+$AQ$21)</f>
        <v>347854.49378277856</v>
      </c>
      <c r="FT17" s="1">
        <f>+FS17*(1+$AQ$21)</f>
        <v>351333.03872060636</v>
      </c>
      <c r="FU17" s="1">
        <f>+FT17*(1+$AQ$21)</f>
        <v>354846.36910781241</v>
      </c>
      <c r="FV17" s="1">
        <f>+FU17*(1+$AQ$21)</f>
        <v>358394.83279889054</v>
      </c>
      <c r="FW17" s="1">
        <f>+FV17*(1+$AQ$21)</f>
        <v>361978.78112687945</v>
      </c>
      <c r="FX17" s="1">
        <f>+FW17*(1+$AQ$21)</f>
        <v>365598.56893814827</v>
      </c>
      <c r="FY17" s="1">
        <f>+FX17*(1+$AQ$21)</f>
        <v>369254.55462752975</v>
      </c>
      <c r="FZ17" s="1">
        <f>+FY17*(1+$AQ$21)</f>
        <v>372947.10017380503</v>
      </c>
      <c r="GA17" s="1">
        <f>+FZ17*(1+$AQ$21)</f>
        <v>376676.57117554307</v>
      </c>
      <c r="GB17" s="1">
        <f>+GA17*(1+$AQ$21)</f>
        <v>380443.3368872985</v>
      </c>
      <c r="GC17" s="1">
        <f>+GB17*(1+$AQ$21)</f>
        <v>384247.77025617147</v>
      </c>
      <c r="GD17" s="1">
        <f>+GC17*(1+$AQ$21)</f>
        <v>388090.24795873318</v>
      </c>
      <c r="GE17" s="1">
        <f>+GD17*(1+$AQ$21)</f>
        <v>391971.15043832053</v>
      </c>
      <c r="GF17" s="1">
        <f>+GE17*(1+$AQ$21)</f>
        <v>395890.86194270372</v>
      </c>
      <c r="GG17" s="1">
        <f>+GF17*(1+$AQ$21)</f>
        <v>399849.77056213078</v>
      </c>
      <c r="GH17" s="1">
        <f>+GG17*(1+$AQ$21)</f>
        <v>403848.26826775208</v>
      </c>
      <c r="GI17" s="1">
        <f>+GH17*(1+$AQ$21)</f>
        <v>407886.75095042959</v>
      </c>
      <c r="GJ17" s="1">
        <f>+GI17*(1+$AQ$21)</f>
        <v>411965.6184599339</v>
      </c>
      <c r="GK17" s="1">
        <f>+GJ17*(1+$AQ$21)</f>
        <v>416085.27464453323</v>
      </c>
      <c r="GL17" s="1">
        <f>+GK17*(1+$AQ$21)</f>
        <v>420246.12739097857</v>
      </c>
      <c r="GM17" s="1">
        <f>+GL17*(1+$AQ$21)</f>
        <v>424448.58866488835</v>
      </c>
      <c r="GN17" s="1">
        <f>+GM17*(1+$AQ$21)</f>
        <v>428693.07455153723</v>
      </c>
      <c r="GO17" s="1">
        <f>+GN17*(1+$AQ$21)</f>
        <v>432980.00529705262</v>
      </c>
      <c r="GP17" s="1">
        <f>+GO17*(1+$AQ$21)</f>
        <v>437309.80535002315</v>
      </c>
      <c r="GQ17" s="1">
        <f>+GP17*(1+$AQ$21)</f>
        <v>441682.90340352338</v>
      </c>
      <c r="GR17" s="1">
        <f>+GQ17*(1+$AQ$21)</f>
        <v>446099.73243755859</v>
      </c>
      <c r="GS17" s="1">
        <f>+GR17*(1+$AQ$21)</f>
        <v>450560.7297619342</v>
      </c>
      <c r="GT17" s="1">
        <f>+GS17*(1+$AQ$21)</f>
        <v>455066.33705955354</v>
      </c>
      <c r="GU17" s="1">
        <f>+GT17*(1+$AQ$21)</f>
        <v>459617.00043014908</v>
      </c>
      <c r="GV17" s="1">
        <f>+GU17*(1+$AQ$21)</f>
        <v>464213.17043445056</v>
      </c>
      <c r="GW17" s="1">
        <f>+GV17*(1+$AQ$21)</f>
        <v>468855.30213879509</v>
      </c>
      <c r="GX17" s="1">
        <f>+GW17*(1+$AQ$21)</f>
        <v>473543.85516018304</v>
      </c>
      <c r="GY17" s="1">
        <f>+GX17*(1+$AQ$21)</f>
        <v>478279.29371178488</v>
      </c>
      <c r="GZ17" s="1">
        <f>+GY17*(1+$AQ$21)</f>
        <v>483062.08664890274</v>
      </c>
      <c r="HA17" s="1">
        <f>+GZ17*(1+$AQ$21)</f>
        <v>487892.70751539175</v>
      </c>
      <c r="HB17" s="1">
        <f>+HA17*(1+$AQ$21)</f>
        <v>492771.63459054567</v>
      </c>
      <c r="HC17" s="1">
        <f>+HB17*(1+$AQ$21)</f>
        <v>497699.35093645111</v>
      </c>
      <c r="HD17" s="1">
        <f>+HC17*(1+$AQ$21)</f>
        <v>502676.3444458156</v>
      </c>
      <c r="HE17" s="1">
        <f>+HD17*(1+$AQ$21)</f>
        <v>507703.10789027374</v>
      </c>
      <c r="HF17" s="1">
        <f>+HE17*(1+$AQ$21)</f>
        <v>512780.13896917645</v>
      </c>
      <c r="HG17" s="1">
        <f>+HF17*(1+$AQ$21)</f>
        <v>517907.94035886822</v>
      </c>
      <c r="HH17" s="1">
        <f>+HG17*(1+$AQ$21)</f>
        <v>523087.01976245688</v>
      </c>
      <c r="HI17" s="1">
        <f>+HH17*(1+$AQ$21)</f>
        <v>528317.88996008143</v>
      </c>
      <c r="HJ17" s="1">
        <f>+HI17*(1+$AQ$21)</f>
        <v>533601.0688596823</v>
      </c>
      <c r="HK17" s="1">
        <f>+HJ17*(1+$AQ$21)</f>
        <v>538937.07954827917</v>
      </c>
      <c r="HL17" s="1">
        <f>+HK17*(1+$AQ$21)</f>
        <v>544326.45034376194</v>
      </c>
      <c r="HM17" s="1">
        <f>+HL17*(1+$AQ$21)</f>
        <v>549769.71484719962</v>
      </c>
      <c r="HN17" s="1">
        <f>+HM17*(1+$AQ$21)</f>
        <v>555267.41199567157</v>
      </c>
      <c r="HO17" s="1">
        <f>+HN17*(1+$AQ$21)</f>
        <v>560820.08611562825</v>
      </c>
      <c r="HP17" s="1">
        <f>+HO17*(1+$AQ$21)</f>
        <v>566428.28697678458</v>
      </c>
      <c r="HQ17" s="1">
        <f>+HP17*(1+$AQ$21)</f>
        <v>572092.56984655245</v>
      </c>
      <c r="HR17" s="1">
        <f>+HQ17*(1+$AQ$21)</f>
        <v>577813.495545018</v>
      </c>
      <c r="HS17" s="1">
        <f>+HR17*(1+$AQ$21)</f>
        <v>583591.63050046819</v>
      </c>
      <c r="HT17" s="1">
        <f>+HS17*(1+$AQ$21)</f>
        <v>589427.54680547293</v>
      </c>
      <c r="HU17" s="1">
        <f>+HT17*(1+$AQ$21)</f>
        <v>595321.82227352762</v>
      </c>
      <c r="HV17" s="1">
        <f>+HU17*(1+$AQ$21)</f>
        <v>601275.04049626295</v>
      </c>
      <c r="HW17" s="1">
        <f>+HV17*(1+$AQ$21)</f>
        <v>607287.79090122564</v>
      </c>
      <c r="HX17" s="1">
        <f>+HW17*(1+$AQ$21)</f>
        <v>613360.6688102379</v>
      </c>
      <c r="HY17" s="1">
        <f>+HX17*(1+$AQ$21)</f>
        <v>619494.27549834026</v>
      </c>
      <c r="HZ17" s="1">
        <f>+HY17*(1+$AQ$21)</f>
        <v>625689.21825332369</v>
      </c>
      <c r="IA17" s="1">
        <f>+HZ17*(1+$AQ$21)</f>
        <v>631946.11043585697</v>
      </c>
      <c r="IB17" s="1">
        <f>+IA17*(1+$AQ$21)</f>
        <v>638265.57154021552</v>
      </c>
      <c r="IC17" s="1">
        <f>+IB17*(1+$AQ$21)</f>
        <v>644648.22725561773</v>
      </c>
      <c r="ID17" s="1">
        <f>+IC17*(1+$AQ$21)</f>
        <v>651094.7095281739</v>
      </c>
      <c r="IE17" s="1">
        <f>+ID17*(1+$AQ$21)</f>
        <v>657605.6566234557</v>
      </c>
      <c r="IF17" s="1">
        <f>+IE17*(1+$AQ$21)</f>
        <v>664181.71318969026</v>
      </c>
    </row>
    <row r="19" spans="2:240">
      <c r="B19" s="4" t="s">
        <v>28</v>
      </c>
    </row>
    <row r="20" spans="2:240" s="3" customFormat="1">
      <c r="B20" s="1" t="s">
        <v>14</v>
      </c>
      <c r="C20" s="25"/>
      <c r="D20" s="25"/>
      <c r="E20" s="25"/>
      <c r="F20" s="25"/>
      <c r="G20" s="25">
        <f>+G4/C4-1</f>
        <v>3.9819895877304168E-2</v>
      </c>
      <c r="H20" s="25">
        <f>+H4/D4-1</f>
        <v>5.7873090481786127E-2</v>
      </c>
      <c r="I20" s="25">
        <f>+I4/E4-1</f>
        <v>4.7975795994813497E-2</v>
      </c>
      <c r="J20" s="25">
        <f>+J4/F4-1</f>
        <v>0.12339612339612338</v>
      </c>
      <c r="K20" s="25">
        <f>+K4/G4-1</f>
        <v>0.11123139377537217</v>
      </c>
      <c r="L20" s="25">
        <f>+L4/H4-1</f>
        <v>0.16745348514301583</v>
      </c>
      <c r="M20" s="25">
        <f>+M4/I4-1</f>
        <v>0.27261479241132802</v>
      </c>
      <c r="N20" s="25">
        <f>+N4/J4-1</f>
        <v>0.33426488456865133</v>
      </c>
      <c r="O20" s="25">
        <f>+O4/K4-1</f>
        <v>0.28050415661035144</v>
      </c>
      <c r="P20" s="25">
        <f>+P4/L4-1</f>
        <v>0.27249266862170085</v>
      </c>
      <c r="Q20" s="25">
        <f>+Q4/M4-1</f>
        <v>0.20393179538615835</v>
      </c>
      <c r="R20" s="25">
        <f>+R4/N4-1</f>
        <v>0.19540383014154861</v>
      </c>
      <c r="Z20" s="3">
        <f>+Z4/Y4-1</f>
        <v>0.1804598366826895</v>
      </c>
      <c r="AA20" s="3">
        <f>+AA4/Z4-1</f>
        <v>0.26664377177059317</v>
      </c>
      <c r="AB20" s="3">
        <f>+AB4/AA4-1</f>
        <v>9.1564025098768376E-2</v>
      </c>
      <c r="AC20" s="3">
        <f>+AC4/AB4-1</f>
        <v>6.7915690866510614E-2</v>
      </c>
      <c r="AD20" s="3">
        <f>+AD4/AC4-1</f>
        <v>0.22468102073365226</v>
      </c>
      <c r="AE20" s="3">
        <f>+AE4/AD4-1</f>
        <v>0.23409150199493944</v>
      </c>
      <c r="AF20" s="3">
        <f>+AF4/AE4-1</f>
        <v>0.14999999999999991</v>
      </c>
      <c r="AG20" s="3">
        <f t="shared" ref="AG20:AN20" si="42">+AG4/AF4-1</f>
        <v>0.1399999999999999</v>
      </c>
      <c r="AH20" s="3">
        <f t="shared" si="42"/>
        <v>0.12999999999999989</v>
      </c>
      <c r="AI20" s="3">
        <f t="shared" si="42"/>
        <v>0.12000000000000011</v>
      </c>
      <c r="AJ20" s="3">
        <f t="shared" si="42"/>
        <v>0.1100000000000001</v>
      </c>
      <c r="AK20" s="3">
        <f t="shared" si="42"/>
        <v>0.10000000000000009</v>
      </c>
      <c r="AL20" s="3">
        <f t="shared" si="42"/>
        <v>0.10000000000000009</v>
      </c>
      <c r="AM20" s="3">
        <f t="shared" si="42"/>
        <v>0.10000000000000009</v>
      </c>
      <c r="AN20" s="3">
        <f t="shared" si="42"/>
        <v>0.10000000000000009</v>
      </c>
      <c r="AP20" s="3" t="s">
        <v>93</v>
      </c>
      <c r="AQ20" s="3">
        <v>0.08</v>
      </c>
    </row>
    <row r="21" spans="2:240" s="3" customFormat="1">
      <c r="B21" s="1" t="s">
        <v>15</v>
      </c>
      <c r="C21" s="25"/>
      <c r="D21" s="25"/>
      <c r="E21" s="25"/>
      <c r="F21" s="25"/>
      <c r="G21" s="25">
        <f>+G5/C5-1</f>
        <v>1.5282079646017701</v>
      </c>
      <c r="H21" s="25">
        <f>+H5/D5-1</f>
        <v>1.7454545454545456</v>
      </c>
      <c r="I21" s="25">
        <f>+I5/E5-1</f>
        <v>1.9963824289405685</v>
      </c>
      <c r="J21" s="25">
        <f>+J5/F5-1</f>
        <v>1.957846622651092</v>
      </c>
      <c r="K21" s="25">
        <f>+K5/G5-1</f>
        <v>0.46663749726536863</v>
      </c>
      <c r="L21" s="25">
        <f>+L5/H5-1</f>
        <v>0.24806054872280048</v>
      </c>
      <c r="M21" s="25">
        <f>+M5/I5-1</f>
        <v>0.15470852017937209</v>
      </c>
      <c r="N21" s="25">
        <f>+N5/J5-1</f>
        <v>0.20776098901098905</v>
      </c>
      <c r="O21" s="25">
        <f>+O5/K5-1</f>
        <v>0.280504156610351</v>
      </c>
      <c r="P21" s="25">
        <f>+P5/L5-1</f>
        <v>0.27249266862170107</v>
      </c>
      <c r="Q21" s="25">
        <f>+Q5/M5-1</f>
        <v>0.20393179538615835</v>
      </c>
      <c r="R21" s="25">
        <f>+R5/N5-1</f>
        <v>0.19540383014154883</v>
      </c>
      <c r="Z21" s="3">
        <f>+Z5/Y5-1</f>
        <v>6.7361425766500505E-2</v>
      </c>
      <c r="AA21" s="3">
        <f>+AA5/Z5-1</f>
        <v>4.4997877458610391E-2</v>
      </c>
      <c r="AB21" s="3">
        <f>+AB5/AA5-1</f>
        <v>3.4123222748815074E-2</v>
      </c>
      <c r="AC21" s="3">
        <f>+AC5/AB5-1</f>
        <v>1.8123608746890141</v>
      </c>
      <c r="AD21" s="3">
        <f>+AD5/AC5-1</f>
        <v>0.25845050749604237</v>
      </c>
      <c r="AE21" s="3">
        <f>+AE5/AD5-1</f>
        <v>0.2374359176984171</v>
      </c>
      <c r="AF21" s="3">
        <f>+AF5/AE5-1</f>
        <v>0.14999999999999991</v>
      </c>
      <c r="AG21" s="3">
        <f t="shared" ref="AG21:AN21" si="43">+AG5/AF5-1</f>
        <v>0.1399999999999999</v>
      </c>
      <c r="AH21" s="3">
        <f t="shared" si="43"/>
        <v>0.12999999999999989</v>
      </c>
      <c r="AI21" s="3">
        <f t="shared" si="43"/>
        <v>0.12000000000000011</v>
      </c>
      <c r="AJ21" s="3">
        <f t="shared" si="43"/>
        <v>0.1100000000000001</v>
      </c>
      <c r="AK21" s="3">
        <f t="shared" si="43"/>
        <v>0.10000000000000009</v>
      </c>
      <c r="AL21" s="3">
        <f t="shared" si="43"/>
        <v>0.10000000000000009</v>
      </c>
      <c r="AM21" s="3">
        <f t="shared" si="43"/>
        <v>0.10000000000000009</v>
      </c>
      <c r="AN21" s="3">
        <f t="shared" si="43"/>
        <v>0.10000000000000009</v>
      </c>
      <c r="AP21" s="3" t="s">
        <v>43</v>
      </c>
      <c r="AQ21" s="3">
        <v>0.01</v>
      </c>
    </row>
    <row r="22" spans="2:240" s="3" customFormat="1">
      <c r="B22" s="1" t="s">
        <v>16</v>
      </c>
      <c r="C22" s="25"/>
      <c r="D22" s="25"/>
      <c r="E22" s="25"/>
      <c r="F22" s="25"/>
      <c r="G22" s="25">
        <f>+G6/C6-1</f>
        <v>0.34167134043746494</v>
      </c>
      <c r="H22" s="25">
        <f>+H6/D6-1</f>
        <v>0.42986373525707089</v>
      </c>
      <c r="I22" s="25">
        <f>+I6/E6-1</f>
        <v>0.47273546642631814</v>
      </c>
      <c r="J22" s="25">
        <f>+J6/F6-1</f>
        <v>0.51199569661108124</v>
      </c>
      <c r="K22" s="25">
        <f>+K6/G6-1</f>
        <v>0.24705292199648854</v>
      </c>
      <c r="L22" s="25">
        <f>+L6/H6-1</f>
        <v>0.20156963241771453</v>
      </c>
      <c r="M22" s="25">
        <f>+M6/I6-1</f>
        <v>0.2203182374541004</v>
      </c>
      <c r="N22" s="25">
        <f>+N6/J6-1</f>
        <v>0.2818414686210331</v>
      </c>
      <c r="O22" s="25">
        <f>+O6/K6-1</f>
        <v>0.28050415661035122</v>
      </c>
      <c r="P22" s="25">
        <f>+P6/L6-1</f>
        <v>0.27249266862170085</v>
      </c>
      <c r="Q22" s="25">
        <f>+Q6/M6-1</f>
        <v>0.20393179538615835</v>
      </c>
      <c r="R22" s="25">
        <f>+R6/N6-1</f>
        <v>0.19540383014154883</v>
      </c>
      <c r="Z22" s="3">
        <f>+Z6/Y6-1</f>
        <v>0.14911252511721362</v>
      </c>
      <c r="AA22" s="3">
        <f>+AA6/Z6-1</f>
        <v>0.20958105646630232</v>
      </c>
      <c r="AB22" s="3">
        <f>+AB6/AA6-1</f>
        <v>7.8788061319760239E-2</v>
      </c>
      <c r="AC22" s="3">
        <f>+AC6/AB6-1</f>
        <v>0.43985035874815037</v>
      </c>
      <c r="AD22" s="3">
        <f>+AD6/AC6-1</f>
        <v>0.23874432853763516</v>
      </c>
      <c r="AE22" s="3">
        <f>+AE6/AD6-1</f>
        <v>0.2355064410599963</v>
      </c>
      <c r="AF22" s="3">
        <f>+AF6/AE6-1</f>
        <v>0.14999999999999991</v>
      </c>
      <c r="AG22" s="3">
        <f t="shared" ref="AG22:AN22" si="44">+AG6/AF6-1</f>
        <v>0.1399999999999999</v>
      </c>
      <c r="AH22" s="3">
        <f t="shared" si="44"/>
        <v>0.12999999999999967</v>
      </c>
      <c r="AI22" s="3">
        <f t="shared" si="44"/>
        <v>0.12000000000000011</v>
      </c>
      <c r="AJ22" s="3">
        <f t="shared" si="44"/>
        <v>0.1100000000000001</v>
      </c>
      <c r="AK22" s="3">
        <f t="shared" si="44"/>
        <v>0.10000000000000009</v>
      </c>
      <c r="AL22" s="3">
        <f t="shared" si="44"/>
        <v>0.10000000000000009</v>
      </c>
      <c r="AM22" s="3">
        <f t="shared" si="44"/>
        <v>0.10000000000000009</v>
      </c>
      <c r="AN22" s="3">
        <f t="shared" si="44"/>
        <v>0.10000000000000009</v>
      </c>
      <c r="AP22" s="3" t="s">
        <v>44</v>
      </c>
      <c r="AQ22" s="3">
        <v>7.0000000000000007E-2</v>
      </c>
    </row>
    <row r="23" spans="2:240">
      <c r="AP23" s="3" t="s">
        <v>45</v>
      </c>
      <c r="AQ23" s="6">
        <f>+NPV(AQ22,AD17:IE17)</f>
        <v>1135564.2206546166</v>
      </c>
    </row>
    <row r="24" spans="2:240">
      <c r="AP24" s="1" t="s">
        <v>46</v>
      </c>
      <c r="AQ24" s="1">
        <f>+Main!H6</f>
        <v>4741.2737989999996</v>
      </c>
    </row>
    <row r="25" spans="2:240" s="3" customFormat="1">
      <c r="B25" s="3" t="s">
        <v>36</v>
      </c>
      <c r="C25" s="25">
        <f>(C4-C7)/C4</f>
        <v>0.68692838046995919</v>
      </c>
      <c r="D25" s="25">
        <f>(D4-D7)/D4</f>
        <v>0.7034371327849589</v>
      </c>
      <c r="E25" s="25">
        <f>(E4-E7)/E4</f>
        <v>0.69644143495173605</v>
      </c>
      <c r="F25" s="25">
        <f>(F4-F7)/F4</f>
        <v>0.68809718809718812</v>
      </c>
      <c r="G25" s="25">
        <f>(G4-G7)/G4</f>
        <v>0.70771312584573753</v>
      </c>
      <c r="H25" s="25">
        <f>(H4-H7)/H4</f>
        <v>0.66273257428492083</v>
      </c>
      <c r="I25" s="25">
        <f>(I4-I7)/I4</f>
        <v>0.66538355787737147</v>
      </c>
      <c r="J25" s="25">
        <f>(J4-J7)/J4</f>
        <v>0.66294046172539489</v>
      </c>
      <c r="K25" s="25">
        <f>(K4-K7)/K4</f>
        <v>0.67206527033609353</v>
      </c>
      <c r="L25" s="25">
        <f>(L4-L7)/L4</f>
        <v>0.67649857278782111</v>
      </c>
      <c r="M25" s="25">
        <f>(M4-M7)/M4</f>
        <v>0.66555039429620833</v>
      </c>
      <c r="N25" s="25">
        <f>(N4-N7)/N4</f>
        <v>0.67161460704853837</v>
      </c>
      <c r="O25" s="25">
        <f>(O4-O7)/O4</f>
        <v>0.67206527033609353</v>
      </c>
      <c r="P25" s="25">
        <f>(P4-P7)/P4</f>
        <v>0.67649857278782111</v>
      </c>
      <c r="Q25" s="25">
        <f>(Q4-Q7)/Q4</f>
        <v>0.66555039429620833</v>
      </c>
      <c r="R25" s="25">
        <f>(R4-R7)/R4</f>
        <v>0.67161460704853848</v>
      </c>
      <c r="Y25" s="3">
        <f>(Y4-Y7)/Y4</f>
        <v>0.6587710661956333</v>
      </c>
      <c r="Z25" s="3">
        <f>(Z4-Z7)/Z4</f>
        <v>0.6784084776529461</v>
      </c>
      <c r="AA25" s="3">
        <f>(AA4-AA7)/AA4</f>
        <v>0.7045084824541018</v>
      </c>
      <c r="AB25" s="3">
        <f>(AB4-AB7)/AB4</f>
        <v>0.69356326733375917</v>
      </c>
      <c r="AC25" s="3">
        <f>(AC4-AC7)/AC4</f>
        <v>0.67447501329080273</v>
      </c>
      <c r="AD25" s="3">
        <f t="shared" ref="AD25:AN25" si="45">(AD4-AD7)/AD4</f>
        <v>0.67130609365673666</v>
      </c>
      <c r="AE25" s="3">
        <f t="shared" si="45"/>
        <v>0.67138175942906708</v>
      </c>
      <c r="AF25" s="3">
        <f t="shared" si="45"/>
        <v>0.67138175942906708</v>
      </c>
      <c r="AG25" s="3">
        <f t="shared" si="45"/>
        <v>0.67138175942906719</v>
      </c>
      <c r="AH25" s="3">
        <f t="shared" si="45"/>
        <v>0.67138175942906708</v>
      </c>
      <c r="AI25" s="3">
        <f t="shared" si="45"/>
        <v>0.67138175942906708</v>
      </c>
      <c r="AJ25" s="3">
        <f t="shared" si="45"/>
        <v>0.67138175942906708</v>
      </c>
      <c r="AK25" s="3">
        <f t="shared" si="45"/>
        <v>0.67138175942906708</v>
      </c>
      <c r="AL25" s="3">
        <f t="shared" si="45"/>
        <v>0.67138175942906708</v>
      </c>
      <c r="AM25" s="3">
        <f t="shared" si="45"/>
        <v>0.67138175942906719</v>
      </c>
      <c r="AN25" s="3">
        <f t="shared" si="45"/>
        <v>0.67138175942906708</v>
      </c>
      <c r="AP25" s="1" t="s">
        <v>47</v>
      </c>
      <c r="AQ25" s="1">
        <f>+AQ23/AQ24</f>
        <v>239.50614724973758</v>
      </c>
    </row>
    <row r="26" spans="2:240" s="3" customFormat="1">
      <c r="B26" s="3" t="s">
        <v>37</v>
      </c>
      <c r="C26" s="25">
        <f>(C5-C8)/C5</f>
        <v>0.91758849557522126</v>
      </c>
      <c r="D26" s="25">
        <f>(D5-D8)/D5</f>
        <v>0.91792207792207792</v>
      </c>
      <c r="E26" s="25">
        <f>(E5-E8)/E5</f>
        <v>0.9147286821705426</v>
      </c>
      <c r="F26" s="25">
        <f>(F5-F8)/F5</f>
        <v>0.9167089893346877</v>
      </c>
      <c r="G26" s="25">
        <f>(G5-G8)/G5</f>
        <v>0.79129293371253551</v>
      </c>
      <c r="H26" s="25">
        <f>(H5-H8)/H5</f>
        <v>0.86508987701040685</v>
      </c>
      <c r="I26" s="25">
        <f>(I5-I8)/I5</f>
        <v>0.87944118661607451</v>
      </c>
      <c r="J26" s="25">
        <f>(J5-J8)/J5</f>
        <v>0.89268543956043955</v>
      </c>
      <c r="K26" s="25">
        <f>(K5-K8)/K5</f>
        <v>0.91348448687350836</v>
      </c>
      <c r="L26" s="25">
        <f>(L5-L8)/L5</f>
        <v>0.91267434808975134</v>
      </c>
      <c r="M26" s="25">
        <f>(M5-M8)/M5</f>
        <v>0.90918595967139659</v>
      </c>
      <c r="N26" s="25">
        <f>(N5-N8)/N5</f>
        <v>0.91370486209837931</v>
      </c>
      <c r="O26" s="25">
        <f>(O5-O8)/O5</f>
        <v>0.91348448687350836</v>
      </c>
      <c r="P26" s="25">
        <f>(P5-P8)/P5</f>
        <v>0.91267434808975134</v>
      </c>
      <c r="Q26" s="25">
        <f>(Q5-Q8)/Q5</f>
        <v>0.90918595967139659</v>
      </c>
      <c r="R26" s="25">
        <f>(R5-R8)/R5</f>
        <v>0.91370486209837931</v>
      </c>
      <c r="Y26" s="3">
        <f>(Y5-Y8)/Y5</f>
        <v>0.90545234858782664</v>
      </c>
      <c r="Z26" s="3">
        <f>(Z5-Z8)/Z5</f>
        <v>0.91410782510258948</v>
      </c>
      <c r="AA26" s="3">
        <f>(AA5-AA8)/AA5</f>
        <v>0.91509817197020993</v>
      </c>
      <c r="AB26" s="3">
        <f>(AB5-AB8)/AB5</f>
        <v>0.91672122561215141</v>
      </c>
      <c r="AC26" s="3">
        <f>(AC5-AC8)/AC5</f>
        <v>0.86074122357761429</v>
      </c>
      <c r="AD26" s="3">
        <f t="shared" ref="AD26:AN26" si="46">(AD5-AD8)/AD5</f>
        <v>0.91227940360353699</v>
      </c>
      <c r="AE26" s="3">
        <f t="shared" si="46"/>
        <v>0.91230068275396958</v>
      </c>
      <c r="AF26" s="3">
        <f t="shared" si="46"/>
        <v>0.91230068275396958</v>
      </c>
      <c r="AG26" s="3">
        <f t="shared" si="46"/>
        <v>0.91230068275396958</v>
      </c>
      <c r="AH26" s="3">
        <f t="shared" si="46"/>
        <v>0.91230068275396947</v>
      </c>
      <c r="AI26" s="3">
        <f t="shared" si="46"/>
        <v>0.91230068275396958</v>
      </c>
      <c r="AJ26" s="3">
        <f t="shared" si="46"/>
        <v>0.91230068275396958</v>
      </c>
      <c r="AK26" s="3">
        <f t="shared" si="46"/>
        <v>0.91230068275396958</v>
      </c>
      <c r="AL26" s="3">
        <f t="shared" si="46"/>
        <v>0.91230068275396958</v>
      </c>
      <c r="AM26" s="3">
        <f t="shared" si="46"/>
        <v>0.91230068275396947</v>
      </c>
      <c r="AN26" s="3">
        <f t="shared" si="46"/>
        <v>0.91230068275396947</v>
      </c>
      <c r="AP26" s="1" t="s">
        <v>48</v>
      </c>
      <c r="AQ26" s="1">
        <f>+Main!H5</f>
        <v>332.5</v>
      </c>
    </row>
    <row r="27" spans="2:240" s="3" customFormat="1">
      <c r="B27" s="3" t="s">
        <v>38</v>
      </c>
      <c r="C27" s="25">
        <f>+C9/C6</f>
        <v>0.7337072349971957</v>
      </c>
      <c r="D27" s="25">
        <f>+D9/D6</f>
        <v>0.75071567617084622</v>
      </c>
      <c r="E27" s="25">
        <f>+E9/E6</f>
        <v>0.74402884182063989</v>
      </c>
      <c r="F27" s="25">
        <f>+F9/F6</f>
        <v>0.7365250134480904</v>
      </c>
      <c r="G27" s="25">
        <f>+G9/G6</f>
        <v>0.73965387509405567</v>
      </c>
      <c r="H27" s="25">
        <f>+H9/H6</f>
        <v>0.74837831344598382</v>
      </c>
      <c r="I27" s="25">
        <f>+I9/I6</f>
        <v>0.76032741738066101</v>
      </c>
      <c r="J27" s="25">
        <f>+J9/J6</f>
        <v>0.75814714671979511</v>
      </c>
      <c r="K27" s="25">
        <f>+K9/K6</f>
        <v>0.78057119871279168</v>
      </c>
      <c r="L27" s="25">
        <f>+L9/L6</f>
        <v>0.78032524660090641</v>
      </c>
      <c r="M27" s="25">
        <f>+M9/M6</f>
        <v>0.7678034102306921</v>
      </c>
      <c r="N27" s="25">
        <f>+N9/N6</f>
        <v>0.76613932833749654</v>
      </c>
      <c r="O27" s="25">
        <f>+O9/O6</f>
        <v>0.78057119871279157</v>
      </c>
      <c r="P27" s="25">
        <f>+P9/P6</f>
        <v>0.78032524660090641</v>
      </c>
      <c r="Q27" s="25">
        <f>+Q9/Q6</f>
        <v>0.76780341023069199</v>
      </c>
      <c r="R27" s="25">
        <f>+R9/R6</f>
        <v>0.76613932833749654</v>
      </c>
      <c r="Y27" s="3">
        <f>+Y9/Y6</f>
        <v>0.72714333556597455</v>
      </c>
      <c r="Z27" s="3">
        <f>+Z9/Z6</f>
        <v>0.73908925318761387</v>
      </c>
      <c r="AA27" s="3">
        <f>+AA9/AA6</f>
        <v>0.75134776977983919</v>
      </c>
      <c r="AB27" s="3">
        <f>+AB9/AB6</f>
        <v>0.74114296881543318</v>
      </c>
      <c r="AC27" s="3">
        <f>+AC9/AC6</f>
        <v>0.75204560437429713</v>
      </c>
      <c r="AD27" s="3">
        <f t="shared" ref="AD27:AN27" si="47">+AD9/AD6</f>
        <v>0.77325590495718999</v>
      </c>
      <c r="AE27" s="3">
        <f t="shared" si="47"/>
        <v>0.77346773905322652</v>
      </c>
      <c r="AF27" s="3">
        <f t="shared" si="47"/>
        <v>0.77346773905322652</v>
      </c>
      <c r="AG27" s="3">
        <f t="shared" si="47"/>
        <v>0.77346773905322652</v>
      </c>
      <c r="AH27" s="3">
        <f t="shared" si="47"/>
        <v>0.77346773905322641</v>
      </c>
      <c r="AI27" s="3">
        <f t="shared" si="47"/>
        <v>0.77346773905322652</v>
      </c>
      <c r="AJ27" s="3">
        <f t="shared" si="47"/>
        <v>0.77346773905322652</v>
      </c>
      <c r="AK27" s="3">
        <f t="shared" si="47"/>
        <v>0.77346773905322652</v>
      </c>
      <c r="AL27" s="3">
        <f t="shared" si="47"/>
        <v>0.77346773905322641</v>
      </c>
      <c r="AM27" s="3">
        <f t="shared" si="47"/>
        <v>0.77346773905322652</v>
      </c>
      <c r="AN27" s="3">
        <f t="shared" si="47"/>
        <v>0.77346773905322641</v>
      </c>
      <c r="AP27" s="3" t="s">
        <v>91</v>
      </c>
      <c r="AQ27" s="3">
        <f>+AQ25/AQ26-1</f>
        <v>-0.27968076015116516</v>
      </c>
    </row>
    <row r="28" spans="2:240" s="3" customFormat="1"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2:240" s="3" customFormat="1">
      <c r="B29" s="1" t="s">
        <v>20</v>
      </c>
      <c r="C29" s="25">
        <f>+C10/C$6</f>
        <v>0.13404374649467191</v>
      </c>
      <c r="D29" s="25">
        <f t="shared" ref="D29:N29" si="48">+D10/D$6</f>
        <v>0.15023474178403756</v>
      </c>
      <c r="E29" s="25">
        <f t="shared" si="48"/>
        <v>0.1529968454258675</v>
      </c>
      <c r="F29" s="25">
        <f t="shared" si="48"/>
        <v>0.14932759548144164</v>
      </c>
      <c r="G29" s="25">
        <f t="shared" si="48"/>
        <v>0.19296045481147062</v>
      </c>
      <c r="H29" s="25">
        <f t="shared" si="48"/>
        <v>0.19340113718266996</v>
      </c>
      <c r="I29" s="25">
        <f t="shared" si="48"/>
        <v>0.18000305997552019</v>
      </c>
      <c r="J29" s="25">
        <f t="shared" si="48"/>
        <v>0.1589583036857834</v>
      </c>
      <c r="K29" s="25">
        <f t="shared" si="48"/>
        <v>0.1510458567980692</v>
      </c>
      <c r="L29" s="25">
        <f t="shared" si="48"/>
        <v>0.17948547054118902</v>
      </c>
      <c r="M29" s="25">
        <f t="shared" si="48"/>
        <v>0.19119859578736209</v>
      </c>
      <c r="N29" s="25">
        <f t="shared" si="48"/>
        <v>0.16547321676380794</v>
      </c>
      <c r="O29" s="25">
        <f t="shared" ref="O29:R29" si="49">+O10/O$6</f>
        <v>0.17</v>
      </c>
      <c r="P29" s="25">
        <f t="shared" si="49"/>
        <v>0.17</v>
      </c>
      <c r="Q29" s="25">
        <f t="shared" si="49"/>
        <v>0.17</v>
      </c>
      <c r="R29" s="25">
        <f t="shared" si="49"/>
        <v>0.17</v>
      </c>
      <c r="Y29" s="25">
        <f t="shared" ref="Y29:AD29" si="50">+Y10/Y$6</f>
        <v>0.20797052913596786</v>
      </c>
      <c r="Z29" s="25">
        <f t="shared" si="50"/>
        <v>0.17683060109289617</v>
      </c>
      <c r="AA29" s="25">
        <f t="shared" si="50"/>
        <v>0.14814926362075717</v>
      </c>
      <c r="AB29" s="25">
        <f t="shared" si="50"/>
        <v>0.14665401044138585</v>
      </c>
      <c r="AC29" s="25">
        <f t="shared" si="50"/>
        <v>0.18051731492612558</v>
      </c>
      <c r="AD29" s="25">
        <f t="shared" si="50"/>
        <v>0.17181899290935559</v>
      </c>
      <c r="AE29" s="25">
        <f t="shared" ref="AE29:AN29" si="51">+AE10/AE$6</f>
        <v>0.17000000000000004</v>
      </c>
      <c r="AF29" s="25">
        <f t="shared" si="51"/>
        <v>0.17000000000000004</v>
      </c>
      <c r="AG29" s="25">
        <f t="shared" si="51"/>
        <v>0.17000000000000004</v>
      </c>
      <c r="AH29" s="25">
        <f t="shared" si="51"/>
        <v>0.17</v>
      </c>
      <c r="AI29" s="25">
        <f t="shared" si="51"/>
        <v>0.17</v>
      </c>
      <c r="AJ29" s="25">
        <f t="shared" si="51"/>
        <v>0.17</v>
      </c>
      <c r="AK29" s="25">
        <f t="shared" si="51"/>
        <v>0.17</v>
      </c>
      <c r="AL29" s="25">
        <f t="shared" si="51"/>
        <v>0.17</v>
      </c>
      <c r="AM29" s="25">
        <f t="shared" si="51"/>
        <v>0.17</v>
      </c>
      <c r="AN29" s="25">
        <f t="shared" si="51"/>
        <v>0.17</v>
      </c>
    </row>
    <row r="30" spans="2:240" s="3" customFormat="1">
      <c r="B30" s="1" t="s">
        <v>21</v>
      </c>
      <c r="C30" s="25">
        <f>+C11/C$6</f>
        <v>3.9035333707234998E-2</v>
      </c>
      <c r="D30" s="25">
        <f t="shared" ref="D30:N30" si="52">+D11/D$6</f>
        <v>5.015458605290278E-2</v>
      </c>
      <c r="E30" s="25">
        <f t="shared" si="52"/>
        <v>4.3713384407390719E-2</v>
      </c>
      <c r="F30" s="25">
        <f t="shared" si="52"/>
        <v>4.4970414201183431E-2</v>
      </c>
      <c r="G30" s="25">
        <f t="shared" si="52"/>
        <v>0.13142713819914723</v>
      </c>
      <c r="H30" s="25">
        <f t="shared" si="52"/>
        <v>0.10226635701129175</v>
      </c>
      <c r="I30" s="25">
        <f t="shared" si="52"/>
        <v>8.414932680538556E-2</v>
      </c>
      <c r="J30" s="25">
        <f t="shared" si="52"/>
        <v>7.1865661021773164E-2</v>
      </c>
      <c r="K30" s="25">
        <f t="shared" si="52"/>
        <v>6.3622955215875576E-2</v>
      </c>
      <c r="L30" s="25">
        <f t="shared" si="52"/>
        <v>7.2180751799520132E-2</v>
      </c>
      <c r="M30" s="25">
        <f t="shared" si="52"/>
        <v>6.720160481444333E-2</v>
      </c>
      <c r="N30" s="25">
        <f t="shared" si="52"/>
        <v>6.1448792672772687E-2</v>
      </c>
      <c r="O30" s="25">
        <f t="shared" ref="O30:R30" si="53">+O11/O$6</f>
        <v>7.0000000000000007E-2</v>
      </c>
      <c r="P30" s="25">
        <f t="shared" si="53"/>
        <v>7.0000000000000007E-2</v>
      </c>
      <c r="Q30" s="25">
        <f t="shared" si="53"/>
        <v>7.0000000000000007E-2</v>
      </c>
      <c r="R30" s="25">
        <f t="shared" si="53"/>
        <v>7.0000000000000007E-2</v>
      </c>
      <c r="Y30" s="25">
        <f t="shared" ref="Y30:AD30" si="54">+Y11/Y$6</f>
        <v>8.1003014065639659E-2</v>
      </c>
      <c r="Z30" s="25">
        <f t="shared" si="54"/>
        <v>4.907103825136612E-2</v>
      </c>
      <c r="AA30" s="25">
        <f t="shared" si="54"/>
        <v>4.1622744932686806E-2</v>
      </c>
      <c r="AB30" s="25">
        <f t="shared" si="54"/>
        <v>4.4445685250844524E-2</v>
      </c>
      <c r="AC30" s="25">
        <f t="shared" si="54"/>
        <v>9.6153100399426067E-2</v>
      </c>
      <c r="AD30" s="25">
        <f t="shared" si="54"/>
        <v>6.5913253087482582E-2</v>
      </c>
      <c r="AE30" s="25">
        <f t="shared" ref="AE30:AN30" si="55">+AE11/AE$6</f>
        <v>7.0000000000000021E-2</v>
      </c>
      <c r="AF30" s="25">
        <f t="shared" si="55"/>
        <v>7.0000000000000021E-2</v>
      </c>
      <c r="AG30" s="25">
        <f t="shared" si="55"/>
        <v>7.0000000000000021E-2</v>
      </c>
      <c r="AH30" s="25">
        <f t="shared" si="55"/>
        <v>7.0000000000000021E-2</v>
      </c>
      <c r="AI30" s="25">
        <f t="shared" si="55"/>
        <v>7.0000000000000021E-2</v>
      </c>
      <c r="AJ30" s="25">
        <f t="shared" si="55"/>
        <v>7.0000000000000021E-2</v>
      </c>
      <c r="AK30" s="25">
        <f t="shared" si="55"/>
        <v>7.0000000000000021E-2</v>
      </c>
      <c r="AL30" s="25">
        <f t="shared" si="55"/>
        <v>7.0000000000000021E-2</v>
      </c>
      <c r="AM30" s="25">
        <f t="shared" si="55"/>
        <v>7.0000000000000021E-2</v>
      </c>
      <c r="AN30" s="25">
        <f t="shared" si="55"/>
        <v>7.0000000000000021E-2</v>
      </c>
    </row>
    <row r="31" spans="2:240" s="3" customFormat="1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2:240" s="3" customFormat="1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2:40" s="3" customFormat="1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5" spans="2:40" s="20" customFormat="1">
      <c r="B35" s="20" t="s">
        <v>86</v>
      </c>
      <c r="C35" s="24"/>
      <c r="D35" s="24"/>
      <c r="E35" s="24"/>
      <c r="F35" s="24"/>
      <c r="G35" s="24"/>
      <c r="H35" s="24"/>
      <c r="I35" s="24"/>
      <c r="J35" s="24">
        <f>+J57</f>
        <v>-58218</v>
      </c>
      <c r="K35" s="24">
        <f>+K57</f>
        <v>-57272</v>
      </c>
      <c r="L35" s="24">
        <f>+L57</f>
        <v>-57810</v>
      </c>
      <c r="M35" s="24">
        <f>+M57</f>
        <v>-53511</v>
      </c>
      <c r="N35" s="24">
        <f>+N57</f>
        <v>-48958</v>
      </c>
      <c r="O35" s="24"/>
      <c r="P35" s="24"/>
      <c r="Q35" s="24"/>
      <c r="R35" s="24"/>
      <c r="AD35" s="20">
        <f>+N35</f>
        <v>-48958</v>
      </c>
      <c r="AE35" s="20">
        <f>+AD35</f>
        <v>-48958</v>
      </c>
      <c r="AF35" s="20">
        <f t="shared" ref="AF35:AN35" si="56">+AE35</f>
        <v>-48958</v>
      </c>
      <c r="AG35" s="20">
        <f t="shared" si="56"/>
        <v>-48958</v>
      </c>
      <c r="AH35" s="20">
        <f t="shared" si="56"/>
        <v>-48958</v>
      </c>
      <c r="AI35" s="20">
        <f t="shared" si="56"/>
        <v>-48958</v>
      </c>
      <c r="AJ35" s="20">
        <f t="shared" si="56"/>
        <v>-48958</v>
      </c>
      <c r="AK35" s="20">
        <f t="shared" si="56"/>
        <v>-48958</v>
      </c>
      <c r="AL35" s="20">
        <f t="shared" si="56"/>
        <v>-48958</v>
      </c>
      <c r="AM35" s="20">
        <f t="shared" si="56"/>
        <v>-48958</v>
      </c>
      <c r="AN35" s="20">
        <f t="shared" si="56"/>
        <v>-48958</v>
      </c>
    </row>
    <row r="36" spans="2:40">
      <c r="B36" s="1" t="s">
        <v>63</v>
      </c>
      <c r="J36" s="21">
        <v>9348</v>
      </c>
      <c r="K36" s="21">
        <v>9307</v>
      </c>
      <c r="L36" s="21">
        <v>9472</v>
      </c>
      <c r="M36" s="21">
        <v>10718</v>
      </c>
      <c r="N36" s="21">
        <v>16178</v>
      </c>
      <c r="AD36" s="1">
        <f>+N36</f>
        <v>16178</v>
      </c>
      <c r="AE36" s="1">
        <f>+AD36*1.01</f>
        <v>16339.78</v>
      </c>
      <c r="AF36" s="1">
        <f t="shared" ref="AF36:AN36" si="57">+AE36*1.01</f>
        <v>16503.177800000001</v>
      </c>
      <c r="AG36" s="1">
        <f t="shared" si="57"/>
        <v>16668.209578000002</v>
      </c>
      <c r="AH36" s="1">
        <f t="shared" si="57"/>
        <v>16834.891673780003</v>
      </c>
      <c r="AI36" s="1">
        <f t="shared" si="57"/>
        <v>17003.240590517802</v>
      </c>
      <c r="AJ36" s="1">
        <f t="shared" si="57"/>
        <v>17173.27299642298</v>
      </c>
      <c r="AK36" s="1">
        <f t="shared" si="57"/>
        <v>17345.005726387211</v>
      </c>
      <c r="AL36" s="1">
        <f t="shared" si="57"/>
        <v>17518.455783651083</v>
      </c>
      <c r="AM36" s="1">
        <f t="shared" si="57"/>
        <v>17693.640341487593</v>
      </c>
      <c r="AN36" s="1">
        <f t="shared" si="57"/>
        <v>17870.576744902468</v>
      </c>
    </row>
    <row r="37" spans="2:40">
      <c r="B37" s="1" t="s">
        <v>64</v>
      </c>
      <c r="J37" s="21">
        <v>4416</v>
      </c>
      <c r="K37" s="21">
        <v>4955</v>
      </c>
      <c r="L37" s="21">
        <v>5563</v>
      </c>
      <c r="M37" s="21">
        <v>6494</v>
      </c>
      <c r="N37" s="21">
        <v>7145</v>
      </c>
    </row>
    <row r="38" spans="2:40">
      <c r="B38" s="1" t="s">
        <v>65</v>
      </c>
      <c r="J38" s="21">
        <v>1760</v>
      </c>
      <c r="K38" s="21">
        <v>1908</v>
      </c>
      <c r="L38" s="21">
        <v>2017</v>
      </c>
      <c r="M38" s="21">
        <v>2180</v>
      </c>
      <c r="N38" s="21">
        <v>2270</v>
      </c>
    </row>
    <row r="39" spans="2:40">
      <c r="B39" s="1" t="s">
        <v>66</v>
      </c>
      <c r="J39" s="21">
        <v>4071</v>
      </c>
      <c r="K39" s="21">
        <v>4820</v>
      </c>
      <c r="L39" s="21">
        <v>5129</v>
      </c>
      <c r="M39" s="21">
        <v>5606</v>
      </c>
      <c r="N39" s="21">
        <v>5980</v>
      </c>
    </row>
    <row r="40" spans="2:40">
      <c r="B40" s="1" t="s">
        <v>67</v>
      </c>
      <c r="J40" s="21">
        <v>2521</v>
      </c>
      <c r="K40" s="21">
        <v>2465</v>
      </c>
      <c r="L40" s="21">
        <v>2462</v>
      </c>
      <c r="M40" s="21">
        <v>2451</v>
      </c>
      <c r="N40" s="21">
        <v>2530</v>
      </c>
    </row>
    <row r="41" spans="2:40">
      <c r="B41" s="1" t="s">
        <v>68</v>
      </c>
      <c r="J41" s="21">
        <v>97873</v>
      </c>
      <c r="K41" s="21">
        <v>97871</v>
      </c>
      <c r="L41" s="21">
        <v>97801</v>
      </c>
      <c r="M41" s="21">
        <v>97801</v>
      </c>
      <c r="N41" s="21">
        <v>97801</v>
      </c>
    </row>
    <row r="42" spans="2:40">
      <c r="B42" s="1" t="s">
        <v>69</v>
      </c>
      <c r="J42" s="21">
        <v>40583</v>
      </c>
      <c r="K42" s="21">
        <v>38583</v>
      </c>
      <c r="L42" s="21">
        <v>36393</v>
      </c>
      <c r="M42" s="21">
        <v>34344</v>
      </c>
      <c r="N42" s="21">
        <v>32273</v>
      </c>
    </row>
    <row r="43" spans="2:40">
      <c r="B43" s="1" t="s">
        <v>70</v>
      </c>
      <c r="J43" s="21">
        <v>5073</v>
      </c>
      <c r="K43" s="21">
        <v>5449</v>
      </c>
      <c r="L43" s="21">
        <v>5793</v>
      </c>
      <c r="M43" s="21">
        <v>6027</v>
      </c>
      <c r="N43" s="21">
        <v>6915</v>
      </c>
    </row>
    <row r="44" spans="2:40">
      <c r="B44" s="1" t="s">
        <v>71</v>
      </c>
      <c r="J44" s="21">
        <f>+SUM(J36:J43)</f>
        <v>165645</v>
      </c>
      <c r="K44" s="21">
        <f>+SUM(K36:K43)</f>
        <v>165358</v>
      </c>
      <c r="L44" s="21">
        <f>+SUM(L36:L43)</f>
        <v>164630</v>
      </c>
      <c r="M44" s="21">
        <f>+SUM(M36:M43)</f>
        <v>165621</v>
      </c>
      <c r="N44" s="21">
        <f>+SUM(N36:N43)</f>
        <v>171092</v>
      </c>
    </row>
    <row r="46" spans="2:40">
      <c r="B46" s="1" t="s">
        <v>56</v>
      </c>
      <c r="J46" s="21">
        <v>1662</v>
      </c>
      <c r="K46" s="21">
        <v>1905</v>
      </c>
      <c r="L46" s="21">
        <v>1297</v>
      </c>
      <c r="M46" s="21">
        <v>1432</v>
      </c>
      <c r="N46" s="21">
        <v>1560</v>
      </c>
    </row>
    <row r="47" spans="2:40">
      <c r="B47" s="1" t="s">
        <v>57</v>
      </c>
      <c r="J47" s="21">
        <v>1971</v>
      </c>
      <c r="K47" s="21">
        <v>922</v>
      </c>
      <c r="L47" s="21">
        <v>1266</v>
      </c>
      <c r="M47" s="21">
        <v>1719</v>
      </c>
      <c r="N47" s="21">
        <v>2129</v>
      </c>
    </row>
    <row r="48" spans="2:40">
      <c r="B48" s="1" t="s">
        <v>58</v>
      </c>
      <c r="J48" s="21">
        <v>1271</v>
      </c>
      <c r="K48" s="21">
        <v>5653</v>
      </c>
      <c r="L48" s="21">
        <v>5531</v>
      </c>
      <c r="M48" s="21">
        <v>1399</v>
      </c>
      <c r="N48" s="21">
        <v>3152</v>
      </c>
    </row>
    <row r="49" spans="2:41">
      <c r="B49" s="1" t="s">
        <v>59</v>
      </c>
      <c r="J49" s="21">
        <v>11793</v>
      </c>
      <c r="K49" s="21">
        <v>12430</v>
      </c>
      <c r="L49" s="21">
        <v>12503</v>
      </c>
      <c r="M49" s="21">
        <v>12154</v>
      </c>
      <c r="N49" s="21">
        <v>11673</v>
      </c>
    </row>
    <row r="50" spans="2:41">
      <c r="B50" s="1" t="s">
        <v>60</v>
      </c>
      <c r="J50" s="21">
        <v>66295</v>
      </c>
      <c r="K50" s="21">
        <v>60926</v>
      </c>
      <c r="L50" s="21">
        <v>61751</v>
      </c>
      <c r="M50" s="21">
        <v>62830</v>
      </c>
      <c r="N50" s="21">
        <v>61984</v>
      </c>
    </row>
    <row r="51" spans="2:41">
      <c r="B51" s="1" t="s">
        <v>61</v>
      </c>
      <c r="J51" s="21">
        <v>14975</v>
      </c>
      <c r="K51" s="21">
        <v>13733</v>
      </c>
      <c r="L51" s="21">
        <v>12696</v>
      </c>
      <c r="M51" s="21">
        <v>12810</v>
      </c>
      <c r="N51" s="21">
        <v>9302</v>
      </c>
    </row>
    <row r="52" spans="2:41">
      <c r="B52" s="1" t="s">
        <v>62</v>
      </c>
      <c r="J52" s="21">
        <v>67678</v>
      </c>
      <c r="K52" s="21">
        <v>69789</v>
      </c>
      <c r="L52" s="21">
        <v>69586</v>
      </c>
      <c r="M52" s="21">
        <v>73277</v>
      </c>
      <c r="N52" s="21">
        <v>81292</v>
      </c>
    </row>
    <row r="53" spans="2:41">
      <c r="B53" s="1" t="s">
        <v>55</v>
      </c>
      <c r="J53" s="21">
        <f>SUM(J46:J52)</f>
        <v>165645</v>
      </c>
      <c r="K53" s="21">
        <f>SUM(K46:K52)</f>
        <v>165358</v>
      </c>
      <c r="L53" s="21">
        <f>SUM(L46:L52)</f>
        <v>164630</v>
      </c>
      <c r="M53" s="21">
        <f>SUM(M46:M52)</f>
        <v>165621</v>
      </c>
      <c r="N53" s="21">
        <f>SUM(N46:N52)</f>
        <v>171092</v>
      </c>
    </row>
    <row r="55" spans="2:41">
      <c r="B55" s="1" t="s">
        <v>63</v>
      </c>
      <c r="J55" s="21">
        <f>+J36</f>
        <v>9348</v>
      </c>
      <c r="K55" s="21">
        <f>+K36</f>
        <v>9307</v>
      </c>
      <c r="L55" s="21">
        <f>+L36</f>
        <v>9472</v>
      </c>
      <c r="M55" s="21">
        <f>+M36</f>
        <v>10718</v>
      </c>
      <c r="N55" s="21">
        <f>+N36</f>
        <v>16178</v>
      </c>
    </row>
    <row r="56" spans="2:41">
      <c r="B56" s="1" t="s">
        <v>85</v>
      </c>
      <c r="J56" s="21">
        <f>+J48+J50</f>
        <v>67566</v>
      </c>
      <c r="K56" s="21">
        <f>+K48+K50</f>
        <v>66579</v>
      </c>
      <c r="L56" s="21">
        <f>+L48+L50</f>
        <v>67282</v>
      </c>
      <c r="M56" s="21">
        <f>+M48+M50</f>
        <v>64229</v>
      </c>
      <c r="N56" s="21">
        <f>+N48+N50</f>
        <v>65136</v>
      </c>
    </row>
    <row r="57" spans="2:41" s="20" customFormat="1">
      <c r="B57" s="20" t="s">
        <v>86</v>
      </c>
      <c r="C57" s="24"/>
      <c r="D57" s="24"/>
      <c r="E57" s="24"/>
      <c r="F57" s="24"/>
      <c r="G57" s="24"/>
      <c r="H57" s="24"/>
      <c r="I57" s="24"/>
      <c r="J57" s="24">
        <f>+J55-J56</f>
        <v>-58218</v>
      </c>
      <c r="K57" s="24">
        <f>+K55-K56</f>
        <v>-57272</v>
      </c>
      <c r="L57" s="24">
        <f>+L55-L56</f>
        <v>-57810</v>
      </c>
      <c r="M57" s="24">
        <f>+M55-M56</f>
        <v>-53511</v>
      </c>
      <c r="N57" s="24">
        <f>+N55-N56</f>
        <v>-48958</v>
      </c>
      <c r="O57" s="24"/>
      <c r="P57" s="24"/>
      <c r="Q57" s="24"/>
      <c r="R57" s="24"/>
    </row>
    <row r="59" spans="2:41">
      <c r="B59" s="1" t="s">
        <v>72</v>
      </c>
      <c r="J59" s="21">
        <f t="shared" ref="J59:N59" si="58">+J52</f>
        <v>67678</v>
      </c>
      <c r="K59" s="21">
        <f t="shared" si="58"/>
        <v>69789</v>
      </c>
      <c r="L59" s="21">
        <f t="shared" si="58"/>
        <v>69586</v>
      </c>
      <c r="M59" s="21">
        <f t="shared" si="58"/>
        <v>73277</v>
      </c>
      <c r="N59" s="21">
        <f>+N52</f>
        <v>81292</v>
      </c>
    </row>
    <row r="60" spans="2:41">
      <c r="B60" s="1" t="s">
        <v>73</v>
      </c>
      <c r="K60" s="25">
        <f>+SUM(H66:K66)/K59</f>
        <v>0.30930375847196551</v>
      </c>
      <c r="L60" s="25">
        <f>+SUM(I66:L66)/L59</f>
        <v>0.3416348116000345</v>
      </c>
      <c r="M60" s="25">
        <f>+SUM(J66:M66)/M59</f>
        <v>0.35408108956425616</v>
      </c>
      <c r="N60" s="25">
        <f>+SUM(K66:N66)/N59</f>
        <v>0.34640555036165921</v>
      </c>
    </row>
    <row r="64" spans="2:41">
      <c r="B64" s="1" t="s">
        <v>29</v>
      </c>
      <c r="G64" s="21">
        <v>4815</v>
      </c>
      <c r="H64" s="21">
        <f>9395-G64</f>
        <v>4580</v>
      </c>
      <c r="I64" s="21">
        <f>14358-H64-G64</f>
        <v>4963</v>
      </c>
      <c r="J64" s="21">
        <f>+AC64-SUM(G64:I64)</f>
        <v>5604</v>
      </c>
      <c r="K64" s="21">
        <v>6113</v>
      </c>
      <c r="L64" s="21">
        <f>12668-K64</f>
        <v>6555</v>
      </c>
      <c r="M64" s="21">
        <f>19834-L64-K64</f>
        <v>7166</v>
      </c>
      <c r="N64" s="21">
        <f>27537-SUM(K64:M64)</f>
        <v>7703</v>
      </c>
      <c r="AA64" s="1">
        <v>16736</v>
      </c>
      <c r="AB64" s="1">
        <v>18085</v>
      </c>
      <c r="AC64" s="1">
        <v>19962</v>
      </c>
      <c r="AD64" s="1">
        <f>27537</f>
        <v>27537</v>
      </c>
      <c r="AO64" s="3">
        <f>+AQ25/AQ26-1</f>
        <v>-0.27968076015116516</v>
      </c>
    </row>
    <row r="65" spans="2:30">
      <c r="B65" s="1" t="s">
        <v>30</v>
      </c>
      <c r="G65" s="21">
        <v>-122</v>
      </c>
      <c r="H65" s="21">
        <f>+-254-G65</f>
        <v>-132</v>
      </c>
      <c r="I65" s="21">
        <f>+-426-H65-G65</f>
        <v>-172</v>
      </c>
      <c r="J65" s="21">
        <f>+AC65-SUM(G65:I65)</f>
        <v>-122</v>
      </c>
      <c r="K65" s="21">
        <v>100</v>
      </c>
      <c r="L65" s="21">
        <f>+-244-K65</f>
        <v>-344</v>
      </c>
      <c r="M65" s="21">
        <f>+-386-L65-K65</f>
        <v>-142</v>
      </c>
      <c r="N65" s="21">
        <f>+-623-SUM(K65:M65)</f>
        <v>-237</v>
      </c>
      <c r="AA65" s="1">
        <v>-424</v>
      </c>
      <c r="AB65" s="1">
        <v>-452</v>
      </c>
      <c r="AC65" s="1">
        <v>-548</v>
      </c>
      <c r="AD65" s="1">
        <f>+-623</f>
        <v>-623</v>
      </c>
    </row>
    <row r="66" spans="2:30">
      <c r="B66" s="1" t="s">
        <v>31</v>
      </c>
      <c r="G66" s="21">
        <f>+G64-G65</f>
        <v>4937</v>
      </c>
      <c r="H66" s="21">
        <f>+H64-H65</f>
        <v>4712</v>
      </c>
      <c r="I66" s="21">
        <f>+I64-I65</f>
        <v>5135</v>
      </c>
      <c r="J66" s="21">
        <f>+J64-J65</f>
        <v>5726</v>
      </c>
      <c r="K66" s="21">
        <f>+K64-K65</f>
        <v>6013</v>
      </c>
      <c r="L66" s="21">
        <f>+L64-L65</f>
        <v>6899</v>
      </c>
      <c r="M66" s="21">
        <f>+M64-M65</f>
        <v>7308</v>
      </c>
      <c r="N66" s="21">
        <f>+N64-N65</f>
        <v>7940</v>
      </c>
      <c r="AA66" s="1">
        <f>+AA64-AA65</f>
        <v>17160</v>
      </c>
      <c r="AB66" s="1">
        <f>+AB64-AB65</f>
        <v>18537</v>
      </c>
      <c r="AC66" s="1">
        <f>+AC64-AC65</f>
        <v>20510</v>
      </c>
      <c r="AD66" s="1">
        <f>+AD64-AD65</f>
        <v>28160</v>
      </c>
    </row>
    <row r="67" spans="2:30">
      <c r="B67" s="1" t="s">
        <v>88</v>
      </c>
      <c r="G67" s="21">
        <f t="shared" ref="G67:N67" si="59">+G17</f>
        <v>4158</v>
      </c>
      <c r="H67" s="21">
        <f t="shared" si="59"/>
        <v>4809</v>
      </c>
      <c r="I67" s="21">
        <f t="shared" si="59"/>
        <v>1266</v>
      </c>
      <c r="J67" s="21">
        <f t="shared" si="59"/>
        <v>6989</v>
      </c>
      <c r="K67" s="21">
        <f t="shared" si="59"/>
        <v>7684</v>
      </c>
      <c r="L67" s="21">
        <f t="shared" si="59"/>
        <v>7068</v>
      </c>
      <c r="M67" s="21">
        <f t="shared" si="59"/>
        <v>6379</v>
      </c>
      <c r="N67" s="21">
        <f>+N17</f>
        <v>9930</v>
      </c>
      <c r="AA67" s="1">
        <f>+AA17</f>
        <v>15916</v>
      </c>
      <c r="AB67" s="1">
        <f>+AB17</f>
        <v>17577</v>
      </c>
      <c r="AC67" s="1">
        <f>+AC17</f>
        <v>17222</v>
      </c>
      <c r="AD67" s="1">
        <f>+AD17</f>
        <v>31061</v>
      </c>
    </row>
    <row r="69" spans="2:30">
      <c r="B69" s="1" t="s">
        <v>89</v>
      </c>
      <c r="J69" s="21">
        <f t="shared" ref="J69:M69" si="60">+SUM(G66:J66)</f>
        <v>20510</v>
      </c>
      <c r="K69" s="21">
        <f t="shared" si="60"/>
        <v>21586</v>
      </c>
      <c r="L69" s="21">
        <f t="shared" si="60"/>
        <v>23773</v>
      </c>
      <c r="M69" s="21">
        <f t="shared" si="60"/>
        <v>25946</v>
      </c>
      <c r="N69" s="21">
        <f>+SUM(K66:N66)</f>
        <v>28160</v>
      </c>
    </row>
    <row r="70" spans="2:30">
      <c r="B70" s="1" t="s">
        <v>90</v>
      </c>
      <c r="J70" s="21">
        <f t="shared" ref="J70:M70" si="61">+SUM(G67:J67)</f>
        <v>17222</v>
      </c>
      <c r="K70" s="21">
        <f t="shared" si="61"/>
        <v>20748</v>
      </c>
      <c r="L70" s="21">
        <f t="shared" si="61"/>
        <v>23007</v>
      </c>
      <c r="M70" s="21">
        <f t="shared" si="61"/>
        <v>28120</v>
      </c>
      <c r="N70" s="21">
        <f>+SUM(K67:N67)</f>
        <v>31061</v>
      </c>
    </row>
  </sheetData>
  <pageMargins left="0.7" right="0.7" top="0.75" bottom="0.75" header="0.3" footer="0.3"/>
  <ignoredErrors>
    <ignoredError sqref="F19:M19 F7:L7 F8:L8 F9:L17 F23:M24 F20:L22 F25:K27 J6 N9:U9 N12:U19 N10 S10:U10 N11 S11:U11 AE22:AG24 AG6:AG12 AG15:AG16 AG18:AG19" formula="1"/>
    <ignoredError sqref="Y6:AD16 Y18:AD21 Y17:AC17" formulaRange="1"/>
    <ignoredError sqref="AE6:AF12 AE15:AF16 AE18:AF21" formula="1" formulaRange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2025-02-09T03:51:46Z</dcterms:created>
  <dcterms:modified xsi:type="dcterms:W3CDTF">2026-02-08T05:03:05Z</dcterms:modified>
</cp:coreProperties>
</file>