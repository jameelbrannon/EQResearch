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26448CB1-8CF7-F44A-AE88-930483630850}" xr6:coauthVersionLast="47" xr6:coauthVersionMax="47" xr10:uidLastSave="{00000000-0000-0000-0000-000000000000}"/>
  <bookViews>
    <workbookView xWindow="13240" yWindow="920" windowWidth="34680" windowHeight="27880" activeTab="1" xr2:uid="{435C723C-60C2-6B4B-9352-FB87DC9C29B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0" i="2" l="1"/>
  <c r="I120" i="2"/>
  <c r="H120" i="2"/>
  <c r="G120" i="2"/>
  <c r="AC121" i="2"/>
  <c r="AC120" i="2"/>
  <c r="AB121" i="2"/>
  <c r="AB120" i="2"/>
  <c r="AA121" i="2"/>
  <c r="G124" i="2"/>
  <c r="G117" i="2"/>
  <c r="G108" i="2"/>
  <c r="G100" i="2"/>
  <c r="H118" i="2"/>
  <c r="I118" i="2" s="1"/>
  <c r="J118" i="2" s="1"/>
  <c r="H116" i="2"/>
  <c r="I116" i="2" s="1"/>
  <c r="J116" i="2" s="1"/>
  <c r="H112" i="2"/>
  <c r="I112" i="2" s="1"/>
  <c r="J112" i="2" s="1"/>
  <c r="H111" i="2"/>
  <c r="H110" i="2"/>
  <c r="I110" i="2" s="1"/>
  <c r="H104" i="2"/>
  <c r="I104" i="2" s="1"/>
  <c r="J104" i="2" s="1"/>
  <c r="H103" i="2"/>
  <c r="H102" i="2"/>
  <c r="H124" i="2" s="1"/>
  <c r="H90" i="2"/>
  <c r="I90" i="2" s="1"/>
  <c r="J90" i="2" s="1"/>
  <c r="H99" i="2"/>
  <c r="I99" i="2" s="1"/>
  <c r="J99" i="2" s="1"/>
  <c r="H93" i="2"/>
  <c r="I93" i="2" s="1"/>
  <c r="J93" i="2" s="1"/>
  <c r="H94" i="2"/>
  <c r="H95" i="2"/>
  <c r="H96" i="2"/>
  <c r="I96" i="2" s="1"/>
  <c r="J96" i="2" s="1"/>
  <c r="H97" i="2"/>
  <c r="I97" i="2" s="1"/>
  <c r="J97" i="2" s="1"/>
  <c r="H98" i="2"/>
  <c r="I98" i="2" s="1"/>
  <c r="J98" i="2" s="1"/>
  <c r="I95" i="2"/>
  <c r="J95" i="2" s="1"/>
  <c r="I94" i="2"/>
  <c r="J94" i="2" s="1"/>
  <c r="H92" i="2"/>
  <c r="I92" i="2" s="1"/>
  <c r="J92" i="2" s="1"/>
  <c r="H91" i="2"/>
  <c r="I91" i="2" s="1"/>
  <c r="J91" i="2" s="1"/>
  <c r="H89" i="2"/>
  <c r="I89" i="2" s="1"/>
  <c r="J89" i="2" s="1"/>
  <c r="H84" i="2"/>
  <c r="I84" i="2" s="1"/>
  <c r="J84" i="2" s="1"/>
  <c r="H82" i="2"/>
  <c r="I82" i="2" s="1"/>
  <c r="J82" i="2" s="1"/>
  <c r="H81" i="2"/>
  <c r="H80" i="2"/>
  <c r="H79" i="2"/>
  <c r="J115" i="2"/>
  <c r="J114" i="2"/>
  <c r="J113" i="2"/>
  <c r="I83" i="2"/>
  <c r="J83" i="2" s="1"/>
  <c r="I81" i="2"/>
  <c r="J81" i="2" s="1"/>
  <c r="I80" i="2"/>
  <c r="J80" i="2" s="1"/>
  <c r="AA117" i="2"/>
  <c r="AA108" i="2"/>
  <c r="AA100" i="2"/>
  <c r="AB117" i="2"/>
  <c r="AB108" i="2"/>
  <c r="AB100" i="2"/>
  <c r="AC117" i="2"/>
  <c r="AC108" i="2"/>
  <c r="AC100" i="2"/>
  <c r="AC119" i="2" s="1"/>
  <c r="N37" i="2"/>
  <c r="M37" i="2"/>
  <c r="L37" i="2"/>
  <c r="N14" i="2"/>
  <c r="M14" i="2"/>
  <c r="L14" i="2"/>
  <c r="K13" i="2"/>
  <c r="K33" i="2" s="1"/>
  <c r="K12" i="2"/>
  <c r="K32" i="2" s="1"/>
  <c r="K11" i="2"/>
  <c r="K37" i="2" s="1"/>
  <c r="AP40" i="2"/>
  <c r="AP38" i="2"/>
  <c r="I5" i="1"/>
  <c r="C125" i="2"/>
  <c r="D124" i="2"/>
  <c r="E124" i="2" s="1"/>
  <c r="D123" i="2"/>
  <c r="E123" i="2" s="1"/>
  <c r="J73" i="2"/>
  <c r="J74" i="2" s="1"/>
  <c r="I73" i="2"/>
  <c r="I74" i="2" s="1"/>
  <c r="H73" i="2"/>
  <c r="H74" i="2" s="1"/>
  <c r="G73" i="2"/>
  <c r="G74" i="2" s="1"/>
  <c r="F73" i="2"/>
  <c r="F74" i="2" s="1"/>
  <c r="F43" i="2"/>
  <c r="G43" i="2"/>
  <c r="H43" i="2"/>
  <c r="I43" i="2"/>
  <c r="J43" i="2"/>
  <c r="I6" i="1" s="1"/>
  <c r="J69" i="2"/>
  <c r="J71" i="2" s="1"/>
  <c r="G69" i="2"/>
  <c r="G71" i="2" s="1"/>
  <c r="G57" i="2"/>
  <c r="H69" i="2"/>
  <c r="H71" i="2" s="1"/>
  <c r="H57" i="2"/>
  <c r="I69" i="2"/>
  <c r="I71" i="2" s="1"/>
  <c r="I57" i="2"/>
  <c r="X37" i="2"/>
  <c r="Y37" i="2"/>
  <c r="Z37" i="2"/>
  <c r="Y33" i="2"/>
  <c r="Y32" i="2"/>
  <c r="Y31" i="2"/>
  <c r="X24" i="2"/>
  <c r="X14" i="2"/>
  <c r="Z33" i="2"/>
  <c r="Z32" i="2"/>
  <c r="Z31" i="2"/>
  <c r="Y24" i="2"/>
  <c r="Y14" i="2"/>
  <c r="Y20" i="2" s="1"/>
  <c r="AA33" i="2"/>
  <c r="AA32" i="2"/>
  <c r="AA31" i="2"/>
  <c r="Z24" i="2"/>
  <c r="Z14" i="2"/>
  <c r="Z20" i="2" s="1"/>
  <c r="F69" i="2"/>
  <c r="F71" i="2" s="1"/>
  <c r="F57" i="2"/>
  <c r="J57" i="2"/>
  <c r="V34" i="2"/>
  <c r="W34" i="2"/>
  <c r="T14" i="2"/>
  <c r="U34" i="2" s="1"/>
  <c r="AB33" i="2"/>
  <c r="AB32" i="2"/>
  <c r="AB31" i="2"/>
  <c r="AA24" i="2"/>
  <c r="AA14" i="2"/>
  <c r="AB24" i="2"/>
  <c r="AB37" i="2"/>
  <c r="AB14" i="2"/>
  <c r="AA37" i="2"/>
  <c r="AC22" i="2"/>
  <c r="AC21" i="2"/>
  <c r="AC19" i="2"/>
  <c r="AC18" i="2"/>
  <c r="AC13" i="2"/>
  <c r="AD13" i="2" s="1"/>
  <c r="AE13" i="2" s="1"/>
  <c r="AF13" i="2" s="1"/>
  <c r="AG13" i="2" s="1"/>
  <c r="AH13" i="2" s="1"/>
  <c r="AI13" i="2" s="1"/>
  <c r="AJ13" i="2" s="1"/>
  <c r="AK13" i="2" s="1"/>
  <c r="AL13" i="2" s="1"/>
  <c r="AM13" i="2" s="1"/>
  <c r="AC12" i="2"/>
  <c r="AC11" i="2"/>
  <c r="AD11" i="2" s="1"/>
  <c r="AE11" i="2" s="1"/>
  <c r="AF11" i="2" s="1"/>
  <c r="AG11" i="2" s="1"/>
  <c r="AH11" i="2" s="1"/>
  <c r="AI11" i="2" s="1"/>
  <c r="AJ11" i="2" s="1"/>
  <c r="AK11" i="2" s="1"/>
  <c r="AL11" i="2" s="1"/>
  <c r="AM11" i="2" s="1"/>
  <c r="G33" i="2"/>
  <c r="G32" i="2"/>
  <c r="G31" i="2"/>
  <c r="G37" i="2"/>
  <c r="C37" i="2"/>
  <c r="C24" i="2"/>
  <c r="C14" i="2"/>
  <c r="G24" i="2"/>
  <c r="G14" i="2"/>
  <c r="F37" i="2"/>
  <c r="D37" i="2"/>
  <c r="H37" i="2"/>
  <c r="H33" i="2"/>
  <c r="H32" i="2"/>
  <c r="H31" i="2"/>
  <c r="D24" i="2"/>
  <c r="D14" i="2"/>
  <c r="H24" i="2"/>
  <c r="H14" i="2"/>
  <c r="E24" i="2"/>
  <c r="E14" i="2"/>
  <c r="I24" i="2"/>
  <c r="I14" i="2"/>
  <c r="F2" i="2"/>
  <c r="J37" i="2"/>
  <c r="J33" i="2"/>
  <c r="J32" i="2"/>
  <c r="J31" i="2"/>
  <c r="F14" i="2"/>
  <c r="J14" i="2"/>
  <c r="F24" i="2"/>
  <c r="J24" i="2"/>
  <c r="E37" i="2"/>
  <c r="I37" i="2"/>
  <c r="I33" i="2"/>
  <c r="I32" i="2"/>
  <c r="I31" i="2"/>
  <c r="T3" i="2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AA119" i="2" l="1"/>
  <c r="H117" i="2"/>
  <c r="G123" i="2"/>
  <c r="G125" i="2" s="1"/>
  <c r="G119" i="2"/>
  <c r="G121" i="2" s="1"/>
  <c r="I103" i="2"/>
  <c r="J103" i="2" s="1"/>
  <c r="J108" i="2" s="1"/>
  <c r="I102" i="2"/>
  <c r="H108" i="2"/>
  <c r="I79" i="2"/>
  <c r="H100" i="2"/>
  <c r="I111" i="2"/>
  <c r="J111" i="2"/>
  <c r="J110" i="2"/>
  <c r="J117" i="2" s="1"/>
  <c r="I117" i="2"/>
  <c r="I108" i="2"/>
  <c r="AB119" i="2"/>
  <c r="I8" i="1"/>
  <c r="N20" i="2"/>
  <c r="N40" i="2"/>
  <c r="N39" i="2"/>
  <c r="M20" i="2"/>
  <c r="M40" i="2"/>
  <c r="M39" i="2"/>
  <c r="L20" i="2"/>
  <c r="L40" i="2"/>
  <c r="L39" i="2"/>
  <c r="C20" i="2"/>
  <c r="C39" i="2"/>
  <c r="C40" i="2"/>
  <c r="G40" i="2"/>
  <c r="G39" i="2"/>
  <c r="D39" i="2"/>
  <c r="D40" i="2"/>
  <c r="H40" i="2"/>
  <c r="H39" i="2"/>
  <c r="E40" i="2"/>
  <c r="E39" i="2"/>
  <c r="I40" i="2"/>
  <c r="I39" i="2"/>
  <c r="F40" i="2"/>
  <c r="F39" i="2"/>
  <c r="J40" i="2"/>
  <c r="J39" i="2"/>
  <c r="G16" i="2"/>
  <c r="G15" i="2"/>
  <c r="D20" i="2"/>
  <c r="D15" i="2"/>
  <c r="H16" i="2"/>
  <c r="H15" i="2"/>
  <c r="E20" i="2"/>
  <c r="E15" i="2"/>
  <c r="I20" i="2"/>
  <c r="I16" i="2"/>
  <c r="I15" i="2"/>
  <c r="F20" i="2"/>
  <c r="F15" i="2"/>
  <c r="J16" i="2"/>
  <c r="J15" i="2"/>
  <c r="K31" i="2"/>
  <c r="K14" i="2"/>
  <c r="F124" i="2"/>
  <c r="D125" i="2"/>
  <c r="F123" i="2"/>
  <c r="AC33" i="2"/>
  <c r="AC32" i="2"/>
  <c r="AD12" i="2"/>
  <c r="AD31" i="2"/>
  <c r="E125" i="2"/>
  <c r="J34" i="2"/>
  <c r="J20" i="2"/>
  <c r="AC24" i="2"/>
  <c r="X34" i="2"/>
  <c r="X20" i="2"/>
  <c r="Y38" i="2"/>
  <c r="Y23" i="2"/>
  <c r="Y28" i="2" s="1"/>
  <c r="Z23" i="2"/>
  <c r="Z28" i="2" s="1"/>
  <c r="Z38" i="2"/>
  <c r="AA20" i="2"/>
  <c r="AA34" i="2"/>
  <c r="AB20" i="2"/>
  <c r="AB34" i="2"/>
  <c r="AC37" i="2"/>
  <c r="AC31" i="2"/>
  <c r="AC14" i="2"/>
  <c r="G20" i="2"/>
  <c r="G34" i="2"/>
  <c r="H20" i="2"/>
  <c r="H34" i="2"/>
  <c r="Y34" i="2"/>
  <c r="Z34" i="2"/>
  <c r="I34" i="2"/>
  <c r="J102" i="2" l="1"/>
  <c r="J124" i="2" s="1"/>
  <c r="I124" i="2"/>
  <c r="H119" i="2"/>
  <c r="H121" i="2" s="1"/>
  <c r="H123" i="2"/>
  <c r="H125" i="2" s="1"/>
  <c r="J79" i="2"/>
  <c r="J100" i="2" s="1"/>
  <c r="I100" i="2"/>
  <c r="C23" i="2"/>
  <c r="C38" i="2"/>
  <c r="N38" i="2"/>
  <c r="N23" i="2"/>
  <c r="N25" i="2" s="1"/>
  <c r="N27" i="2" s="1"/>
  <c r="M38" i="2"/>
  <c r="M23" i="2"/>
  <c r="M25" i="2" s="1"/>
  <c r="M27" i="2" s="1"/>
  <c r="L38" i="2"/>
  <c r="L23" i="2"/>
  <c r="L25" i="2" s="1"/>
  <c r="L27" i="2" s="1"/>
  <c r="K40" i="2"/>
  <c r="K39" i="2"/>
  <c r="D23" i="2"/>
  <c r="D38" i="2"/>
  <c r="E23" i="2"/>
  <c r="E38" i="2"/>
  <c r="I23" i="2"/>
  <c r="I38" i="2"/>
  <c r="F23" i="2"/>
  <c r="F38" i="2"/>
  <c r="K34" i="2"/>
  <c r="K20" i="2"/>
  <c r="K16" i="2"/>
  <c r="K15" i="2"/>
  <c r="F125" i="2"/>
  <c r="AD33" i="2"/>
  <c r="AE12" i="2"/>
  <c r="AE14" i="2" s="1"/>
  <c r="AD14" i="2"/>
  <c r="AD32" i="2"/>
  <c r="AF31" i="2"/>
  <c r="AE31" i="2"/>
  <c r="AD24" i="2"/>
  <c r="AE24" i="2" s="1"/>
  <c r="AF24" i="2" s="1"/>
  <c r="AG24" i="2" s="1"/>
  <c r="J23" i="2"/>
  <c r="J38" i="2"/>
  <c r="AA23" i="2"/>
  <c r="AA28" i="2" s="1"/>
  <c r="AA38" i="2"/>
  <c r="AB38" i="2"/>
  <c r="AB23" i="2"/>
  <c r="AB28" i="2" s="1"/>
  <c r="X38" i="2"/>
  <c r="X23" i="2"/>
  <c r="Z25" i="2"/>
  <c r="Z27" i="2" s="1"/>
  <c r="Z41" i="2"/>
  <c r="AC34" i="2"/>
  <c r="AC20" i="2"/>
  <c r="G38" i="2"/>
  <c r="G23" i="2"/>
  <c r="H38" i="2"/>
  <c r="H23" i="2"/>
  <c r="Y41" i="2"/>
  <c r="Y25" i="2"/>
  <c r="Y27" i="2" s="1"/>
  <c r="J119" i="2" l="1"/>
  <c r="J121" i="2" s="1"/>
  <c r="J123" i="2"/>
  <c r="J125" i="2" s="1"/>
  <c r="I119" i="2"/>
  <c r="I121" i="2" s="1"/>
  <c r="I123" i="2"/>
  <c r="I125" i="2" s="1"/>
  <c r="C41" i="2"/>
  <c r="C25" i="2"/>
  <c r="C27" i="2" s="1"/>
  <c r="C78" i="2" s="1"/>
  <c r="K23" i="2"/>
  <c r="K25" i="2" s="1"/>
  <c r="K27" i="2" s="1"/>
  <c r="K38" i="2"/>
  <c r="D41" i="2"/>
  <c r="D25" i="2"/>
  <c r="D27" i="2" s="1"/>
  <c r="D78" i="2" s="1"/>
  <c r="E41" i="2"/>
  <c r="E25" i="2"/>
  <c r="E27" i="2" s="1"/>
  <c r="E78" i="2" s="1"/>
  <c r="I25" i="2"/>
  <c r="I27" i="2" s="1"/>
  <c r="I78" i="2" s="1"/>
  <c r="I41" i="2"/>
  <c r="F25" i="2"/>
  <c r="F27" i="2" s="1"/>
  <c r="F78" i="2" s="1"/>
  <c r="F41" i="2"/>
  <c r="AE33" i="2"/>
  <c r="AE32" i="2"/>
  <c r="AF12" i="2"/>
  <c r="AD21" i="2"/>
  <c r="AE21" i="2" s="1"/>
  <c r="AD18" i="2"/>
  <c r="AD22" i="2"/>
  <c r="AE22" i="2" s="1"/>
  <c r="AD34" i="2"/>
  <c r="AD19" i="2"/>
  <c r="AE19" i="2" s="1"/>
  <c r="AE34" i="2"/>
  <c r="AH24" i="2"/>
  <c r="J41" i="2"/>
  <c r="J25" i="2"/>
  <c r="J27" i="2" s="1"/>
  <c r="J78" i="2" s="1"/>
  <c r="AA25" i="2"/>
  <c r="AA27" i="2" s="1"/>
  <c r="AA78" i="2" s="1"/>
  <c r="AA41" i="2"/>
  <c r="AB25" i="2"/>
  <c r="AB27" i="2" s="1"/>
  <c r="AB78" i="2" s="1"/>
  <c r="AB41" i="2"/>
  <c r="H41" i="2"/>
  <c r="H25" i="2"/>
  <c r="H27" i="2" s="1"/>
  <c r="H78" i="2" s="1"/>
  <c r="X41" i="2"/>
  <c r="X25" i="2"/>
  <c r="X27" i="2" s="1"/>
  <c r="AC38" i="2"/>
  <c r="AC23" i="2"/>
  <c r="AC28" i="2" s="1"/>
  <c r="G25" i="2"/>
  <c r="G27" i="2" s="1"/>
  <c r="G78" i="2" s="1"/>
  <c r="G41" i="2"/>
  <c r="AF14" i="2" l="1"/>
  <c r="AF21" i="2" s="1"/>
  <c r="AF33" i="2"/>
  <c r="AG12" i="2"/>
  <c r="AF32" i="2"/>
  <c r="AG31" i="2"/>
  <c r="AD20" i="2"/>
  <c r="AD23" i="2" s="1"/>
  <c r="AD25" i="2" s="1"/>
  <c r="AE18" i="2"/>
  <c r="AI24" i="2"/>
  <c r="AC25" i="2"/>
  <c r="AC27" i="2" s="1"/>
  <c r="AC78" i="2" s="1"/>
  <c r="AC41" i="2"/>
  <c r="AF22" i="2" l="1"/>
  <c r="AF34" i="2"/>
  <c r="AF19" i="2"/>
  <c r="AG14" i="2"/>
  <c r="AG33" i="2"/>
  <c r="AG32" i="2"/>
  <c r="AH12" i="2"/>
  <c r="AH14" i="2" s="1"/>
  <c r="AH31" i="2"/>
  <c r="AE20" i="2"/>
  <c r="AE23" i="2" s="1"/>
  <c r="AE25" i="2" s="1"/>
  <c r="AF18" i="2"/>
  <c r="AD26" i="2"/>
  <c r="AD27" i="2" s="1"/>
  <c r="AJ24" i="2"/>
  <c r="AG34" i="2" l="1"/>
  <c r="AG21" i="2"/>
  <c r="AH21" i="2" s="1"/>
  <c r="AG22" i="2"/>
  <c r="AH22" i="2" s="1"/>
  <c r="AG19" i="2"/>
  <c r="AH19" i="2" s="1"/>
  <c r="AH33" i="2"/>
  <c r="AI12" i="2"/>
  <c r="AH32" i="2"/>
  <c r="AI31" i="2"/>
  <c r="AH34" i="2"/>
  <c r="AF20" i="2"/>
  <c r="AF23" i="2" s="1"/>
  <c r="AF25" i="2" s="1"/>
  <c r="AG18" i="2"/>
  <c r="AE26" i="2"/>
  <c r="AE27" i="2" s="1"/>
  <c r="AK24" i="2"/>
  <c r="AF26" i="2" l="1"/>
  <c r="AF27" i="2" s="1"/>
  <c r="AI33" i="2"/>
  <c r="AJ12" i="2"/>
  <c r="AJ14" i="2" s="1"/>
  <c r="AI14" i="2"/>
  <c r="AI32" i="2"/>
  <c r="AJ31" i="2"/>
  <c r="AH18" i="2"/>
  <c r="AG20" i="2"/>
  <c r="AG23" i="2" s="1"/>
  <c r="AG25" i="2" s="1"/>
  <c r="AL24" i="2"/>
  <c r="AG26" i="2" l="1"/>
  <c r="AG27" i="2" s="1"/>
  <c r="AJ33" i="2"/>
  <c r="AK12" i="2"/>
  <c r="AK14" i="2" s="1"/>
  <c r="AJ32" i="2"/>
  <c r="AK31" i="2"/>
  <c r="AI19" i="2"/>
  <c r="AJ19" i="2" s="1"/>
  <c r="AI22" i="2"/>
  <c r="AJ22" i="2" s="1"/>
  <c r="AI21" i="2"/>
  <c r="AJ21" i="2" s="1"/>
  <c r="AI34" i="2"/>
  <c r="AJ34" i="2"/>
  <c r="AI18" i="2"/>
  <c r="AH20" i="2"/>
  <c r="AH23" i="2" s="1"/>
  <c r="AH25" i="2" s="1"/>
  <c r="AM24" i="2"/>
  <c r="AM31" i="2"/>
  <c r="AK22" i="2" l="1"/>
  <c r="AL12" i="2"/>
  <c r="AL14" i="2" s="1"/>
  <c r="AL34" i="2" s="1"/>
  <c r="AK32" i="2"/>
  <c r="AH26" i="2"/>
  <c r="AH27" i="2" s="1"/>
  <c r="AK19" i="2"/>
  <c r="AK33" i="2"/>
  <c r="AK21" i="2"/>
  <c r="AL31" i="2"/>
  <c r="AK34" i="2"/>
  <c r="AJ18" i="2"/>
  <c r="AI20" i="2"/>
  <c r="AI23" i="2" s="1"/>
  <c r="AI25" i="2" s="1"/>
  <c r="AM33" i="2"/>
  <c r="AL32" i="2" l="1"/>
  <c r="AM12" i="2"/>
  <c r="AI26" i="2"/>
  <c r="AI27" i="2" s="1"/>
  <c r="AL33" i="2"/>
  <c r="AL21" i="2"/>
  <c r="AL22" i="2"/>
  <c r="AL19" i="2"/>
  <c r="AK18" i="2"/>
  <c r="AJ20" i="2"/>
  <c r="AJ23" i="2" s="1"/>
  <c r="AJ25" i="2" s="1"/>
  <c r="AM32" i="2" l="1"/>
  <c r="AM14" i="2"/>
  <c r="AJ26" i="2"/>
  <c r="AJ27" i="2" s="1"/>
  <c r="AL18" i="2"/>
  <c r="AK20" i="2"/>
  <c r="AK23" i="2" s="1"/>
  <c r="AK25" i="2" s="1"/>
  <c r="AK26" i="2" l="1"/>
  <c r="AK27" i="2" s="1"/>
  <c r="AM19" i="2"/>
  <c r="AM22" i="2"/>
  <c r="AM34" i="2"/>
  <c r="AM21" i="2"/>
  <c r="AM18" i="2"/>
  <c r="AL20" i="2"/>
  <c r="AL23" i="2" s="1"/>
  <c r="AL25" i="2" s="1"/>
  <c r="AM20" i="2" l="1"/>
  <c r="AM23" i="2" s="1"/>
  <c r="AM25" i="2" s="1"/>
  <c r="AL26" i="2"/>
  <c r="AM26" i="2" l="1"/>
  <c r="AM27" i="2" s="1"/>
  <c r="AN27" i="2" s="1"/>
  <c r="AO27" i="2" s="1"/>
  <c r="AL27" i="2"/>
  <c r="AP27" i="2" l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l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l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EN27" i="2" s="1"/>
  <c r="EO27" i="2" s="1"/>
  <c r="EP27" i="2" s="1"/>
  <c r="EQ27" i="2" s="1"/>
  <c r="ER27" i="2" s="1"/>
  <c r="ES27" i="2" s="1"/>
  <c r="ET27" i="2" s="1"/>
  <c r="EU27" i="2" s="1"/>
  <c r="EV27" i="2" s="1"/>
  <c r="EW27" i="2" s="1"/>
  <c r="EX27" i="2" s="1"/>
  <c r="EY27" i="2" s="1"/>
  <c r="EZ27" i="2" s="1"/>
  <c r="FA27" i="2" s="1"/>
  <c r="FB27" i="2" s="1"/>
  <c r="FC27" i="2" s="1"/>
  <c r="FD27" i="2" s="1"/>
  <c r="FE27" i="2" s="1"/>
  <c r="FF27" i="2" s="1"/>
  <c r="FG27" i="2" s="1"/>
  <c r="FH27" i="2" s="1"/>
  <c r="FI27" i="2" s="1"/>
  <c r="FJ27" i="2" s="1"/>
  <c r="FK27" i="2" s="1"/>
  <c r="FL27" i="2" s="1"/>
  <c r="FM27" i="2" s="1"/>
  <c r="FN27" i="2" s="1"/>
  <c r="FO27" i="2" s="1"/>
  <c r="FP27" i="2" s="1"/>
  <c r="FQ27" i="2" s="1"/>
  <c r="FR27" i="2" s="1"/>
  <c r="FS27" i="2" s="1"/>
  <c r="FT27" i="2" s="1"/>
  <c r="FU27" i="2" s="1"/>
  <c r="FV27" i="2" s="1"/>
  <c r="FW27" i="2" s="1"/>
  <c r="FX27" i="2" s="1"/>
  <c r="FY27" i="2" s="1"/>
  <c r="FZ27" i="2" s="1"/>
  <c r="GA27" i="2" s="1"/>
  <c r="GB27" i="2" s="1"/>
  <c r="GC27" i="2" s="1"/>
  <c r="GD27" i="2" s="1"/>
  <c r="GE27" i="2" s="1"/>
  <c r="GF27" i="2" s="1"/>
  <c r="GG27" i="2" s="1"/>
  <c r="GH27" i="2" s="1"/>
  <c r="GI27" i="2" s="1"/>
  <c r="GJ27" i="2" s="1"/>
  <c r="GK27" i="2" s="1"/>
  <c r="GL27" i="2" s="1"/>
  <c r="GM27" i="2" s="1"/>
  <c r="GN27" i="2" s="1"/>
  <c r="GO27" i="2" s="1"/>
  <c r="GP27" i="2" s="1"/>
  <c r="GQ27" i="2" s="1"/>
  <c r="GR27" i="2" s="1"/>
  <c r="GS27" i="2" s="1"/>
  <c r="GT27" i="2" s="1"/>
  <c r="GU27" i="2" s="1"/>
  <c r="GV27" i="2" s="1"/>
  <c r="GW27" i="2" s="1"/>
  <c r="GX27" i="2" s="1"/>
  <c r="GY27" i="2" s="1"/>
  <c r="GZ27" i="2" s="1"/>
  <c r="HA27" i="2" s="1"/>
  <c r="HB27" i="2" s="1"/>
  <c r="HC27" i="2" s="1"/>
  <c r="HD27" i="2" s="1"/>
  <c r="HE27" i="2" s="1"/>
  <c r="HF27" i="2" s="1"/>
  <c r="HG27" i="2" s="1"/>
  <c r="HH27" i="2" s="1"/>
  <c r="HI27" i="2" s="1"/>
  <c r="HJ27" i="2" s="1"/>
  <c r="HK27" i="2" s="1"/>
  <c r="HL27" i="2" s="1"/>
  <c r="HM27" i="2" s="1"/>
  <c r="HN27" i="2" s="1"/>
  <c r="HO27" i="2" s="1"/>
  <c r="HP27" i="2" s="1"/>
  <c r="HQ27" i="2" s="1"/>
  <c r="HR27" i="2" s="1"/>
  <c r="HS27" i="2" s="1"/>
  <c r="HT27" i="2" s="1"/>
  <c r="HU27" i="2" l="1"/>
  <c r="HV27" i="2" s="1"/>
  <c r="HW27" i="2" s="1"/>
  <c r="HX27" i="2" s="1"/>
  <c r="HY27" i="2" s="1"/>
  <c r="HZ27" i="2" s="1"/>
  <c r="IA27" i="2" s="1"/>
  <c r="IB27" i="2" s="1"/>
  <c r="IC27" i="2" s="1"/>
  <c r="ID27" i="2" l="1"/>
  <c r="IE27" i="2" l="1"/>
  <c r="AP37" i="2" s="1"/>
  <c r="AP39" i="2" s="1"/>
  <c r="AP4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B11" authorId="0" shapeId="0" xr:uid="{3972D098-D212-1F49-8DBA-3DD3863ADFE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memory</t>
        </r>
      </text>
    </comment>
    <comment ref="K11" authorId="0" shapeId="0" xr:uid="{90087E09-898E-7C4F-83C2-49EAF9A7A26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q126 guidance.. implies fy26 will be a material slowdown y/y</t>
        </r>
      </text>
    </comment>
    <comment ref="B12" authorId="0" shapeId="0" xr:uid="{E78F11F1-C2C8-3848-BE50-D8C3159573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patent and tech license royalties</t>
        </r>
      </text>
    </comment>
    <comment ref="B13" authorId="0" shapeId="0" xr:uid="{8333F53C-5FDA-E34E-9E9D-81217E0F4ACC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tech dev projects</t>
        </r>
      </text>
    </comment>
    <comment ref="H31" authorId="0" shapeId="0" xr:uid="{FFE4C799-93D3-E240-8419-2CCE8431E482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primarily due to higher sales of our memory interface chips.</t>
        </r>
      </text>
    </comment>
    <comment ref="I31" authorId="0" shapeId="0" xr:uid="{6D5EA11C-09CA-754D-A4FE-5C75F1E9E56D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 xml:space="preserve">higher sales of our memory interface chips
</t>
        </r>
      </text>
    </comment>
    <comment ref="J31" authorId="0" shapeId="0" xr:uid="{DB9100FF-567D-DC40-8241-69812A757D3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higher sales of memory interface chips, as well as contributions from new products.</t>
        </r>
      </text>
    </comment>
    <comment ref="H32" authorId="0" shapeId="0" xr:uid="{08FEDC6B-4B99-F942-B3A2-0C91959304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timing and structure of license agreements and renewals</t>
        </r>
      </text>
    </comment>
  </commentList>
</comments>
</file>

<file path=xl/sharedStrings.xml><?xml version="1.0" encoding="utf-8"?>
<sst xmlns="http://schemas.openxmlformats.org/spreadsheetml/2006/main" count="280" uniqueCount="257">
  <si>
    <t>P</t>
  </si>
  <si>
    <t>S</t>
  </si>
  <si>
    <t>MC</t>
  </si>
  <si>
    <t>C</t>
  </si>
  <si>
    <t>D</t>
  </si>
  <si>
    <t>EV</t>
  </si>
  <si>
    <t>HQ: San Jose, CA</t>
  </si>
  <si>
    <t>Q124</t>
  </si>
  <si>
    <t>Q224</t>
  </si>
  <si>
    <t>Q324</t>
  </si>
  <si>
    <t>Q424</t>
  </si>
  <si>
    <t>Q125</t>
  </si>
  <si>
    <t>Q225</t>
  </si>
  <si>
    <t>Q325</t>
  </si>
  <si>
    <t>Q425</t>
  </si>
  <si>
    <t xml:space="preserve">Product </t>
  </si>
  <si>
    <t>Royalties</t>
  </si>
  <si>
    <t>Contract &amp; Other</t>
  </si>
  <si>
    <t xml:space="preserve">Total Revenue </t>
  </si>
  <si>
    <t>Product C</t>
  </si>
  <si>
    <t>Contract &amp; Other C</t>
  </si>
  <si>
    <t xml:space="preserve">Gross Profit </t>
  </si>
  <si>
    <t>R&amp;D</t>
  </si>
  <si>
    <t>SG&amp;A</t>
  </si>
  <si>
    <t>Operating Income</t>
  </si>
  <si>
    <t>Net Interest &amp; Other Income</t>
  </si>
  <si>
    <t>EBT</t>
  </si>
  <si>
    <t>Taxes</t>
  </si>
  <si>
    <t xml:space="preserve">Net Income </t>
  </si>
  <si>
    <t>Growth YY</t>
  </si>
  <si>
    <t>PM</t>
  </si>
  <si>
    <t>GM</t>
  </si>
  <si>
    <t>OM</t>
  </si>
  <si>
    <t>$K</t>
  </si>
  <si>
    <t xml:space="preserve">Gen AI Systems </t>
  </si>
  <si>
    <t>compute = workers</t>
  </si>
  <si>
    <t>memory = conveyor belts</t>
  </si>
  <si>
    <t>power &amp; signal integrity = electricity &amp; timing</t>
  </si>
  <si>
    <t xml:space="preserve">security = locks on inventory </t>
  </si>
  <si>
    <t>Eye Pattern &amp; Oscilloscope</t>
  </si>
  <si>
    <t>Setup and Hold Time Explained</t>
  </si>
  <si>
    <t xml:space="preserve">Double date rate </t>
  </si>
  <si>
    <t>What is a eye diagram</t>
  </si>
  <si>
    <t xml:space="preserve">Cash </t>
  </si>
  <si>
    <t xml:space="preserve">Securities </t>
  </si>
  <si>
    <t>A/R</t>
  </si>
  <si>
    <t>Unbilled recievables</t>
  </si>
  <si>
    <t>Inventories</t>
  </si>
  <si>
    <t>Prepaids &amp; OCA</t>
  </si>
  <si>
    <t>Intangibles</t>
  </si>
  <si>
    <t>Goodwill</t>
  </si>
  <si>
    <t>PPE</t>
  </si>
  <si>
    <t>Op Lease</t>
  </si>
  <si>
    <t>Deferred Tx Assets</t>
  </si>
  <si>
    <t>Income Tx Rec</t>
  </si>
  <si>
    <t>OA</t>
  </si>
  <si>
    <t xml:space="preserve">Total Assets </t>
  </si>
  <si>
    <t>E</t>
  </si>
  <si>
    <t>TL + E</t>
  </si>
  <si>
    <t>TL</t>
  </si>
  <si>
    <t>Acreud Sal &amp; Ben</t>
  </si>
  <si>
    <t>Deferred Rev</t>
  </si>
  <si>
    <t>Income Tx Payable</t>
  </si>
  <si>
    <t>Op Lease Liab</t>
  </si>
  <si>
    <t>OCL</t>
  </si>
  <si>
    <t>LT Op Lease</t>
  </si>
  <si>
    <t>LT Income tx Payable</t>
  </si>
  <si>
    <t>OLTL</t>
  </si>
  <si>
    <t>A/P</t>
  </si>
  <si>
    <t xml:space="preserve">LT  EDA tools </t>
  </si>
  <si>
    <t>Book Value</t>
  </si>
  <si>
    <t xml:space="preserve">Tangible Book </t>
  </si>
  <si>
    <t>ROTB</t>
  </si>
  <si>
    <t xml:space="preserve">CFFO </t>
  </si>
  <si>
    <t>Capex</t>
  </si>
  <si>
    <t>FCF</t>
  </si>
  <si>
    <t>CFO</t>
  </si>
  <si>
    <t xml:space="preserve">Desmond Lynch </t>
  </si>
  <si>
    <t>CFO Email</t>
  </si>
  <si>
    <t>dlynch@rambus.com</t>
  </si>
  <si>
    <t>Customer A</t>
  </si>
  <si>
    <t>Customer B</t>
  </si>
  <si>
    <t>Customer C</t>
  </si>
  <si>
    <t>Customer D</t>
  </si>
  <si>
    <t>IPO:  1997</t>
  </si>
  <si>
    <t>discount</t>
  </si>
  <si>
    <t xml:space="preserve">terminal </t>
  </si>
  <si>
    <t>npv</t>
  </si>
  <si>
    <t>shares</t>
  </si>
  <si>
    <t xml:space="preserve">Estimate </t>
  </si>
  <si>
    <t>current</t>
  </si>
  <si>
    <t>upside</t>
  </si>
  <si>
    <t xml:space="preserve">Resources to understand memory </t>
  </si>
  <si>
    <t>press releases</t>
  </si>
  <si>
    <t xml:space="preserve">contains </t>
  </si>
  <si>
    <t>fy25 earnings release</t>
  </si>
  <si>
    <t xml:space="preserve">q325 earnings </t>
  </si>
  <si>
    <t>q225</t>
  </si>
  <si>
    <t>QoQ Chg</t>
  </si>
  <si>
    <t>YoY Chg</t>
  </si>
  <si>
    <t>Q126E</t>
  </si>
  <si>
    <t>Q226E</t>
  </si>
  <si>
    <t>Q326E</t>
  </si>
  <si>
    <t>Q426E</t>
  </si>
  <si>
    <t>Margins</t>
  </si>
  <si>
    <t>Revenue Concentration</t>
  </si>
  <si>
    <t xml:space="preserve">Flow in AI Servers </t>
  </si>
  <si>
    <t xml:space="preserve">Wall Power --&gt; Power Mgmt (MPWR) --&gt; CPU/GPU (Intel, NDA, AMD) --&gt; Memory (HBM/DDR5) --&gt; Storage </t>
  </si>
  <si>
    <t>What Problem does RMBS solve?</t>
  </si>
  <si>
    <t>GPUs get faster</t>
  </si>
  <si>
    <t>Compute parallelism increases</t>
  </si>
  <si>
    <t xml:space="preserve">But memory cannot feed data fast enough </t>
  </si>
  <si>
    <t xml:space="preserve">Signal integrity breaks at extreme speeds </t>
  </si>
  <si>
    <t xml:space="preserve">Power/thermal margins shrink </t>
  </si>
  <si>
    <t xml:space="preserve">Result: system becomes memory bound </t>
  </si>
  <si>
    <t>Rambus specializes in:</t>
  </si>
  <si>
    <t xml:space="preserve">Moving data faster between processor and memory </t>
  </si>
  <si>
    <t>Maintaining signal integrity at extreme speeds</t>
  </si>
  <si>
    <t xml:space="preserve">Improving reliability and power efficiency </t>
  </si>
  <si>
    <t xml:space="preserve">Securing data in motion </t>
  </si>
  <si>
    <t>DDR5</t>
  </si>
  <si>
    <t>HBM</t>
  </si>
  <si>
    <t>RAM</t>
  </si>
  <si>
    <t>Term</t>
  </si>
  <si>
    <t>What it is</t>
  </si>
  <si>
    <t>Use</t>
  </si>
  <si>
    <t>LPDDR5</t>
  </si>
  <si>
    <t>SSD</t>
  </si>
  <si>
    <t>HDD</t>
  </si>
  <si>
    <t xml:space="preserve">USB Flash </t>
  </si>
  <si>
    <t xml:space="preserve">Working memory </t>
  </si>
  <si>
    <t>Type of RAM</t>
  </si>
  <si>
    <t>Low power DDR5</t>
  </si>
  <si>
    <t>Stacked ultra-fast RAM</t>
  </si>
  <si>
    <t xml:space="preserve">Storage </t>
  </si>
  <si>
    <t>Feeds CPU/GPU</t>
  </si>
  <si>
    <t>Servers &amp; PCs</t>
  </si>
  <si>
    <t>Phones/Laptops</t>
  </si>
  <si>
    <t>AI GPUs</t>
  </si>
  <si>
    <t xml:space="preserve">Holds files </t>
  </si>
  <si>
    <t>DDR1</t>
  </si>
  <si>
    <t>DDR2</t>
  </si>
  <si>
    <t>DDR3</t>
  </si>
  <si>
    <t>DDR4</t>
  </si>
  <si>
    <t>DDR6</t>
  </si>
  <si>
    <t xml:space="preserve">Memory Name </t>
  </si>
  <si>
    <t xml:space="preserve">Full Name </t>
  </si>
  <si>
    <t>Double Date Rate 1</t>
  </si>
  <si>
    <t>Double Date Rate 2</t>
  </si>
  <si>
    <t>Double Date Rate 4</t>
  </si>
  <si>
    <t>Double Date Rate 3</t>
  </si>
  <si>
    <t>Double Date Rate 5</t>
  </si>
  <si>
    <t>Double Date Rate 6</t>
  </si>
  <si>
    <t>Inro Era</t>
  </si>
  <si>
    <t>200-400 MT/s</t>
  </si>
  <si>
    <t>400-800 MT/s</t>
  </si>
  <si>
    <t>800-2133 MT/s</t>
  </si>
  <si>
    <t>1600-3200 MT/s</t>
  </si>
  <si>
    <t>4800-8400 MT/s</t>
  </si>
  <si>
    <t>2026+ (Expected)</t>
  </si>
  <si>
    <t>Highee than DDR5</t>
  </si>
  <si>
    <t xml:space="preserve">Typical Speed Range </t>
  </si>
  <si>
    <t>Primary Use Case</t>
  </si>
  <si>
    <t>Early PCs</t>
  </si>
  <si>
    <t>PCs, early servers</t>
  </si>
  <si>
    <t>PCs, Servers</t>
  </si>
  <si>
    <t>Modern servers, AI servers (non-HBM), PCS</t>
  </si>
  <si>
    <t>Nexr gens servers</t>
  </si>
  <si>
    <t xml:space="preserve">Still Relevant </t>
  </si>
  <si>
    <t>no</t>
  </si>
  <si>
    <t xml:space="preserve">legacy </t>
  </si>
  <si>
    <t>phasing out</t>
  </si>
  <si>
    <t>yea</t>
  </si>
  <si>
    <t xml:space="preserve">coming </t>
  </si>
  <si>
    <t>Memory Type</t>
  </si>
  <si>
    <t>HBM2</t>
  </si>
  <si>
    <t>HBM2e</t>
  </si>
  <si>
    <t>HBM3</t>
  </si>
  <si>
    <t>HBM3e</t>
  </si>
  <si>
    <t>HBM4</t>
  </si>
  <si>
    <t>2026 (ramping)</t>
  </si>
  <si>
    <t xml:space="preserve">Bandwidth Per Stack </t>
  </si>
  <si>
    <t>256 GB/s</t>
  </si>
  <si>
    <t>128 GB/s</t>
  </si>
  <si>
    <t>400 GB/s</t>
  </si>
  <si>
    <t>800 GB/s</t>
  </si>
  <si>
    <t>1 TB/s</t>
  </si>
  <si>
    <t>1.5-5 TB/s</t>
  </si>
  <si>
    <t>Intro Era</t>
  </si>
  <si>
    <t>HPC GPUs</t>
  </si>
  <si>
    <t xml:space="preserve">HPC GPUs, Early AI </t>
  </si>
  <si>
    <t>AI trainng GPUs</t>
  </si>
  <si>
    <t xml:space="preserve">Frontier AI Models </t>
  </si>
  <si>
    <t>Next gen AI clusters</t>
  </si>
  <si>
    <t xml:space="preserve">AI Relevant </t>
  </si>
  <si>
    <t>limited</t>
  </si>
  <si>
    <t xml:space="preserve">moderate </t>
  </si>
  <si>
    <t xml:space="preserve">growiing </t>
  </si>
  <si>
    <t xml:space="preserve">major </t>
  </si>
  <si>
    <t>massive</t>
  </si>
  <si>
    <t xml:space="preserve">critical </t>
  </si>
  <si>
    <t xml:space="preserve">Category </t>
  </si>
  <si>
    <t>DDR</t>
  </si>
  <si>
    <t xml:space="preserve">Physical Form </t>
  </si>
  <si>
    <t xml:space="preserve">Placement </t>
  </si>
  <si>
    <t xml:space="preserve">Bus Width </t>
  </si>
  <si>
    <t xml:space="preserve">Cost </t>
  </si>
  <si>
    <t xml:space="preserve">Bandwidth </t>
  </si>
  <si>
    <t>Main Driver</t>
  </si>
  <si>
    <t xml:space="preserve">Motherboard </t>
  </si>
  <si>
    <t>DIMM Module</t>
  </si>
  <si>
    <t>Narrow</t>
  </si>
  <si>
    <t>Lower</t>
  </si>
  <si>
    <t xml:space="preserve">Moderate </t>
  </si>
  <si>
    <t xml:space="preserve">Enterprise refresh </t>
  </si>
  <si>
    <t xml:space="preserve">3D stacked die </t>
  </si>
  <si>
    <t>on GPU/interposer</t>
  </si>
  <si>
    <t xml:space="preserve">extremely wide </t>
  </si>
  <si>
    <t xml:space="preserve">very high </t>
  </si>
  <si>
    <t xml:space="preserve">extremely high </t>
  </si>
  <si>
    <t xml:space="preserve">AI scaling </t>
  </si>
  <si>
    <t>Model Net Income</t>
  </si>
  <si>
    <t>SBC</t>
  </si>
  <si>
    <t>Depreciation</t>
  </si>
  <si>
    <t>Amortization of intangibles</t>
  </si>
  <si>
    <t>Loss on FV derivatives</t>
  </si>
  <si>
    <t>Deferred i/t</t>
  </si>
  <si>
    <t>Gain on divestiture</t>
  </si>
  <si>
    <t>Gain on non-mark eq security</t>
  </si>
  <si>
    <t>Impairment of assets</t>
  </si>
  <si>
    <t>Change in FV of earn out liability</t>
  </si>
  <si>
    <t>Other</t>
  </si>
  <si>
    <t>Unbilled receivables</t>
  </si>
  <si>
    <t>Prepaid expenses &amp; other</t>
  </si>
  <si>
    <t xml:space="preserve">Income Tx recievable </t>
  </si>
  <si>
    <t>Accrued salaries and benefits/other</t>
  </si>
  <si>
    <t>Income taxes payable</t>
  </si>
  <si>
    <t>Deferred revenue</t>
  </si>
  <si>
    <t xml:space="preserve">Op lease liability </t>
  </si>
  <si>
    <t xml:space="preserve">Purchases of marketable securities </t>
  </si>
  <si>
    <t xml:space="preserve">Maturities of marketable securities </t>
  </si>
  <si>
    <t xml:space="preserve">Proceeds from sales of marketable securities </t>
  </si>
  <si>
    <t>Proceeds from sale of non-marketable equity securities</t>
  </si>
  <si>
    <t>Proceeds from divestiture</t>
  </si>
  <si>
    <t xml:space="preserve">CFFI </t>
  </si>
  <si>
    <t>Proceeds received from issuance of common stock; ESP</t>
  </si>
  <si>
    <t>Payments of taxes related to net share settlement of EQ awards</t>
  </si>
  <si>
    <t>Payments under installment payment arrangements</t>
  </si>
  <si>
    <t>Payments for settlement and repurchase of convertible senior notes</t>
  </si>
  <si>
    <t>Payments for settlement of warrants</t>
  </si>
  <si>
    <t>Payments of deferred purchase consideration from acquisition</t>
  </si>
  <si>
    <t>Repurchase  and retirmeent of common</t>
  </si>
  <si>
    <t>CFFF</t>
  </si>
  <si>
    <t>FX Effects</t>
  </si>
  <si>
    <t>Net Cash Increase</t>
  </si>
  <si>
    <t xml:space="preserve">Beginning Cash </t>
  </si>
  <si>
    <t xml:space="preserve">Ending Cash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</si>
</sst>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0&quot;E&quot;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rgb="FF0432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6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4" fillId="0" borderId="0" xfId="1" applyNumberFormat="1"/>
    <xf numFmtId="14" fontId="4" fillId="0" borderId="0" xfId="1" applyNumberFormat="1"/>
    <xf numFmtId="164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left"/>
    </xf>
    <xf numFmtId="164" fontId="8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right"/>
    </xf>
    <xf numFmtId="9" fontId="7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right"/>
    </xf>
    <xf numFmtId="3" fontId="9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3" fontId="7" fillId="0" borderId="0" xfId="0" applyNumberFormat="1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3" fontId="9" fillId="0" borderId="0" xfId="0" applyNumberFormat="1" applyFont="1" applyBorder="1" applyAlignment="1">
      <alignment horizontal="left"/>
    </xf>
    <xf numFmtId="3" fontId="9" fillId="0" borderId="0" xfId="0" applyNumberFormat="1" applyFont="1" applyBorder="1" applyAlignment="1">
      <alignment horizontal="right"/>
    </xf>
    <xf numFmtId="3" fontId="9" fillId="0" borderId="0" xfId="0" applyNumberFormat="1" applyFont="1" applyAlignment="1">
      <alignment horizontal="left"/>
    </xf>
    <xf numFmtId="165" fontId="8" fillId="2" borderId="0" xfId="0" applyNumberFormat="1" applyFont="1" applyFill="1" applyAlignment="1">
      <alignment horizontal="right"/>
    </xf>
    <xf numFmtId="3" fontId="10" fillId="0" borderId="0" xfId="0" applyNumberFormat="1" applyFont="1" applyBorder="1" applyAlignment="1">
      <alignment horizontal="right"/>
    </xf>
    <xf numFmtId="9" fontId="10" fillId="0" borderId="0" xfId="0" applyNumberFormat="1" applyFont="1" applyBorder="1" applyAlignment="1">
      <alignment horizontal="right"/>
    </xf>
    <xf numFmtId="3" fontId="11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 indent="1"/>
    </xf>
    <xf numFmtId="3" fontId="6" fillId="0" borderId="0" xfId="0" applyNumberFormat="1" applyFont="1" applyAlignment="1">
      <alignment horizontal="left" indent="1"/>
    </xf>
    <xf numFmtId="3" fontId="0" fillId="0" borderId="0" xfId="0" applyNumberFormat="1" applyBorder="1"/>
    <xf numFmtId="3" fontId="0" fillId="0" borderId="5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1" xfId="0" applyNumberFormat="1" applyBorder="1"/>
    <xf numFmtId="3" fontId="0" fillId="0" borderId="10" xfId="0" applyNumberFormat="1" applyBorder="1"/>
    <xf numFmtId="3" fontId="6" fillId="0" borderId="4" xfId="0" applyNumberFormat="1" applyFont="1" applyBorder="1"/>
    <xf numFmtId="3" fontId="1" fillId="0" borderId="6" xfId="0" applyNumberFormat="1" applyFont="1" applyBorder="1"/>
    <xf numFmtId="3" fontId="1" fillId="0" borderId="9" xfId="0" applyNumberFormat="1" applyFont="1" applyBorder="1"/>
    <xf numFmtId="3" fontId="1" fillId="0" borderId="1" xfId="0" applyNumberFormat="1" applyFont="1" applyBorder="1"/>
    <xf numFmtId="3" fontId="1" fillId="0" borderId="10" xfId="0" applyNumberFormat="1" applyFont="1" applyBorder="1"/>
    <xf numFmtId="3" fontId="0" fillId="0" borderId="0" xfId="0" applyNumberFormat="1" applyFont="1" applyBorder="1"/>
    <xf numFmtId="3" fontId="6" fillId="0" borderId="6" xfId="0" applyNumberFormat="1" applyFont="1" applyBorder="1"/>
    <xf numFmtId="1" fontId="0" fillId="0" borderId="0" xfId="0" applyNumberFormat="1" applyBorder="1" applyAlignment="1">
      <alignment horizontal="left"/>
    </xf>
    <xf numFmtId="3" fontId="0" fillId="0" borderId="7" xfId="0" applyNumberFormat="1" applyBorder="1" applyAlignment="1">
      <alignment horizontal="left"/>
    </xf>
    <xf numFmtId="3" fontId="7" fillId="0" borderId="2" xfId="0" applyNumberFormat="1" applyFont="1" applyBorder="1" applyAlignment="1">
      <alignment horizontal="right"/>
    </xf>
    <xf numFmtId="9" fontId="7" fillId="0" borderId="3" xfId="0" applyNumberFormat="1" applyFont="1" applyBorder="1" applyAlignment="1">
      <alignment horizontal="right"/>
    </xf>
    <xf numFmtId="3" fontId="7" fillId="0" borderId="4" xfId="0" applyNumberFormat="1" applyFont="1" applyBorder="1" applyAlignment="1">
      <alignment horizontal="right"/>
    </xf>
    <xf numFmtId="9" fontId="7" fillId="0" borderId="5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9" fontId="9" fillId="0" borderId="8" xfId="0" applyNumberFormat="1" applyFont="1" applyBorder="1" applyAlignment="1">
      <alignment horizontal="right"/>
    </xf>
    <xf numFmtId="3" fontId="7" fillId="0" borderId="9" xfId="0" applyNumberFormat="1" applyFont="1" applyBorder="1" applyAlignment="1">
      <alignment horizontal="right"/>
    </xf>
    <xf numFmtId="3" fontId="7" fillId="0" borderId="10" xfId="0" applyNumberFormat="1" applyFont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571500</xdr:colOff>
      <xdr:row>0</xdr:row>
      <xdr:rowOff>63500</xdr:rowOff>
    </xdr:from>
    <xdr:to>
      <xdr:col>29</xdr:col>
      <xdr:colOff>50800</xdr:colOff>
      <xdr:row>128</xdr:row>
      <xdr:rowOff>76200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E97C64BB-3FE6-EA90-2452-89EEF86053C5}"/>
            </a:ext>
          </a:extLst>
        </xdr:cNvPr>
        <xdr:cNvCxnSpPr/>
      </xdr:nvCxnSpPr>
      <xdr:spPr>
        <a:xfrm>
          <a:off x="20171833" y="63500"/>
          <a:ext cx="139700" cy="213487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0</xdr:row>
      <xdr:rowOff>19538</xdr:rowOff>
    </xdr:from>
    <xdr:to>
      <xdr:col>10</xdr:col>
      <xdr:colOff>143609</xdr:colOff>
      <xdr:row>128</xdr:row>
      <xdr:rowOff>32238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00BEE3B-6114-FE44-9105-2E3B05DD52EA}"/>
            </a:ext>
          </a:extLst>
        </xdr:cNvPr>
        <xdr:cNvCxnSpPr/>
      </xdr:nvCxnSpPr>
      <xdr:spPr>
        <a:xfrm>
          <a:off x="9593386" y="19538"/>
          <a:ext cx="143608" cy="2127054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or.rambus.com/press-releases/press-release-details/2025/Rambus-Reports-Second-Quarter-2025-Financial-Results/default.aspx" TargetMode="External"/><Relationship Id="rId3" Type="http://schemas.openxmlformats.org/officeDocument/2006/relationships/hyperlink" Target="https://www.youtube.com/watch?v=OokKoNO75QE&amp;t=53s" TargetMode="External"/><Relationship Id="rId7" Type="http://schemas.openxmlformats.org/officeDocument/2006/relationships/hyperlink" Target="https://investor.rambus.com/press-releases/press-release-details/2025/Rambus-to-Announce-Third-Quarter-Fiscal-Year-2025-Results/default.aspx" TargetMode="External"/><Relationship Id="rId2" Type="http://schemas.openxmlformats.org/officeDocument/2006/relationships/hyperlink" Target="https://www.youtube.com/watch?v=3t8ndX2hqHA" TargetMode="External"/><Relationship Id="rId1" Type="http://schemas.openxmlformats.org/officeDocument/2006/relationships/hyperlink" Target="https://www.youtube.com/watch?v=cL7QsELuv_M" TargetMode="External"/><Relationship Id="rId6" Type="http://schemas.openxmlformats.org/officeDocument/2006/relationships/hyperlink" Target="https://investor.rambus.com/press-releases/press-release-details/2026/Rambus-Reports-Fourth-Quarter-and-Fiscal-Year-2025-Financial-Results/default.aspx" TargetMode="External"/><Relationship Id="rId5" Type="http://schemas.openxmlformats.org/officeDocument/2006/relationships/hyperlink" Target="mailto:dlynch@rambus.com" TargetMode="External"/><Relationship Id="rId4" Type="http://schemas.openxmlformats.org/officeDocument/2006/relationships/hyperlink" Target="https://www.youtube.com/watch?v=tZiKRfH2yZ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FA34-265B-C645-B409-B1828406BEE2}">
  <dimension ref="B1:M82"/>
  <sheetViews>
    <sheetView showGridLines="0" zoomScale="140" zoomScaleNormal="140" workbookViewId="0">
      <selection activeCell="B2" sqref="B2"/>
    </sheetView>
  </sheetViews>
  <sheetFormatPr baseColWidth="10" defaultRowHeight="16" x14ac:dyDescent="0.2"/>
  <cols>
    <col min="1" max="1" width="2.33203125" style="1" customWidth="1"/>
    <col min="2" max="2" width="17.6640625" style="1" customWidth="1"/>
    <col min="3" max="3" width="19.6640625" style="1" bestFit="1" customWidth="1"/>
    <col min="4" max="4" width="15.5" style="1" bestFit="1" customWidth="1"/>
    <col min="5" max="5" width="18" style="1" bestFit="1" customWidth="1"/>
    <col min="6" max="6" width="36.1640625" style="1" bestFit="1" customWidth="1"/>
    <col min="7" max="7" width="12.1640625" style="1" bestFit="1" customWidth="1"/>
    <col min="8" max="8" width="4" style="1" bestFit="1" customWidth="1"/>
    <col min="9" max="11" width="10.83203125" style="1"/>
    <col min="12" max="12" width="12.83203125" style="1" bestFit="1" customWidth="1"/>
    <col min="13" max="16384" width="10.83203125" style="1"/>
  </cols>
  <sheetData>
    <row r="1" spans="2:13" x14ac:dyDescent="0.2">
      <c r="B1" s="1" t="s">
        <v>84</v>
      </c>
    </row>
    <row r="2" spans="2:13" x14ac:dyDescent="0.2">
      <c r="B2" s="1" t="s">
        <v>6</v>
      </c>
    </row>
    <row r="3" spans="2:13" x14ac:dyDescent="0.2">
      <c r="B3" s="1" t="s">
        <v>76</v>
      </c>
      <c r="C3" s="1" t="s">
        <v>77</v>
      </c>
      <c r="H3" s="1" t="s">
        <v>0</v>
      </c>
      <c r="I3" s="1">
        <v>104.13</v>
      </c>
    </row>
    <row r="4" spans="2:13" x14ac:dyDescent="0.2">
      <c r="B4" s="1" t="s">
        <v>78</v>
      </c>
      <c r="C4" s="3" t="s">
        <v>79</v>
      </c>
      <c r="H4" s="1" t="s">
        <v>1</v>
      </c>
      <c r="I4" s="1">
        <v>109710</v>
      </c>
    </row>
    <row r="5" spans="2:13" x14ac:dyDescent="0.2">
      <c r="H5" s="1" t="s">
        <v>2</v>
      </c>
      <c r="I5" s="1">
        <f>+I3*I4</f>
        <v>11424102.299999999</v>
      </c>
      <c r="L5" s="1" t="s">
        <v>93</v>
      </c>
      <c r="M5" s="1" t="s">
        <v>94</v>
      </c>
    </row>
    <row r="6" spans="2:13" x14ac:dyDescent="0.2">
      <c r="H6" s="1" t="s">
        <v>3</v>
      </c>
      <c r="I6" s="1">
        <f>SUM(Model!J43:J44)</f>
        <v>944657</v>
      </c>
      <c r="L6" s="4">
        <v>46055</v>
      </c>
      <c r="M6" s="1" t="s">
        <v>95</v>
      </c>
    </row>
    <row r="7" spans="2:13" x14ac:dyDescent="0.2">
      <c r="H7" s="1" t="s">
        <v>4</v>
      </c>
      <c r="I7" s="1">
        <v>0</v>
      </c>
      <c r="L7" s="4">
        <v>45936</v>
      </c>
      <c r="M7" s="1" t="s">
        <v>96</v>
      </c>
    </row>
    <row r="8" spans="2:13" x14ac:dyDescent="0.2">
      <c r="H8" s="2" t="s">
        <v>5</v>
      </c>
      <c r="I8" s="2">
        <f>+I5-I6+I7</f>
        <v>10479445.299999999</v>
      </c>
      <c r="L8" s="4">
        <v>45866</v>
      </c>
      <c r="M8" s="1" t="s">
        <v>97</v>
      </c>
    </row>
    <row r="9" spans="2:13" x14ac:dyDescent="0.2">
      <c r="L9" s="4"/>
    </row>
    <row r="10" spans="2:13" x14ac:dyDescent="0.2">
      <c r="L10" s="4"/>
    </row>
    <row r="11" spans="2:13" x14ac:dyDescent="0.2">
      <c r="B11" s="39" t="s">
        <v>123</v>
      </c>
      <c r="C11" s="40" t="s">
        <v>124</v>
      </c>
      <c r="D11" s="41" t="s">
        <v>125</v>
      </c>
      <c r="L11" s="4"/>
    </row>
    <row r="12" spans="2:13" x14ac:dyDescent="0.2">
      <c r="B12" s="37" t="s">
        <v>122</v>
      </c>
      <c r="C12" s="31" t="s">
        <v>130</v>
      </c>
      <c r="D12" s="32" t="s">
        <v>135</v>
      </c>
      <c r="L12" s="4"/>
    </row>
    <row r="13" spans="2:13" x14ac:dyDescent="0.2">
      <c r="B13" s="37" t="s">
        <v>120</v>
      </c>
      <c r="C13" s="31" t="s">
        <v>131</v>
      </c>
      <c r="D13" s="32" t="s">
        <v>136</v>
      </c>
      <c r="L13" s="4"/>
    </row>
    <row r="14" spans="2:13" x14ac:dyDescent="0.2">
      <c r="B14" s="37" t="s">
        <v>126</v>
      </c>
      <c r="C14" s="31" t="s">
        <v>132</v>
      </c>
      <c r="D14" s="32" t="s">
        <v>137</v>
      </c>
      <c r="L14" s="4"/>
    </row>
    <row r="15" spans="2:13" x14ac:dyDescent="0.2">
      <c r="B15" s="37" t="s">
        <v>121</v>
      </c>
      <c r="C15" s="31" t="s">
        <v>133</v>
      </c>
      <c r="D15" s="32" t="s">
        <v>138</v>
      </c>
      <c r="L15" s="4"/>
    </row>
    <row r="16" spans="2:13" x14ac:dyDescent="0.2">
      <c r="B16" s="37" t="s">
        <v>127</v>
      </c>
      <c r="C16" s="31" t="s">
        <v>134</v>
      </c>
      <c r="D16" s="32" t="s">
        <v>139</v>
      </c>
      <c r="L16" s="4"/>
    </row>
    <row r="17" spans="2:12" x14ac:dyDescent="0.2">
      <c r="B17" s="37" t="s">
        <v>128</v>
      </c>
      <c r="C17" s="31" t="s">
        <v>134</v>
      </c>
      <c r="D17" s="32" t="s">
        <v>139</v>
      </c>
      <c r="L17" s="4"/>
    </row>
    <row r="18" spans="2:12" x14ac:dyDescent="0.2">
      <c r="B18" s="37" t="s">
        <v>129</v>
      </c>
      <c r="C18" s="31" t="s">
        <v>134</v>
      </c>
      <c r="D18" s="32" t="s">
        <v>139</v>
      </c>
      <c r="L18" s="4"/>
    </row>
    <row r="19" spans="2:12" x14ac:dyDescent="0.2">
      <c r="B19" s="38"/>
      <c r="C19" s="33"/>
      <c r="D19" s="34"/>
      <c r="L19" s="4"/>
    </row>
    <row r="20" spans="2:12" x14ac:dyDescent="0.2">
      <c r="B20" s="2"/>
      <c r="L20" s="4"/>
    </row>
    <row r="21" spans="2:12" x14ac:dyDescent="0.2">
      <c r="B21" s="39" t="s">
        <v>145</v>
      </c>
      <c r="C21" s="40" t="s">
        <v>146</v>
      </c>
      <c r="D21" s="40" t="s">
        <v>153</v>
      </c>
      <c r="E21" s="40" t="s">
        <v>161</v>
      </c>
      <c r="F21" s="40" t="s">
        <v>162</v>
      </c>
      <c r="G21" s="41" t="s">
        <v>168</v>
      </c>
      <c r="L21" s="4"/>
    </row>
    <row r="22" spans="2:12" x14ac:dyDescent="0.2">
      <c r="B22" s="37" t="s">
        <v>140</v>
      </c>
      <c r="C22" s="31" t="s">
        <v>147</v>
      </c>
      <c r="D22" s="31">
        <v>2000</v>
      </c>
      <c r="E22" s="31" t="s">
        <v>154</v>
      </c>
      <c r="F22" s="31" t="s">
        <v>163</v>
      </c>
      <c r="G22" s="32" t="s">
        <v>169</v>
      </c>
      <c r="L22" s="4"/>
    </row>
    <row r="23" spans="2:12" x14ac:dyDescent="0.2">
      <c r="B23" s="37" t="s">
        <v>141</v>
      </c>
      <c r="C23" s="31" t="s">
        <v>148</v>
      </c>
      <c r="D23" s="31">
        <v>2003</v>
      </c>
      <c r="E23" s="31" t="s">
        <v>155</v>
      </c>
      <c r="F23" s="31" t="s">
        <v>164</v>
      </c>
      <c r="G23" s="32" t="s">
        <v>169</v>
      </c>
      <c r="L23" s="4"/>
    </row>
    <row r="24" spans="2:12" x14ac:dyDescent="0.2">
      <c r="B24" s="37" t="s">
        <v>142</v>
      </c>
      <c r="C24" s="31" t="s">
        <v>150</v>
      </c>
      <c r="D24" s="31">
        <v>2007</v>
      </c>
      <c r="E24" s="42" t="s">
        <v>156</v>
      </c>
      <c r="F24" s="31" t="s">
        <v>165</v>
      </c>
      <c r="G24" s="32" t="s">
        <v>170</v>
      </c>
      <c r="L24" s="4"/>
    </row>
    <row r="25" spans="2:12" x14ac:dyDescent="0.2">
      <c r="B25" s="37" t="s">
        <v>143</v>
      </c>
      <c r="C25" s="31" t="s">
        <v>149</v>
      </c>
      <c r="D25" s="31">
        <v>2014</v>
      </c>
      <c r="E25" s="42" t="s">
        <v>157</v>
      </c>
      <c r="F25" s="31" t="s">
        <v>165</v>
      </c>
      <c r="G25" s="32" t="s">
        <v>171</v>
      </c>
      <c r="L25" s="4"/>
    </row>
    <row r="26" spans="2:12" x14ac:dyDescent="0.2">
      <c r="B26" s="37" t="s">
        <v>120</v>
      </c>
      <c r="C26" s="31" t="s">
        <v>151</v>
      </c>
      <c r="D26" s="31">
        <v>2020</v>
      </c>
      <c r="E26" s="42" t="s">
        <v>158</v>
      </c>
      <c r="F26" s="31" t="s">
        <v>166</v>
      </c>
      <c r="G26" s="32" t="s">
        <v>172</v>
      </c>
      <c r="L26" s="4"/>
    </row>
    <row r="27" spans="2:12" x14ac:dyDescent="0.2">
      <c r="B27" s="43" t="s">
        <v>144</v>
      </c>
      <c r="C27" s="33" t="s">
        <v>152</v>
      </c>
      <c r="D27" s="33" t="s">
        <v>159</v>
      </c>
      <c r="E27" s="33" t="s">
        <v>160</v>
      </c>
      <c r="F27" s="33" t="s">
        <v>167</v>
      </c>
      <c r="G27" s="34" t="s">
        <v>173</v>
      </c>
      <c r="L27" s="4"/>
    </row>
    <row r="28" spans="2:12" x14ac:dyDescent="0.2">
      <c r="B28" s="2"/>
      <c r="L28" s="4"/>
    </row>
    <row r="29" spans="2:12" x14ac:dyDescent="0.2">
      <c r="B29" s="39" t="s">
        <v>174</v>
      </c>
      <c r="C29" s="40" t="s">
        <v>188</v>
      </c>
      <c r="D29" s="40" t="s">
        <v>181</v>
      </c>
      <c r="E29" s="40" t="s">
        <v>162</v>
      </c>
      <c r="F29" s="41" t="s">
        <v>194</v>
      </c>
      <c r="L29" s="4"/>
    </row>
    <row r="30" spans="2:12" x14ac:dyDescent="0.2">
      <c r="B30" s="37" t="s">
        <v>121</v>
      </c>
      <c r="C30" s="44">
        <v>2013</v>
      </c>
      <c r="D30" s="31" t="s">
        <v>183</v>
      </c>
      <c r="E30" s="31" t="s">
        <v>189</v>
      </c>
      <c r="F30" s="32" t="s">
        <v>195</v>
      </c>
      <c r="L30" s="4"/>
    </row>
    <row r="31" spans="2:12" x14ac:dyDescent="0.2">
      <c r="B31" s="37" t="s">
        <v>175</v>
      </c>
      <c r="C31" s="44">
        <v>2016</v>
      </c>
      <c r="D31" s="31" t="s">
        <v>182</v>
      </c>
      <c r="E31" s="31" t="s">
        <v>189</v>
      </c>
      <c r="F31" s="32" t="s">
        <v>196</v>
      </c>
      <c r="L31" s="4"/>
    </row>
    <row r="32" spans="2:12" x14ac:dyDescent="0.2">
      <c r="B32" s="37" t="s">
        <v>176</v>
      </c>
      <c r="C32" s="44">
        <v>2019</v>
      </c>
      <c r="D32" s="31" t="s">
        <v>184</v>
      </c>
      <c r="E32" s="31" t="s">
        <v>190</v>
      </c>
      <c r="F32" s="32" t="s">
        <v>197</v>
      </c>
      <c r="L32" s="4"/>
    </row>
    <row r="33" spans="2:12" x14ac:dyDescent="0.2">
      <c r="B33" s="37" t="s">
        <v>177</v>
      </c>
      <c r="C33" s="44">
        <v>2022</v>
      </c>
      <c r="D33" s="31" t="s">
        <v>185</v>
      </c>
      <c r="E33" s="31" t="s">
        <v>191</v>
      </c>
      <c r="F33" s="32" t="s">
        <v>198</v>
      </c>
      <c r="L33" s="4"/>
    </row>
    <row r="34" spans="2:12" x14ac:dyDescent="0.2">
      <c r="B34" s="37" t="s">
        <v>178</v>
      </c>
      <c r="C34" s="44">
        <v>2024</v>
      </c>
      <c r="D34" s="31" t="s">
        <v>186</v>
      </c>
      <c r="E34" s="31" t="s">
        <v>192</v>
      </c>
      <c r="F34" s="32" t="s">
        <v>199</v>
      </c>
      <c r="L34" s="4"/>
    </row>
    <row r="35" spans="2:12" x14ac:dyDescent="0.2">
      <c r="B35" s="43" t="s">
        <v>179</v>
      </c>
      <c r="C35" s="45" t="s">
        <v>180</v>
      </c>
      <c r="D35" s="33" t="s">
        <v>187</v>
      </c>
      <c r="E35" s="33" t="s">
        <v>193</v>
      </c>
      <c r="F35" s="34" t="s">
        <v>200</v>
      </c>
      <c r="L35" s="4"/>
    </row>
    <row r="36" spans="2:12" x14ac:dyDescent="0.2">
      <c r="B36" s="2"/>
      <c r="L36" s="4"/>
    </row>
    <row r="37" spans="2:12" x14ac:dyDescent="0.2">
      <c r="B37" s="39" t="s">
        <v>201</v>
      </c>
      <c r="C37" s="35" t="s">
        <v>202</v>
      </c>
      <c r="D37" s="36" t="s">
        <v>121</v>
      </c>
      <c r="L37" s="4"/>
    </row>
    <row r="38" spans="2:12" x14ac:dyDescent="0.2">
      <c r="B38" s="37" t="s">
        <v>203</v>
      </c>
      <c r="C38" s="31" t="s">
        <v>210</v>
      </c>
      <c r="D38" s="32" t="s">
        <v>215</v>
      </c>
      <c r="L38" s="4"/>
    </row>
    <row r="39" spans="2:12" x14ac:dyDescent="0.2">
      <c r="B39" s="37" t="s">
        <v>204</v>
      </c>
      <c r="C39" s="31" t="s">
        <v>209</v>
      </c>
      <c r="D39" s="32" t="s">
        <v>216</v>
      </c>
      <c r="L39" s="4"/>
    </row>
    <row r="40" spans="2:12" x14ac:dyDescent="0.2">
      <c r="B40" s="37" t="s">
        <v>205</v>
      </c>
      <c r="C40" s="31" t="s">
        <v>211</v>
      </c>
      <c r="D40" s="32" t="s">
        <v>217</v>
      </c>
      <c r="L40" s="4"/>
    </row>
    <row r="41" spans="2:12" x14ac:dyDescent="0.2">
      <c r="B41" s="37" t="s">
        <v>206</v>
      </c>
      <c r="C41" s="31" t="s">
        <v>212</v>
      </c>
      <c r="D41" s="32" t="s">
        <v>218</v>
      </c>
      <c r="L41" s="4"/>
    </row>
    <row r="42" spans="2:12" x14ac:dyDescent="0.2">
      <c r="B42" s="37" t="s">
        <v>207</v>
      </c>
      <c r="C42" s="31" t="s">
        <v>213</v>
      </c>
      <c r="D42" s="32" t="s">
        <v>219</v>
      </c>
      <c r="L42" s="4"/>
    </row>
    <row r="43" spans="2:12" x14ac:dyDescent="0.2">
      <c r="B43" s="43" t="s">
        <v>208</v>
      </c>
      <c r="C43" s="33" t="s">
        <v>214</v>
      </c>
      <c r="D43" s="34" t="s">
        <v>220</v>
      </c>
      <c r="L43" s="4"/>
    </row>
    <row r="44" spans="2:12" x14ac:dyDescent="0.2">
      <c r="B44" s="2"/>
      <c r="L44" s="4"/>
    </row>
    <row r="45" spans="2:12" x14ac:dyDescent="0.2">
      <c r="B45" s="2"/>
      <c r="L45" s="4"/>
    </row>
    <row r="46" spans="2:12" x14ac:dyDescent="0.2">
      <c r="B46" s="2"/>
      <c r="L46" s="4"/>
    </row>
    <row r="47" spans="2:12" x14ac:dyDescent="0.2">
      <c r="B47" s="2"/>
      <c r="L47" s="4"/>
    </row>
    <row r="48" spans="2:12" x14ac:dyDescent="0.2">
      <c r="B48" s="2"/>
      <c r="L48" s="4"/>
    </row>
    <row r="49" spans="2:12" x14ac:dyDescent="0.2">
      <c r="B49" s="2"/>
      <c r="L49" s="4"/>
    </row>
    <row r="50" spans="2:12" x14ac:dyDescent="0.2">
      <c r="B50" s="2"/>
      <c r="L50" s="4"/>
    </row>
    <row r="51" spans="2:12" x14ac:dyDescent="0.2">
      <c r="B51" s="2"/>
      <c r="L51" s="4"/>
    </row>
    <row r="52" spans="2:12" x14ac:dyDescent="0.2">
      <c r="L52" s="4"/>
    </row>
    <row r="53" spans="2:12" x14ac:dyDescent="0.2">
      <c r="B53" s="2" t="s">
        <v>106</v>
      </c>
      <c r="L53" s="4"/>
    </row>
    <row r="54" spans="2:12" x14ac:dyDescent="0.2">
      <c r="B54" s="1" t="s">
        <v>107</v>
      </c>
      <c r="L54" s="4"/>
    </row>
    <row r="55" spans="2:12" x14ac:dyDescent="0.2">
      <c r="L55" s="4"/>
    </row>
    <row r="56" spans="2:12" x14ac:dyDescent="0.2">
      <c r="B56" s="2" t="s">
        <v>108</v>
      </c>
      <c r="L56" s="4"/>
    </row>
    <row r="57" spans="2:12" x14ac:dyDescent="0.2">
      <c r="B57" s="29" t="s">
        <v>109</v>
      </c>
      <c r="L57" s="4"/>
    </row>
    <row r="58" spans="2:12" x14ac:dyDescent="0.2">
      <c r="B58" s="29" t="s">
        <v>110</v>
      </c>
      <c r="L58" s="4"/>
    </row>
    <row r="59" spans="2:12" x14ac:dyDescent="0.2">
      <c r="B59" s="29" t="s">
        <v>111</v>
      </c>
      <c r="L59" s="4"/>
    </row>
    <row r="60" spans="2:12" x14ac:dyDescent="0.2">
      <c r="B60" s="29" t="s">
        <v>112</v>
      </c>
      <c r="L60" s="4"/>
    </row>
    <row r="61" spans="2:12" x14ac:dyDescent="0.2">
      <c r="B61" s="29" t="s">
        <v>113</v>
      </c>
      <c r="L61" s="4"/>
    </row>
    <row r="62" spans="2:12" x14ac:dyDescent="0.2">
      <c r="L62" s="4"/>
    </row>
    <row r="63" spans="2:12" x14ac:dyDescent="0.2">
      <c r="B63" s="2" t="s">
        <v>34</v>
      </c>
      <c r="L63" s="4"/>
    </row>
    <row r="64" spans="2:12" x14ac:dyDescent="0.2">
      <c r="B64" s="29" t="s">
        <v>35</v>
      </c>
      <c r="L64" s="4"/>
    </row>
    <row r="65" spans="2:12" x14ac:dyDescent="0.2">
      <c r="B65" s="29" t="s">
        <v>36</v>
      </c>
      <c r="L65" s="4"/>
    </row>
    <row r="66" spans="2:12" x14ac:dyDescent="0.2">
      <c r="B66" s="29" t="s">
        <v>37</v>
      </c>
      <c r="L66" s="4"/>
    </row>
    <row r="67" spans="2:12" x14ac:dyDescent="0.2">
      <c r="B67" s="29" t="s">
        <v>38</v>
      </c>
      <c r="L67" s="4"/>
    </row>
    <row r="68" spans="2:12" x14ac:dyDescent="0.2">
      <c r="B68" s="2" t="s">
        <v>114</v>
      </c>
      <c r="L68" s="4"/>
    </row>
    <row r="69" spans="2:12" x14ac:dyDescent="0.2">
      <c r="B69" s="2"/>
      <c r="L69" s="4"/>
    </row>
    <row r="70" spans="2:12" x14ac:dyDescent="0.2">
      <c r="B70" s="2" t="s">
        <v>115</v>
      </c>
      <c r="L70" s="4"/>
    </row>
    <row r="71" spans="2:12" x14ac:dyDescent="0.2">
      <c r="B71" s="30" t="s">
        <v>116</v>
      </c>
      <c r="L71" s="4"/>
    </row>
    <row r="72" spans="2:12" x14ac:dyDescent="0.2">
      <c r="B72" s="30" t="s">
        <v>117</v>
      </c>
      <c r="L72" s="4"/>
    </row>
    <row r="73" spans="2:12" x14ac:dyDescent="0.2">
      <c r="B73" s="30" t="s">
        <v>118</v>
      </c>
      <c r="L73" s="4"/>
    </row>
    <row r="74" spans="2:12" x14ac:dyDescent="0.2">
      <c r="B74" s="30" t="s">
        <v>119</v>
      </c>
      <c r="L74" s="4"/>
    </row>
    <row r="75" spans="2:12" x14ac:dyDescent="0.2">
      <c r="L75" s="4"/>
    </row>
    <row r="78" spans="2:12" x14ac:dyDescent="0.2">
      <c r="B78" s="2" t="s">
        <v>92</v>
      </c>
    </row>
    <row r="79" spans="2:12" x14ac:dyDescent="0.2">
      <c r="B79" s="3" t="s">
        <v>39</v>
      </c>
    </row>
    <row r="80" spans="2:12" x14ac:dyDescent="0.2">
      <c r="B80" s="3" t="s">
        <v>40</v>
      </c>
    </row>
    <row r="81" spans="2:2" x14ac:dyDescent="0.2">
      <c r="B81" s="3" t="s">
        <v>41</v>
      </c>
    </row>
    <row r="82" spans="2:2" x14ac:dyDescent="0.2">
      <c r="B82" s="3" t="s">
        <v>42</v>
      </c>
    </row>
  </sheetData>
  <hyperlinks>
    <hyperlink ref="B79" r:id="rId1" xr:uid="{0FE209A8-0BE2-4B45-8C17-AAB615004FA6}"/>
    <hyperlink ref="B80" r:id="rId2" xr:uid="{CA185362-7A33-4548-B118-7571E8160F46}"/>
    <hyperlink ref="B81" r:id="rId3" xr:uid="{2B0608A3-6321-4742-93C8-36623E9ED968}"/>
    <hyperlink ref="B82" r:id="rId4" xr:uid="{E2F4AC1F-C4B0-E04A-B1CB-D21C6162ADD8}"/>
    <hyperlink ref="C4" r:id="rId5" xr:uid="{33575AFF-E1B0-954B-B818-99893DB7EA44}"/>
    <hyperlink ref="L6" r:id="rId6" display="q126" xr:uid="{B3CDB698-6B25-474C-B65F-C373D0165692}"/>
    <hyperlink ref="L7" r:id="rId7" display="https://investor.rambus.com/press-releases/press-release-details/2025/Rambus-to-Announce-Third-Quarter-Fiscal-Year-2025-Results/default.aspx" xr:uid="{1E76FED2-D363-8246-B181-3BF321EE12DC}"/>
    <hyperlink ref="L8" r:id="rId8" display="https://investor.rambus.com/press-releases/press-release-details/2025/Rambus-Reports-Second-Quarter-2025-Financial-Results/default.aspx" xr:uid="{C3256E79-580A-4B4D-B2FF-2229F734C7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4B4F-E472-BF4C-B44B-0E95CF9F8722}">
  <dimension ref="B2:IE130"/>
  <sheetViews>
    <sheetView showGridLines="0" tabSelected="1" zoomScaleNormal="10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O39" sqref="AO39:AP39"/>
    </sheetView>
  </sheetViews>
  <sheetFormatPr baseColWidth="10" defaultRowHeight="13" x14ac:dyDescent="0.15"/>
  <cols>
    <col min="1" max="1" width="2" style="8" customWidth="1"/>
    <col min="2" max="2" width="54.6640625" style="9" bestFit="1" customWidth="1"/>
    <col min="3" max="5" width="7.6640625" style="8" bestFit="1" customWidth="1"/>
    <col min="6" max="10" width="9.1640625" style="8" bestFit="1" customWidth="1"/>
    <col min="11" max="11" width="7.6640625" style="8" bestFit="1" customWidth="1"/>
    <col min="12" max="14" width="6.6640625" style="8" bestFit="1" customWidth="1"/>
    <col min="15" max="15" width="9.1640625" style="8" customWidth="1"/>
    <col min="16" max="18" width="3.33203125" style="8" customWidth="1"/>
    <col min="19" max="19" width="5.83203125" style="8" bestFit="1" customWidth="1"/>
    <col min="20" max="26" width="8.6640625" style="8" bestFit="1" customWidth="1"/>
    <col min="27" max="27" width="9.33203125" style="8" bestFit="1" customWidth="1"/>
    <col min="28" max="32" width="8.6640625" style="8" bestFit="1" customWidth="1"/>
    <col min="33" max="39" width="10.33203125" style="8" bestFit="1" customWidth="1"/>
    <col min="40" max="41" width="8.6640625" style="8" bestFit="1" customWidth="1"/>
    <col min="42" max="42" width="10.33203125" style="8" bestFit="1" customWidth="1"/>
    <col min="43" max="62" width="8.6640625" style="8" bestFit="1" customWidth="1"/>
    <col min="63" max="239" width="10.33203125" style="8" bestFit="1" customWidth="1"/>
    <col min="240" max="16384" width="10.83203125" style="8"/>
  </cols>
  <sheetData>
    <row r="2" spans="2:239" s="5" customFormat="1" x14ac:dyDescent="0.15">
      <c r="B2" s="6" t="s">
        <v>33</v>
      </c>
      <c r="C2" s="7">
        <v>45382</v>
      </c>
      <c r="D2" s="7">
        <v>45473</v>
      </c>
      <c r="E2" s="7">
        <v>45565</v>
      </c>
      <c r="F2" s="7">
        <f>+J2-365</f>
        <v>45657</v>
      </c>
      <c r="G2" s="7">
        <v>45747</v>
      </c>
      <c r="H2" s="7">
        <v>45838</v>
      </c>
      <c r="I2" s="7">
        <v>45930</v>
      </c>
      <c r="J2" s="7">
        <v>46022</v>
      </c>
      <c r="K2" s="7"/>
      <c r="L2" s="7"/>
      <c r="M2" s="7"/>
      <c r="N2" s="7"/>
    </row>
    <row r="3" spans="2:239" x14ac:dyDescent="0.15">
      <c r="C3" s="10" t="s">
        <v>7</v>
      </c>
      <c r="D3" s="10" t="s">
        <v>8</v>
      </c>
      <c r="E3" s="10" t="s">
        <v>9</v>
      </c>
      <c r="F3" s="10" t="s">
        <v>10</v>
      </c>
      <c r="G3" s="10" t="s">
        <v>11</v>
      </c>
      <c r="H3" s="10" t="s">
        <v>12</v>
      </c>
      <c r="I3" s="10" t="s">
        <v>13</v>
      </c>
      <c r="J3" s="10" t="s">
        <v>14</v>
      </c>
      <c r="K3" s="23" t="s">
        <v>100</v>
      </c>
      <c r="L3" s="23" t="s">
        <v>101</v>
      </c>
      <c r="M3" s="23" t="s">
        <v>102</v>
      </c>
      <c r="N3" s="23" t="s">
        <v>103</v>
      </c>
      <c r="S3" s="10">
        <v>2015</v>
      </c>
      <c r="T3" s="10">
        <f>+S3+1</f>
        <v>2016</v>
      </c>
      <c r="U3" s="10">
        <f t="shared" ref="U3:AN3" si="0">+T3+1</f>
        <v>2017</v>
      </c>
      <c r="V3" s="10">
        <f t="shared" si="0"/>
        <v>2018</v>
      </c>
      <c r="W3" s="10">
        <f t="shared" si="0"/>
        <v>2019</v>
      </c>
      <c r="X3" s="10">
        <f t="shared" si="0"/>
        <v>2020</v>
      </c>
      <c r="Y3" s="10">
        <f t="shared" si="0"/>
        <v>2021</v>
      </c>
      <c r="Z3" s="10">
        <f t="shared" si="0"/>
        <v>2022</v>
      </c>
      <c r="AA3" s="10">
        <f t="shared" si="0"/>
        <v>2023</v>
      </c>
      <c r="AB3" s="10">
        <f t="shared" si="0"/>
        <v>2024</v>
      </c>
      <c r="AC3" s="10">
        <f t="shared" si="0"/>
        <v>2025</v>
      </c>
      <c r="AD3" s="23">
        <f t="shared" si="0"/>
        <v>2026</v>
      </c>
      <c r="AE3" s="23">
        <f t="shared" si="0"/>
        <v>2027</v>
      </c>
      <c r="AF3" s="23">
        <f t="shared" si="0"/>
        <v>2028</v>
      </c>
      <c r="AG3" s="23">
        <f t="shared" si="0"/>
        <v>2029</v>
      </c>
      <c r="AH3" s="23">
        <f t="shared" si="0"/>
        <v>2030</v>
      </c>
      <c r="AI3" s="23">
        <f t="shared" si="0"/>
        <v>2031</v>
      </c>
      <c r="AJ3" s="23">
        <f t="shared" si="0"/>
        <v>2032</v>
      </c>
      <c r="AK3" s="23">
        <f t="shared" si="0"/>
        <v>2033</v>
      </c>
      <c r="AL3" s="23">
        <f t="shared" si="0"/>
        <v>2034</v>
      </c>
      <c r="AM3" s="23">
        <f t="shared" si="0"/>
        <v>2035</v>
      </c>
      <c r="AN3" s="8">
        <f t="shared" si="0"/>
        <v>2036</v>
      </c>
      <c r="AO3" s="8">
        <f t="shared" ref="AO3:CZ3" si="1">+AN3+1</f>
        <v>2037</v>
      </c>
      <c r="AP3" s="8">
        <f t="shared" si="1"/>
        <v>2038</v>
      </c>
      <c r="AQ3" s="8">
        <f t="shared" si="1"/>
        <v>2039</v>
      </c>
      <c r="AR3" s="8">
        <f t="shared" si="1"/>
        <v>2040</v>
      </c>
      <c r="AS3" s="8">
        <f t="shared" si="1"/>
        <v>2041</v>
      </c>
      <c r="AT3" s="8">
        <f t="shared" si="1"/>
        <v>2042</v>
      </c>
      <c r="AU3" s="8">
        <f t="shared" si="1"/>
        <v>2043</v>
      </c>
      <c r="AV3" s="8">
        <f t="shared" si="1"/>
        <v>2044</v>
      </c>
      <c r="AW3" s="8">
        <f t="shared" si="1"/>
        <v>2045</v>
      </c>
      <c r="AX3" s="8">
        <f t="shared" si="1"/>
        <v>2046</v>
      </c>
      <c r="AY3" s="8">
        <f t="shared" si="1"/>
        <v>2047</v>
      </c>
      <c r="AZ3" s="8">
        <f t="shared" si="1"/>
        <v>2048</v>
      </c>
      <c r="BA3" s="8">
        <f t="shared" si="1"/>
        <v>2049</v>
      </c>
      <c r="BB3" s="8">
        <f t="shared" si="1"/>
        <v>2050</v>
      </c>
      <c r="BC3" s="8">
        <f t="shared" si="1"/>
        <v>2051</v>
      </c>
      <c r="BD3" s="8">
        <f t="shared" si="1"/>
        <v>2052</v>
      </c>
      <c r="BE3" s="8">
        <f t="shared" si="1"/>
        <v>2053</v>
      </c>
      <c r="BF3" s="8">
        <f t="shared" si="1"/>
        <v>2054</v>
      </c>
      <c r="BG3" s="8">
        <f t="shared" si="1"/>
        <v>2055</v>
      </c>
      <c r="BH3" s="8">
        <f t="shared" si="1"/>
        <v>2056</v>
      </c>
      <c r="BI3" s="8">
        <f t="shared" si="1"/>
        <v>2057</v>
      </c>
      <c r="BJ3" s="8">
        <f t="shared" si="1"/>
        <v>2058</v>
      </c>
      <c r="BK3" s="8">
        <f t="shared" si="1"/>
        <v>2059</v>
      </c>
      <c r="BL3" s="8">
        <f t="shared" si="1"/>
        <v>2060</v>
      </c>
      <c r="BM3" s="8">
        <f t="shared" si="1"/>
        <v>2061</v>
      </c>
      <c r="BN3" s="8">
        <f t="shared" si="1"/>
        <v>2062</v>
      </c>
      <c r="BO3" s="8">
        <f t="shared" si="1"/>
        <v>2063</v>
      </c>
      <c r="BP3" s="8">
        <f t="shared" si="1"/>
        <v>2064</v>
      </c>
      <c r="BQ3" s="8">
        <f t="shared" si="1"/>
        <v>2065</v>
      </c>
      <c r="BR3" s="8">
        <f t="shared" si="1"/>
        <v>2066</v>
      </c>
      <c r="BS3" s="8">
        <f t="shared" si="1"/>
        <v>2067</v>
      </c>
      <c r="BT3" s="8">
        <f t="shared" si="1"/>
        <v>2068</v>
      </c>
      <c r="BU3" s="8">
        <f t="shared" si="1"/>
        <v>2069</v>
      </c>
      <c r="BV3" s="8">
        <f t="shared" si="1"/>
        <v>2070</v>
      </c>
      <c r="BW3" s="8">
        <f t="shared" si="1"/>
        <v>2071</v>
      </c>
      <c r="BX3" s="8">
        <f t="shared" si="1"/>
        <v>2072</v>
      </c>
      <c r="BY3" s="8">
        <f t="shared" si="1"/>
        <v>2073</v>
      </c>
      <c r="BZ3" s="8">
        <f t="shared" si="1"/>
        <v>2074</v>
      </c>
      <c r="CA3" s="8">
        <f t="shared" si="1"/>
        <v>2075</v>
      </c>
      <c r="CB3" s="8">
        <f t="shared" si="1"/>
        <v>2076</v>
      </c>
      <c r="CC3" s="8">
        <f t="shared" si="1"/>
        <v>2077</v>
      </c>
      <c r="CD3" s="8">
        <f t="shared" si="1"/>
        <v>2078</v>
      </c>
      <c r="CE3" s="8">
        <f t="shared" si="1"/>
        <v>2079</v>
      </c>
      <c r="CF3" s="8">
        <f t="shared" si="1"/>
        <v>2080</v>
      </c>
      <c r="CG3" s="8">
        <f t="shared" si="1"/>
        <v>2081</v>
      </c>
      <c r="CH3" s="8">
        <f t="shared" si="1"/>
        <v>2082</v>
      </c>
      <c r="CI3" s="8">
        <f t="shared" si="1"/>
        <v>2083</v>
      </c>
      <c r="CJ3" s="8">
        <f t="shared" si="1"/>
        <v>2084</v>
      </c>
      <c r="CK3" s="8">
        <f t="shared" si="1"/>
        <v>2085</v>
      </c>
      <c r="CL3" s="8">
        <f t="shared" si="1"/>
        <v>2086</v>
      </c>
      <c r="CM3" s="8">
        <f t="shared" si="1"/>
        <v>2087</v>
      </c>
      <c r="CN3" s="8">
        <f t="shared" si="1"/>
        <v>2088</v>
      </c>
      <c r="CO3" s="8">
        <f t="shared" si="1"/>
        <v>2089</v>
      </c>
      <c r="CP3" s="8">
        <f t="shared" si="1"/>
        <v>2090</v>
      </c>
      <c r="CQ3" s="8">
        <f t="shared" si="1"/>
        <v>2091</v>
      </c>
      <c r="CR3" s="8">
        <f t="shared" si="1"/>
        <v>2092</v>
      </c>
      <c r="CS3" s="8">
        <f t="shared" si="1"/>
        <v>2093</v>
      </c>
      <c r="CT3" s="8">
        <f t="shared" si="1"/>
        <v>2094</v>
      </c>
      <c r="CU3" s="8">
        <f t="shared" si="1"/>
        <v>2095</v>
      </c>
      <c r="CV3" s="8">
        <f t="shared" si="1"/>
        <v>2096</v>
      </c>
      <c r="CW3" s="8">
        <f t="shared" si="1"/>
        <v>2097</v>
      </c>
      <c r="CX3" s="8">
        <f t="shared" si="1"/>
        <v>2098</v>
      </c>
      <c r="CY3" s="8">
        <f t="shared" si="1"/>
        <v>2099</v>
      </c>
      <c r="CZ3" s="8">
        <f t="shared" si="1"/>
        <v>2100</v>
      </c>
      <c r="DA3" s="8">
        <f t="shared" ref="DA3:FL3" si="2">+CZ3+1</f>
        <v>2101</v>
      </c>
      <c r="DB3" s="8">
        <f t="shared" si="2"/>
        <v>2102</v>
      </c>
      <c r="DC3" s="8">
        <f t="shared" si="2"/>
        <v>2103</v>
      </c>
      <c r="DD3" s="8">
        <f t="shared" si="2"/>
        <v>2104</v>
      </c>
      <c r="DE3" s="8">
        <f t="shared" si="2"/>
        <v>2105</v>
      </c>
      <c r="DF3" s="8">
        <f t="shared" si="2"/>
        <v>2106</v>
      </c>
      <c r="DG3" s="8">
        <f t="shared" si="2"/>
        <v>2107</v>
      </c>
      <c r="DH3" s="8">
        <f t="shared" si="2"/>
        <v>2108</v>
      </c>
      <c r="DI3" s="8">
        <f t="shared" si="2"/>
        <v>2109</v>
      </c>
      <c r="DJ3" s="8">
        <f t="shared" si="2"/>
        <v>2110</v>
      </c>
      <c r="DK3" s="8">
        <f t="shared" si="2"/>
        <v>2111</v>
      </c>
      <c r="DL3" s="8">
        <f t="shared" si="2"/>
        <v>2112</v>
      </c>
      <c r="DM3" s="8">
        <f t="shared" si="2"/>
        <v>2113</v>
      </c>
      <c r="DN3" s="8">
        <f t="shared" si="2"/>
        <v>2114</v>
      </c>
      <c r="DO3" s="8">
        <f t="shared" si="2"/>
        <v>2115</v>
      </c>
      <c r="DP3" s="8">
        <f t="shared" si="2"/>
        <v>2116</v>
      </c>
      <c r="DQ3" s="8">
        <f t="shared" si="2"/>
        <v>2117</v>
      </c>
      <c r="DR3" s="8">
        <f t="shared" si="2"/>
        <v>2118</v>
      </c>
      <c r="DS3" s="8">
        <f t="shared" si="2"/>
        <v>2119</v>
      </c>
      <c r="DT3" s="8">
        <f t="shared" si="2"/>
        <v>2120</v>
      </c>
      <c r="DU3" s="8">
        <f t="shared" si="2"/>
        <v>2121</v>
      </c>
      <c r="DV3" s="8">
        <f t="shared" si="2"/>
        <v>2122</v>
      </c>
      <c r="DW3" s="8">
        <f t="shared" si="2"/>
        <v>2123</v>
      </c>
      <c r="DX3" s="8">
        <f t="shared" si="2"/>
        <v>2124</v>
      </c>
      <c r="DY3" s="8">
        <f t="shared" si="2"/>
        <v>2125</v>
      </c>
      <c r="DZ3" s="8">
        <f t="shared" si="2"/>
        <v>2126</v>
      </c>
      <c r="EA3" s="8">
        <f t="shared" si="2"/>
        <v>2127</v>
      </c>
      <c r="EB3" s="8">
        <f t="shared" si="2"/>
        <v>2128</v>
      </c>
      <c r="EC3" s="8">
        <f t="shared" si="2"/>
        <v>2129</v>
      </c>
      <c r="ED3" s="8">
        <f t="shared" si="2"/>
        <v>2130</v>
      </c>
      <c r="EE3" s="8">
        <f t="shared" si="2"/>
        <v>2131</v>
      </c>
      <c r="EF3" s="8">
        <f t="shared" si="2"/>
        <v>2132</v>
      </c>
      <c r="EG3" s="8">
        <f t="shared" si="2"/>
        <v>2133</v>
      </c>
      <c r="EH3" s="8">
        <f t="shared" si="2"/>
        <v>2134</v>
      </c>
      <c r="EI3" s="8">
        <f t="shared" si="2"/>
        <v>2135</v>
      </c>
      <c r="EJ3" s="8">
        <f t="shared" si="2"/>
        <v>2136</v>
      </c>
      <c r="EK3" s="8">
        <f t="shared" si="2"/>
        <v>2137</v>
      </c>
      <c r="EL3" s="8">
        <f t="shared" si="2"/>
        <v>2138</v>
      </c>
      <c r="EM3" s="8">
        <f t="shared" si="2"/>
        <v>2139</v>
      </c>
      <c r="EN3" s="8">
        <f t="shared" si="2"/>
        <v>2140</v>
      </c>
      <c r="EO3" s="8">
        <f t="shared" si="2"/>
        <v>2141</v>
      </c>
      <c r="EP3" s="8">
        <f t="shared" si="2"/>
        <v>2142</v>
      </c>
      <c r="EQ3" s="8">
        <f t="shared" si="2"/>
        <v>2143</v>
      </c>
      <c r="ER3" s="8">
        <f t="shared" si="2"/>
        <v>2144</v>
      </c>
      <c r="ES3" s="8">
        <f t="shared" si="2"/>
        <v>2145</v>
      </c>
      <c r="ET3" s="8">
        <f t="shared" si="2"/>
        <v>2146</v>
      </c>
      <c r="EU3" s="8">
        <f t="shared" si="2"/>
        <v>2147</v>
      </c>
      <c r="EV3" s="8">
        <f t="shared" si="2"/>
        <v>2148</v>
      </c>
      <c r="EW3" s="8">
        <f t="shared" si="2"/>
        <v>2149</v>
      </c>
      <c r="EX3" s="8">
        <f t="shared" si="2"/>
        <v>2150</v>
      </c>
      <c r="EY3" s="8">
        <f t="shared" si="2"/>
        <v>2151</v>
      </c>
      <c r="EZ3" s="8">
        <f t="shared" si="2"/>
        <v>2152</v>
      </c>
      <c r="FA3" s="8">
        <f t="shared" si="2"/>
        <v>2153</v>
      </c>
      <c r="FB3" s="8">
        <f t="shared" si="2"/>
        <v>2154</v>
      </c>
      <c r="FC3" s="8">
        <f t="shared" si="2"/>
        <v>2155</v>
      </c>
      <c r="FD3" s="8">
        <f t="shared" si="2"/>
        <v>2156</v>
      </c>
      <c r="FE3" s="8">
        <f t="shared" si="2"/>
        <v>2157</v>
      </c>
      <c r="FF3" s="8">
        <f t="shared" si="2"/>
        <v>2158</v>
      </c>
      <c r="FG3" s="8">
        <f t="shared" si="2"/>
        <v>2159</v>
      </c>
      <c r="FH3" s="8">
        <f t="shared" si="2"/>
        <v>2160</v>
      </c>
      <c r="FI3" s="8">
        <f t="shared" si="2"/>
        <v>2161</v>
      </c>
      <c r="FJ3" s="8">
        <f t="shared" si="2"/>
        <v>2162</v>
      </c>
      <c r="FK3" s="8">
        <f t="shared" si="2"/>
        <v>2163</v>
      </c>
      <c r="FL3" s="8">
        <f t="shared" si="2"/>
        <v>2164</v>
      </c>
      <c r="FM3" s="8">
        <f t="shared" ref="FM3:GE3" si="3">+FL3+1</f>
        <v>2165</v>
      </c>
      <c r="FN3" s="8">
        <f t="shared" si="3"/>
        <v>2166</v>
      </c>
      <c r="FO3" s="8">
        <f t="shared" si="3"/>
        <v>2167</v>
      </c>
      <c r="FP3" s="8">
        <f t="shared" si="3"/>
        <v>2168</v>
      </c>
      <c r="FQ3" s="8">
        <f t="shared" si="3"/>
        <v>2169</v>
      </c>
      <c r="FR3" s="8">
        <f t="shared" si="3"/>
        <v>2170</v>
      </c>
      <c r="FS3" s="8">
        <f t="shared" si="3"/>
        <v>2171</v>
      </c>
      <c r="FT3" s="8">
        <f t="shared" si="3"/>
        <v>2172</v>
      </c>
      <c r="FU3" s="8">
        <f t="shared" si="3"/>
        <v>2173</v>
      </c>
      <c r="FV3" s="8">
        <f t="shared" si="3"/>
        <v>2174</v>
      </c>
      <c r="FW3" s="8">
        <f t="shared" si="3"/>
        <v>2175</v>
      </c>
      <c r="FX3" s="8">
        <f t="shared" si="3"/>
        <v>2176</v>
      </c>
      <c r="FY3" s="8">
        <f t="shared" si="3"/>
        <v>2177</v>
      </c>
      <c r="FZ3" s="8">
        <f t="shared" si="3"/>
        <v>2178</v>
      </c>
      <c r="GA3" s="8">
        <f t="shared" si="3"/>
        <v>2179</v>
      </c>
      <c r="GB3" s="8">
        <f t="shared" si="3"/>
        <v>2180</v>
      </c>
      <c r="GC3" s="8">
        <f t="shared" si="3"/>
        <v>2181</v>
      </c>
      <c r="GD3" s="8">
        <f t="shared" si="3"/>
        <v>2182</v>
      </c>
      <c r="GE3" s="8">
        <f t="shared" si="3"/>
        <v>2183</v>
      </c>
      <c r="GF3" s="8">
        <f t="shared" ref="GF3:GW3" si="4">+GE3+1</f>
        <v>2184</v>
      </c>
      <c r="GG3" s="8">
        <f t="shared" si="4"/>
        <v>2185</v>
      </c>
      <c r="GH3" s="8">
        <f t="shared" si="4"/>
        <v>2186</v>
      </c>
      <c r="GI3" s="8">
        <f t="shared" si="4"/>
        <v>2187</v>
      </c>
      <c r="GJ3" s="8">
        <f t="shared" si="4"/>
        <v>2188</v>
      </c>
      <c r="GK3" s="8">
        <f t="shared" si="4"/>
        <v>2189</v>
      </c>
      <c r="GL3" s="8">
        <f t="shared" si="4"/>
        <v>2190</v>
      </c>
      <c r="GM3" s="8">
        <f t="shared" si="4"/>
        <v>2191</v>
      </c>
      <c r="GN3" s="8">
        <f t="shared" si="4"/>
        <v>2192</v>
      </c>
      <c r="GO3" s="8">
        <f t="shared" si="4"/>
        <v>2193</v>
      </c>
      <c r="GP3" s="8">
        <f t="shared" si="4"/>
        <v>2194</v>
      </c>
      <c r="GQ3" s="8">
        <f t="shared" si="4"/>
        <v>2195</v>
      </c>
      <c r="GR3" s="8">
        <f t="shared" si="4"/>
        <v>2196</v>
      </c>
      <c r="GS3" s="8">
        <f t="shared" si="4"/>
        <v>2197</v>
      </c>
      <c r="GT3" s="8">
        <f t="shared" si="4"/>
        <v>2198</v>
      </c>
      <c r="GU3" s="8">
        <f t="shared" si="4"/>
        <v>2199</v>
      </c>
      <c r="GV3" s="8">
        <f t="shared" si="4"/>
        <v>2200</v>
      </c>
      <c r="GW3" s="8">
        <f t="shared" si="4"/>
        <v>2201</v>
      </c>
      <c r="GX3" s="8">
        <f t="shared" ref="GX3:HJ3" si="5">+GW3+1</f>
        <v>2202</v>
      </c>
      <c r="GY3" s="8">
        <f t="shared" si="5"/>
        <v>2203</v>
      </c>
      <c r="GZ3" s="8">
        <f t="shared" si="5"/>
        <v>2204</v>
      </c>
      <c r="HA3" s="8">
        <f t="shared" si="5"/>
        <v>2205</v>
      </c>
      <c r="HB3" s="8">
        <f t="shared" si="5"/>
        <v>2206</v>
      </c>
      <c r="HC3" s="8">
        <f t="shared" si="5"/>
        <v>2207</v>
      </c>
      <c r="HD3" s="8">
        <f t="shared" si="5"/>
        <v>2208</v>
      </c>
      <c r="HE3" s="8">
        <f t="shared" si="5"/>
        <v>2209</v>
      </c>
      <c r="HF3" s="8">
        <f t="shared" si="5"/>
        <v>2210</v>
      </c>
      <c r="HG3" s="8">
        <f t="shared" si="5"/>
        <v>2211</v>
      </c>
      <c r="HH3" s="8">
        <f t="shared" si="5"/>
        <v>2212</v>
      </c>
      <c r="HI3" s="8">
        <f t="shared" si="5"/>
        <v>2213</v>
      </c>
      <c r="HJ3" s="8">
        <f t="shared" si="5"/>
        <v>2214</v>
      </c>
      <c r="HK3" s="8">
        <f t="shared" ref="HK3:HU3" si="6">+HJ3+1</f>
        <v>2215</v>
      </c>
      <c r="HL3" s="8">
        <f t="shared" si="6"/>
        <v>2216</v>
      </c>
      <c r="HM3" s="8">
        <f t="shared" si="6"/>
        <v>2217</v>
      </c>
      <c r="HN3" s="8">
        <f t="shared" si="6"/>
        <v>2218</v>
      </c>
      <c r="HO3" s="8">
        <f t="shared" si="6"/>
        <v>2219</v>
      </c>
      <c r="HP3" s="8">
        <f t="shared" si="6"/>
        <v>2220</v>
      </c>
      <c r="HQ3" s="8">
        <f t="shared" si="6"/>
        <v>2221</v>
      </c>
      <c r="HR3" s="8">
        <f t="shared" si="6"/>
        <v>2222</v>
      </c>
      <c r="HS3" s="8">
        <f t="shared" si="6"/>
        <v>2223</v>
      </c>
      <c r="HT3" s="8">
        <f t="shared" si="6"/>
        <v>2224</v>
      </c>
      <c r="HU3" s="8">
        <f t="shared" si="6"/>
        <v>2225</v>
      </c>
      <c r="HV3" s="8">
        <f t="shared" ref="HV3:IE3" si="7">+HU3+1</f>
        <v>2226</v>
      </c>
      <c r="HW3" s="8">
        <f t="shared" si="7"/>
        <v>2227</v>
      </c>
      <c r="HX3" s="8">
        <f t="shared" si="7"/>
        <v>2228</v>
      </c>
      <c r="HY3" s="8">
        <f t="shared" si="7"/>
        <v>2229</v>
      </c>
      <c r="HZ3" s="8">
        <f t="shared" si="7"/>
        <v>2230</v>
      </c>
      <c r="IA3" s="8">
        <f t="shared" si="7"/>
        <v>2231</v>
      </c>
      <c r="IB3" s="8">
        <f t="shared" si="7"/>
        <v>2232</v>
      </c>
      <c r="IC3" s="8">
        <f t="shared" si="7"/>
        <v>2233</v>
      </c>
      <c r="ID3" s="8">
        <f t="shared" si="7"/>
        <v>2234</v>
      </c>
      <c r="IE3" s="8">
        <f t="shared" si="7"/>
        <v>2235</v>
      </c>
    </row>
    <row r="4" spans="2:239" x14ac:dyDescent="0.15">
      <c r="B4" s="9" t="s">
        <v>105</v>
      </c>
    </row>
    <row r="5" spans="2:239" s="11" customFormat="1" x14ac:dyDescent="0.15">
      <c r="B5" s="12" t="s">
        <v>80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>
        <v>0.27</v>
      </c>
      <c r="AB5" s="27">
        <v>0.23</v>
      </c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</row>
    <row r="6" spans="2:239" s="11" customFormat="1" x14ac:dyDescent="0.15">
      <c r="B6" s="12" t="s">
        <v>81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>
        <v>0.19</v>
      </c>
      <c r="AA6" s="27">
        <v>0.18</v>
      </c>
      <c r="AB6" s="27">
        <v>0.17</v>
      </c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</row>
    <row r="7" spans="2:239" s="11" customFormat="1" x14ac:dyDescent="0.15">
      <c r="B7" s="12" t="s">
        <v>82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>
        <v>0.17</v>
      </c>
      <c r="AA7" s="27"/>
      <c r="AB7" s="27">
        <v>0.12</v>
      </c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</row>
    <row r="8" spans="2:239" s="11" customFormat="1" x14ac:dyDescent="0.15">
      <c r="B8" s="12" t="s">
        <v>83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>
        <v>0.14000000000000001</v>
      </c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</row>
    <row r="11" spans="2:239" s="13" customFormat="1" x14ac:dyDescent="0.15">
      <c r="B11" s="14" t="s">
        <v>15</v>
      </c>
      <c r="C11" s="26">
        <v>50360</v>
      </c>
      <c r="D11" s="26">
        <v>56692</v>
      </c>
      <c r="E11" s="26">
        <v>66394</v>
      </c>
      <c r="F11" s="26">
        <v>73369</v>
      </c>
      <c r="G11" s="26">
        <v>76309</v>
      </c>
      <c r="H11" s="26">
        <v>81325</v>
      </c>
      <c r="I11" s="26">
        <v>93342</v>
      </c>
      <c r="J11" s="26">
        <v>96778</v>
      </c>
      <c r="K11" s="26">
        <f>AVERAGE(84,90) * 10^3</f>
        <v>87000</v>
      </c>
      <c r="L11" s="26"/>
      <c r="M11" s="26"/>
      <c r="N11" s="26"/>
      <c r="S11" s="26"/>
      <c r="T11" s="26"/>
      <c r="U11" s="26"/>
      <c r="V11" s="26"/>
      <c r="W11" s="26"/>
      <c r="X11" s="26">
        <v>113996</v>
      </c>
      <c r="Y11" s="26">
        <v>143935</v>
      </c>
      <c r="Z11" s="26">
        <v>227068</v>
      </c>
      <c r="AA11" s="26">
        <v>224632</v>
      </c>
      <c r="AB11" s="26">
        <v>246815</v>
      </c>
      <c r="AC11" s="26">
        <f>SUM(G11:J11)</f>
        <v>347754</v>
      </c>
      <c r="AD11" s="26">
        <f>+AC11*1.2</f>
        <v>417304.8</v>
      </c>
      <c r="AE11" s="26">
        <f t="shared" ref="AE11:AM11" si="8">+AD11*1.16</f>
        <v>484073.56799999997</v>
      </c>
      <c r="AF11" s="26">
        <f t="shared" si="8"/>
        <v>561525.33887999994</v>
      </c>
      <c r="AG11" s="26">
        <f t="shared" si="8"/>
        <v>651369.39310079988</v>
      </c>
      <c r="AH11" s="26">
        <f t="shared" si="8"/>
        <v>755588.49599692784</v>
      </c>
      <c r="AI11" s="26">
        <f t="shared" si="8"/>
        <v>876482.65535643627</v>
      </c>
      <c r="AJ11" s="26">
        <f t="shared" si="8"/>
        <v>1016719.880213466</v>
      </c>
      <c r="AK11" s="26">
        <f t="shared" si="8"/>
        <v>1179395.0610476204</v>
      </c>
      <c r="AL11" s="26">
        <f t="shared" si="8"/>
        <v>1368098.2708152395</v>
      </c>
      <c r="AM11" s="26">
        <f t="shared" si="8"/>
        <v>1586993.9941456777</v>
      </c>
    </row>
    <row r="12" spans="2:239" s="13" customFormat="1" x14ac:dyDescent="0.15">
      <c r="B12" s="14" t="s">
        <v>16</v>
      </c>
      <c r="C12" s="26">
        <v>47476</v>
      </c>
      <c r="D12" s="26">
        <v>56380</v>
      </c>
      <c r="E12" s="26">
        <v>64105</v>
      </c>
      <c r="F12" s="26">
        <v>58211</v>
      </c>
      <c r="G12" s="26">
        <v>73975</v>
      </c>
      <c r="H12" s="26">
        <v>68607</v>
      </c>
      <c r="I12" s="26">
        <v>65120</v>
      </c>
      <c r="J12" s="26">
        <v>71676</v>
      </c>
      <c r="K12" s="26">
        <f>+G12</f>
        <v>73975</v>
      </c>
      <c r="L12" s="26"/>
      <c r="M12" s="26"/>
      <c r="N12" s="26"/>
      <c r="S12" s="26"/>
      <c r="T12" s="26"/>
      <c r="U12" s="26"/>
      <c r="V12" s="26"/>
      <c r="W12" s="26"/>
      <c r="X12" s="26">
        <v>84560</v>
      </c>
      <c r="Y12" s="26">
        <v>136706</v>
      </c>
      <c r="Z12" s="26">
        <v>139816</v>
      </c>
      <c r="AA12" s="26">
        <v>150110</v>
      </c>
      <c r="AB12" s="26">
        <v>226172</v>
      </c>
      <c r="AC12" s="26">
        <f>SUM(G12:J12)</f>
        <v>279378</v>
      </c>
      <c r="AD12" s="26">
        <f>+AC12*1.01</f>
        <v>282171.78000000003</v>
      </c>
      <c r="AE12" s="26">
        <f t="shared" ref="AE12:AM12" si="9">+AD12*1.01</f>
        <v>284993.49780000001</v>
      </c>
      <c r="AF12" s="26">
        <f t="shared" si="9"/>
        <v>287843.43277800002</v>
      </c>
      <c r="AG12" s="26">
        <f t="shared" si="9"/>
        <v>290721.86710577999</v>
      </c>
      <c r="AH12" s="26">
        <f t="shared" si="9"/>
        <v>293629.08577683778</v>
      </c>
      <c r="AI12" s="26">
        <f t="shared" si="9"/>
        <v>296565.37663460616</v>
      </c>
      <c r="AJ12" s="26">
        <f t="shared" si="9"/>
        <v>299531.03040095221</v>
      </c>
      <c r="AK12" s="26">
        <f t="shared" si="9"/>
        <v>302526.34070496174</v>
      </c>
      <c r="AL12" s="26">
        <f t="shared" si="9"/>
        <v>305551.60411201138</v>
      </c>
      <c r="AM12" s="26">
        <f t="shared" si="9"/>
        <v>308607.12015313149</v>
      </c>
    </row>
    <row r="13" spans="2:239" s="13" customFormat="1" x14ac:dyDescent="0.15">
      <c r="B13" s="14" t="s">
        <v>17</v>
      </c>
      <c r="C13" s="26">
        <v>20035</v>
      </c>
      <c r="D13" s="26">
        <v>19066</v>
      </c>
      <c r="E13" s="26">
        <v>15014</v>
      </c>
      <c r="F13" s="26">
        <v>29522</v>
      </c>
      <c r="G13" s="26">
        <v>16380</v>
      </c>
      <c r="H13" s="26">
        <v>22277</v>
      </c>
      <c r="I13" s="26">
        <v>20051</v>
      </c>
      <c r="J13" s="26">
        <v>21790</v>
      </c>
      <c r="K13" s="26">
        <f>AVERAGE(21,27) * 10^3</f>
        <v>24000</v>
      </c>
      <c r="L13" s="26"/>
      <c r="M13" s="26"/>
      <c r="N13" s="26"/>
      <c r="S13" s="26"/>
      <c r="T13" s="26"/>
      <c r="U13" s="26"/>
      <c r="V13" s="26"/>
      <c r="W13" s="26"/>
      <c r="X13" s="26">
        <v>47766</v>
      </c>
      <c r="Y13" s="26">
        <v>47663</v>
      </c>
      <c r="Z13" s="26">
        <v>87909</v>
      </c>
      <c r="AA13" s="26">
        <v>86375</v>
      </c>
      <c r="AB13" s="26">
        <v>83637</v>
      </c>
      <c r="AC13" s="26">
        <f>SUM(G13:J13)</f>
        <v>80498</v>
      </c>
      <c r="AD13" s="26">
        <f>+AC13*1.08</f>
        <v>86937.840000000011</v>
      </c>
      <c r="AE13" s="26">
        <f t="shared" ref="AE13:AM13" si="10">+AD13*1.08</f>
        <v>93892.867200000022</v>
      </c>
      <c r="AF13" s="26">
        <f t="shared" si="10"/>
        <v>101404.29657600004</v>
      </c>
      <c r="AG13" s="26">
        <f t="shared" si="10"/>
        <v>109516.64030208005</v>
      </c>
      <c r="AH13" s="26">
        <f t="shared" si="10"/>
        <v>118277.97152624646</v>
      </c>
      <c r="AI13" s="26">
        <f t="shared" si="10"/>
        <v>127740.20924834619</v>
      </c>
      <c r="AJ13" s="26">
        <f t="shared" si="10"/>
        <v>137959.42598821389</v>
      </c>
      <c r="AK13" s="26">
        <f t="shared" si="10"/>
        <v>148996.18006727099</v>
      </c>
      <c r="AL13" s="26">
        <f t="shared" si="10"/>
        <v>160915.87447265268</v>
      </c>
      <c r="AM13" s="26">
        <f t="shared" si="10"/>
        <v>173789.14443046489</v>
      </c>
    </row>
    <row r="14" spans="2:239" s="15" customFormat="1" x14ac:dyDescent="0.15">
      <c r="B14" s="16" t="s">
        <v>18</v>
      </c>
      <c r="C14" s="17">
        <f t="shared" ref="C14:N14" si="11">+SUM(C11:C13)</f>
        <v>117871</v>
      </c>
      <c r="D14" s="17">
        <f t="shared" si="11"/>
        <v>132138</v>
      </c>
      <c r="E14" s="17">
        <f t="shared" si="11"/>
        <v>145513</v>
      </c>
      <c r="F14" s="17">
        <f t="shared" si="11"/>
        <v>161102</v>
      </c>
      <c r="G14" s="17">
        <f t="shared" si="11"/>
        <v>166664</v>
      </c>
      <c r="H14" s="17">
        <f t="shared" si="11"/>
        <v>172209</v>
      </c>
      <c r="I14" s="17">
        <f t="shared" si="11"/>
        <v>178513</v>
      </c>
      <c r="J14" s="17">
        <f t="shared" si="11"/>
        <v>190244</v>
      </c>
      <c r="K14" s="17">
        <f t="shared" si="11"/>
        <v>184975</v>
      </c>
      <c r="L14" s="17">
        <f t="shared" si="11"/>
        <v>0</v>
      </c>
      <c r="M14" s="17">
        <f t="shared" si="11"/>
        <v>0</v>
      </c>
      <c r="N14" s="17">
        <f t="shared" si="11"/>
        <v>0</v>
      </c>
      <c r="T14" s="17">
        <f>336.6*1000</f>
        <v>336600</v>
      </c>
      <c r="U14" s="17">
        <v>393100</v>
      </c>
      <c r="V14" s="17">
        <v>231200</v>
      </c>
      <c r="W14" s="17">
        <v>227600</v>
      </c>
      <c r="X14" s="17">
        <f t="shared" ref="X14:AD14" si="12">+SUM(X11:X13)</f>
        <v>246322</v>
      </c>
      <c r="Y14" s="17">
        <f t="shared" si="12"/>
        <v>328304</v>
      </c>
      <c r="Z14" s="17">
        <f t="shared" si="12"/>
        <v>454793</v>
      </c>
      <c r="AA14" s="17">
        <f t="shared" si="12"/>
        <v>461117</v>
      </c>
      <c r="AB14" s="17">
        <f t="shared" si="12"/>
        <v>556624</v>
      </c>
      <c r="AC14" s="17">
        <f t="shared" si="12"/>
        <v>707630</v>
      </c>
      <c r="AD14" s="17">
        <f t="shared" si="12"/>
        <v>786414.42</v>
      </c>
      <c r="AE14" s="17">
        <f t="shared" ref="AE14:AM14" si="13">+SUM(AE11:AE13)</f>
        <v>862959.93299999996</v>
      </c>
      <c r="AF14" s="17">
        <f t="shared" si="13"/>
        <v>950773.06823400001</v>
      </c>
      <c r="AG14" s="17">
        <f t="shared" si="13"/>
        <v>1051607.9005086599</v>
      </c>
      <c r="AH14" s="17">
        <f t="shared" si="13"/>
        <v>1167495.5533000121</v>
      </c>
      <c r="AI14" s="17">
        <f t="shared" si="13"/>
        <v>1300788.2412393887</v>
      </c>
      <c r="AJ14" s="17">
        <f t="shared" si="13"/>
        <v>1454210.3366026322</v>
      </c>
      <c r="AK14" s="17">
        <f t="shared" si="13"/>
        <v>1630917.581819853</v>
      </c>
      <c r="AL14" s="17">
        <f t="shared" si="13"/>
        <v>1834565.7493999037</v>
      </c>
      <c r="AM14" s="17">
        <f t="shared" si="13"/>
        <v>2069390.2587292739</v>
      </c>
    </row>
    <row r="15" spans="2:239" s="13" customFormat="1" x14ac:dyDescent="0.15">
      <c r="B15" s="18" t="s">
        <v>98</v>
      </c>
      <c r="C15" s="24"/>
      <c r="D15" s="25">
        <f t="shared" ref="D15:J15" si="14">+D14/C14-1</f>
        <v>0.1210391020692112</v>
      </c>
      <c r="E15" s="25">
        <f t="shared" si="14"/>
        <v>0.10121993673280971</v>
      </c>
      <c r="F15" s="25">
        <f t="shared" si="14"/>
        <v>0.10713132160013195</v>
      </c>
      <c r="G15" s="25">
        <f t="shared" si="14"/>
        <v>3.4524711052625001E-2</v>
      </c>
      <c r="H15" s="25">
        <f t="shared" si="14"/>
        <v>3.3270532328517177E-2</v>
      </c>
      <c r="I15" s="25">
        <f t="shared" si="14"/>
        <v>3.660668141618606E-2</v>
      </c>
      <c r="J15" s="25">
        <f t="shared" si="14"/>
        <v>6.5715101981368207E-2</v>
      </c>
      <c r="K15" s="25">
        <f>+K14/J14-1</f>
        <v>-2.7696011437942869E-2</v>
      </c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 spans="2:239" s="13" customFormat="1" x14ac:dyDescent="0.15">
      <c r="B16" s="18" t="s">
        <v>99</v>
      </c>
      <c r="C16" s="24"/>
      <c r="D16" s="24"/>
      <c r="E16" s="24"/>
      <c r="F16" s="24"/>
      <c r="G16" s="25">
        <f t="shared" ref="G16:J16" si="15">+G14/C14-1</f>
        <v>0.41395254133756398</v>
      </c>
      <c r="H16" s="25">
        <f t="shared" si="15"/>
        <v>0.30325114652862917</v>
      </c>
      <c r="I16" s="25">
        <f t="shared" si="15"/>
        <v>0.22678386123576577</v>
      </c>
      <c r="J16" s="25">
        <f t="shared" si="15"/>
        <v>0.18089160904271817</v>
      </c>
      <c r="K16" s="25">
        <f>+K14/G14-1</f>
        <v>0.10986775788412606</v>
      </c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spans="2:239" s="15" customFormat="1" x14ac:dyDescent="0.15">
      <c r="B17" s="20"/>
      <c r="C17" s="21"/>
      <c r="D17" s="21"/>
      <c r="E17" s="21"/>
      <c r="F17" s="21"/>
      <c r="G17" s="21"/>
      <c r="H17" s="21"/>
      <c r="I17" s="21"/>
      <c r="J17" s="21"/>
      <c r="K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</row>
    <row r="18" spans="2:239" s="13" customFormat="1" x14ac:dyDescent="0.15">
      <c r="B18" s="14" t="s">
        <v>19</v>
      </c>
      <c r="C18" s="26">
        <v>20048</v>
      </c>
      <c r="D18" s="26">
        <v>22779</v>
      </c>
      <c r="E18" s="26">
        <v>24554</v>
      </c>
      <c r="F18" s="26">
        <v>28494</v>
      </c>
      <c r="G18" s="26">
        <v>30583</v>
      </c>
      <c r="H18" s="26">
        <v>32418</v>
      </c>
      <c r="I18" s="26">
        <v>34337</v>
      </c>
      <c r="J18" s="26">
        <v>37342</v>
      </c>
      <c r="K18" s="26"/>
      <c r="L18" s="26"/>
      <c r="M18" s="26"/>
      <c r="N18" s="26"/>
      <c r="S18" s="26"/>
      <c r="T18" s="26"/>
      <c r="U18" s="26"/>
      <c r="V18" s="26"/>
      <c r="W18" s="26"/>
      <c r="X18" s="26">
        <v>37749</v>
      </c>
      <c r="Y18" s="26">
        <v>49397</v>
      </c>
      <c r="Z18" s="26">
        <v>88976</v>
      </c>
      <c r="AA18" s="26">
        <v>84495</v>
      </c>
      <c r="AB18" s="26">
        <v>95875</v>
      </c>
      <c r="AC18" s="26">
        <f>SUM(G18:J18)</f>
        <v>134680</v>
      </c>
      <c r="AD18" s="26">
        <f>+AD$14*(AC18/AC$14)</f>
        <v>149674.68039173016</v>
      </c>
      <c r="AE18" s="26">
        <f t="shared" ref="AE18:AM19" si="16">+AE$14*(AD18/AD$14)</f>
        <v>164243.23979542981</v>
      </c>
      <c r="AF18" s="26">
        <f t="shared" si="16"/>
        <v>180956.31450016977</v>
      </c>
      <c r="AG18" s="26">
        <f t="shared" si="16"/>
        <v>200147.74958736394</v>
      </c>
      <c r="AH18" s="26">
        <f t="shared" si="16"/>
        <v>222204.11955180767</v>
      </c>
      <c r="AI18" s="26">
        <f t="shared" si="16"/>
        <v>247573.11070774402</v>
      </c>
      <c r="AJ18" s="26">
        <f t="shared" si="16"/>
        <v>276773.24044153374</v>
      </c>
      <c r="AK18" s="26">
        <f t="shared" si="16"/>
        <v>310405.1268593726</v>
      </c>
      <c r="AL18" s="26">
        <f t="shared" si="16"/>
        <v>349164.55651849002</v>
      </c>
      <c r="AM18" s="26">
        <f t="shared" si="16"/>
        <v>393857.63753043074</v>
      </c>
    </row>
    <row r="19" spans="2:239" s="13" customFormat="1" x14ac:dyDescent="0.15">
      <c r="B19" s="14" t="s">
        <v>20</v>
      </c>
      <c r="C19" s="26">
        <v>555</v>
      </c>
      <c r="D19" s="26">
        <v>1000</v>
      </c>
      <c r="E19" s="26">
        <v>752</v>
      </c>
      <c r="F19" s="26">
        <v>721</v>
      </c>
      <c r="G19" s="26">
        <v>546</v>
      </c>
      <c r="H19" s="26">
        <v>631</v>
      </c>
      <c r="I19" s="26">
        <v>531</v>
      </c>
      <c r="J19" s="26">
        <v>1148</v>
      </c>
      <c r="K19" s="26"/>
      <c r="L19" s="26"/>
      <c r="M19" s="26"/>
      <c r="N19" s="26"/>
      <c r="S19" s="26"/>
      <c r="T19" s="26"/>
      <c r="U19" s="26"/>
      <c r="V19" s="26"/>
      <c r="W19" s="26"/>
      <c r="X19" s="26">
        <v>5647</v>
      </c>
      <c r="Y19" s="26">
        <v>4756</v>
      </c>
      <c r="Z19" s="26">
        <v>4668</v>
      </c>
      <c r="AA19" s="26">
        <v>5403</v>
      </c>
      <c r="AB19" s="26">
        <v>3028</v>
      </c>
      <c r="AC19" s="26">
        <f>SUM(G19:J19)</f>
        <v>2856</v>
      </c>
      <c r="AD19" s="26">
        <f>+AD$14*(AC19/AC$14)</f>
        <v>3173.9745114254624</v>
      </c>
      <c r="AE19" s="26">
        <f t="shared" si="16"/>
        <v>3482.9127773667024</v>
      </c>
      <c r="AF19" s="26">
        <f t="shared" si="16"/>
        <v>3837.3272513549509</v>
      </c>
      <c r="AG19" s="26">
        <f t="shared" si="16"/>
        <v>4244.2973924971138</v>
      </c>
      <c r="AH19" s="26">
        <f t="shared" si="16"/>
        <v>4712.0208304125526</v>
      </c>
      <c r="AI19" s="26">
        <f t="shared" si="16"/>
        <v>5249.9911210373975</v>
      </c>
      <c r="AJ19" s="26">
        <f t="shared" si="16"/>
        <v>5869.2038513589268</v>
      </c>
      <c r="AK19" s="26">
        <f t="shared" si="16"/>
        <v>6582.3956215501039</v>
      </c>
      <c r="AL19" s="26">
        <f t="shared" si="16"/>
        <v>7404.3211569409505</v>
      </c>
      <c r="AM19" s="26">
        <f t="shared" si="16"/>
        <v>8352.0746420174473</v>
      </c>
    </row>
    <row r="20" spans="2:239" s="15" customFormat="1" x14ac:dyDescent="0.15">
      <c r="B20" s="22" t="s">
        <v>21</v>
      </c>
      <c r="C20" s="15">
        <f t="shared" ref="C20:N20" si="17">+C14-SUM(C18:C19)</f>
        <v>97268</v>
      </c>
      <c r="D20" s="15">
        <f t="shared" si="17"/>
        <v>108359</v>
      </c>
      <c r="E20" s="15">
        <f t="shared" si="17"/>
        <v>120207</v>
      </c>
      <c r="F20" s="15">
        <f t="shared" si="17"/>
        <v>131887</v>
      </c>
      <c r="G20" s="15">
        <f t="shared" si="17"/>
        <v>135535</v>
      </c>
      <c r="H20" s="15">
        <f t="shared" si="17"/>
        <v>139160</v>
      </c>
      <c r="I20" s="15">
        <f t="shared" si="17"/>
        <v>143645</v>
      </c>
      <c r="J20" s="15">
        <f t="shared" si="17"/>
        <v>151754</v>
      </c>
      <c r="K20" s="15">
        <f t="shared" si="17"/>
        <v>184975</v>
      </c>
      <c r="L20" s="15">
        <f t="shared" si="17"/>
        <v>0</v>
      </c>
      <c r="M20" s="15">
        <f t="shared" si="17"/>
        <v>0</v>
      </c>
      <c r="N20" s="15">
        <f t="shared" si="17"/>
        <v>0</v>
      </c>
      <c r="X20" s="15">
        <f t="shared" ref="X20:AD20" si="18">+X14-SUM(X18:X19)</f>
        <v>202926</v>
      </c>
      <c r="Y20" s="15">
        <f t="shared" si="18"/>
        <v>274151</v>
      </c>
      <c r="Z20" s="15">
        <f t="shared" si="18"/>
        <v>361149</v>
      </c>
      <c r="AA20" s="15">
        <f t="shared" si="18"/>
        <v>371219</v>
      </c>
      <c r="AB20" s="15">
        <f t="shared" si="18"/>
        <v>457721</v>
      </c>
      <c r="AC20" s="15">
        <f t="shared" si="18"/>
        <v>570094</v>
      </c>
      <c r="AD20" s="15">
        <f t="shared" si="18"/>
        <v>633565.76509684441</v>
      </c>
      <c r="AE20" s="15">
        <f t="shared" ref="AE20:AM20" si="19">+AE14-SUM(AE18:AE19)</f>
        <v>695233.78042720351</v>
      </c>
      <c r="AF20" s="15">
        <f t="shared" si="19"/>
        <v>765979.42648247525</v>
      </c>
      <c r="AG20" s="15">
        <f t="shared" si="19"/>
        <v>847215.85352879879</v>
      </c>
      <c r="AH20" s="15">
        <f t="shared" si="19"/>
        <v>940579.41291779187</v>
      </c>
      <c r="AI20" s="15">
        <f t="shared" si="19"/>
        <v>1047965.1394106073</v>
      </c>
      <c r="AJ20" s="15">
        <f t="shared" si="19"/>
        <v>1171567.8923097395</v>
      </c>
      <c r="AK20" s="15">
        <f t="shared" si="19"/>
        <v>1313930.0593389303</v>
      </c>
      <c r="AL20" s="15">
        <f t="shared" si="19"/>
        <v>1477996.8717244728</v>
      </c>
      <c r="AM20" s="15">
        <f t="shared" si="19"/>
        <v>1667180.5465568257</v>
      </c>
    </row>
    <row r="21" spans="2:239" s="13" customFormat="1" x14ac:dyDescent="0.15">
      <c r="B21" s="14" t="s">
        <v>22</v>
      </c>
      <c r="C21" s="26">
        <v>37359</v>
      </c>
      <c r="D21" s="26">
        <v>40525</v>
      </c>
      <c r="E21" s="26">
        <v>41299</v>
      </c>
      <c r="F21" s="26">
        <v>43698</v>
      </c>
      <c r="G21" s="26">
        <v>42620</v>
      </c>
      <c r="H21" s="26">
        <v>40525</v>
      </c>
      <c r="I21" s="26">
        <v>49511</v>
      </c>
      <c r="J21" s="26">
        <v>49246</v>
      </c>
      <c r="K21" s="26"/>
      <c r="L21" s="26"/>
      <c r="M21" s="26"/>
      <c r="N21" s="26"/>
      <c r="S21" s="26"/>
      <c r="T21" s="26"/>
      <c r="U21" s="26"/>
      <c r="V21" s="26"/>
      <c r="W21" s="26"/>
      <c r="X21" s="26">
        <v>139837</v>
      </c>
      <c r="Y21" s="26">
        <v>135678</v>
      </c>
      <c r="Z21" s="26">
        <v>158769</v>
      </c>
      <c r="AA21" s="26">
        <v>156827</v>
      </c>
      <c r="AB21" s="26">
        <v>162881</v>
      </c>
      <c r="AC21" s="26">
        <f>SUM(G21:J21)</f>
        <v>181902</v>
      </c>
      <c r="AD21" s="26">
        <f>+AD$14*(AC21/AC$14)</f>
        <v>202154.17072034822</v>
      </c>
      <c r="AE21" s="26">
        <f t="shared" ref="AE21:AM21" si="20">+AE$14*(AD21/AD$14)</f>
        <v>221830.81233492927</v>
      </c>
      <c r="AF21" s="26">
        <f t="shared" si="20"/>
        <v>244403.88714144548</v>
      </c>
      <c r="AG21" s="26">
        <f t="shared" si="20"/>
        <v>270324.29421919119</v>
      </c>
      <c r="AH21" s="26">
        <f t="shared" si="20"/>
        <v>300114.15024289361</v>
      </c>
      <c r="AI21" s="26">
        <f t="shared" si="20"/>
        <v>334378.11095901427</v>
      </c>
      <c r="AJ21" s="26">
        <f t="shared" si="20"/>
        <v>373816.49823875754</v>
      </c>
      <c r="AK21" s="26">
        <f t="shared" si="20"/>
        <v>419240.52113137505</v>
      </c>
      <c r="AL21" s="26">
        <f t="shared" si="20"/>
        <v>471589.92545163614</v>
      </c>
      <c r="AM21" s="26">
        <f t="shared" si="20"/>
        <v>531953.45992025826</v>
      </c>
    </row>
    <row r="22" spans="2:239" s="13" customFormat="1" x14ac:dyDescent="0.15">
      <c r="B22" s="14" t="s">
        <v>23</v>
      </c>
      <c r="C22" s="26">
        <v>25827</v>
      </c>
      <c r="D22" s="26">
        <v>24402</v>
      </c>
      <c r="E22" s="26">
        <v>25867</v>
      </c>
      <c r="F22" s="26">
        <v>27998</v>
      </c>
      <c r="G22" s="26">
        <v>28058</v>
      </c>
      <c r="H22" s="26">
        <v>24402</v>
      </c>
      <c r="I22" s="26">
        <v>29155</v>
      </c>
      <c r="J22" s="26">
        <v>29961</v>
      </c>
      <c r="K22" s="26"/>
      <c r="L22" s="26"/>
      <c r="M22" s="26"/>
      <c r="N22" s="26"/>
      <c r="S22" s="26"/>
      <c r="T22" s="26"/>
      <c r="U22" s="26"/>
      <c r="V22" s="26"/>
      <c r="W22" s="26"/>
      <c r="X22" s="26">
        <v>86441</v>
      </c>
      <c r="Y22" s="26">
        <v>91057</v>
      </c>
      <c r="Z22" s="26">
        <v>106718</v>
      </c>
      <c r="AA22" s="26">
        <v>108149</v>
      </c>
      <c r="AB22" s="26">
        <v>104094</v>
      </c>
      <c r="AC22" s="26">
        <f>SUM(G22:J22)</f>
        <v>111576</v>
      </c>
      <c r="AD22" s="26">
        <f>+AD$14*(AC22/AC$14)</f>
        <v>123998.38238333593</v>
      </c>
      <c r="AE22" s="26">
        <f t="shared" ref="AE22:AM22" si="21">+AE$14*(AD22/AD$14)</f>
        <v>136067.74371409917</v>
      </c>
      <c r="AF22" s="26">
        <f t="shared" si="21"/>
        <v>149913.73438276612</v>
      </c>
      <c r="AG22" s="26">
        <f t="shared" si="21"/>
        <v>165812.92922453012</v>
      </c>
      <c r="AH22" s="26">
        <f t="shared" si="21"/>
        <v>184085.58689569714</v>
      </c>
      <c r="AI22" s="26">
        <f t="shared" si="21"/>
        <v>205102.59430002409</v>
      </c>
      <c r="AJ22" s="26">
        <f t="shared" si="21"/>
        <v>229293.51852913995</v>
      </c>
      <c r="AK22" s="26">
        <f t="shared" si="21"/>
        <v>257155.94323181879</v>
      </c>
      <c r="AL22" s="26">
        <f t="shared" si="21"/>
        <v>289266.29461023933</v>
      </c>
      <c r="AM22" s="26">
        <f t="shared" si="21"/>
        <v>326292.39504822786</v>
      </c>
    </row>
    <row r="23" spans="2:239" s="15" customFormat="1" x14ac:dyDescent="0.15">
      <c r="B23" s="22" t="s">
        <v>24</v>
      </c>
      <c r="C23" s="15">
        <f t="shared" ref="C23:N23" si="22">+C20-SUM(C21:C22)</f>
        <v>34082</v>
      </c>
      <c r="D23" s="15">
        <f t="shared" si="22"/>
        <v>43432</v>
      </c>
      <c r="E23" s="15">
        <f t="shared" si="22"/>
        <v>53041</v>
      </c>
      <c r="F23" s="15">
        <f t="shared" si="22"/>
        <v>60191</v>
      </c>
      <c r="G23" s="15">
        <f t="shared" si="22"/>
        <v>64857</v>
      </c>
      <c r="H23" s="15">
        <f t="shared" si="22"/>
        <v>74233</v>
      </c>
      <c r="I23" s="15">
        <f t="shared" si="22"/>
        <v>64979</v>
      </c>
      <c r="J23" s="15">
        <f t="shared" si="22"/>
        <v>72547</v>
      </c>
      <c r="K23" s="15">
        <f t="shared" si="22"/>
        <v>184975</v>
      </c>
      <c r="L23" s="15">
        <f t="shared" si="22"/>
        <v>0</v>
      </c>
      <c r="M23" s="15">
        <f t="shared" si="22"/>
        <v>0</v>
      </c>
      <c r="N23" s="15">
        <f t="shared" si="22"/>
        <v>0</v>
      </c>
      <c r="X23" s="15">
        <f t="shared" ref="X23:AD23" si="23">+X20-SUM(X21:X22)</f>
        <v>-23352</v>
      </c>
      <c r="Y23" s="15">
        <f t="shared" si="23"/>
        <v>47416</v>
      </c>
      <c r="Z23" s="15">
        <f t="shared" si="23"/>
        <v>95662</v>
      </c>
      <c r="AA23" s="15">
        <f t="shared" si="23"/>
        <v>106243</v>
      </c>
      <c r="AB23" s="15">
        <f t="shared" si="23"/>
        <v>190746</v>
      </c>
      <c r="AC23" s="15">
        <f t="shared" si="23"/>
        <v>276616</v>
      </c>
      <c r="AD23" s="15">
        <f t="shared" si="23"/>
        <v>307413.21199316025</v>
      </c>
      <c r="AE23" s="15">
        <f t="shared" ref="AE23:AM23" si="24">+AE20-SUM(AE21:AE22)</f>
        <v>337335.2243781751</v>
      </c>
      <c r="AF23" s="15">
        <f t="shared" si="24"/>
        <v>371661.80495826364</v>
      </c>
      <c r="AG23" s="15">
        <f t="shared" si="24"/>
        <v>411078.63008507749</v>
      </c>
      <c r="AH23" s="15">
        <f t="shared" si="24"/>
        <v>456379.67577920109</v>
      </c>
      <c r="AI23" s="15">
        <f t="shared" si="24"/>
        <v>508484.43415156892</v>
      </c>
      <c r="AJ23" s="15">
        <f t="shared" si="24"/>
        <v>568457.87554184196</v>
      </c>
      <c r="AK23" s="15">
        <f t="shared" si="24"/>
        <v>637533.59497573646</v>
      </c>
      <c r="AL23" s="15">
        <f t="shared" si="24"/>
        <v>717140.65166259743</v>
      </c>
      <c r="AM23" s="15">
        <f t="shared" si="24"/>
        <v>808934.69158833963</v>
      </c>
    </row>
    <row r="24" spans="2:239" s="13" customFormat="1" x14ac:dyDescent="0.15">
      <c r="B24" s="14" t="s">
        <v>25</v>
      </c>
      <c r="C24" s="26">
        <f>4587-366</f>
        <v>4221</v>
      </c>
      <c r="D24" s="26">
        <f>4400-371</f>
        <v>4029</v>
      </c>
      <c r="E24" s="26">
        <f>4667-327</f>
        <v>4340</v>
      </c>
      <c r="F24" s="26">
        <f>4796-352</f>
        <v>4444</v>
      </c>
      <c r="G24" s="26">
        <f>4856-377</f>
        <v>4479</v>
      </c>
      <c r="H24" s="26">
        <f>4400-371</f>
        <v>4029</v>
      </c>
      <c r="I24" s="26">
        <f>6327-294</f>
        <v>6033</v>
      </c>
      <c r="J24" s="26">
        <f>6700-320</f>
        <v>6380</v>
      </c>
      <c r="K24" s="26"/>
      <c r="L24" s="26"/>
      <c r="M24" s="26"/>
      <c r="N24" s="26"/>
      <c r="S24" s="26"/>
      <c r="T24" s="26"/>
      <c r="U24" s="26"/>
      <c r="V24" s="26"/>
      <c r="W24" s="26"/>
      <c r="X24" s="26">
        <f>17855-10340</f>
        <v>7515</v>
      </c>
      <c r="Y24" s="26">
        <f>9711-10706</f>
        <v>-995</v>
      </c>
      <c r="Z24" s="26">
        <f>7771-1874</f>
        <v>5897</v>
      </c>
      <c r="AA24" s="26">
        <f>11327-1490</f>
        <v>9837</v>
      </c>
      <c r="AB24" s="26">
        <f>18450-1416</f>
        <v>17034</v>
      </c>
      <c r="AC24" s="26">
        <f>SUM(G24:J24)</f>
        <v>20921</v>
      </c>
      <c r="AD24" s="26">
        <f>+AC24</f>
        <v>20921</v>
      </c>
      <c r="AE24" s="26">
        <f t="shared" ref="AE24:AM24" si="25">+AD24</f>
        <v>20921</v>
      </c>
      <c r="AF24" s="26">
        <f t="shared" si="25"/>
        <v>20921</v>
      </c>
      <c r="AG24" s="26">
        <f t="shared" si="25"/>
        <v>20921</v>
      </c>
      <c r="AH24" s="26">
        <f t="shared" si="25"/>
        <v>20921</v>
      </c>
      <c r="AI24" s="26">
        <f t="shared" si="25"/>
        <v>20921</v>
      </c>
      <c r="AJ24" s="26">
        <f t="shared" si="25"/>
        <v>20921</v>
      </c>
      <c r="AK24" s="26">
        <f t="shared" si="25"/>
        <v>20921</v>
      </c>
      <c r="AL24" s="26">
        <f t="shared" si="25"/>
        <v>20921</v>
      </c>
      <c r="AM24" s="26">
        <f t="shared" si="25"/>
        <v>20921</v>
      </c>
    </row>
    <row r="25" spans="2:239" s="13" customFormat="1" x14ac:dyDescent="0.15">
      <c r="B25" s="14" t="s">
        <v>26</v>
      </c>
      <c r="C25" s="13">
        <f t="shared" ref="C25:N25" si="26">+C23+C24</f>
        <v>38303</v>
      </c>
      <c r="D25" s="13">
        <f t="shared" si="26"/>
        <v>47461</v>
      </c>
      <c r="E25" s="13">
        <f t="shared" si="26"/>
        <v>57381</v>
      </c>
      <c r="F25" s="13">
        <f t="shared" si="26"/>
        <v>64635</v>
      </c>
      <c r="G25" s="13">
        <f t="shared" si="26"/>
        <v>69336</v>
      </c>
      <c r="H25" s="13">
        <f t="shared" si="26"/>
        <v>78262</v>
      </c>
      <c r="I25" s="13">
        <f t="shared" si="26"/>
        <v>71012</v>
      </c>
      <c r="J25" s="13">
        <f t="shared" si="26"/>
        <v>78927</v>
      </c>
      <c r="K25" s="13">
        <f t="shared" si="26"/>
        <v>184975</v>
      </c>
      <c r="L25" s="13">
        <f t="shared" si="26"/>
        <v>0</v>
      </c>
      <c r="M25" s="13">
        <f t="shared" si="26"/>
        <v>0</v>
      </c>
      <c r="N25" s="13">
        <f t="shared" si="26"/>
        <v>0</v>
      </c>
      <c r="X25" s="13">
        <f t="shared" ref="X25:AD25" si="27">+X23+X24</f>
        <v>-15837</v>
      </c>
      <c r="Y25" s="13">
        <f t="shared" si="27"/>
        <v>46421</v>
      </c>
      <c r="Z25" s="13">
        <f t="shared" si="27"/>
        <v>101559</v>
      </c>
      <c r="AA25" s="13">
        <f t="shared" si="27"/>
        <v>116080</v>
      </c>
      <c r="AB25" s="13">
        <f t="shared" si="27"/>
        <v>207780</v>
      </c>
      <c r="AC25" s="13">
        <f t="shared" si="27"/>
        <v>297537</v>
      </c>
      <c r="AD25" s="13">
        <f t="shared" si="27"/>
        <v>328334.21199316025</v>
      </c>
      <c r="AE25" s="13">
        <f t="shared" ref="AE25:AM25" si="28">+AE23+AE24</f>
        <v>358256.2243781751</v>
      </c>
      <c r="AF25" s="13">
        <f t="shared" si="28"/>
        <v>392582.80495826364</v>
      </c>
      <c r="AG25" s="13">
        <f t="shared" si="28"/>
        <v>431999.63008507749</v>
      </c>
      <c r="AH25" s="13">
        <f t="shared" si="28"/>
        <v>477300.67577920109</v>
      </c>
      <c r="AI25" s="13">
        <f t="shared" si="28"/>
        <v>529405.43415156892</v>
      </c>
      <c r="AJ25" s="13">
        <f t="shared" si="28"/>
        <v>589378.87554184196</v>
      </c>
      <c r="AK25" s="13">
        <f t="shared" si="28"/>
        <v>658454.59497573646</v>
      </c>
      <c r="AL25" s="13">
        <f t="shared" si="28"/>
        <v>738061.65166259743</v>
      </c>
      <c r="AM25" s="13">
        <f t="shared" si="28"/>
        <v>829855.69158833963</v>
      </c>
    </row>
    <row r="26" spans="2:239" s="13" customFormat="1" x14ac:dyDescent="0.15">
      <c r="B26" s="14" t="s">
        <v>27</v>
      </c>
      <c r="C26" s="26">
        <v>1454</v>
      </c>
      <c r="D26" s="26">
        <v>8295</v>
      </c>
      <c r="E26" s="26">
        <v>10370</v>
      </c>
      <c r="F26" s="26">
        <v>103</v>
      </c>
      <c r="G26" s="26">
        <v>7320</v>
      </c>
      <c r="H26" s="26">
        <v>8295</v>
      </c>
      <c r="I26" s="26">
        <v>20911</v>
      </c>
      <c r="J26" s="26">
        <v>13367</v>
      </c>
      <c r="K26" s="26"/>
      <c r="L26" s="26"/>
      <c r="M26" s="26"/>
      <c r="N26" s="26"/>
      <c r="S26" s="26"/>
      <c r="T26" s="26"/>
      <c r="U26" s="26"/>
      <c r="V26" s="26"/>
      <c r="W26" s="26"/>
      <c r="X26" s="26">
        <v>3932</v>
      </c>
      <c r="Y26" s="26">
        <v>4952</v>
      </c>
      <c r="Z26" s="26">
        <v>6485</v>
      </c>
      <c r="AA26" s="26">
        <v>-146744</v>
      </c>
      <c r="AB26" s="26">
        <v>20222</v>
      </c>
      <c r="AC26" s="26">
        <v>13367</v>
      </c>
      <c r="AD26" s="26">
        <f>+AD$25*(AC26/AC$25)</f>
        <v>14750.580303332268</v>
      </c>
      <c r="AE26" s="26">
        <f t="shared" ref="AE26:AM26" si="29">+AE$25*(AD26/AD$25)</f>
        <v>16094.841822237457</v>
      </c>
      <c r="AF26" s="26">
        <f t="shared" si="29"/>
        <v>17636.980791891798</v>
      </c>
      <c r="AG26" s="26">
        <f t="shared" si="29"/>
        <v>19407.801568703155</v>
      </c>
      <c r="AH26" s="26">
        <f t="shared" si="29"/>
        <v>21442.973926404382</v>
      </c>
      <c r="AI26" s="26">
        <f t="shared" si="29"/>
        <v>23783.806512480871</v>
      </c>
      <c r="AJ26" s="26">
        <f t="shared" si="29"/>
        <v>26478.143657319262</v>
      </c>
      <c r="AK26" s="26">
        <f t="shared" si="29"/>
        <v>29581.405240493346</v>
      </c>
      <c r="AL26" s="26">
        <f t="shared" si="29"/>
        <v>33157.792468748223</v>
      </c>
      <c r="AM26" s="26">
        <f t="shared" si="29"/>
        <v>37281.686074207028</v>
      </c>
    </row>
    <row r="27" spans="2:239" s="15" customFormat="1" x14ac:dyDescent="0.15">
      <c r="B27" s="16" t="s">
        <v>28</v>
      </c>
      <c r="C27" s="17">
        <f t="shared" ref="C27:N27" si="30">+C25-C26</f>
        <v>36849</v>
      </c>
      <c r="D27" s="17">
        <f t="shared" si="30"/>
        <v>39166</v>
      </c>
      <c r="E27" s="17">
        <f t="shared" si="30"/>
        <v>47011</v>
      </c>
      <c r="F27" s="17">
        <f t="shared" si="30"/>
        <v>64532</v>
      </c>
      <c r="G27" s="17">
        <f t="shared" si="30"/>
        <v>62016</v>
      </c>
      <c r="H27" s="17">
        <f t="shared" si="30"/>
        <v>69967</v>
      </c>
      <c r="I27" s="17">
        <f t="shared" si="30"/>
        <v>50101</v>
      </c>
      <c r="J27" s="17">
        <f t="shared" si="30"/>
        <v>65560</v>
      </c>
      <c r="K27" s="17">
        <f t="shared" si="30"/>
        <v>184975</v>
      </c>
      <c r="L27" s="17">
        <f t="shared" si="30"/>
        <v>0</v>
      </c>
      <c r="M27" s="17">
        <f t="shared" si="30"/>
        <v>0</v>
      </c>
      <c r="N27" s="17">
        <f t="shared" si="30"/>
        <v>0</v>
      </c>
      <c r="T27" s="17"/>
      <c r="U27" s="17"/>
      <c r="V27" s="17"/>
      <c r="W27" s="17"/>
      <c r="X27" s="17">
        <f t="shared" ref="X27:AD27" si="31">+X25-X26</f>
        <v>-19769</v>
      </c>
      <c r="Y27" s="17">
        <f t="shared" si="31"/>
        <v>41469</v>
      </c>
      <c r="Z27" s="17">
        <f t="shared" si="31"/>
        <v>95074</v>
      </c>
      <c r="AA27" s="17">
        <f t="shared" si="31"/>
        <v>262824</v>
      </c>
      <c r="AB27" s="17">
        <f t="shared" si="31"/>
        <v>187558</v>
      </c>
      <c r="AC27" s="17">
        <f t="shared" si="31"/>
        <v>284170</v>
      </c>
      <c r="AD27" s="17">
        <f t="shared" si="31"/>
        <v>313583.63168982801</v>
      </c>
      <c r="AE27" s="17">
        <f t="shared" ref="AE27:AM27" si="32">+AE25-AE26</f>
        <v>342161.38255593763</v>
      </c>
      <c r="AF27" s="17">
        <f t="shared" si="32"/>
        <v>374945.82416637184</v>
      </c>
      <c r="AG27" s="17">
        <f t="shared" si="32"/>
        <v>412591.82851637434</v>
      </c>
      <c r="AH27" s="17">
        <f t="shared" si="32"/>
        <v>455857.70185279672</v>
      </c>
      <c r="AI27" s="17">
        <f t="shared" si="32"/>
        <v>505621.62763908802</v>
      </c>
      <c r="AJ27" s="17">
        <f t="shared" si="32"/>
        <v>562900.73188452271</v>
      </c>
      <c r="AK27" s="17">
        <f t="shared" si="32"/>
        <v>628873.1897352431</v>
      </c>
      <c r="AL27" s="17">
        <f t="shared" si="32"/>
        <v>704903.85919384926</v>
      </c>
      <c r="AM27" s="17">
        <f t="shared" si="32"/>
        <v>792574.00551413256</v>
      </c>
      <c r="AN27" s="15">
        <f>+AM27*(1+$AP$35)</f>
        <v>800499.74556927395</v>
      </c>
      <c r="AO27" s="15">
        <f t="shared" ref="AO27:CZ27" si="33">+AN27*(1+$AP$35)</f>
        <v>808504.74302496668</v>
      </c>
      <c r="AP27" s="15">
        <f t="shared" si="33"/>
        <v>816589.79045521631</v>
      </c>
      <c r="AQ27" s="15">
        <f t="shared" si="33"/>
        <v>824755.68835976848</v>
      </c>
      <c r="AR27" s="15">
        <f t="shared" si="33"/>
        <v>833003.24524336623</v>
      </c>
      <c r="AS27" s="15">
        <f t="shared" si="33"/>
        <v>841333.27769579994</v>
      </c>
      <c r="AT27" s="15">
        <f t="shared" si="33"/>
        <v>849746.61047275795</v>
      </c>
      <c r="AU27" s="15">
        <f t="shared" si="33"/>
        <v>858244.07657748554</v>
      </c>
      <c r="AV27" s="15">
        <f t="shared" si="33"/>
        <v>866826.51734326035</v>
      </c>
      <c r="AW27" s="15">
        <f t="shared" si="33"/>
        <v>875494.782516693</v>
      </c>
      <c r="AX27" s="15">
        <f t="shared" si="33"/>
        <v>884249.73034185998</v>
      </c>
      <c r="AY27" s="15">
        <f t="shared" si="33"/>
        <v>893092.22764527856</v>
      </c>
      <c r="AZ27" s="15">
        <f t="shared" si="33"/>
        <v>902023.14992173132</v>
      </c>
      <c r="BA27" s="15">
        <f t="shared" si="33"/>
        <v>911043.38142094866</v>
      </c>
      <c r="BB27" s="15">
        <f t="shared" si="33"/>
        <v>920153.8152351582</v>
      </c>
      <c r="BC27" s="15">
        <f t="shared" si="33"/>
        <v>929355.35338750982</v>
      </c>
      <c r="BD27" s="15">
        <f t="shared" si="33"/>
        <v>938648.90692138497</v>
      </c>
      <c r="BE27" s="15">
        <f t="shared" si="33"/>
        <v>948035.39599059883</v>
      </c>
      <c r="BF27" s="15">
        <f t="shared" si="33"/>
        <v>957515.74995050486</v>
      </c>
      <c r="BG27" s="15">
        <f t="shared" si="33"/>
        <v>967090.90745000995</v>
      </c>
      <c r="BH27" s="15">
        <f t="shared" si="33"/>
        <v>976761.81652451004</v>
      </c>
      <c r="BI27" s="15">
        <f t="shared" si="33"/>
        <v>986529.4346897552</v>
      </c>
      <c r="BJ27" s="15">
        <f t="shared" si="33"/>
        <v>996394.72903665272</v>
      </c>
      <c r="BK27" s="15">
        <f t="shared" si="33"/>
        <v>1006358.6763270192</v>
      </c>
      <c r="BL27" s="15">
        <f t="shared" si="33"/>
        <v>1016422.2630902894</v>
      </c>
      <c r="BM27" s="15">
        <f t="shared" si="33"/>
        <v>1026586.4857211923</v>
      </c>
      <c r="BN27" s="15">
        <f t="shared" si="33"/>
        <v>1036852.3505784043</v>
      </c>
      <c r="BO27" s="15">
        <f t="shared" si="33"/>
        <v>1047220.8740841884</v>
      </c>
      <c r="BP27" s="15">
        <f t="shared" si="33"/>
        <v>1057693.0828250302</v>
      </c>
      <c r="BQ27" s="15">
        <f t="shared" si="33"/>
        <v>1068270.0136532804</v>
      </c>
      <c r="BR27" s="15">
        <f t="shared" si="33"/>
        <v>1078952.7137898132</v>
      </c>
      <c r="BS27" s="15">
        <f t="shared" si="33"/>
        <v>1089742.2409277114</v>
      </c>
      <c r="BT27" s="15">
        <f t="shared" si="33"/>
        <v>1100639.6633369885</v>
      </c>
      <c r="BU27" s="15">
        <f t="shared" si="33"/>
        <v>1111646.0599703584</v>
      </c>
      <c r="BV27" s="15">
        <f t="shared" si="33"/>
        <v>1122762.5205700619</v>
      </c>
      <c r="BW27" s="15">
        <f t="shared" si="33"/>
        <v>1133990.1457757624</v>
      </c>
      <c r="BX27" s="15">
        <f t="shared" si="33"/>
        <v>1145330.0472335201</v>
      </c>
      <c r="BY27" s="15">
        <f t="shared" si="33"/>
        <v>1156783.3477058553</v>
      </c>
      <c r="BZ27" s="15">
        <f t="shared" si="33"/>
        <v>1168351.1811829137</v>
      </c>
      <c r="CA27" s="15">
        <f t="shared" si="33"/>
        <v>1180034.6929947429</v>
      </c>
      <c r="CB27" s="15">
        <f t="shared" si="33"/>
        <v>1191835.0399246903</v>
      </c>
      <c r="CC27" s="15">
        <f t="shared" si="33"/>
        <v>1203753.3903239372</v>
      </c>
      <c r="CD27" s="15">
        <f t="shared" si="33"/>
        <v>1215790.9242271765</v>
      </c>
      <c r="CE27" s="15">
        <f t="shared" si="33"/>
        <v>1227948.8334694481</v>
      </c>
      <c r="CF27" s="15">
        <f t="shared" si="33"/>
        <v>1240228.3218041426</v>
      </c>
      <c r="CG27" s="15">
        <f t="shared" si="33"/>
        <v>1252630.6050221841</v>
      </c>
      <c r="CH27" s="15">
        <f t="shared" si="33"/>
        <v>1265156.911072406</v>
      </c>
      <c r="CI27" s="15">
        <f t="shared" si="33"/>
        <v>1277808.4801831301</v>
      </c>
      <c r="CJ27" s="15">
        <f t="shared" si="33"/>
        <v>1290586.5649849614</v>
      </c>
      <c r="CK27" s="15">
        <f t="shared" si="33"/>
        <v>1303492.4306348111</v>
      </c>
      <c r="CL27" s="15">
        <f t="shared" si="33"/>
        <v>1316527.3549411593</v>
      </c>
      <c r="CM27" s="15">
        <f t="shared" si="33"/>
        <v>1329692.6284905709</v>
      </c>
      <c r="CN27" s="15">
        <f t="shared" si="33"/>
        <v>1342989.5547754767</v>
      </c>
      <c r="CO27" s="15">
        <f t="shared" si="33"/>
        <v>1356419.4503232315</v>
      </c>
      <c r="CP27" s="15">
        <f t="shared" si="33"/>
        <v>1369983.6448264639</v>
      </c>
      <c r="CQ27" s="15">
        <f t="shared" si="33"/>
        <v>1383683.4812747284</v>
      </c>
      <c r="CR27" s="15">
        <f t="shared" si="33"/>
        <v>1397520.3160874757</v>
      </c>
      <c r="CS27" s="15">
        <f t="shared" si="33"/>
        <v>1411495.5192483505</v>
      </c>
      <c r="CT27" s="15">
        <f t="shared" si="33"/>
        <v>1425610.474440834</v>
      </c>
      <c r="CU27" s="15">
        <f t="shared" si="33"/>
        <v>1439866.5791852423</v>
      </c>
      <c r="CV27" s="15">
        <f t="shared" si="33"/>
        <v>1454265.2449770947</v>
      </c>
      <c r="CW27" s="15">
        <f t="shared" si="33"/>
        <v>1468807.8974268658</v>
      </c>
      <c r="CX27" s="15">
        <f t="shared" si="33"/>
        <v>1483495.9764011344</v>
      </c>
      <c r="CY27" s="15">
        <f t="shared" si="33"/>
        <v>1498330.9361651458</v>
      </c>
      <c r="CZ27" s="15">
        <f t="shared" si="33"/>
        <v>1513314.2455267974</v>
      </c>
      <c r="DA27" s="15">
        <f t="shared" ref="DA27:FL27" si="34">+CZ27*(1+$AP$35)</f>
        <v>1528447.3879820653</v>
      </c>
      <c r="DB27" s="15">
        <f t="shared" si="34"/>
        <v>1543731.861861886</v>
      </c>
      <c r="DC27" s="15">
        <f t="shared" si="34"/>
        <v>1559169.1804805049</v>
      </c>
      <c r="DD27" s="15">
        <f t="shared" si="34"/>
        <v>1574760.8722853099</v>
      </c>
      <c r="DE27" s="15">
        <f t="shared" si="34"/>
        <v>1590508.481008163</v>
      </c>
      <c r="DF27" s="15">
        <f t="shared" si="34"/>
        <v>1606413.5658182446</v>
      </c>
      <c r="DG27" s="15">
        <f t="shared" si="34"/>
        <v>1622477.701476427</v>
      </c>
      <c r="DH27" s="15">
        <f t="shared" si="34"/>
        <v>1638702.4784911913</v>
      </c>
      <c r="DI27" s="15">
        <f t="shared" si="34"/>
        <v>1655089.5032761032</v>
      </c>
      <c r="DJ27" s="15">
        <f t="shared" si="34"/>
        <v>1671640.3983088643</v>
      </c>
      <c r="DK27" s="15">
        <f t="shared" si="34"/>
        <v>1688356.802291953</v>
      </c>
      <c r="DL27" s="15">
        <f t="shared" si="34"/>
        <v>1705240.3703148726</v>
      </c>
      <c r="DM27" s="15">
        <f t="shared" si="34"/>
        <v>1722292.7740180213</v>
      </c>
      <c r="DN27" s="15">
        <f t="shared" si="34"/>
        <v>1739515.7017582015</v>
      </c>
      <c r="DO27" s="15">
        <f t="shared" si="34"/>
        <v>1756910.8587757836</v>
      </c>
      <c r="DP27" s="15">
        <f t="shared" si="34"/>
        <v>1774479.9673635415</v>
      </c>
      <c r="DQ27" s="15">
        <f t="shared" si="34"/>
        <v>1792224.767037177</v>
      </c>
      <c r="DR27" s="15">
        <f t="shared" si="34"/>
        <v>1810147.0147075488</v>
      </c>
      <c r="DS27" s="15">
        <f t="shared" si="34"/>
        <v>1828248.4848546244</v>
      </c>
      <c r="DT27" s="15">
        <f t="shared" si="34"/>
        <v>1846530.9697031707</v>
      </c>
      <c r="DU27" s="15">
        <f t="shared" si="34"/>
        <v>1864996.2794002024</v>
      </c>
      <c r="DV27" s="15">
        <f t="shared" si="34"/>
        <v>1883646.2421942046</v>
      </c>
      <c r="DW27" s="15">
        <f t="shared" si="34"/>
        <v>1902482.7046161466</v>
      </c>
      <c r="DX27" s="15">
        <f t="shared" si="34"/>
        <v>1921507.5316623081</v>
      </c>
      <c r="DY27" s="15">
        <f t="shared" si="34"/>
        <v>1940722.6069789312</v>
      </c>
      <c r="DZ27" s="15">
        <f t="shared" si="34"/>
        <v>1960129.8330487206</v>
      </c>
      <c r="EA27" s="15">
        <f t="shared" si="34"/>
        <v>1979731.1313792078</v>
      </c>
      <c r="EB27" s="15">
        <f t="shared" si="34"/>
        <v>1999528.442693</v>
      </c>
      <c r="EC27" s="15">
        <f t="shared" si="34"/>
        <v>2019523.7271199301</v>
      </c>
      <c r="ED27" s="15">
        <f t="shared" si="34"/>
        <v>2039718.9643911293</v>
      </c>
      <c r="EE27" s="15">
        <f t="shared" si="34"/>
        <v>2060116.1540350406</v>
      </c>
      <c r="EF27" s="15">
        <f t="shared" si="34"/>
        <v>2080717.3155753911</v>
      </c>
      <c r="EG27" s="15">
        <f t="shared" si="34"/>
        <v>2101524.4887311449</v>
      </c>
      <c r="EH27" s="15">
        <f t="shared" si="34"/>
        <v>2122539.7336184564</v>
      </c>
      <c r="EI27" s="15">
        <f t="shared" si="34"/>
        <v>2143765.1309546409</v>
      </c>
      <c r="EJ27" s="15">
        <f t="shared" si="34"/>
        <v>2165202.7822641875</v>
      </c>
      <c r="EK27" s="15">
        <f t="shared" si="34"/>
        <v>2186854.8100868296</v>
      </c>
      <c r="EL27" s="15">
        <f t="shared" si="34"/>
        <v>2208723.3581876978</v>
      </c>
      <c r="EM27" s="15">
        <f t="shared" si="34"/>
        <v>2230810.5917695747</v>
      </c>
      <c r="EN27" s="15">
        <f t="shared" si="34"/>
        <v>2253118.6976872706</v>
      </c>
      <c r="EO27" s="15">
        <f t="shared" si="34"/>
        <v>2275649.8846641434</v>
      </c>
      <c r="EP27" s="15">
        <f t="shared" si="34"/>
        <v>2298406.3835107847</v>
      </c>
      <c r="EQ27" s="15">
        <f t="shared" si="34"/>
        <v>2321390.4473458924</v>
      </c>
      <c r="ER27" s="15">
        <f t="shared" si="34"/>
        <v>2344604.3518193513</v>
      </c>
      <c r="ES27" s="15">
        <f t="shared" si="34"/>
        <v>2368050.3953375448</v>
      </c>
      <c r="ET27" s="15">
        <f t="shared" si="34"/>
        <v>2391730.8992909202</v>
      </c>
      <c r="EU27" s="15">
        <f t="shared" si="34"/>
        <v>2415648.2082838295</v>
      </c>
      <c r="EV27" s="15">
        <f t="shared" si="34"/>
        <v>2439804.6903666677</v>
      </c>
      <c r="EW27" s="15">
        <f t="shared" si="34"/>
        <v>2464202.7372703343</v>
      </c>
      <c r="EX27" s="15">
        <f t="shared" si="34"/>
        <v>2488844.7646430377</v>
      </c>
      <c r="EY27" s="15">
        <f t="shared" si="34"/>
        <v>2513733.2122894679</v>
      </c>
      <c r="EZ27" s="15">
        <f t="shared" si="34"/>
        <v>2538870.5444123624</v>
      </c>
      <c r="FA27" s="15">
        <f t="shared" si="34"/>
        <v>2564259.249856486</v>
      </c>
      <c r="FB27" s="15">
        <f t="shared" si="34"/>
        <v>2589901.8423550511</v>
      </c>
      <c r="FC27" s="15">
        <f t="shared" si="34"/>
        <v>2615800.8607786018</v>
      </c>
      <c r="FD27" s="15">
        <f t="shared" si="34"/>
        <v>2641958.869386388</v>
      </c>
      <c r="FE27" s="15">
        <f t="shared" si="34"/>
        <v>2668378.4580802517</v>
      </c>
      <c r="FF27" s="15">
        <f t="shared" si="34"/>
        <v>2695062.2426610542</v>
      </c>
      <c r="FG27" s="15">
        <f t="shared" si="34"/>
        <v>2722012.8650876647</v>
      </c>
      <c r="FH27" s="15">
        <f t="shared" si="34"/>
        <v>2749232.9937385414</v>
      </c>
      <c r="FI27" s="15">
        <f t="shared" si="34"/>
        <v>2776725.3236759268</v>
      </c>
      <c r="FJ27" s="15">
        <f t="shared" si="34"/>
        <v>2804492.5769126862</v>
      </c>
      <c r="FK27" s="15">
        <f t="shared" si="34"/>
        <v>2832537.5026818132</v>
      </c>
      <c r="FL27" s="15">
        <f t="shared" si="34"/>
        <v>2860862.8777086316</v>
      </c>
      <c r="FM27" s="15">
        <f t="shared" ref="FM27:GE27" si="35">+FL27*(1+$AP$35)</f>
        <v>2889471.5064857178</v>
      </c>
      <c r="FN27" s="15">
        <f t="shared" si="35"/>
        <v>2918366.221550575</v>
      </c>
      <c r="FO27" s="15">
        <f t="shared" si="35"/>
        <v>2947549.8837660807</v>
      </c>
      <c r="FP27" s="15">
        <f t="shared" si="35"/>
        <v>2977025.3826037417</v>
      </c>
      <c r="FQ27" s="15">
        <f t="shared" si="35"/>
        <v>3006795.6364297792</v>
      </c>
      <c r="FR27" s="15">
        <f t="shared" si="35"/>
        <v>3036863.592794077</v>
      </c>
      <c r="FS27" s="15">
        <f t="shared" si="35"/>
        <v>3067232.2287220177</v>
      </c>
      <c r="FT27" s="15">
        <f t="shared" si="35"/>
        <v>3097904.5510092378</v>
      </c>
      <c r="FU27" s="15">
        <f t="shared" si="35"/>
        <v>3128883.5965193301</v>
      </c>
      <c r="FV27" s="15">
        <f t="shared" si="35"/>
        <v>3160172.4324845234</v>
      </c>
      <c r="FW27" s="15">
        <f t="shared" si="35"/>
        <v>3191774.1568093686</v>
      </c>
      <c r="FX27" s="15">
        <f t="shared" si="35"/>
        <v>3223691.8983774623</v>
      </c>
      <c r="FY27" s="15">
        <f t="shared" si="35"/>
        <v>3255928.817361237</v>
      </c>
      <c r="FZ27" s="15">
        <f t="shared" si="35"/>
        <v>3288488.1055348492</v>
      </c>
      <c r="GA27" s="15">
        <f t="shared" si="35"/>
        <v>3321372.9865901978</v>
      </c>
      <c r="GB27" s="15">
        <f t="shared" si="35"/>
        <v>3354586.7164560999</v>
      </c>
      <c r="GC27" s="15">
        <f t="shared" si="35"/>
        <v>3388132.5836206609</v>
      </c>
      <c r="GD27" s="15">
        <f t="shared" si="35"/>
        <v>3422013.9094568677</v>
      </c>
      <c r="GE27" s="15">
        <f t="shared" si="35"/>
        <v>3456234.0485514365</v>
      </c>
      <c r="GF27" s="15">
        <f t="shared" ref="GF27:GW27" si="36">+GE27*(1+$AP$35)</f>
        <v>3490796.3890369511</v>
      </c>
      <c r="GG27" s="15">
        <f t="shared" si="36"/>
        <v>3525704.3529273206</v>
      </c>
      <c r="GH27" s="15">
        <f t="shared" si="36"/>
        <v>3560961.3964565936</v>
      </c>
      <c r="GI27" s="15">
        <f t="shared" si="36"/>
        <v>3596571.0104211597</v>
      </c>
      <c r="GJ27" s="15">
        <f t="shared" si="36"/>
        <v>3632536.7205253714</v>
      </c>
      <c r="GK27" s="15">
        <f t="shared" si="36"/>
        <v>3668862.0877306252</v>
      </c>
      <c r="GL27" s="15">
        <f t="shared" si="36"/>
        <v>3705550.7086079316</v>
      </c>
      <c r="GM27" s="15">
        <f t="shared" si="36"/>
        <v>3742606.2156940112</v>
      </c>
      <c r="GN27" s="15">
        <f t="shared" si="36"/>
        <v>3780032.2778509515</v>
      </c>
      <c r="GO27" s="15">
        <f t="shared" si="36"/>
        <v>3817832.600629461</v>
      </c>
      <c r="GP27" s="15">
        <f t="shared" si="36"/>
        <v>3856010.9266357557</v>
      </c>
      <c r="GQ27" s="15">
        <f t="shared" si="36"/>
        <v>3894571.0359021132</v>
      </c>
      <c r="GR27" s="15">
        <f t="shared" si="36"/>
        <v>3933516.7462611343</v>
      </c>
      <c r="GS27" s="15">
        <f t="shared" si="36"/>
        <v>3972851.9137237458</v>
      </c>
      <c r="GT27" s="15">
        <f t="shared" si="36"/>
        <v>4012580.4328609835</v>
      </c>
      <c r="GU27" s="15">
        <f t="shared" si="36"/>
        <v>4052706.2371895933</v>
      </c>
      <c r="GV27" s="15">
        <f t="shared" si="36"/>
        <v>4093233.2995614894</v>
      </c>
      <c r="GW27" s="15">
        <f t="shared" si="36"/>
        <v>4134165.6325571043</v>
      </c>
      <c r="GX27" s="15">
        <f t="shared" ref="GX27:HJ27" si="37">+GW27*(1+$AP$35)</f>
        <v>4175507.2888826756</v>
      </c>
      <c r="GY27" s="15">
        <f t="shared" si="37"/>
        <v>4217262.3617715025</v>
      </c>
      <c r="GZ27" s="15">
        <f t="shared" si="37"/>
        <v>4259434.9853892177</v>
      </c>
      <c r="HA27" s="15">
        <f t="shared" si="37"/>
        <v>4302029.3352431096</v>
      </c>
      <c r="HB27" s="15">
        <f t="shared" si="37"/>
        <v>4345049.6285955403</v>
      </c>
      <c r="HC27" s="15">
        <f t="shared" si="37"/>
        <v>4388500.1248814957</v>
      </c>
      <c r="HD27" s="15">
        <f t="shared" si="37"/>
        <v>4432385.1261303108</v>
      </c>
      <c r="HE27" s="15">
        <f t="shared" si="37"/>
        <v>4476708.9773916136</v>
      </c>
      <c r="HF27" s="15">
        <f t="shared" si="37"/>
        <v>4521476.0671655303</v>
      </c>
      <c r="HG27" s="15">
        <f t="shared" si="37"/>
        <v>4566690.8278371859</v>
      </c>
      <c r="HH27" s="15">
        <f t="shared" si="37"/>
        <v>4612357.7361155581</v>
      </c>
      <c r="HI27" s="15">
        <f t="shared" si="37"/>
        <v>4658481.3134767134</v>
      </c>
      <c r="HJ27" s="15">
        <f t="shared" si="37"/>
        <v>4705066.1266114805</v>
      </c>
      <c r="HK27" s="15">
        <f t="shared" ref="HK27:HU27" si="38">+HJ27*(1+$AP$35)</f>
        <v>4752116.7878775951</v>
      </c>
      <c r="HL27" s="15">
        <f t="shared" si="38"/>
        <v>4799637.9557563709</v>
      </c>
      <c r="HM27" s="15">
        <f t="shared" si="38"/>
        <v>4847634.3353139348</v>
      </c>
      <c r="HN27" s="15">
        <f t="shared" si="38"/>
        <v>4896110.6786670741</v>
      </c>
      <c r="HO27" s="15">
        <f t="shared" si="38"/>
        <v>4945071.7854537452</v>
      </c>
      <c r="HP27" s="15">
        <f t="shared" si="38"/>
        <v>4994522.5033082822</v>
      </c>
      <c r="HQ27" s="15">
        <f t="shared" si="38"/>
        <v>5044467.7283413652</v>
      </c>
      <c r="HR27" s="15">
        <f t="shared" si="38"/>
        <v>5094912.4056247789</v>
      </c>
      <c r="HS27" s="15">
        <f t="shared" si="38"/>
        <v>5145861.5296810269</v>
      </c>
      <c r="HT27" s="15">
        <f t="shared" si="38"/>
        <v>5197320.1449778369</v>
      </c>
      <c r="HU27" s="15">
        <f t="shared" si="38"/>
        <v>5249293.3464276157</v>
      </c>
      <c r="HV27" s="15">
        <f t="shared" ref="HV27:IE27" si="39">+HU27*(1+$AP$35)</f>
        <v>5301786.2798918923</v>
      </c>
      <c r="HW27" s="15">
        <f t="shared" si="39"/>
        <v>5354804.1426908113</v>
      </c>
      <c r="HX27" s="15">
        <f t="shared" si="39"/>
        <v>5408352.1841177195</v>
      </c>
      <c r="HY27" s="15">
        <f t="shared" si="39"/>
        <v>5462435.7059588963</v>
      </c>
      <c r="HZ27" s="15">
        <f t="shared" si="39"/>
        <v>5517060.063018485</v>
      </c>
      <c r="IA27" s="15">
        <f t="shared" si="39"/>
        <v>5572230.6636486696</v>
      </c>
      <c r="IB27" s="15">
        <f t="shared" si="39"/>
        <v>5627952.9702851567</v>
      </c>
      <c r="IC27" s="15">
        <f t="shared" si="39"/>
        <v>5684232.4999880083</v>
      </c>
      <c r="ID27" s="15">
        <f t="shared" si="39"/>
        <v>5741074.8249878883</v>
      </c>
      <c r="IE27" s="15">
        <f t="shared" si="39"/>
        <v>5798485.5732377674</v>
      </c>
    </row>
    <row r="28" spans="2:239" s="13" customFormat="1" x14ac:dyDescent="0.15">
      <c r="B28" s="14"/>
      <c r="Y28" s="11">
        <f t="shared" ref="Y28:AB28" si="40">+Y24/Y23</f>
        <v>-2.098447781339632E-2</v>
      </c>
      <c r="Z28" s="11">
        <f t="shared" si="40"/>
        <v>6.1644122012920494E-2</v>
      </c>
      <c r="AA28" s="11">
        <f t="shared" si="40"/>
        <v>9.2589629434409793E-2</v>
      </c>
      <c r="AB28" s="11">
        <f t="shared" si="40"/>
        <v>8.9302003711742323E-2</v>
      </c>
      <c r="AC28" s="11">
        <f>+AC24/AC23</f>
        <v>7.5631922954565167E-2</v>
      </c>
    </row>
    <row r="29" spans="2:239" s="13" customFormat="1" x14ac:dyDescent="0.15">
      <c r="B29" s="14"/>
    </row>
    <row r="30" spans="2:239" s="13" customFormat="1" x14ac:dyDescent="0.15">
      <c r="B30" s="22" t="s">
        <v>29</v>
      </c>
    </row>
    <row r="31" spans="2:239" s="11" customFormat="1" x14ac:dyDescent="0.15">
      <c r="B31" s="14" t="s">
        <v>15</v>
      </c>
      <c r="C31" s="27"/>
      <c r="D31" s="27"/>
      <c r="E31" s="27"/>
      <c r="F31" s="27"/>
      <c r="G31" s="27">
        <f>+G11/C11-1</f>
        <v>0.51527005559968231</v>
      </c>
      <c r="H31" s="27">
        <f>+H11/D11-1</f>
        <v>0.43450575037042261</v>
      </c>
      <c r="I31" s="27">
        <f>+I11/E11-1</f>
        <v>0.40588004940205447</v>
      </c>
      <c r="J31" s="27">
        <f>+J11/F11-1</f>
        <v>0.31905845793182408</v>
      </c>
      <c r="K31" s="27">
        <f>+K11/G11-1</f>
        <v>0.140101429713402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>
        <f>+Y11/X11-1</f>
        <v>0.26263202217621662</v>
      </c>
      <c r="Z31" s="27">
        <f>+Z11/Y11-1</f>
        <v>0.5775732101295723</v>
      </c>
      <c r="AA31" s="27">
        <f>+AA11/Z11-1</f>
        <v>-1.0728063839906987E-2</v>
      </c>
      <c r="AB31" s="27">
        <f>+AB11/AA11-1</f>
        <v>9.8752626518038289E-2</v>
      </c>
      <c r="AC31" s="27">
        <f>+AC11/AB11-1</f>
        <v>0.40896622976723451</v>
      </c>
      <c r="AD31" s="27">
        <f t="shared" ref="AD31:AM31" si="41">+AD11/AC11-1</f>
        <v>0.19999999999999996</v>
      </c>
      <c r="AE31" s="27">
        <f t="shared" si="41"/>
        <v>0.15999999999999992</v>
      </c>
      <c r="AF31" s="27">
        <f t="shared" si="41"/>
        <v>0.15999999999999992</v>
      </c>
      <c r="AG31" s="27">
        <f t="shared" si="41"/>
        <v>0.15999999999999992</v>
      </c>
      <c r="AH31" s="27">
        <f t="shared" si="41"/>
        <v>0.15999999999999992</v>
      </c>
      <c r="AI31" s="27">
        <f t="shared" si="41"/>
        <v>0.15999999999999992</v>
      </c>
      <c r="AJ31" s="27">
        <f t="shared" si="41"/>
        <v>0.15999999999999992</v>
      </c>
      <c r="AK31" s="27">
        <f t="shared" si="41"/>
        <v>0.1599999999999997</v>
      </c>
      <c r="AL31" s="27">
        <f t="shared" si="41"/>
        <v>0.15999999999999992</v>
      </c>
      <c r="AM31" s="27">
        <f t="shared" si="41"/>
        <v>0.15999999999999992</v>
      </c>
    </row>
    <row r="32" spans="2:239" s="11" customFormat="1" x14ac:dyDescent="0.15">
      <c r="B32" s="14" t="s">
        <v>16</v>
      </c>
      <c r="C32" s="27"/>
      <c r="D32" s="27"/>
      <c r="E32" s="27"/>
      <c r="F32" s="27"/>
      <c r="G32" s="27">
        <f>+G12/C12-1</f>
        <v>0.55815569972196477</v>
      </c>
      <c r="H32" s="27">
        <f>+H12/D12-1</f>
        <v>0.21686768357573616</v>
      </c>
      <c r="I32" s="27">
        <f>+I12/E12-1</f>
        <v>1.5833398330863391E-2</v>
      </c>
      <c r="J32" s="27">
        <f>+J12/F12-1</f>
        <v>0.23131366923777286</v>
      </c>
      <c r="K32" s="27">
        <f>+K12/G12-1</f>
        <v>0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>
        <f>+Y12/X12-1</f>
        <v>0.61667455061494802</v>
      </c>
      <c r="Z32" s="27">
        <f>+Z12/Y12-1</f>
        <v>2.2749550129474994E-2</v>
      </c>
      <c r="AA32" s="27">
        <f>+AA12/Z12-1</f>
        <v>7.3625336156090793E-2</v>
      </c>
      <c r="AB32" s="27">
        <f>+AB12/AA12-1</f>
        <v>0.5067084138298581</v>
      </c>
      <c r="AC32" s="27">
        <f>+AC12/AB12-1</f>
        <v>0.23524574217851901</v>
      </c>
      <c r="AD32" s="27">
        <f t="shared" ref="AD32:AM32" si="42">+AD12/AC12-1</f>
        <v>1.0000000000000009E-2</v>
      </c>
      <c r="AE32" s="27">
        <f t="shared" si="42"/>
        <v>1.0000000000000009E-2</v>
      </c>
      <c r="AF32" s="27">
        <f t="shared" si="42"/>
        <v>1.0000000000000009E-2</v>
      </c>
      <c r="AG32" s="27">
        <f t="shared" si="42"/>
        <v>1.0000000000000009E-2</v>
      </c>
      <c r="AH32" s="27">
        <f t="shared" si="42"/>
        <v>1.0000000000000009E-2</v>
      </c>
      <c r="AI32" s="27">
        <f t="shared" si="42"/>
        <v>1.0000000000000009E-2</v>
      </c>
      <c r="AJ32" s="27">
        <f t="shared" si="42"/>
        <v>1.0000000000000009E-2</v>
      </c>
      <c r="AK32" s="27">
        <f t="shared" si="42"/>
        <v>1.0000000000000009E-2</v>
      </c>
      <c r="AL32" s="27">
        <f t="shared" si="42"/>
        <v>1.0000000000000009E-2</v>
      </c>
      <c r="AM32" s="27">
        <f t="shared" si="42"/>
        <v>1.0000000000000009E-2</v>
      </c>
    </row>
    <row r="33" spans="2:42" s="11" customFormat="1" x14ac:dyDescent="0.15">
      <c r="B33" s="14" t="s">
        <v>17</v>
      </c>
      <c r="C33" s="27"/>
      <c r="D33" s="27"/>
      <c r="E33" s="27"/>
      <c r="F33" s="27"/>
      <c r="G33" s="27">
        <f>+G13/C13-1</f>
        <v>-0.18243074619416022</v>
      </c>
      <c r="H33" s="27">
        <f>+H13/D13-1</f>
        <v>0.16841497954473938</v>
      </c>
      <c r="I33" s="27">
        <f>+I13/E13-1</f>
        <v>0.33548687891301454</v>
      </c>
      <c r="J33" s="27">
        <f>+J13/F13-1</f>
        <v>-0.26190637490684909</v>
      </c>
      <c r="K33" s="27">
        <f>+K13/G13-1</f>
        <v>0.4652014652014651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>
        <f>+Y13/X13-1</f>
        <v>-2.1563455177322499E-3</v>
      </c>
      <c r="Z33" s="27">
        <f>+Z13/Y13-1</f>
        <v>0.84438663113945833</v>
      </c>
      <c r="AA33" s="27">
        <f>+AA13/Z13-1</f>
        <v>-1.7449862926435245E-2</v>
      </c>
      <c r="AB33" s="27">
        <f>+AB13/AA13-1</f>
        <v>-3.1698986975397969E-2</v>
      </c>
      <c r="AC33" s="27">
        <f>+AC13/AB13-1</f>
        <v>-3.7531236175376903E-2</v>
      </c>
      <c r="AD33" s="27">
        <f t="shared" ref="AD33:AM33" si="43">+AD13/AC13-1</f>
        <v>8.0000000000000071E-2</v>
      </c>
      <c r="AE33" s="27">
        <f t="shared" si="43"/>
        <v>8.0000000000000071E-2</v>
      </c>
      <c r="AF33" s="27">
        <f t="shared" si="43"/>
        <v>8.0000000000000071E-2</v>
      </c>
      <c r="AG33" s="27">
        <f t="shared" si="43"/>
        <v>8.0000000000000071E-2</v>
      </c>
      <c r="AH33" s="27">
        <f t="shared" si="43"/>
        <v>8.0000000000000071E-2</v>
      </c>
      <c r="AI33" s="27">
        <f t="shared" si="43"/>
        <v>8.0000000000000071E-2</v>
      </c>
      <c r="AJ33" s="27">
        <f t="shared" si="43"/>
        <v>8.0000000000000071E-2</v>
      </c>
      <c r="AK33" s="27">
        <f t="shared" si="43"/>
        <v>8.0000000000000071E-2</v>
      </c>
      <c r="AL33" s="27">
        <f t="shared" si="43"/>
        <v>8.0000000000000071E-2</v>
      </c>
      <c r="AM33" s="27">
        <f t="shared" si="43"/>
        <v>8.0000000000000071E-2</v>
      </c>
    </row>
    <row r="34" spans="2:42" s="11" customFormat="1" x14ac:dyDescent="0.15">
      <c r="B34" s="14" t="s">
        <v>18</v>
      </c>
      <c r="C34" s="27"/>
      <c r="D34" s="27"/>
      <c r="E34" s="27"/>
      <c r="F34" s="27"/>
      <c r="G34" s="27">
        <f>+G14/C14-1</f>
        <v>0.41395254133756398</v>
      </c>
      <c r="H34" s="27">
        <f>+H14/D14-1</f>
        <v>0.30325114652862917</v>
      </c>
      <c r="I34" s="27">
        <f>+I14/E14-1</f>
        <v>0.22678386123576577</v>
      </c>
      <c r="J34" s="27">
        <f>+J14/F14-1</f>
        <v>0.18089160904271817</v>
      </c>
      <c r="K34" s="27">
        <f>+K14/G14-1</f>
        <v>0.10986775788412606</v>
      </c>
      <c r="L34" s="27"/>
      <c r="M34" s="27"/>
      <c r="N34" s="27"/>
      <c r="O34" s="27"/>
      <c r="P34" s="27"/>
      <c r="Q34" s="27"/>
      <c r="R34" s="27"/>
      <c r="S34" s="27"/>
      <c r="T34" s="27"/>
      <c r="U34" s="27">
        <f t="shared" ref="U34:AA34" si="44">+U14/T14-1</f>
        <v>0.1678550207961973</v>
      </c>
      <c r="V34" s="27">
        <f t="shared" si="44"/>
        <v>-0.41185448995166629</v>
      </c>
      <c r="W34" s="27">
        <f t="shared" si="44"/>
        <v>-1.557093425605538E-2</v>
      </c>
      <c r="X34" s="27">
        <f t="shared" si="44"/>
        <v>8.2258347978910296E-2</v>
      </c>
      <c r="Y34" s="27">
        <f t="shared" si="44"/>
        <v>0.33282451425370052</v>
      </c>
      <c r="Z34" s="27">
        <f t="shared" si="44"/>
        <v>0.38528010624299425</v>
      </c>
      <c r="AA34" s="27">
        <f t="shared" si="44"/>
        <v>1.3905227213259597E-2</v>
      </c>
      <c r="AB34" s="27">
        <f>+AB14/AA14-1</f>
        <v>0.20712096929846435</v>
      </c>
      <c r="AC34" s="27">
        <f>+AC14/AB14-1</f>
        <v>0.2712890568857973</v>
      </c>
      <c r="AD34" s="27">
        <f t="shared" ref="AD34:AM34" si="45">+AD14/AC14-1</f>
        <v>0.1113356132442096</v>
      </c>
      <c r="AE34" s="27">
        <f t="shared" si="45"/>
        <v>9.733482888068079E-2</v>
      </c>
      <c r="AF34" s="27">
        <f t="shared" si="45"/>
        <v>0.10175806764136297</v>
      </c>
      <c r="AG34" s="27">
        <f t="shared" si="45"/>
        <v>0.10605562530494694</v>
      </c>
      <c r="AH34" s="27">
        <f t="shared" si="45"/>
        <v>0.11020043947492009</v>
      </c>
      <c r="AI34" s="27">
        <f t="shared" si="45"/>
        <v>0.1141697607006853</v>
      </c>
      <c r="AJ34" s="27">
        <f t="shared" si="45"/>
        <v>0.11794548143905659</v>
      </c>
      <c r="AK34" s="27">
        <f t="shared" si="45"/>
        <v>0.12151422718535287</v>
      </c>
      <c r="AL34" s="27">
        <f t="shared" si="45"/>
        <v>0.12486723415711221</v>
      </c>
      <c r="AM34" s="27">
        <f t="shared" si="45"/>
        <v>0.12800005091460065</v>
      </c>
    </row>
    <row r="35" spans="2:42" s="13" customFormat="1" x14ac:dyDescent="0.15">
      <c r="B35" s="14"/>
      <c r="AO35" s="46" t="s">
        <v>86</v>
      </c>
      <c r="AP35" s="47">
        <v>0.01</v>
      </c>
    </row>
    <row r="36" spans="2:42" s="13" customFormat="1" x14ac:dyDescent="0.15">
      <c r="B36" s="14" t="s">
        <v>104</v>
      </c>
      <c r="AO36" s="48" t="s">
        <v>85</v>
      </c>
      <c r="AP36" s="49">
        <v>0.08</v>
      </c>
    </row>
    <row r="37" spans="2:42" s="13" customFormat="1" x14ac:dyDescent="0.15">
      <c r="B37" s="14" t="s">
        <v>30</v>
      </c>
      <c r="C37" s="27">
        <f t="shared" ref="C37:J37" si="46">(C11-C18)/C11</f>
        <v>0.60190627482128678</v>
      </c>
      <c r="D37" s="27">
        <f t="shared" si="46"/>
        <v>0.59819727651167709</v>
      </c>
      <c r="E37" s="27">
        <f t="shared" si="46"/>
        <v>0.63017742567099433</v>
      </c>
      <c r="F37" s="27">
        <f t="shared" si="46"/>
        <v>0.61163434147937135</v>
      </c>
      <c r="G37" s="27">
        <f t="shared" si="46"/>
        <v>0.59922158592040253</v>
      </c>
      <c r="H37" s="27">
        <f t="shared" si="46"/>
        <v>0.60137719028588998</v>
      </c>
      <c r="I37" s="27">
        <f t="shared" si="46"/>
        <v>0.63213773006792229</v>
      </c>
      <c r="J37" s="27">
        <f t="shared" si="46"/>
        <v>0.61414784351815499</v>
      </c>
      <c r="K37" s="27">
        <f t="shared" ref="K37:N37" si="47">(K11-K18)/K11</f>
        <v>1</v>
      </c>
      <c r="L37" s="27" t="e">
        <f t="shared" si="47"/>
        <v>#DIV/0!</v>
      </c>
      <c r="M37" s="27" t="e">
        <f t="shared" si="47"/>
        <v>#DIV/0!</v>
      </c>
      <c r="N37" s="27" t="e">
        <f t="shared" si="47"/>
        <v>#DIV/0!</v>
      </c>
      <c r="O37" s="27"/>
      <c r="P37" s="28"/>
      <c r="Q37" s="28"/>
      <c r="R37" s="28"/>
      <c r="S37" s="28"/>
      <c r="T37" s="28"/>
      <c r="U37" s="28"/>
      <c r="V37" s="28"/>
      <c r="W37" s="28"/>
      <c r="X37" s="27">
        <f t="shared" ref="X37:Z37" si="48">(X11-X18)/X11</f>
        <v>0.66885680199305242</v>
      </c>
      <c r="Y37" s="27">
        <f t="shared" si="48"/>
        <v>0.65681036579011365</v>
      </c>
      <c r="Z37" s="27">
        <f t="shared" si="48"/>
        <v>0.60815262388359437</v>
      </c>
      <c r="AA37" s="27">
        <f>(AA11-AA18)/AA11</f>
        <v>0.62385145482388971</v>
      </c>
      <c r="AB37" s="27">
        <f>(AB11-AB18)/AB11</f>
        <v>0.61155116180134916</v>
      </c>
      <c r="AC37" s="27">
        <f>(AC11-AC18)/AC11</f>
        <v>0.61271473512885544</v>
      </c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O37" s="54" t="s">
        <v>87</v>
      </c>
      <c r="AP37" s="55">
        <f>NPV(AP36,AD27:IE27)</f>
        <v>8498380.3596068583</v>
      </c>
    </row>
    <row r="38" spans="2:42" s="13" customFormat="1" x14ac:dyDescent="0.15">
      <c r="B38" s="14" t="s">
        <v>31</v>
      </c>
      <c r="C38" s="27">
        <f t="shared" ref="C38:J38" si="49">+C20/C14</f>
        <v>0.82520721806042197</v>
      </c>
      <c r="D38" s="27">
        <f t="shared" si="49"/>
        <v>0.82004419621910429</v>
      </c>
      <c r="E38" s="27">
        <f t="shared" si="49"/>
        <v>0.82609113962326386</v>
      </c>
      <c r="F38" s="27">
        <f t="shared" si="49"/>
        <v>0.81865526188377546</v>
      </c>
      <c r="G38" s="27">
        <f t="shared" si="49"/>
        <v>0.81322301156818511</v>
      </c>
      <c r="H38" s="27">
        <f t="shared" si="49"/>
        <v>0.80808784674436296</v>
      </c>
      <c r="I38" s="27">
        <f t="shared" si="49"/>
        <v>0.80467528975480773</v>
      </c>
      <c r="J38" s="27">
        <f t="shared" si="49"/>
        <v>0.79768087298416768</v>
      </c>
      <c r="K38" s="27">
        <f t="shared" ref="K38:N38" si="50">+K20/K14</f>
        <v>1</v>
      </c>
      <c r="L38" s="27" t="e">
        <f t="shared" si="50"/>
        <v>#DIV/0!</v>
      </c>
      <c r="M38" s="27" t="e">
        <f t="shared" si="50"/>
        <v>#DIV/0!</v>
      </c>
      <c r="N38" s="27" t="e">
        <f t="shared" si="50"/>
        <v>#DIV/0!</v>
      </c>
      <c r="O38" s="27"/>
      <c r="P38" s="28"/>
      <c r="Q38" s="28"/>
      <c r="R38" s="28"/>
      <c r="S38" s="28"/>
      <c r="T38" s="28"/>
      <c r="U38" s="28"/>
      <c r="V38" s="28"/>
      <c r="W38" s="28"/>
      <c r="X38" s="27">
        <f t="shared" ref="X38:Z38" si="51">+X20/X14</f>
        <v>0.82382410016157714</v>
      </c>
      <c r="Y38" s="27">
        <f t="shared" si="51"/>
        <v>0.83505226862907544</v>
      </c>
      <c r="Z38" s="27">
        <f t="shared" si="51"/>
        <v>0.79409533568018853</v>
      </c>
      <c r="AA38" s="27">
        <f>+AA20/AA14</f>
        <v>0.80504297174036088</v>
      </c>
      <c r="AB38" s="27">
        <f>+AB20/AB14</f>
        <v>0.82231632125097009</v>
      </c>
      <c r="AC38" s="27">
        <f>+AC20/AC14</f>
        <v>0.80563853991492729</v>
      </c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O38" s="48" t="s">
        <v>88</v>
      </c>
      <c r="AP38" s="50">
        <f>+Main!I4</f>
        <v>109710</v>
      </c>
    </row>
    <row r="39" spans="2:42" s="13" customFormat="1" x14ac:dyDescent="0.15">
      <c r="B39" s="14" t="s">
        <v>22</v>
      </c>
      <c r="C39" s="27">
        <f>+C21/C14</f>
        <v>0.31694818912200629</v>
      </c>
      <c r="D39" s="27">
        <f t="shared" ref="D39:N39" si="52">+D21/D14</f>
        <v>0.30668694849324191</v>
      </c>
      <c r="E39" s="27">
        <f t="shared" si="52"/>
        <v>0.28381656621745138</v>
      </c>
      <c r="F39" s="27">
        <f t="shared" si="52"/>
        <v>0.27124430485034329</v>
      </c>
      <c r="G39" s="27">
        <f t="shared" si="52"/>
        <v>0.25572409158546539</v>
      </c>
      <c r="H39" s="27">
        <f t="shared" si="52"/>
        <v>0.23532451846303037</v>
      </c>
      <c r="I39" s="27">
        <f t="shared" si="52"/>
        <v>0.27735234968881817</v>
      </c>
      <c r="J39" s="27">
        <f t="shared" si="52"/>
        <v>0.258857046739976</v>
      </c>
      <c r="K39" s="27">
        <f t="shared" si="52"/>
        <v>0</v>
      </c>
      <c r="L39" s="27" t="e">
        <f t="shared" si="52"/>
        <v>#DIV/0!</v>
      </c>
      <c r="M39" s="27" t="e">
        <f t="shared" si="52"/>
        <v>#DIV/0!</v>
      </c>
      <c r="N39" s="27" t="e">
        <f t="shared" si="52"/>
        <v>#DIV/0!</v>
      </c>
      <c r="O39" s="27"/>
      <c r="P39" s="28"/>
      <c r="Q39" s="28"/>
      <c r="R39" s="28"/>
      <c r="S39" s="28"/>
      <c r="T39" s="28"/>
      <c r="U39" s="28"/>
      <c r="V39" s="28"/>
      <c r="W39" s="28"/>
      <c r="X39" s="27"/>
      <c r="Y39" s="27"/>
      <c r="Z39" s="27"/>
      <c r="AA39" s="27"/>
      <c r="AB39" s="27"/>
      <c r="AC39" s="27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O39" s="54" t="s">
        <v>89</v>
      </c>
      <c r="AP39" s="55">
        <f>+AP37/AP38</f>
        <v>77.462221854041189</v>
      </c>
    </row>
    <row r="40" spans="2:42" s="13" customFormat="1" x14ac:dyDescent="0.15">
      <c r="B40" s="14" t="s">
        <v>23</v>
      </c>
      <c r="C40" s="27">
        <f>+C22/C14</f>
        <v>0.21911241950946372</v>
      </c>
      <c r="D40" s="27">
        <f t="shared" ref="D40:N40" si="53">+D22/D14</f>
        <v>0.18467057167506698</v>
      </c>
      <c r="E40" s="27">
        <f t="shared" si="53"/>
        <v>0.17776418601774413</v>
      </c>
      <c r="F40" s="27">
        <f t="shared" si="53"/>
        <v>0.17379051780859331</v>
      </c>
      <c r="G40" s="27">
        <f t="shared" si="53"/>
        <v>0.16835069361109778</v>
      </c>
      <c r="H40" s="27">
        <f t="shared" si="53"/>
        <v>0.14169991115446928</v>
      </c>
      <c r="I40" s="27">
        <f t="shared" si="53"/>
        <v>0.1633214387747671</v>
      </c>
      <c r="J40" s="27">
        <f t="shared" si="53"/>
        <v>0.15748722692962722</v>
      </c>
      <c r="K40" s="27">
        <f t="shared" si="53"/>
        <v>0</v>
      </c>
      <c r="L40" s="27" t="e">
        <f t="shared" si="53"/>
        <v>#DIV/0!</v>
      </c>
      <c r="M40" s="27" t="e">
        <f t="shared" si="53"/>
        <v>#DIV/0!</v>
      </c>
      <c r="N40" s="27" t="e">
        <f t="shared" si="53"/>
        <v>#DIV/0!</v>
      </c>
      <c r="O40" s="27"/>
      <c r="P40" s="28"/>
      <c r="Q40" s="28"/>
      <c r="R40" s="28"/>
      <c r="S40" s="28"/>
      <c r="T40" s="28"/>
      <c r="U40" s="28"/>
      <c r="V40" s="28"/>
      <c r="W40" s="28"/>
      <c r="X40" s="27"/>
      <c r="Y40" s="27"/>
      <c r="Z40" s="27"/>
      <c r="AA40" s="27"/>
      <c r="AB40" s="27"/>
      <c r="AC40" s="27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O40" s="51" t="s">
        <v>90</v>
      </c>
      <c r="AP40" s="50">
        <f>+Main!I3</f>
        <v>104.13</v>
      </c>
    </row>
    <row r="41" spans="2:42" s="13" customFormat="1" x14ac:dyDescent="0.15">
      <c r="B41" s="14" t="s">
        <v>32</v>
      </c>
      <c r="C41" s="27">
        <f>+C23/C14</f>
        <v>0.28914660942895198</v>
      </c>
      <c r="D41" s="27">
        <f>+D23/D14</f>
        <v>0.32868667605079538</v>
      </c>
      <c r="E41" s="27">
        <f>+E23/E14</f>
        <v>0.3645103873880684</v>
      </c>
      <c r="F41" s="27">
        <f>+F23/F14</f>
        <v>0.3736204392248389</v>
      </c>
      <c r="G41" s="27">
        <f>+G23/G14</f>
        <v>0.38914822637162194</v>
      </c>
      <c r="H41" s="27">
        <f>+H23/H14</f>
        <v>0.4310634171268633</v>
      </c>
      <c r="I41" s="27">
        <f>+I23/I14</f>
        <v>0.3640015012912225</v>
      </c>
      <c r="J41" s="27">
        <f>+J23/J14</f>
        <v>0.38133659931456443</v>
      </c>
      <c r="K41" s="27"/>
      <c r="L41" s="27"/>
      <c r="M41" s="27"/>
      <c r="N41" s="27"/>
      <c r="O41" s="27"/>
      <c r="P41" s="28"/>
      <c r="Q41" s="28"/>
      <c r="R41" s="28"/>
      <c r="S41" s="28"/>
      <c r="T41" s="28"/>
      <c r="U41" s="28"/>
      <c r="V41" s="28"/>
      <c r="W41" s="28"/>
      <c r="X41" s="27">
        <f>+X23/X14</f>
        <v>-9.4802737879685933E-2</v>
      </c>
      <c r="Y41" s="27">
        <f>+Y23/Y14</f>
        <v>0.14442711633120522</v>
      </c>
      <c r="Z41" s="27">
        <f>+Z23/Z14</f>
        <v>0.21034184782967197</v>
      </c>
      <c r="AA41" s="27">
        <f>+AA23/AA14</f>
        <v>0.23040356352075503</v>
      </c>
      <c r="AB41" s="27">
        <f>+AB23/AB14</f>
        <v>0.34268375061082529</v>
      </c>
      <c r="AC41" s="27">
        <f>+AC23/AC14</f>
        <v>0.39090485140539549</v>
      </c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O41" s="52" t="s">
        <v>91</v>
      </c>
      <c r="AP41" s="53">
        <f>+AP39/AP40-1</f>
        <v>-0.25610081768903104</v>
      </c>
    </row>
    <row r="43" spans="2:42" x14ac:dyDescent="0.15">
      <c r="F43" s="13">
        <f>+SUM(F44:F45)</f>
        <v>481798</v>
      </c>
      <c r="G43" s="13">
        <f>+SUM(G44:G45)</f>
        <v>514389</v>
      </c>
      <c r="H43" s="13">
        <f>+SUM(H44:H45)</f>
        <v>594825</v>
      </c>
      <c r="I43" s="13">
        <f>+SUM(I44:I45)</f>
        <v>673303</v>
      </c>
      <c r="J43" s="13">
        <f>+SUM(J44:J45)</f>
        <v>761831</v>
      </c>
      <c r="K43" s="13"/>
      <c r="L43" s="13"/>
      <c r="M43" s="13"/>
      <c r="N43" s="13"/>
      <c r="O43" s="13"/>
    </row>
    <row r="44" spans="2:42" s="13" customFormat="1" x14ac:dyDescent="0.15">
      <c r="B44" s="14" t="s">
        <v>43</v>
      </c>
      <c r="C44" s="26"/>
      <c r="D44" s="26"/>
      <c r="E44" s="26"/>
      <c r="F44" s="26">
        <v>99775</v>
      </c>
      <c r="G44" s="26">
        <v>132185</v>
      </c>
      <c r="H44" s="26">
        <v>87759</v>
      </c>
      <c r="I44" s="26">
        <v>79200</v>
      </c>
      <c r="J44" s="26">
        <v>182826</v>
      </c>
      <c r="K44" s="26"/>
      <c r="L44" s="26"/>
      <c r="M44" s="26"/>
      <c r="N44" s="26"/>
    </row>
    <row r="45" spans="2:42" s="13" customFormat="1" x14ac:dyDescent="0.15">
      <c r="B45" s="14" t="s">
        <v>44</v>
      </c>
      <c r="C45" s="26"/>
      <c r="D45" s="26"/>
      <c r="E45" s="26"/>
      <c r="F45" s="26">
        <v>382023</v>
      </c>
      <c r="G45" s="26">
        <v>382204</v>
      </c>
      <c r="H45" s="26">
        <v>507066</v>
      </c>
      <c r="I45" s="26">
        <v>594103</v>
      </c>
      <c r="J45" s="26">
        <v>579005</v>
      </c>
      <c r="K45" s="26"/>
      <c r="L45" s="26"/>
      <c r="M45" s="26"/>
      <c r="N45" s="26"/>
    </row>
    <row r="46" spans="2:42" s="13" customFormat="1" x14ac:dyDescent="0.15">
      <c r="B46" s="14" t="s">
        <v>45</v>
      </c>
      <c r="C46" s="26"/>
      <c r="D46" s="26"/>
      <c r="E46" s="26"/>
      <c r="F46" s="26">
        <v>122813</v>
      </c>
      <c r="G46" s="26">
        <v>119142</v>
      </c>
      <c r="H46" s="26">
        <v>107077</v>
      </c>
      <c r="I46" s="26">
        <v>105377</v>
      </c>
      <c r="J46" s="26">
        <v>137476</v>
      </c>
      <c r="K46" s="26"/>
      <c r="L46" s="26"/>
      <c r="M46" s="26"/>
      <c r="N46" s="26"/>
    </row>
    <row r="47" spans="2:42" s="13" customFormat="1" x14ac:dyDescent="0.15">
      <c r="B47" s="14" t="s">
        <v>46</v>
      </c>
      <c r="C47" s="26"/>
      <c r="D47" s="26"/>
      <c r="E47" s="26"/>
      <c r="F47" s="26">
        <v>25070</v>
      </c>
      <c r="G47" s="26">
        <v>23624</v>
      </c>
      <c r="H47" s="26">
        <v>26061</v>
      </c>
      <c r="I47" s="26">
        <v>25882</v>
      </c>
      <c r="J47" s="26">
        <v>25209</v>
      </c>
      <c r="K47" s="26"/>
      <c r="L47" s="26"/>
      <c r="M47" s="26"/>
      <c r="N47" s="26"/>
    </row>
    <row r="48" spans="2:42" s="13" customFormat="1" x14ac:dyDescent="0.15">
      <c r="B48" s="14" t="s">
        <v>47</v>
      </c>
      <c r="C48" s="26"/>
      <c r="D48" s="26"/>
      <c r="E48" s="26"/>
      <c r="F48" s="26">
        <v>44634</v>
      </c>
      <c r="G48" s="26">
        <v>44701</v>
      </c>
      <c r="H48" s="26">
        <v>38603</v>
      </c>
      <c r="I48" s="26">
        <v>44606</v>
      </c>
      <c r="J48" s="26">
        <v>44098</v>
      </c>
      <c r="K48" s="26"/>
      <c r="L48" s="26"/>
      <c r="M48" s="26"/>
      <c r="N48" s="26"/>
    </row>
    <row r="49" spans="2:14" s="13" customFormat="1" x14ac:dyDescent="0.15">
      <c r="B49" s="14" t="s">
        <v>48</v>
      </c>
      <c r="C49" s="26"/>
      <c r="D49" s="26"/>
      <c r="E49" s="26"/>
      <c r="F49" s="26">
        <v>15942</v>
      </c>
      <c r="G49" s="26">
        <v>17600</v>
      </c>
      <c r="H49" s="26">
        <v>17191</v>
      </c>
      <c r="I49" s="26">
        <v>19563</v>
      </c>
      <c r="J49" s="26">
        <v>20202</v>
      </c>
      <c r="K49" s="26"/>
      <c r="L49" s="26"/>
      <c r="M49" s="26"/>
      <c r="N49" s="26"/>
    </row>
    <row r="50" spans="2:14" s="13" customFormat="1" x14ac:dyDescent="0.15">
      <c r="B50" s="14" t="s">
        <v>49</v>
      </c>
      <c r="C50" s="26"/>
      <c r="D50" s="26"/>
      <c r="E50" s="26"/>
      <c r="F50" s="26">
        <v>17059</v>
      </c>
      <c r="G50" s="26">
        <v>15347</v>
      </c>
      <c r="H50" s="26">
        <v>13615</v>
      </c>
      <c r="I50" s="26">
        <v>11891</v>
      </c>
      <c r="J50" s="26">
        <v>10171</v>
      </c>
      <c r="K50" s="26"/>
      <c r="L50" s="26"/>
      <c r="M50" s="26"/>
      <c r="N50" s="26"/>
    </row>
    <row r="51" spans="2:14" s="13" customFormat="1" x14ac:dyDescent="0.15">
      <c r="B51" s="14" t="s">
        <v>50</v>
      </c>
      <c r="C51" s="26"/>
      <c r="D51" s="26"/>
      <c r="E51" s="26"/>
      <c r="F51" s="26">
        <v>286812</v>
      </c>
      <c r="G51" s="26">
        <v>286812</v>
      </c>
      <c r="H51" s="26">
        <v>286812</v>
      </c>
      <c r="I51" s="26">
        <v>286812</v>
      </c>
      <c r="J51" s="26">
        <v>286812</v>
      </c>
      <c r="K51" s="26"/>
      <c r="L51" s="26"/>
      <c r="M51" s="26"/>
      <c r="N51" s="26"/>
    </row>
    <row r="52" spans="2:14" s="13" customFormat="1" x14ac:dyDescent="0.15">
      <c r="B52" s="14" t="s">
        <v>51</v>
      </c>
      <c r="C52" s="26"/>
      <c r="D52" s="26"/>
      <c r="E52" s="26"/>
      <c r="F52" s="26">
        <v>75509</v>
      </c>
      <c r="G52" s="26">
        <v>81988</v>
      </c>
      <c r="H52" s="26">
        <v>106155</v>
      </c>
      <c r="I52" s="26">
        <v>100424</v>
      </c>
      <c r="J52" s="26">
        <v>113051</v>
      </c>
      <c r="K52" s="26"/>
      <c r="L52" s="26"/>
      <c r="M52" s="26"/>
      <c r="N52" s="26"/>
    </row>
    <row r="53" spans="2:14" s="13" customFormat="1" x14ac:dyDescent="0.15">
      <c r="B53" s="14" t="s">
        <v>52</v>
      </c>
      <c r="C53" s="26"/>
      <c r="D53" s="26"/>
      <c r="E53" s="26"/>
      <c r="F53" s="26">
        <v>21454</v>
      </c>
      <c r="G53" s="26">
        <v>20369</v>
      </c>
      <c r="H53" s="26">
        <v>19302</v>
      </c>
      <c r="I53" s="26">
        <v>18215</v>
      </c>
      <c r="J53" s="26">
        <v>17112</v>
      </c>
      <c r="K53" s="26"/>
      <c r="L53" s="26"/>
      <c r="M53" s="26"/>
      <c r="N53" s="26"/>
    </row>
    <row r="54" spans="2:14" s="13" customFormat="1" x14ac:dyDescent="0.15">
      <c r="B54" s="14" t="s">
        <v>53</v>
      </c>
      <c r="C54" s="26"/>
      <c r="D54" s="26"/>
      <c r="E54" s="26"/>
      <c r="F54" s="26">
        <v>136466</v>
      </c>
      <c r="G54" s="26">
        <v>134230</v>
      </c>
      <c r="H54" s="26">
        <v>131224</v>
      </c>
      <c r="I54" s="26">
        <v>112643</v>
      </c>
      <c r="J54" s="26">
        <v>105542</v>
      </c>
      <c r="K54" s="26"/>
      <c r="L54" s="26"/>
      <c r="M54" s="26"/>
      <c r="N54" s="26"/>
    </row>
    <row r="55" spans="2:14" s="13" customFormat="1" x14ac:dyDescent="0.15">
      <c r="B55" s="14" t="s">
        <v>54</v>
      </c>
      <c r="C55" s="26"/>
      <c r="D55" s="26"/>
      <c r="E55" s="26"/>
      <c r="F55" s="26">
        <v>109947</v>
      </c>
      <c r="G55" s="26">
        <v>115898</v>
      </c>
      <c r="H55" s="26">
        <v>121297</v>
      </c>
      <c r="I55" s="26">
        <v>2946</v>
      </c>
      <c r="J55" s="26">
        <v>3282</v>
      </c>
      <c r="K55" s="26"/>
      <c r="L55" s="26"/>
      <c r="M55" s="26"/>
      <c r="N55" s="26"/>
    </row>
    <row r="56" spans="2:14" s="13" customFormat="1" x14ac:dyDescent="0.15">
      <c r="B56" s="14" t="s">
        <v>55</v>
      </c>
      <c r="C56" s="26"/>
      <c r="D56" s="26"/>
      <c r="E56" s="26"/>
      <c r="F56" s="26">
        <v>5632</v>
      </c>
      <c r="G56" s="26">
        <v>5265</v>
      </c>
      <c r="H56" s="26">
        <v>5649</v>
      </c>
      <c r="I56" s="26">
        <v>4710</v>
      </c>
      <c r="J56" s="26">
        <v>4759</v>
      </c>
      <c r="K56" s="26"/>
      <c r="L56" s="26"/>
      <c r="M56" s="26"/>
      <c r="N56" s="26"/>
    </row>
    <row r="57" spans="2:14" s="15" customFormat="1" x14ac:dyDescent="0.15">
      <c r="B57" s="22" t="s">
        <v>56</v>
      </c>
      <c r="F57" s="15">
        <f>+SUM(F44:F56)</f>
        <v>1343136</v>
      </c>
      <c r="G57" s="15">
        <f>+SUM(G44:G56)</f>
        <v>1379365</v>
      </c>
      <c r="H57" s="15">
        <f>+SUM(H44:H56)</f>
        <v>1467811</v>
      </c>
      <c r="I57" s="15">
        <f>+SUM(I44:I56)</f>
        <v>1406372</v>
      </c>
      <c r="J57" s="15">
        <f>+SUM(J44:J56)</f>
        <v>1529545</v>
      </c>
    </row>
    <row r="58" spans="2:14" s="13" customFormat="1" x14ac:dyDescent="0.15">
      <c r="B58" s="14"/>
    </row>
    <row r="59" spans="2:14" s="13" customFormat="1" x14ac:dyDescent="0.15">
      <c r="B59" s="14" t="s">
        <v>68</v>
      </c>
      <c r="C59" s="26"/>
      <c r="D59" s="26"/>
      <c r="E59" s="26"/>
      <c r="F59" s="26">
        <v>18522</v>
      </c>
      <c r="G59" s="26">
        <v>16356</v>
      </c>
      <c r="H59" s="26">
        <v>11157</v>
      </c>
      <c r="I59" s="26">
        <v>12776</v>
      </c>
      <c r="J59" s="26">
        <v>35915</v>
      </c>
      <c r="K59" s="26"/>
      <c r="L59" s="26"/>
      <c r="M59" s="26"/>
      <c r="N59" s="26"/>
    </row>
    <row r="60" spans="2:14" s="13" customFormat="1" x14ac:dyDescent="0.15">
      <c r="B60" s="14" t="s">
        <v>60</v>
      </c>
      <c r="C60" s="26"/>
      <c r="D60" s="26"/>
      <c r="E60" s="26"/>
      <c r="F60" s="26">
        <v>19193</v>
      </c>
      <c r="G60" s="26">
        <v>14157</v>
      </c>
      <c r="H60" s="26">
        <v>18438</v>
      </c>
      <c r="I60" s="26">
        <v>16372</v>
      </c>
      <c r="J60" s="26">
        <v>22044</v>
      </c>
      <c r="K60" s="26"/>
      <c r="L60" s="26"/>
      <c r="M60" s="26"/>
      <c r="N60" s="26"/>
    </row>
    <row r="61" spans="2:14" s="13" customFormat="1" x14ac:dyDescent="0.15">
      <c r="B61" s="14" t="s">
        <v>61</v>
      </c>
      <c r="C61" s="26"/>
      <c r="D61" s="26"/>
      <c r="E61" s="26"/>
      <c r="F61" s="26">
        <v>19903</v>
      </c>
      <c r="G61" s="26">
        <v>20336</v>
      </c>
      <c r="H61" s="26">
        <v>18845</v>
      </c>
      <c r="I61" s="26">
        <v>23809</v>
      </c>
      <c r="J61" s="26">
        <v>29980</v>
      </c>
      <c r="K61" s="26"/>
      <c r="L61" s="26"/>
      <c r="M61" s="26"/>
      <c r="N61" s="26"/>
    </row>
    <row r="62" spans="2:14" s="13" customFormat="1" x14ac:dyDescent="0.15">
      <c r="B62" s="14" t="s">
        <v>62</v>
      </c>
      <c r="C62" s="26"/>
      <c r="D62" s="26"/>
      <c r="E62" s="26"/>
      <c r="F62" s="26">
        <v>1264</v>
      </c>
      <c r="G62" s="26">
        <v>8086</v>
      </c>
      <c r="H62" s="26">
        <v>12608</v>
      </c>
      <c r="I62" s="26">
        <v>11883</v>
      </c>
      <c r="J62" s="26">
        <v>14884</v>
      </c>
      <c r="K62" s="26"/>
      <c r="L62" s="26"/>
      <c r="M62" s="26"/>
      <c r="N62" s="26"/>
    </row>
    <row r="63" spans="2:14" s="13" customFormat="1" x14ac:dyDescent="0.15">
      <c r="B63" s="14" t="s">
        <v>63</v>
      </c>
      <c r="C63" s="26"/>
      <c r="D63" s="26"/>
      <c r="E63" s="26"/>
      <c r="F63" s="26">
        <v>5617</v>
      </c>
      <c r="G63" s="26">
        <v>5727</v>
      </c>
      <c r="H63" s="26">
        <v>5975</v>
      </c>
      <c r="I63" s="26">
        <v>6135</v>
      </c>
      <c r="J63" s="26">
        <v>6310</v>
      </c>
      <c r="K63" s="26"/>
      <c r="L63" s="26"/>
      <c r="M63" s="26"/>
      <c r="N63" s="26"/>
    </row>
    <row r="64" spans="2:14" s="13" customFormat="1" x14ac:dyDescent="0.15">
      <c r="B64" s="14" t="s">
        <v>64</v>
      </c>
      <c r="C64" s="26"/>
      <c r="D64" s="26"/>
      <c r="E64" s="26"/>
      <c r="F64" s="26">
        <v>17313</v>
      </c>
      <c r="G64" s="26">
        <v>6200</v>
      </c>
      <c r="H64" s="26">
        <v>5205</v>
      </c>
      <c r="I64" s="26">
        <v>3855</v>
      </c>
      <c r="J64" s="26">
        <v>11441</v>
      </c>
      <c r="K64" s="26"/>
      <c r="L64" s="26"/>
      <c r="M64" s="26"/>
      <c r="N64" s="26"/>
    </row>
    <row r="65" spans="2:29" s="13" customFormat="1" x14ac:dyDescent="0.15">
      <c r="B65" s="14" t="s">
        <v>65</v>
      </c>
      <c r="C65" s="26"/>
      <c r="D65" s="26"/>
      <c r="E65" s="26"/>
      <c r="F65" s="26">
        <v>24534</v>
      </c>
      <c r="G65" s="26">
        <v>23467</v>
      </c>
      <c r="H65" s="26">
        <v>21961</v>
      </c>
      <c r="I65" s="26">
        <v>20301</v>
      </c>
      <c r="J65" s="26">
        <v>18671</v>
      </c>
      <c r="K65" s="26"/>
      <c r="L65" s="26"/>
      <c r="M65" s="26"/>
      <c r="N65" s="26"/>
    </row>
    <row r="66" spans="2:29" s="13" customFormat="1" x14ac:dyDescent="0.15">
      <c r="B66" s="14" t="s">
        <v>66</v>
      </c>
      <c r="C66" s="26"/>
      <c r="D66" s="26"/>
      <c r="E66" s="26"/>
      <c r="F66" s="26">
        <v>109383</v>
      </c>
      <c r="G66" s="26">
        <v>115124</v>
      </c>
      <c r="H66" s="26">
        <v>120224</v>
      </c>
      <c r="I66" s="26">
        <v>1329</v>
      </c>
      <c r="J66" s="26">
        <v>1393</v>
      </c>
      <c r="K66" s="26"/>
      <c r="L66" s="26"/>
      <c r="M66" s="26"/>
      <c r="N66" s="26"/>
    </row>
    <row r="67" spans="2:29" s="13" customFormat="1" x14ac:dyDescent="0.15">
      <c r="B67" s="14" t="s">
        <v>69</v>
      </c>
      <c r="C67" s="26"/>
      <c r="D67" s="26"/>
      <c r="E67" s="26"/>
      <c r="F67" s="26">
        <v>0</v>
      </c>
      <c r="G67" s="26">
        <v>0</v>
      </c>
      <c r="H67" s="26">
        <v>21106</v>
      </c>
      <c r="I67" s="26">
        <v>17522</v>
      </c>
      <c r="J67" s="26">
        <v>20908</v>
      </c>
      <c r="K67" s="26"/>
      <c r="L67" s="26"/>
      <c r="M67" s="26"/>
      <c r="N67" s="26"/>
    </row>
    <row r="68" spans="2:29" s="13" customFormat="1" x14ac:dyDescent="0.15">
      <c r="B68" s="14" t="s">
        <v>67</v>
      </c>
      <c r="C68" s="26"/>
      <c r="D68" s="26"/>
      <c r="E68" s="26"/>
      <c r="F68" s="26">
        <v>6715</v>
      </c>
      <c r="G68" s="26">
        <v>10075</v>
      </c>
      <c r="H68" s="26">
        <v>4312</v>
      </c>
      <c r="I68" s="26">
        <v>3892</v>
      </c>
      <c r="J68" s="26">
        <v>3574</v>
      </c>
      <c r="K68" s="26"/>
      <c r="L68" s="26"/>
      <c r="M68" s="26"/>
      <c r="N68" s="26"/>
    </row>
    <row r="69" spans="2:29" s="13" customFormat="1" x14ac:dyDescent="0.15">
      <c r="B69" s="14" t="s">
        <v>59</v>
      </c>
      <c r="F69" s="13">
        <f>SUM(F59:F68)</f>
        <v>222444</v>
      </c>
      <c r="G69" s="13">
        <f>SUM(G59:G68)</f>
        <v>219528</v>
      </c>
      <c r="H69" s="13">
        <f>SUM(H59:H68)</f>
        <v>239831</v>
      </c>
      <c r="I69" s="13">
        <f>SUM(I59:I68)</f>
        <v>117874</v>
      </c>
      <c r="J69" s="13">
        <f>SUM(J59:J68)</f>
        <v>165120</v>
      </c>
    </row>
    <row r="70" spans="2:29" s="13" customFormat="1" x14ac:dyDescent="0.15">
      <c r="B70" s="14" t="s">
        <v>57</v>
      </c>
      <c r="C70" s="26"/>
      <c r="D70" s="26"/>
      <c r="E70" s="26"/>
      <c r="F70" s="26">
        <v>1120692</v>
      </c>
      <c r="G70" s="26">
        <v>1159837</v>
      </c>
      <c r="H70" s="26">
        <v>1227980</v>
      </c>
      <c r="I70" s="26">
        <v>1288498</v>
      </c>
      <c r="J70" s="26">
        <v>1364425</v>
      </c>
      <c r="K70" s="26"/>
      <c r="L70" s="26"/>
      <c r="M70" s="26"/>
      <c r="N70" s="26"/>
    </row>
    <row r="71" spans="2:29" s="15" customFormat="1" x14ac:dyDescent="0.15">
      <c r="B71" s="22" t="s">
        <v>58</v>
      </c>
      <c r="F71" s="15">
        <f>SUM(F69:F70)</f>
        <v>1343136</v>
      </c>
      <c r="G71" s="15">
        <f>SUM(G69:G70)</f>
        <v>1379365</v>
      </c>
      <c r="H71" s="15">
        <f>SUM(H69:H70)</f>
        <v>1467811</v>
      </c>
      <c r="I71" s="15">
        <f>SUM(I69:I70)</f>
        <v>1406372</v>
      </c>
      <c r="J71" s="15">
        <f>SUM(J69:J70)</f>
        <v>1529545</v>
      </c>
    </row>
    <row r="73" spans="2:29" x14ac:dyDescent="0.15">
      <c r="B73" s="9" t="s">
        <v>70</v>
      </c>
      <c r="F73" s="13">
        <f>+F70</f>
        <v>1120692</v>
      </c>
      <c r="G73" s="13">
        <f t="shared" ref="G73:J73" si="54">+G70</f>
        <v>1159837</v>
      </c>
      <c r="H73" s="13">
        <f t="shared" si="54"/>
        <v>1227980</v>
      </c>
      <c r="I73" s="13">
        <f t="shared" si="54"/>
        <v>1288498</v>
      </c>
      <c r="J73" s="13">
        <f t="shared" si="54"/>
        <v>1364425</v>
      </c>
      <c r="K73" s="13"/>
      <c r="L73" s="13"/>
      <c r="M73" s="13"/>
      <c r="N73" s="13"/>
      <c r="O73" s="13"/>
    </row>
    <row r="74" spans="2:29" x14ac:dyDescent="0.15">
      <c r="B74" s="9" t="s">
        <v>71</v>
      </c>
      <c r="F74" s="13">
        <f>+F73-F51-F50</f>
        <v>816821</v>
      </c>
      <c r="G74" s="13">
        <f>+G73-G51-G50</f>
        <v>857678</v>
      </c>
      <c r="H74" s="13">
        <f>+H73-H51-H50</f>
        <v>927553</v>
      </c>
      <c r="I74" s="13">
        <f>+I73-I51-I50</f>
        <v>989795</v>
      </c>
      <c r="J74" s="13">
        <f>+J73-J51-J50</f>
        <v>1067442</v>
      </c>
      <c r="K74" s="13"/>
      <c r="L74" s="13"/>
      <c r="M74" s="13"/>
      <c r="N74" s="13"/>
      <c r="O74" s="13"/>
    </row>
    <row r="75" spans="2:29" x14ac:dyDescent="0.15">
      <c r="B75" s="9" t="s">
        <v>72</v>
      </c>
    </row>
    <row r="78" spans="2:29" x14ac:dyDescent="0.15">
      <c r="B78" s="9" t="s">
        <v>221</v>
      </c>
      <c r="C78" s="13">
        <f>C27</f>
        <v>36849</v>
      </c>
      <c r="D78" s="13">
        <f t="shared" ref="D78:J78" si="55">D27</f>
        <v>39166</v>
      </c>
      <c r="E78" s="13">
        <f t="shared" si="55"/>
        <v>47011</v>
      </c>
      <c r="F78" s="13">
        <f t="shared" si="55"/>
        <v>64532</v>
      </c>
      <c r="G78" s="13">
        <f t="shared" si="55"/>
        <v>62016</v>
      </c>
      <c r="H78" s="13">
        <f t="shared" si="55"/>
        <v>69967</v>
      </c>
      <c r="I78" s="13">
        <f t="shared" si="55"/>
        <v>50101</v>
      </c>
      <c r="J78" s="13">
        <f t="shared" si="55"/>
        <v>65560</v>
      </c>
      <c r="AA78" s="13">
        <f>AA27</f>
        <v>262824</v>
      </c>
      <c r="AB78" s="13">
        <f>AB27</f>
        <v>187558</v>
      </c>
      <c r="AC78" s="13">
        <f>AC27</f>
        <v>284170</v>
      </c>
    </row>
    <row r="79" spans="2:29" s="13" customFormat="1" x14ac:dyDescent="0.15">
      <c r="B79" s="14" t="s">
        <v>28</v>
      </c>
      <c r="G79" s="26">
        <v>60303</v>
      </c>
      <c r="H79" s="26">
        <f>118238-G79</f>
        <v>57935</v>
      </c>
      <c r="I79" s="26">
        <f>166615-SUM(G79:H79)</f>
        <v>48377</v>
      </c>
      <c r="J79" s="26">
        <f>+AC79-SUM(G79:I79)</f>
        <v>63840</v>
      </c>
      <c r="AA79" s="26">
        <v>333904</v>
      </c>
      <c r="AB79" s="26">
        <v>179821</v>
      </c>
      <c r="AC79" s="26">
        <v>230455</v>
      </c>
    </row>
    <row r="80" spans="2:29" s="13" customFormat="1" x14ac:dyDescent="0.15">
      <c r="B80" s="14" t="s">
        <v>222</v>
      </c>
      <c r="G80" s="26">
        <v>11383</v>
      </c>
      <c r="H80" s="26">
        <f>25616-G80</f>
        <v>14233</v>
      </c>
      <c r="I80" s="26">
        <f>39822-SUM(G80:H80)</f>
        <v>14206</v>
      </c>
      <c r="J80" s="26">
        <f t="shared" ref="J80:J99" si="56">+AC80-SUM(G80:I80)</f>
        <v>14445</v>
      </c>
      <c r="AA80" s="26">
        <v>45011</v>
      </c>
      <c r="AB80" s="26">
        <v>44880</v>
      </c>
      <c r="AC80" s="26">
        <v>54267</v>
      </c>
    </row>
    <row r="81" spans="2:29" s="13" customFormat="1" x14ac:dyDescent="0.15">
      <c r="B81" s="14" t="s">
        <v>223</v>
      </c>
      <c r="G81" s="26">
        <v>8122</v>
      </c>
      <c r="H81" s="26">
        <f>16605-G81</f>
        <v>8483</v>
      </c>
      <c r="I81" s="26">
        <f>25654-SUM(G81:H81)</f>
        <v>9049</v>
      </c>
      <c r="J81" s="26">
        <f t="shared" si="56"/>
        <v>9457</v>
      </c>
      <c r="AA81" s="26">
        <v>33687</v>
      </c>
      <c r="AB81" s="26">
        <v>30980</v>
      </c>
      <c r="AC81" s="26">
        <v>35111</v>
      </c>
    </row>
    <row r="82" spans="2:29" s="13" customFormat="1" x14ac:dyDescent="0.15">
      <c r="B82" s="14" t="s">
        <v>224</v>
      </c>
      <c r="G82" s="26">
        <v>1713</v>
      </c>
      <c r="H82" s="26">
        <f>3434-G82</f>
        <v>1721</v>
      </c>
      <c r="I82" s="26">
        <f>5158-SUM(G82:H82)</f>
        <v>1724</v>
      </c>
      <c r="J82" s="26">
        <f t="shared" si="56"/>
        <v>1720</v>
      </c>
      <c r="AA82" s="26">
        <v>14741</v>
      </c>
      <c r="AB82" s="26">
        <v>11710</v>
      </c>
      <c r="AC82" s="26">
        <v>6878</v>
      </c>
    </row>
    <row r="83" spans="2:29" s="13" customFormat="1" x14ac:dyDescent="0.15">
      <c r="B83" s="14" t="s">
        <v>225</v>
      </c>
      <c r="G83" s="26">
        <v>0</v>
      </c>
      <c r="H83" s="26">
        <v>0</v>
      </c>
      <c r="I83" s="26">
        <f>0-SUM(G83:H83)</f>
        <v>0</v>
      </c>
      <c r="J83" s="26">
        <f t="shared" si="56"/>
        <v>0</v>
      </c>
      <c r="AA83" s="26">
        <v>240</v>
      </c>
      <c r="AB83" s="26">
        <v>0</v>
      </c>
      <c r="AC83" s="26">
        <v>0</v>
      </c>
    </row>
    <row r="84" spans="2:29" s="13" customFormat="1" x14ac:dyDescent="0.15">
      <c r="B84" s="14" t="s">
        <v>226</v>
      </c>
      <c r="G84" s="26">
        <v>1922</v>
      </c>
      <c r="H84" s="26">
        <f>4618-G84</f>
        <v>2696</v>
      </c>
      <c r="I84" s="26">
        <f>22888-SUM(G84:H84)</f>
        <v>18270</v>
      </c>
      <c r="J84" s="26">
        <f t="shared" si="56"/>
        <v>6702</v>
      </c>
      <c r="AA84" s="26">
        <v>-145350</v>
      </c>
      <c r="AB84" s="26">
        <v>-9875</v>
      </c>
      <c r="AC84" s="26">
        <v>29590</v>
      </c>
    </row>
    <row r="85" spans="2:29" s="13" customFormat="1" x14ac:dyDescent="0.15">
      <c r="B85" s="14" t="s">
        <v>227</v>
      </c>
      <c r="G85" s="26"/>
      <c r="H85" s="26"/>
      <c r="I85" s="26"/>
      <c r="J85" s="26"/>
      <c r="AA85" s="26">
        <v>-90784</v>
      </c>
      <c r="AB85" s="26">
        <v>0</v>
      </c>
      <c r="AC85" s="26">
        <v>0</v>
      </c>
    </row>
    <row r="86" spans="2:29" s="13" customFormat="1" x14ac:dyDescent="0.15">
      <c r="B86" s="14" t="s">
        <v>228</v>
      </c>
      <c r="G86" s="26"/>
      <c r="H86" s="26"/>
      <c r="I86" s="26"/>
      <c r="J86" s="26"/>
      <c r="AA86" s="26">
        <v>-23924</v>
      </c>
      <c r="AB86" s="26">
        <v>0</v>
      </c>
      <c r="AC86" s="26">
        <v>0</v>
      </c>
    </row>
    <row r="87" spans="2:29" s="13" customFormat="1" x14ac:dyDescent="0.15">
      <c r="B87" s="14" t="s">
        <v>229</v>
      </c>
      <c r="G87" s="26"/>
      <c r="H87" s="26"/>
      <c r="I87" s="26"/>
      <c r="J87" s="26"/>
      <c r="AA87" s="26">
        <v>10045</v>
      </c>
      <c r="AB87" s="26">
        <v>1071</v>
      </c>
      <c r="AC87" s="26">
        <v>0</v>
      </c>
    </row>
    <row r="88" spans="2:29" s="13" customFormat="1" x14ac:dyDescent="0.15">
      <c r="B88" s="14" t="s">
        <v>230</v>
      </c>
      <c r="G88" s="26"/>
      <c r="H88" s="26"/>
      <c r="I88" s="26"/>
      <c r="J88" s="26"/>
      <c r="AA88" s="26">
        <v>9234</v>
      </c>
      <c r="AB88" s="26">
        <v>-5044</v>
      </c>
      <c r="AC88" s="26">
        <v>0</v>
      </c>
    </row>
    <row r="89" spans="2:29" s="13" customFormat="1" x14ac:dyDescent="0.15">
      <c r="B89" s="14" t="s">
        <v>231</v>
      </c>
      <c r="G89" s="26">
        <v>4</v>
      </c>
      <c r="H89" s="26">
        <f>1-G89</f>
        <v>-3</v>
      </c>
      <c r="I89" s="26">
        <f>1-SUM(G89:H89)</f>
        <v>0</v>
      </c>
      <c r="J89" s="26">
        <f t="shared" si="56"/>
        <v>72</v>
      </c>
      <c r="AA89" s="26">
        <v>648</v>
      </c>
      <c r="AB89" s="26">
        <v>15</v>
      </c>
      <c r="AC89" s="26">
        <v>73</v>
      </c>
    </row>
    <row r="90" spans="2:29" s="13" customFormat="1" x14ac:dyDescent="0.15">
      <c r="B90" s="14" t="s">
        <v>45</v>
      </c>
      <c r="G90" s="26">
        <v>3718</v>
      </c>
      <c r="H90" s="26">
        <f>15695-G90</f>
        <v>11977</v>
      </c>
      <c r="I90" s="26">
        <f>17466-SUM(G90:H90)</f>
        <v>1771</v>
      </c>
      <c r="J90" s="26">
        <f t="shared" si="56"/>
        <v>-32119</v>
      </c>
      <c r="AA90" s="26">
        <v>-28931</v>
      </c>
      <c r="AB90" s="26">
        <v>-39835</v>
      </c>
      <c r="AC90" s="26">
        <v>-14653</v>
      </c>
    </row>
    <row r="91" spans="2:29" s="13" customFormat="1" x14ac:dyDescent="0.15">
      <c r="B91" s="14" t="s">
        <v>232</v>
      </c>
      <c r="G91" s="26">
        <v>1923</v>
      </c>
      <c r="H91" s="26">
        <f>+-1006-G91</f>
        <v>-2929</v>
      </c>
      <c r="I91" s="26">
        <f>66-SUM(G91:H91)</f>
        <v>1072</v>
      </c>
      <c r="J91" s="26">
        <f t="shared" si="56"/>
        <v>600</v>
      </c>
      <c r="AA91" s="26">
        <v>93796</v>
      </c>
      <c r="AB91" s="26">
        <v>26191</v>
      </c>
      <c r="AC91" s="26">
        <v>666</v>
      </c>
    </row>
    <row r="92" spans="2:29" s="13" customFormat="1" x14ac:dyDescent="0.15">
      <c r="B92" s="14" t="s">
        <v>233</v>
      </c>
      <c r="G92" s="26">
        <v>-856</v>
      </c>
      <c r="H92" s="26">
        <f>+-661-G92</f>
        <v>195</v>
      </c>
      <c r="I92" s="26">
        <f>+-3595-SUM(G92:H92)</f>
        <v>-2934</v>
      </c>
      <c r="J92" s="26">
        <f t="shared" si="56"/>
        <v>-397</v>
      </c>
      <c r="AA92" s="26">
        <v>2763</v>
      </c>
      <c r="AB92" s="26">
        <v>-5500</v>
      </c>
      <c r="AC92" s="26">
        <v>-3992</v>
      </c>
    </row>
    <row r="93" spans="2:29" s="13" customFormat="1" x14ac:dyDescent="0.15">
      <c r="B93" s="14" t="s">
        <v>47</v>
      </c>
      <c r="G93" s="26">
        <v>-67</v>
      </c>
      <c r="H93" s="26">
        <f>6031-G93</f>
        <v>6098</v>
      </c>
      <c r="I93" s="26">
        <f>28-SUM(G93:H93)</f>
        <v>-6003</v>
      </c>
      <c r="J93" s="26">
        <f t="shared" si="56"/>
        <v>508</v>
      </c>
      <c r="AA93" s="26">
        <v>-15254</v>
      </c>
      <c r="AB93" s="26">
        <v>-8480</v>
      </c>
      <c r="AC93" s="26">
        <v>536</v>
      </c>
    </row>
    <row r="94" spans="2:29" s="13" customFormat="1" x14ac:dyDescent="0.15">
      <c r="B94" s="14" t="s">
        <v>234</v>
      </c>
      <c r="G94" s="26">
        <v>-5951</v>
      </c>
      <c r="H94" s="26">
        <f>+-11350-G94</f>
        <v>-5399</v>
      </c>
      <c r="I94" s="26">
        <f>+-11944-SUM(G94:H94)</f>
        <v>-594</v>
      </c>
      <c r="J94" s="26">
        <f t="shared" si="56"/>
        <v>-336</v>
      </c>
      <c r="AA94" s="26">
        <v>-87704</v>
      </c>
      <c r="AB94" s="26">
        <v>-21179</v>
      </c>
      <c r="AC94" s="26">
        <v>-12280</v>
      </c>
    </row>
    <row r="95" spans="2:29" s="13" customFormat="1" x14ac:dyDescent="0.15">
      <c r="B95" s="14" t="s">
        <v>68</v>
      </c>
      <c r="G95" s="26">
        <v>-1913</v>
      </c>
      <c r="H95" s="26">
        <f>++-8545-G95</f>
        <v>-6632</v>
      </c>
      <c r="I95" s="26">
        <f>+-5153-SUM(G95:H95)</f>
        <v>3392</v>
      </c>
      <c r="J95" s="26">
        <f t="shared" si="56"/>
        <v>16550</v>
      </c>
      <c r="AA95" s="26">
        <v>-5768</v>
      </c>
      <c r="AB95" s="26">
        <v>580</v>
      </c>
      <c r="AC95" s="26">
        <v>11397</v>
      </c>
    </row>
    <row r="96" spans="2:29" s="13" customFormat="1" x14ac:dyDescent="0.15">
      <c r="B96" s="14" t="s">
        <v>235</v>
      </c>
      <c r="G96" s="26">
        <v>-6822</v>
      </c>
      <c r="H96" s="26">
        <f>+-2878-G96</f>
        <v>3944</v>
      </c>
      <c r="I96" s="26">
        <f>+-6502-SUM(G96:H96)</f>
        <v>-3624</v>
      </c>
      <c r="J96" s="26">
        <f t="shared" si="56"/>
        <v>13050</v>
      </c>
      <c r="AA96" s="26">
        <v>41</v>
      </c>
      <c r="AB96" s="26">
        <v>571</v>
      </c>
      <c r="AC96" s="26">
        <v>6548</v>
      </c>
    </row>
    <row r="97" spans="2:29" s="13" customFormat="1" x14ac:dyDescent="0.15">
      <c r="B97" s="14" t="s">
        <v>236</v>
      </c>
      <c r="G97" s="26">
        <v>5122</v>
      </c>
      <c r="H97" s="26">
        <f>9845-G97</f>
        <v>4723</v>
      </c>
      <c r="I97" s="26">
        <f>10213-SUM(G97:H97)</f>
        <v>368</v>
      </c>
      <c r="J97" s="26">
        <f t="shared" si="56"/>
        <v>1020</v>
      </c>
      <c r="AA97" s="26">
        <v>59643</v>
      </c>
      <c r="AB97" s="26">
        <v>26275</v>
      </c>
      <c r="AC97" s="26">
        <v>11233</v>
      </c>
    </row>
    <row r="98" spans="2:29" s="13" customFormat="1" x14ac:dyDescent="0.15">
      <c r="B98" s="14" t="s">
        <v>237</v>
      </c>
      <c r="G98" s="26">
        <v>153</v>
      </c>
      <c r="H98" s="26">
        <f>+-1272-G98</f>
        <v>-1425</v>
      </c>
      <c r="I98" s="26">
        <f>3583-SUM(G98:H98)</f>
        <v>4855</v>
      </c>
      <c r="J98" s="26">
        <f t="shared" si="56"/>
        <v>6160</v>
      </c>
      <c r="AA98" s="26">
        <v>-5048</v>
      </c>
      <c r="AB98" s="26">
        <v>3774</v>
      </c>
      <c r="AC98" s="26">
        <v>9743</v>
      </c>
    </row>
    <row r="99" spans="2:29" s="13" customFormat="1" x14ac:dyDescent="0.15">
      <c r="B99" s="14" t="s">
        <v>238</v>
      </c>
      <c r="G99" s="26">
        <v>-1340</v>
      </c>
      <c r="H99" s="26">
        <f>+-2598-G99</f>
        <v>-1258</v>
      </c>
      <c r="I99" s="26">
        <f>+-4098-SUM(G99:H99)</f>
        <v>-1500</v>
      </c>
      <c r="J99" s="26">
        <f t="shared" si="56"/>
        <v>-1455</v>
      </c>
      <c r="AA99" s="26">
        <v>-5204</v>
      </c>
      <c r="AB99" s="26">
        <v>-5356</v>
      </c>
      <c r="AC99" s="26">
        <v>-5553</v>
      </c>
    </row>
    <row r="100" spans="2:29" s="15" customFormat="1" x14ac:dyDescent="0.15">
      <c r="B100" s="22" t="s">
        <v>73</v>
      </c>
      <c r="G100" s="15">
        <f>+SUM(G79:G99)</f>
        <v>77414</v>
      </c>
      <c r="H100" s="15">
        <f>+SUM(H79:H99)</f>
        <v>94359</v>
      </c>
      <c r="I100" s="15">
        <f>+SUM(I79:I99)</f>
        <v>88429</v>
      </c>
      <c r="J100" s="15">
        <f>+SUM(J79:J99)</f>
        <v>99817</v>
      </c>
      <c r="AA100" s="15">
        <f>+SUM(AA79:AA99)</f>
        <v>195786</v>
      </c>
      <c r="AB100" s="15">
        <f>+SUM(AB79:AB99)</f>
        <v>230599</v>
      </c>
      <c r="AC100" s="15">
        <f>+SUM(AC79:AC99)</f>
        <v>360019</v>
      </c>
    </row>
    <row r="101" spans="2:29" s="13" customFormat="1" x14ac:dyDescent="0.15">
      <c r="B101" s="14"/>
    </row>
    <row r="102" spans="2:29" s="13" customFormat="1" x14ac:dyDescent="0.15">
      <c r="B102" s="14" t="s">
        <v>74</v>
      </c>
      <c r="G102" s="26">
        <v>-7872</v>
      </c>
      <c r="H102" s="26">
        <f>+-14379-G102</f>
        <v>-6507</v>
      </c>
      <c r="I102" s="26">
        <f>+-20325-SUM(G102:H102)</f>
        <v>-5946</v>
      </c>
      <c r="J102" s="26">
        <f t="shared" ref="J102:J107" si="57">+AC102-SUM(G102:I102)</f>
        <v>-6517</v>
      </c>
      <c r="AA102" s="26">
        <v>-23240</v>
      </c>
      <c r="AB102" s="26">
        <v>-30697</v>
      </c>
      <c r="AC102" s="26">
        <v>-26842</v>
      </c>
    </row>
    <row r="103" spans="2:29" s="13" customFormat="1" x14ac:dyDescent="0.15">
      <c r="B103" s="14" t="s">
        <v>239</v>
      </c>
      <c r="G103" s="26">
        <v>-91168</v>
      </c>
      <c r="H103" s="26">
        <f>-303836-G103</f>
        <v>-212668</v>
      </c>
      <c r="I103" s="26">
        <f>+-498171-SUM(G103:H103)</f>
        <v>-194335</v>
      </c>
      <c r="J103" s="26">
        <f t="shared" si="57"/>
        <v>-168123</v>
      </c>
      <c r="AA103" s="26">
        <v>-434155</v>
      </c>
      <c r="AB103" s="26">
        <v>-415374</v>
      </c>
      <c r="AC103" s="26">
        <v>-666294</v>
      </c>
    </row>
    <row r="104" spans="2:29" s="13" customFormat="1" x14ac:dyDescent="0.15">
      <c r="B104" s="14" t="s">
        <v>240</v>
      </c>
      <c r="G104" s="26">
        <v>90675</v>
      </c>
      <c r="H104" s="26">
        <f>178628-G104</f>
        <v>87953</v>
      </c>
      <c r="I104" s="26">
        <f>287055-SUM(G104:H104)</f>
        <v>108427</v>
      </c>
      <c r="J104" s="26">
        <f t="shared" si="57"/>
        <v>182971</v>
      </c>
      <c r="AA104" s="26">
        <v>175854</v>
      </c>
      <c r="AB104" s="26">
        <v>280829</v>
      </c>
      <c r="AC104" s="26">
        <v>470026</v>
      </c>
    </row>
    <row r="105" spans="2:29" s="13" customFormat="1" x14ac:dyDescent="0.15">
      <c r="B105" s="14" t="s">
        <v>241</v>
      </c>
      <c r="G105" s="26"/>
      <c r="H105" s="26"/>
      <c r="I105" s="26"/>
      <c r="J105" s="26"/>
      <c r="AA105" s="26">
        <v>117798</v>
      </c>
      <c r="AB105" s="26">
        <v>85722</v>
      </c>
      <c r="AC105" s="26">
        <v>0</v>
      </c>
    </row>
    <row r="106" spans="2:29" s="13" customFormat="1" x14ac:dyDescent="0.15">
      <c r="B106" s="14" t="s">
        <v>242</v>
      </c>
      <c r="G106" s="26"/>
      <c r="H106" s="26"/>
      <c r="I106" s="26"/>
      <c r="J106" s="26"/>
      <c r="AA106" s="26">
        <v>0</v>
      </c>
      <c r="AB106" s="26">
        <v>22796</v>
      </c>
      <c r="AC106" s="26">
        <v>0</v>
      </c>
    </row>
    <row r="107" spans="2:29" s="13" customFormat="1" x14ac:dyDescent="0.15">
      <c r="B107" s="14" t="s">
        <v>243</v>
      </c>
      <c r="G107" s="26"/>
      <c r="H107" s="26"/>
      <c r="I107" s="26"/>
      <c r="J107" s="26"/>
      <c r="AA107" s="26">
        <v>106347</v>
      </c>
      <c r="AB107" s="26">
        <v>0</v>
      </c>
      <c r="AC107" s="26">
        <v>0</v>
      </c>
    </row>
    <row r="108" spans="2:29" s="15" customFormat="1" x14ac:dyDescent="0.15">
      <c r="B108" s="22" t="s">
        <v>244</v>
      </c>
      <c r="G108" s="15">
        <f>SUM(G102:G107)</f>
        <v>-8365</v>
      </c>
      <c r="H108" s="15">
        <f>SUM(H102:H107)</f>
        <v>-131222</v>
      </c>
      <c r="I108" s="15">
        <f>SUM(I102:I107)</f>
        <v>-91854</v>
      </c>
      <c r="J108" s="15">
        <f>SUM(J102:J107)</f>
        <v>8331</v>
      </c>
      <c r="AA108" s="15">
        <f>+SUM(AA102:AA107)</f>
        <v>-57396</v>
      </c>
      <c r="AB108" s="15">
        <f>+SUM(AB102:AB107)</f>
        <v>-56724</v>
      </c>
      <c r="AC108" s="15">
        <f>+SUM(AC102:AC107)</f>
        <v>-223110</v>
      </c>
    </row>
    <row r="109" spans="2:29" s="13" customFormat="1" x14ac:dyDescent="0.15">
      <c r="B109" s="14"/>
    </row>
    <row r="110" spans="2:29" s="13" customFormat="1" x14ac:dyDescent="0.15">
      <c r="B110" s="14" t="s">
        <v>245</v>
      </c>
      <c r="G110" s="26">
        <v>0</v>
      </c>
      <c r="H110" s="26">
        <f>3743-G110</f>
        <v>3743</v>
      </c>
      <c r="I110" s="26">
        <f>3743-SUM(G110:H110)</f>
        <v>0</v>
      </c>
      <c r="J110" s="26">
        <f t="shared" ref="J110:J118" si="58">+AC110-SUM(G110:I110)</f>
        <v>3116</v>
      </c>
      <c r="AA110" s="26">
        <v>8950</v>
      </c>
      <c r="AB110" s="26">
        <v>5465</v>
      </c>
      <c r="AC110" s="26">
        <v>6859</v>
      </c>
    </row>
    <row r="111" spans="2:29" s="13" customFormat="1" x14ac:dyDescent="0.15">
      <c r="B111" s="14" t="s">
        <v>246</v>
      </c>
      <c r="G111" s="26">
        <v>-30807</v>
      </c>
      <c r="H111" s="26">
        <f>+-34997-G111</f>
        <v>-4190</v>
      </c>
      <c r="I111" s="26">
        <f>+-37640-SUM(G111:H111)</f>
        <v>-2643</v>
      </c>
      <c r="J111" s="26">
        <f t="shared" si="58"/>
        <v>-4230</v>
      </c>
      <c r="AA111" s="26">
        <v>-38328</v>
      </c>
      <c r="AB111" s="26">
        <v>-41340</v>
      </c>
      <c r="AC111" s="26">
        <v>-41870</v>
      </c>
    </row>
    <row r="112" spans="2:29" s="13" customFormat="1" x14ac:dyDescent="0.15">
      <c r="B112" s="14" t="s">
        <v>247</v>
      </c>
      <c r="G112" s="26">
        <v>-3799</v>
      </c>
      <c r="H112" s="26">
        <f>+-7686-G112</f>
        <v>-3887</v>
      </c>
      <c r="I112" s="26">
        <f>+-10163-SUM(G112:H112)</f>
        <v>-2477</v>
      </c>
      <c r="J112" s="26">
        <f t="shared" si="58"/>
        <v>-2126</v>
      </c>
      <c r="AA112" s="26">
        <v>-16192</v>
      </c>
      <c r="AB112" s="26">
        <v>-16350</v>
      </c>
      <c r="AC112" s="26">
        <v>-12289</v>
      </c>
    </row>
    <row r="113" spans="2:29" s="13" customFormat="1" x14ac:dyDescent="0.15">
      <c r="B113" s="14" t="s">
        <v>248</v>
      </c>
      <c r="G113" s="26"/>
      <c r="H113" s="26"/>
      <c r="I113" s="26"/>
      <c r="J113" s="26">
        <f t="shared" si="58"/>
        <v>0</v>
      </c>
      <c r="AA113" s="26">
        <v>-10381</v>
      </c>
      <c r="AB113" s="26">
        <v>0</v>
      </c>
      <c r="AC113" s="26">
        <v>0</v>
      </c>
    </row>
    <row r="114" spans="2:29" s="13" customFormat="1" x14ac:dyDescent="0.15">
      <c r="B114" s="14" t="s">
        <v>249</v>
      </c>
      <c r="G114" s="26"/>
      <c r="H114" s="26"/>
      <c r="I114" s="26"/>
      <c r="J114" s="26">
        <f t="shared" si="58"/>
        <v>0</v>
      </c>
      <c r="AA114" s="26">
        <v>-10697</v>
      </c>
      <c r="AB114" s="26">
        <v>0</v>
      </c>
      <c r="AC114" s="26">
        <v>0</v>
      </c>
    </row>
    <row r="115" spans="2:29" s="13" customFormat="1" x14ac:dyDescent="0.15">
      <c r="B115" s="14" t="s">
        <v>250</v>
      </c>
      <c r="G115" s="26"/>
      <c r="H115" s="26"/>
      <c r="I115" s="26"/>
      <c r="J115" s="26">
        <f t="shared" si="58"/>
        <v>0</v>
      </c>
      <c r="AA115" s="26">
        <v>-2450</v>
      </c>
      <c r="AB115" s="26">
        <v>-2450</v>
      </c>
      <c r="AC115" s="26">
        <v>0</v>
      </c>
    </row>
    <row r="116" spans="2:29" s="13" customFormat="1" x14ac:dyDescent="0.15">
      <c r="B116" s="14" t="s">
        <v>251</v>
      </c>
      <c r="G116" s="26">
        <v>-2157</v>
      </c>
      <c r="H116" s="26">
        <f>+-5810-G116</f>
        <v>-3653</v>
      </c>
      <c r="I116" s="26">
        <f>+-5810-SUM(G116:H116)</f>
        <v>0</v>
      </c>
      <c r="J116" s="26">
        <f t="shared" si="58"/>
        <v>-1304</v>
      </c>
      <c r="AA116" s="26">
        <v>-100525</v>
      </c>
      <c r="AB116" s="26">
        <v>-113312</v>
      </c>
      <c r="AC116" s="26">
        <v>-7114</v>
      </c>
    </row>
    <row r="117" spans="2:29" s="15" customFormat="1" x14ac:dyDescent="0.15">
      <c r="B117" s="22" t="s">
        <v>252</v>
      </c>
      <c r="G117" s="15">
        <f>SUM(G110:G116)</f>
        <v>-36763</v>
      </c>
      <c r="H117" s="15">
        <f>SUM(H110:H116)</f>
        <v>-7987</v>
      </c>
      <c r="I117" s="15">
        <f>SUM(I110:I116)</f>
        <v>-5120</v>
      </c>
      <c r="J117" s="15">
        <f>SUM(J110:J116)</f>
        <v>-4544</v>
      </c>
      <c r="AA117" s="15">
        <f>+SUM(AA110:AA116)</f>
        <v>-169623</v>
      </c>
      <c r="AB117" s="15">
        <f>+SUM(AB110:AB116)</f>
        <v>-167987</v>
      </c>
      <c r="AC117" s="15">
        <f>+SUM(AC110:AC116)</f>
        <v>-54414</v>
      </c>
    </row>
    <row r="118" spans="2:29" s="13" customFormat="1" x14ac:dyDescent="0.15">
      <c r="B118" s="14" t="s">
        <v>253</v>
      </c>
      <c r="G118" s="13">
        <v>124</v>
      </c>
      <c r="H118" s="13">
        <f>548-G118</f>
        <v>424</v>
      </c>
      <c r="I118" s="13">
        <f>534-SUM(G118:H118)</f>
        <v>-14</v>
      </c>
      <c r="J118" s="13">
        <f t="shared" si="58"/>
        <v>22</v>
      </c>
      <c r="AA118" s="13">
        <v>306</v>
      </c>
      <c r="AB118" s="13">
        <v>-880</v>
      </c>
      <c r="AC118" s="13">
        <v>556</v>
      </c>
    </row>
    <row r="119" spans="2:29" s="13" customFormat="1" x14ac:dyDescent="0.15">
      <c r="B119" s="14" t="s">
        <v>254</v>
      </c>
      <c r="G119" s="13">
        <f>SUM(G100,G108,G117:G118)</f>
        <v>32410</v>
      </c>
      <c r="H119" s="13">
        <f>SUM(H100,H108,H117:H118)</f>
        <v>-44426</v>
      </c>
      <c r="I119" s="13">
        <f>SUM(I100,I108,I117:I118)</f>
        <v>-8559</v>
      </c>
      <c r="J119" s="13">
        <f>SUM(J100,J108,J117:J118)</f>
        <v>103626</v>
      </c>
      <c r="AA119" s="13">
        <f>SUM(AA100,AA108,AA117:AA118)</f>
        <v>-30927</v>
      </c>
      <c r="AB119" s="13">
        <f>SUM(AB100,AB108,AB117:AB118)</f>
        <v>5008</v>
      </c>
      <c r="AC119" s="13">
        <f>SUM(AC100,AC108,AC117:AC118)</f>
        <v>83051</v>
      </c>
    </row>
    <row r="120" spans="2:29" s="13" customFormat="1" x14ac:dyDescent="0.15">
      <c r="B120" s="14" t="s">
        <v>255</v>
      </c>
      <c r="G120" s="13">
        <f>+F44</f>
        <v>99775</v>
      </c>
      <c r="H120" s="13">
        <f>+G44</f>
        <v>132185</v>
      </c>
      <c r="I120" s="13">
        <f>+H44</f>
        <v>87759</v>
      </c>
      <c r="J120" s="13">
        <f>+I44</f>
        <v>79200</v>
      </c>
      <c r="AA120" s="13">
        <v>125694</v>
      </c>
      <c r="AB120" s="13">
        <f>+AA121</f>
        <v>94767</v>
      </c>
      <c r="AC120" s="13">
        <f>+AB121</f>
        <v>99775</v>
      </c>
    </row>
    <row r="121" spans="2:29" s="13" customFormat="1" x14ac:dyDescent="0.15">
      <c r="B121" s="14" t="s">
        <v>256</v>
      </c>
      <c r="G121" s="13">
        <f>+SUM(G119:G120)</f>
        <v>132185</v>
      </c>
      <c r="H121" s="13">
        <f>+SUM(H119:H120)</f>
        <v>87759</v>
      </c>
      <c r="I121" s="13">
        <f>+SUM(I119:I120)</f>
        <v>79200</v>
      </c>
      <c r="J121" s="13">
        <f>+SUM(J119:J120)</f>
        <v>182826</v>
      </c>
      <c r="AA121" s="13">
        <f>SUM(AA119:AA120)</f>
        <v>94767</v>
      </c>
      <c r="AB121" s="13">
        <f>SUM(AB119:AB120)</f>
        <v>99775</v>
      </c>
      <c r="AC121" s="13">
        <f>SUM(AC119:AC120)</f>
        <v>182826</v>
      </c>
    </row>
    <row r="122" spans="2:29" s="13" customFormat="1" x14ac:dyDescent="0.15">
      <c r="B122" s="14"/>
    </row>
    <row r="123" spans="2:29" s="13" customFormat="1" x14ac:dyDescent="0.15">
      <c r="B123" s="14" t="s">
        <v>73</v>
      </c>
      <c r="C123" s="13">
        <v>39119</v>
      </c>
      <c r="D123" s="13">
        <f>109541-C123</f>
        <v>70422</v>
      </c>
      <c r="E123" s="13">
        <f>171615-SUM(C123:D123)</f>
        <v>62074</v>
      </c>
      <c r="F123" s="13">
        <f>230599-SUM(C123:E123)</f>
        <v>58984</v>
      </c>
      <c r="G123" s="13">
        <f>+G100</f>
        <v>77414</v>
      </c>
      <c r="H123" s="13">
        <f>+H100</f>
        <v>94359</v>
      </c>
      <c r="I123" s="13">
        <f>+I100</f>
        <v>88429</v>
      </c>
      <c r="J123" s="13">
        <f>+J100</f>
        <v>99817</v>
      </c>
    </row>
    <row r="124" spans="2:29" s="13" customFormat="1" x14ac:dyDescent="0.15">
      <c r="B124" s="14" t="s">
        <v>74</v>
      </c>
      <c r="C124" s="13">
        <v>-3008</v>
      </c>
      <c r="D124" s="13">
        <f>+-14338-C124</f>
        <v>-11330</v>
      </c>
      <c r="E124" s="13">
        <f>+-24208-SUM(C124:D124)</f>
        <v>-9870</v>
      </c>
      <c r="F124" s="13">
        <f>+-30697-SUM(C124:E124)</f>
        <v>-6489</v>
      </c>
      <c r="G124" s="13">
        <f>+G102</f>
        <v>-7872</v>
      </c>
      <c r="H124" s="13">
        <f>+H102</f>
        <v>-6507</v>
      </c>
      <c r="I124" s="13">
        <f>+I102</f>
        <v>-5946</v>
      </c>
      <c r="J124" s="13">
        <f>+J102</f>
        <v>-6517</v>
      </c>
    </row>
    <row r="125" spans="2:29" s="15" customFormat="1" x14ac:dyDescent="0.15">
      <c r="B125" s="22" t="s">
        <v>75</v>
      </c>
      <c r="C125" s="15">
        <f t="shared" ref="C125:J125" si="59">+SUM(C123:C124)</f>
        <v>36111</v>
      </c>
      <c r="D125" s="15">
        <f t="shared" si="59"/>
        <v>59092</v>
      </c>
      <c r="E125" s="15">
        <f t="shared" si="59"/>
        <v>52204</v>
      </c>
      <c r="F125" s="15">
        <f t="shared" si="59"/>
        <v>52495</v>
      </c>
      <c r="G125" s="15">
        <f t="shared" si="59"/>
        <v>69542</v>
      </c>
      <c r="H125" s="15">
        <f t="shared" si="59"/>
        <v>87852</v>
      </c>
      <c r="I125" s="15">
        <f t="shared" si="59"/>
        <v>82483</v>
      </c>
      <c r="J125" s="15">
        <f t="shared" si="59"/>
        <v>93300</v>
      </c>
    </row>
    <row r="126" spans="2:29" s="13" customFormat="1" x14ac:dyDescent="0.15">
      <c r="B126" s="14"/>
    </row>
    <row r="127" spans="2:29" s="13" customFormat="1" x14ac:dyDescent="0.15">
      <c r="B127" s="14"/>
    </row>
    <row r="128" spans="2:29" s="13" customFormat="1" x14ac:dyDescent="0.15">
      <c r="B128" s="14"/>
    </row>
    <row r="129" spans="2:2" s="13" customFormat="1" x14ac:dyDescent="0.15">
      <c r="B129" s="14"/>
    </row>
    <row r="130" spans="2:2" s="13" customFormat="1" x14ac:dyDescent="0.15">
      <c r="B130" s="14"/>
    </row>
  </sheetData>
  <pageMargins left="0.7" right="0.7" top="0.75" bottom="0.75" header="0.3" footer="0.3"/>
  <ignoredErrors>
    <ignoredError sqref="R29:AC30 R28:X28 R11:W13 AC11:AC13 R34:S34 R31:X33 R14:S14 R20:W27 P43 F43:J43" formulaRange="1"/>
    <ignoredError sqref="AC18:AC27 AC14" formula="1" formulaRange="1"/>
    <ignoredError sqref="AD20:AM21 H117:J117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2026-02-06T03:33:01Z</dcterms:created>
  <dcterms:modified xsi:type="dcterms:W3CDTF">2026-02-20T05:13:30Z</dcterms:modified>
</cp:coreProperties>
</file>