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90C6BA11-51B8-F04B-964D-E5D818E2B7DB}" xr6:coauthVersionLast="47" xr6:coauthVersionMax="47" xr10:uidLastSave="{00000000-0000-0000-0000-000000000000}"/>
  <bookViews>
    <workbookView xWindow="7320" yWindow="1020" windowWidth="42800" windowHeight="23260" activeTab="1" xr2:uid="{435C723C-60C2-6B4B-9352-FB87DC9C29B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K30" i="2" s="1"/>
  <c r="K12" i="2"/>
  <c r="K29" i="2" s="1"/>
  <c r="K11" i="2"/>
  <c r="AP37" i="2"/>
  <c r="AP35" i="2"/>
  <c r="I5" i="1"/>
  <c r="C74" i="2"/>
  <c r="G74" i="2"/>
  <c r="D73" i="2"/>
  <c r="D72" i="2"/>
  <c r="H73" i="2"/>
  <c r="H72" i="2"/>
  <c r="E73" i="2"/>
  <c r="E72" i="2"/>
  <c r="I73" i="2"/>
  <c r="J68" i="2"/>
  <c r="J69" i="2" s="1"/>
  <c r="I68" i="2"/>
  <c r="I69" i="2" s="1"/>
  <c r="H68" i="2"/>
  <c r="H69" i="2" s="1"/>
  <c r="G68" i="2"/>
  <c r="G69" i="2" s="1"/>
  <c r="F68" i="2"/>
  <c r="F69" i="2" s="1"/>
  <c r="F38" i="2"/>
  <c r="G38" i="2"/>
  <c r="H38" i="2"/>
  <c r="I38" i="2"/>
  <c r="J38" i="2"/>
  <c r="I6" i="1" s="1"/>
  <c r="I8" i="1" s="1"/>
  <c r="J64" i="2"/>
  <c r="J66" i="2" s="1"/>
  <c r="G64" i="2"/>
  <c r="G66" i="2" s="1"/>
  <c r="G52" i="2"/>
  <c r="H64" i="2"/>
  <c r="H66" i="2" s="1"/>
  <c r="H52" i="2"/>
  <c r="I64" i="2"/>
  <c r="I66" i="2" s="1"/>
  <c r="I52" i="2"/>
  <c r="X34" i="2"/>
  <c r="Y34" i="2"/>
  <c r="Z34" i="2"/>
  <c r="Y30" i="2"/>
  <c r="Y29" i="2"/>
  <c r="Y28" i="2"/>
  <c r="X21" i="2"/>
  <c r="X14" i="2"/>
  <c r="Z30" i="2"/>
  <c r="Z29" i="2"/>
  <c r="Z28" i="2"/>
  <c r="Y21" i="2"/>
  <c r="Y14" i="2"/>
  <c r="Y17" i="2" s="1"/>
  <c r="AA30" i="2"/>
  <c r="AA29" i="2"/>
  <c r="AA28" i="2"/>
  <c r="Z21" i="2"/>
  <c r="Z14" i="2"/>
  <c r="Z17" i="2" s="1"/>
  <c r="F64" i="2"/>
  <c r="F66" i="2" s="1"/>
  <c r="F52" i="2"/>
  <c r="J52" i="2"/>
  <c r="V31" i="2"/>
  <c r="W31" i="2"/>
  <c r="T14" i="2"/>
  <c r="U31" i="2" s="1"/>
  <c r="AB30" i="2"/>
  <c r="AB29" i="2"/>
  <c r="AB28" i="2"/>
  <c r="AA21" i="2"/>
  <c r="AA14" i="2"/>
  <c r="AB21" i="2"/>
  <c r="AB34" i="2"/>
  <c r="AB14" i="2"/>
  <c r="AA34" i="2"/>
  <c r="AC19" i="2"/>
  <c r="AC18" i="2"/>
  <c r="AC16" i="2"/>
  <c r="AC15" i="2"/>
  <c r="AC13" i="2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C12" i="2"/>
  <c r="AC11" i="2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G30" i="2"/>
  <c r="G29" i="2"/>
  <c r="G28" i="2"/>
  <c r="G34" i="2"/>
  <c r="C34" i="2"/>
  <c r="C21" i="2"/>
  <c r="C14" i="2"/>
  <c r="C17" i="2" s="1"/>
  <c r="G21" i="2"/>
  <c r="G14" i="2"/>
  <c r="F34" i="2"/>
  <c r="D34" i="2"/>
  <c r="H34" i="2"/>
  <c r="H30" i="2"/>
  <c r="H29" i="2"/>
  <c r="H28" i="2"/>
  <c r="D21" i="2"/>
  <c r="D14" i="2"/>
  <c r="D17" i="2" s="1"/>
  <c r="H21" i="2"/>
  <c r="H14" i="2"/>
  <c r="E21" i="2"/>
  <c r="E14" i="2"/>
  <c r="E17" i="2" s="1"/>
  <c r="I21" i="2"/>
  <c r="I14" i="2"/>
  <c r="I17" i="2" s="1"/>
  <c r="F2" i="2"/>
  <c r="J34" i="2"/>
  <c r="J30" i="2"/>
  <c r="J29" i="2"/>
  <c r="J28" i="2"/>
  <c r="F14" i="2"/>
  <c r="F17" i="2" s="1"/>
  <c r="J14" i="2"/>
  <c r="F21" i="2"/>
  <c r="J21" i="2"/>
  <c r="E34" i="2"/>
  <c r="I34" i="2"/>
  <c r="I30" i="2"/>
  <c r="I29" i="2"/>
  <c r="I28" i="2"/>
  <c r="T3" i="2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HT3" i="2" s="1"/>
  <c r="HU3" i="2" s="1"/>
  <c r="HV3" i="2" s="1"/>
  <c r="HW3" i="2" s="1"/>
  <c r="HX3" i="2" s="1"/>
  <c r="HY3" i="2" s="1"/>
  <c r="HZ3" i="2" s="1"/>
  <c r="IA3" i="2" s="1"/>
  <c r="IB3" i="2" s="1"/>
  <c r="IC3" i="2" s="1"/>
  <c r="ID3" i="2" s="1"/>
  <c r="IE3" i="2" s="1"/>
  <c r="K28" i="2" l="1"/>
  <c r="K14" i="2"/>
  <c r="K31" i="2" s="1"/>
  <c r="F73" i="2"/>
  <c r="D74" i="2"/>
  <c r="F72" i="2"/>
  <c r="F74" i="2" s="1"/>
  <c r="H74" i="2"/>
  <c r="I72" i="2"/>
  <c r="I74" i="2" s="1"/>
  <c r="AC30" i="2"/>
  <c r="AC29" i="2"/>
  <c r="AD12" i="2"/>
  <c r="AD28" i="2"/>
  <c r="E74" i="2"/>
  <c r="J31" i="2"/>
  <c r="J17" i="2"/>
  <c r="AC21" i="2"/>
  <c r="X31" i="2"/>
  <c r="X17" i="2"/>
  <c r="Y35" i="2"/>
  <c r="Y20" i="2"/>
  <c r="Y25" i="2" s="1"/>
  <c r="Z20" i="2"/>
  <c r="Z25" i="2" s="1"/>
  <c r="Z35" i="2"/>
  <c r="AA17" i="2"/>
  <c r="AA31" i="2"/>
  <c r="AB17" i="2"/>
  <c r="AB31" i="2"/>
  <c r="AC34" i="2"/>
  <c r="AC28" i="2"/>
  <c r="AC14" i="2"/>
  <c r="C20" i="2"/>
  <c r="C35" i="2"/>
  <c r="G17" i="2"/>
  <c r="G31" i="2"/>
  <c r="D20" i="2"/>
  <c r="D35" i="2"/>
  <c r="H17" i="2"/>
  <c r="H31" i="2"/>
  <c r="F35" i="2"/>
  <c r="F20" i="2"/>
  <c r="Y31" i="2"/>
  <c r="Z31" i="2"/>
  <c r="E20" i="2"/>
  <c r="E35" i="2"/>
  <c r="I20" i="2"/>
  <c r="I35" i="2"/>
  <c r="I31" i="2"/>
  <c r="AD30" i="2" l="1"/>
  <c r="AE12" i="2"/>
  <c r="AD14" i="2"/>
  <c r="AD29" i="2"/>
  <c r="AF28" i="2"/>
  <c r="AE28" i="2"/>
  <c r="AE14" i="2"/>
  <c r="AD21" i="2"/>
  <c r="AE21" i="2" s="1"/>
  <c r="AF21" i="2" s="1"/>
  <c r="AG21" i="2" s="1"/>
  <c r="J20" i="2"/>
  <c r="J35" i="2"/>
  <c r="AA20" i="2"/>
  <c r="AA25" i="2" s="1"/>
  <c r="AA35" i="2"/>
  <c r="AB35" i="2"/>
  <c r="AB20" i="2"/>
  <c r="AB25" i="2" s="1"/>
  <c r="C36" i="2"/>
  <c r="C22" i="2"/>
  <c r="C24" i="2" s="1"/>
  <c r="X35" i="2"/>
  <c r="X20" i="2"/>
  <c r="Z22" i="2"/>
  <c r="Z24" i="2" s="1"/>
  <c r="Z36" i="2"/>
  <c r="AC31" i="2"/>
  <c r="AC17" i="2"/>
  <c r="G35" i="2"/>
  <c r="G20" i="2"/>
  <c r="D36" i="2"/>
  <c r="D22" i="2"/>
  <c r="D24" i="2" s="1"/>
  <c r="H35" i="2"/>
  <c r="H20" i="2"/>
  <c r="F36" i="2"/>
  <c r="F22" i="2"/>
  <c r="F24" i="2" s="1"/>
  <c r="Y36" i="2"/>
  <c r="Y22" i="2"/>
  <c r="Y24" i="2" s="1"/>
  <c r="E22" i="2"/>
  <c r="E24" i="2" s="1"/>
  <c r="E36" i="2"/>
  <c r="I22" i="2"/>
  <c r="I24" i="2" s="1"/>
  <c r="I36" i="2"/>
  <c r="AE30" i="2" l="1"/>
  <c r="AE29" i="2"/>
  <c r="AF12" i="2"/>
  <c r="AD18" i="2"/>
  <c r="AE18" i="2" s="1"/>
  <c r="AD15" i="2"/>
  <c r="AD19" i="2"/>
  <c r="AE19" i="2" s="1"/>
  <c r="AD31" i="2"/>
  <c r="AD16" i="2"/>
  <c r="AE16" i="2" s="1"/>
  <c r="AE31" i="2"/>
  <c r="AH21" i="2"/>
  <c r="J36" i="2"/>
  <c r="J22" i="2"/>
  <c r="J24" i="2" s="1"/>
  <c r="AA22" i="2"/>
  <c r="AA24" i="2" s="1"/>
  <c r="AA36" i="2"/>
  <c r="AB22" i="2"/>
  <c r="AB24" i="2" s="1"/>
  <c r="AB36" i="2"/>
  <c r="H36" i="2"/>
  <c r="H22" i="2"/>
  <c r="H24" i="2" s="1"/>
  <c r="X36" i="2"/>
  <c r="X22" i="2"/>
  <c r="X24" i="2" s="1"/>
  <c r="AC35" i="2"/>
  <c r="AC20" i="2"/>
  <c r="AC25" i="2" s="1"/>
  <c r="G22" i="2"/>
  <c r="G24" i="2" s="1"/>
  <c r="G36" i="2"/>
  <c r="AF14" i="2" l="1"/>
  <c r="AF18" i="2" s="1"/>
  <c r="AF30" i="2"/>
  <c r="AG12" i="2"/>
  <c r="AF29" i="2"/>
  <c r="AG28" i="2"/>
  <c r="AD17" i="2"/>
  <c r="AD20" i="2" s="1"/>
  <c r="AD22" i="2" s="1"/>
  <c r="AE15" i="2"/>
  <c r="AI21" i="2"/>
  <c r="AC22" i="2"/>
  <c r="AC24" i="2" s="1"/>
  <c r="AC36" i="2"/>
  <c r="AF19" i="2" l="1"/>
  <c r="AF31" i="2"/>
  <c r="AF16" i="2"/>
  <c r="AG14" i="2"/>
  <c r="AG30" i="2"/>
  <c r="AG29" i="2"/>
  <c r="AH12" i="2"/>
  <c r="AH28" i="2"/>
  <c r="AH14" i="2"/>
  <c r="AE17" i="2"/>
  <c r="AE20" i="2" s="1"/>
  <c r="AE22" i="2" s="1"/>
  <c r="AF15" i="2"/>
  <c r="AD23" i="2"/>
  <c r="AD24" i="2" s="1"/>
  <c r="AJ21" i="2"/>
  <c r="AG31" i="2" l="1"/>
  <c r="AG18" i="2"/>
  <c r="AH18" i="2" s="1"/>
  <c r="AG19" i="2"/>
  <c r="AH19" i="2" s="1"/>
  <c r="AG16" i="2"/>
  <c r="AH16" i="2" s="1"/>
  <c r="AH30" i="2"/>
  <c r="AI12" i="2"/>
  <c r="AH29" i="2"/>
  <c r="AI28" i="2"/>
  <c r="AH31" i="2"/>
  <c r="AF17" i="2"/>
  <c r="AF20" i="2" s="1"/>
  <c r="AF22" i="2" s="1"/>
  <c r="AG15" i="2"/>
  <c r="AE23" i="2"/>
  <c r="AE24" i="2" s="1"/>
  <c r="AK21" i="2"/>
  <c r="AF23" i="2" l="1"/>
  <c r="AF24" i="2" s="1"/>
  <c r="AI30" i="2"/>
  <c r="AJ12" i="2"/>
  <c r="AJ14" i="2" s="1"/>
  <c r="AI14" i="2"/>
  <c r="AI29" i="2"/>
  <c r="AJ28" i="2"/>
  <c r="AH15" i="2"/>
  <c r="AG17" i="2"/>
  <c r="AG20" i="2" s="1"/>
  <c r="AG22" i="2" s="1"/>
  <c r="AL21" i="2"/>
  <c r="AG23" i="2" l="1"/>
  <c r="AG24" i="2" s="1"/>
  <c r="AJ30" i="2"/>
  <c r="AK12" i="2"/>
  <c r="AJ29" i="2"/>
  <c r="AK14" i="2"/>
  <c r="AK28" i="2"/>
  <c r="AI16" i="2"/>
  <c r="AJ16" i="2" s="1"/>
  <c r="AI19" i="2"/>
  <c r="AJ19" i="2" s="1"/>
  <c r="AK19" i="2" s="1"/>
  <c r="AI18" i="2"/>
  <c r="AJ18" i="2" s="1"/>
  <c r="AI31" i="2"/>
  <c r="AJ31" i="2"/>
  <c r="AI15" i="2"/>
  <c r="AH17" i="2"/>
  <c r="AH20" i="2" s="1"/>
  <c r="AH22" i="2" s="1"/>
  <c r="AM21" i="2"/>
  <c r="AM28" i="2"/>
  <c r="AL12" i="2" l="1"/>
  <c r="AK29" i="2"/>
  <c r="AH23" i="2"/>
  <c r="AH24" i="2" s="1"/>
  <c r="AK16" i="2"/>
  <c r="AK30" i="2"/>
  <c r="AK18" i="2"/>
  <c r="AL14" i="2"/>
  <c r="AL31" i="2" s="1"/>
  <c r="AL28" i="2"/>
  <c r="AK31" i="2"/>
  <c r="AJ15" i="2"/>
  <c r="AI17" i="2"/>
  <c r="AI20" i="2" s="1"/>
  <c r="AI22" i="2" s="1"/>
  <c r="AM30" i="2"/>
  <c r="AM14" i="2"/>
  <c r="AL29" i="2" l="1"/>
  <c r="AM12" i="2"/>
  <c r="AM29" i="2" s="1"/>
  <c r="AI23" i="2"/>
  <c r="AI24" i="2" s="1"/>
  <c r="AL30" i="2"/>
  <c r="AL18" i="2"/>
  <c r="AM18" i="2" s="1"/>
  <c r="AL19" i="2"/>
  <c r="AM19" i="2" s="1"/>
  <c r="AL16" i="2"/>
  <c r="AM16" i="2" s="1"/>
  <c r="AK15" i="2"/>
  <c r="AJ17" i="2"/>
  <c r="AJ20" i="2" s="1"/>
  <c r="AJ22" i="2" s="1"/>
  <c r="AM31" i="2"/>
  <c r="AJ23" i="2" l="1"/>
  <c r="AJ24" i="2" s="1"/>
  <c r="AL15" i="2"/>
  <c r="AK17" i="2"/>
  <c r="AK20" i="2" s="1"/>
  <c r="AK22" i="2" s="1"/>
  <c r="AK23" i="2" s="1"/>
  <c r="AK24" i="2" s="1"/>
  <c r="AM15" i="2" l="1"/>
  <c r="AM17" i="2" s="1"/>
  <c r="AM20" i="2" s="1"/>
  <c r="AM22" i="2" s="1"/>
  <c r="AL17" i="2"/>
  <c r="AL20" i="2" s="1"/>
  <c r="AL22" i="2" s="1"/>
  <c r="AL23" i="2" l="1"/>
  <c r="AM23" i="2" l="1"/>
  <c r="AM24" i="2" s="1"/>
  <c r="AN24" i="2" s="1"/>
  <c r="AO24" i="2" s="1"/>
  <c r="AL24" i="2"/>
  <c r="AP24" i="2" l="1"/>
  <c r="AQ24" i="2" s="1"/>
  <c r="AR24" i="2" s="1"/>
  <c r="AS24" i="2" s="1"/>
  <c r="AT24" i="2" s="1"/>
  <c r="AU24" i="2" s="1"/>
  <c r="AV24" i="2" s="1"/>
  <c r="AW24" i="2" s="1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BN24" i="2" s="1"/>
  <c r="BO24" i="2" s="1"/>
  <c r="BP24" i="2" s="1"/>
  <c r="BQ24" i="2" s="1"/>
  <c r="BR24" i="2" s="1"/>
  <c r="BS24" i="2" s="1"/>
  <c r="BT24" i="2" s="1"/>
  <c r="BU24" i="2" l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CU24" i="2" s="1"/>
  <c r="CV24" i="2" s="1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DG24" i="2" s="1"/>
  <c r="DH24" i="2" s="1"/>
  <c r="DI24" i="2" s="1"/>
  <c r="DJ24" i="2" s="1"/>
  <c r="DK24" i="2" s="1"/>
  <c r="DL24" i="2" s="1"/>
  <c r="DM24" i="2" s="1"/>
  <c r="DN24" i="2" s="1"/>
  <c r="DO24" i="2" s="1"/>
  <c r="DP24" i="2" s="1"/>
  <c r="DQ24" i="2" s="1"/>
  <c r="DR24" i="2" s="1"/>
  <c r="DS24" i="2" s="1"/>
  <c r="DT24" i="2" s="1"/>
  <c r="DU24" i="2" s="1"/>
  <c r="DV24" i="2" s="1"/>
  <c r="DW24" i="2" s="1"/>
  <c r="DX24" i="2" s="1"/>
  <c r="DY24" i="2" s="1"/>
  <c r="DZ24" i="2" s="1"/>
  <c r="EA24" i="2" s="1"/>
  <c r="EB24" i="2" s="1"/>
  <c r="EC24" i="2" l="1"/>
  <c r="ED24" i="2" s="1"/>
  <c r="EE24" i="2" s="1"/>
  <c r="EF24" i="2" s="1"/>
  <c r="EG24" i="2" s="1"/>
  <c r="EH24" i="2" s="1"/>
  <c r="EI24" i="2" s="1"/>
  <c r="EJ24" i="2" s="1"/>
  <c r="EK24" i="2" s="1"/>
  <c r="EL24" i="2" s="1"/>
  <c r="EM24" i="2" s="1"/>
  <c r="EN24" i="2" s="1"/>
  <c r="EO24" i="2" s="1"/>
  <c r="EP24" i="2" s="1"/>
  <c r="EQ24" i="2" s="1"/>
  <c r="ER24" i="2" s="1"/>
  <c r="ES24" i="2" s="1"/>
  <c r="ET24" i="2" s="1"/>
  <c r="EU24" i="2" s="1"/>
  <c r="EV24" i="2" s="1"/>
  <c r="EW24" i="2" s="1"/>
  <c r="EX24" i="2" s="1"/>
  <c r="EY24" i="2" s="1"/>
  <c r="EZ24" i="2" s="1"/>
  <c r="FA24" i="2" s="1"/>
  <c r="FB24" i="2" s="1"/>
  <c r="FC24" i="2" s="1"/>
  <c r="FD24" i="2" s="1"/>
  <c r="FE24" i="2" s="1"/>
  <c r="FF24" i="2" s="1"/>
  <c r="FG24" i="2" s="1"/>
  <c r="FH24" i="2" s="1"/>
  <c r="FI24" i="2" s="1"/>
  <c r="FJ24" i="2" s="1"/>
  <c r="FK24" i="2" s="1"/>
  <c r="FL24" i="2" s="1"/>
  <c r="FM24" i="2" s="1"/>
  <c r="FN24" i="2" s="1"/>
  <c r="FO24" i="2" s="1"/>
  <c r="FP24" i="2" s="1"/>
  <c r="FQ24" i="2" s="1"/>
  <c r="FR24" i="2" s="1"/>
  <c r="FS24" i="2" s="1"/>
  <c r="FT24" i="2" s="1"/>
  <c r="FU24" i="2" s="1"/>
  <c r="FV24" i="2" s="1"/>
  <c r="FW24" i="2" s="1"/>
  <c r="FX24" i="2" s="1"/>
  <c r="FY24" i="2" s="1"/>
  <c r="FZ24" i="2" s="1"/>
  <c r="GA24" i="2" s="1"/>
  <c r="GB24" i="2" s="1"/>
  <c r="GC24" i="2" s="1"/>
  <c r="GD24" i="2" s="1"/>
  <c r="GE24" i="2" s="1"/>
  <c r="GF24" i="2" s="1"/>
  <c r="GG24" i="2" s="1"/>
  <c r="GH24" i="2" s="1"/>
  <c r="GI24" i="2" s="1"/>
  <c r="GJ24" i="2" s="1"/>
  <c r="GK24" i="2" s="1"/>
  <c r="GL24" i="2" s="1"/>
  <c r="GM24" i="2" s="1"/>
  <c r="GN24" i="2" s="1"/>
  <c r="GO24" i="2" s="1"/>
  <c r="GP24" i="2" s="1"/>
  <c r="GQ24" i="2" s="1"/>
  <c r="GR24" i="2" s="1"/>
  <c r="GS24" i="2" s="1"/>
  <c r="GT24" i="2" s="1"/>
  <c r="GU24" i="2" s="1"/>
  <c r="GV24" i="2" s="1"/>
  <c r="GW24" i="2" s="1"/>
  <c r="GX24" i="2" s="1"/>
  <c r="GY24" i="2" s="1"/>
  <c r="GZ24" i="2" s="1"/>
  <c r="HA24" i="2" s="1"/>
  <c r="HB24" i="2" s="1"/>
  <c r="HC24" i="2" s="1"/>
  <c r="HD24" i="2" s="1"/>
  <c r="HE24" i="2" s="1"/>
  <c r="HF24" i="2" s="1"/>
  <c r="HG24" i="2" s="1"/>
  <c r="HH24" i="2" s="1"/>
  <c r="HI24" i="2" s="1"/>
  <c r="HJ24" i="2" s="1"/>
  <c r="HK24" i="2" s="1"/>
  <c r="HL24" i="2" s="1"/>
  <c r="HM24" i="2" s="1"/>
  <c r="HN24" i="2" s="1"/>
  <c r="HO24" i="2" s="1"/>
  <c r="HP24" i="2" s="1"/>
  <c r="HQ24" i="2" s="1"/>
  <c r="HR24" i="2" s="1"/>
  <c r="HS24" i="2" s="1"/>
  <c r="HT24" i="2" s="1"/>
  <c r="HU24" i="2" l="1"/>
  <c r="HV24" i="2" s="1"/>
  <c r="HW24" i="2" s="1"/>
  <c r="HX24" i="2" s="1"/>
  <c r="HY24" i="2" s="1"/>
  <c r="HZ24" i="2" s="1"/>
  <c r="IA24" i="2" s="1"/>
  <c r="IB24" i="2" s="1"/>
  <c r="IC24" i="2" s="1"/>
  <c r="ID24" i="2" l="1"/>
  <c r="IE24" i="2" s="1"/>
  <c r="AP34" i="2"/>
  <c r="AP36" i="2" s="1"/>
  <c r="AP3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Jameel</author>
  </authors>
  <commentList>
    <comment ref="B11" authorId="0" shapeId="0" xr:uid="{3972D098-D212-1F49-8DBA-3DD3863ADFE9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memory</t>
        </r>
      </text>
    </comment>
    <comment ref="K11" authorId="0" shapeId="0" xr:uid="{90087E09-898E-7C4F-83C2-49EAF9A7A269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q126 guidance.. implies fy26 will be a material slowdown y/y</t>
        </r>
      </text>
    </comment>
    <comment ref="B12" authorId="0" shapeId="0" xr:uid="{E78F11F1-C2C8-3848-BE50-D8C3159573A6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patent and tech license royalties</t>
        </r>
      </text>
    </comment>
    <comment ref="B13" authorId="0" shapeId="0" xr:uid="{8333F53C-5FDA-E34E-9E9D-81217E0F4ACC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tech dev projects</t>
        </r>
      </text>
    </comment>
    <comment ref="H28" authorId="0" shapeId="0" xr:uid="{FFE4C799-93D3-E240-8419-2CCE8431E482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primarily due to higher sales of our memory interface chips.</t>
        </r>
      </text>
    </comment>
    <comment ref="I28" authorId="0" shapeId="0" xr:uid="{6D5EA11C-09CA-754D-A4FE-5C75F1E9E56D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higher sales of our memory interface chips
</t>
        </r>
      </text>
    </comment>
    <comment ref="J28" authorId="0" shapeId="0" xr:uid="{DB9100FF-567D-DC40-8241-69812A757D36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higher sales of memory interface chips, as well as contributions from new products.</t>
        </r>
      </text>
    </comment>
    <comment ref="H29" authorId="0" shapeId="0" xr:uid="{08FEDC6B-4B99-F942-B3A2-0C91959304A6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timing and structure of license agreements and renewals</t>
        </r>
      </text>
    </comment>
  </commentList>
</comments>
</file>

<file path=xl/sharedStrings.xml><?xml version="1.0" encoding="utf-8"?>
<sst xmlns="http://schemas.openxmlformats.org/spreadsheetml/2006/main" count="115" uniqueCount="111">
  <si>
    <t>P</t>
  </si>
  <si>
    <t>S</t>
  </si>
  <si>
    <t>MC</t>
  </si>
  <si>
    <t>C</t>
  </si>
  <si>
    <t>D</t>
  </si>
  <si>
    <t>EV</t>
  </si>
  <si>
    <t>HQ: San Jose, CA</t>
  </si>
  <si>
    <t>Q124</t>
  </si>
  <si>
    <t>Q224</t>
  </si>
  <si>
    <t>Q324</t>
  </si>
  <si>
    <t>Q424</t>
  </si>
  <si>
    <t>Q125</t>
  </si>
  <si>
    <t>Q225</t>
  </si>
  <si>
    <t>Q325</t>
  </si>
  <si>
    <t>Q425</t>
  </si>
  <si>
    <t xml:space="preserve">Product </t>
  </si>
  <si>
    <t>Royalties</t>
  </si>
  <si>
    <t>Contract &amp; Other</t>
  </si>
  <si>
    <t xml:space="preserve">Total Revenue </t>
  </si>
  <si>
    <t>Product C</t>
  </si>
  <si>
    <t>Contract &amp; Other C</t>
  </si>
  <si>
    <t xml:space="preserve">Gross Profit </t>
  </si>
  <si>
    <t>R&amp;D</t>
  </si>
  <si>
    <t>SG&amp;A</t>
  </si>
  <si>
    <t>Operating Income</t>
  </si>
  <si>
    <t>Net Interest &amp; Other Income</t>
  </si>
  <si>
    <t>EBT</t>
  </si>
  <si>
    <t>Taxes</t>
  </si>
  <si>
    <t xml:space="preserve">Net Income </t>
  </si>
  <si>
    <t>Growth YY</t>
  </si>
  <si>
    <t>PM</t>
  </si>
  <si>
    <t xml:space="preserve">MARGINS </t>
  </si>
  <si>
    <t>GM</t>
  </si>
  <si>
    <t>OM</t>
  </si>
  <si>
    <t>$K</t>
  </si>
  <si>
    <t xml:space="preserve">Gen AI Systems </t>
  </si>
  <si>
    <t>compute = workers</t>
  </si>
  <si>
    <t>memory = conveyor belts</t>
  </si>
  <si>
    <t>power &amp; signal integrity = electricity &amp; timing</t>
  </si>
  <si>
    <t xml:space="preserve">security = locks on inventory </t>
  </si>
  <si>
    <t>Modern Memory</t>
  </si>
  <si>
    <t xml:space="preserve">cpu/gpu sends electrical signals that travel across : pcb traces, connectors, DIMM slots, and memory modules </t>
  </si>
  <si>
    <t xml:space="preserve">at DDR5 speeds, a single bit isonly 'valid' for a tiny slice of time .. Noise jitter, crosstalk, heat, power, etc distory the signal </t>
  </si>
  <si>
    <t xml:space="preserve">If too many signals arrive: too early --&gt; wrong value; too late --&gt; wrong value ; too noisy ---&gt; unreadable </t>
  </si>
  <si>
    <t xml:space="preserve">Wrong bit = corrupted model weigth = wrong output or crash </t>
  </si>
  <si>
    <t>Eye Pattern &amp; Oscilloscope</t>
  </si>
  <si>
    <t>Setup and Hold Time Explained</t>
  </si>
  <si>
    <t xml:space="preserve">Double date rate </t>
  </si>
  <si>
    <t>What is a eye diagram</t>
  </si>
  <si>
    <t xml:space="preserve">Cash </t>
  </si>
  <si>
    <t xml:space="preserve">Securities </t>
  </si>
  <si>
    <t>A/R</t>
  </si>
  <si>
    <t>Unbilled recievables</t>
  </si>
  <si>
    <t>Inventories</t>
  </si>
  <si>
    <t>Prepaids &amp; OCA</t>
  </si>
  <si>
    <t>Intangibles</t>
  </si>
  <si>
    <t>Goodwill</t>
  </si>
  <si>
    <t>PPE</t>
  </si>
  <si>
    <t>Op Lease</t>
  </si>
  <si>
    <t>Deferred Tx Assets</t>
  </si>
  <si>
    <t>Income Tx Rec</t>
  </si>
  <si>
    <t>OA</t>
  </si>
  <si>
    <t xml:space="preserve">Total Assets </t>
  </si>
  <si>
    <t>E</t>
  </si>
  <si>
    <t>TL + E</t>
  </si>
  <si>
    <t>TL</t>
  </si>
  <si>
    <t>Acreud Sal &amp; Ben</t>
  </si>
  <si>
    <t>Deferred Rev</t>
  </si>
  <si>
    <t>Income Tx Payable</t>
  </si>
  <si>
    <t>Op Lease Liab</t>
  </si>
  <si>
    <t>OCL</t>
  </si>
  <si>
    <t>LT Op Lease</t>
  </si>
  <si>
    <t>LT Income tx Payable</t>
  </si>
  <si>
    <t>OLTL</t>
  </si>
  <si>
    <t>A/P</t>
  </si>
  <si>
    <t xml:space="preserve">LT  EDA tools </t>
  </si>
  <si>
    <t>Book Value</t>
  </si>
  <si>
    <t xml:space="preserve">Tangible Book </t>
  </si>
  <si>
    <t>ROTB</t>
  </si>
  <si>
    <t xml:space="preserve">CFFO </t>
  </si>
  <si>
    <t>Capex</t>
  </si>
  <si>
    <t>FCF</t>
  </si>
  <si>
    <t>CFO</t>
  </si>
  <si>
    <t xml:space="preserve">Desmond Lynch </t>
  </si>
  <si>
    <t>CFO Email</t>
  </si>
  <si>
    <t>dlynch@rambus.com</t>
  </si>
  <si>
    <t>Customer A</t>
  </si>
  <si>
    <t>Customer B</t>
  </si>
  <si>
    <t>Customer C</t>
  </si>
  <si>
    <t>Customer D</t>
  </si>
  <si>
    <t>Reveneu Concentration</t>
  </si>
  <si>
    <t>IPO:  1997</t>
  </si>
  <si>
    <t>discount</t>
  </si>
  <si>
    <t xml:space="preserve">terminal </t>
  </si>
  <si>
    <t>npv</t>
  </si>
  <si>
    <t>shares</t>
  </si>
  <si>
    <t xml:space="preserve">Estimate </t>
  </si>
  <si>
    <t>current</t>
  </si>
  <si>
    <t xml:space="preserve">memory..getting the righr data to the right place at the righ time </t>
  </si>
  <si>
    <t xml:space="preserve">rmb sells the rules that makes this possible when it gets hard </t>
  </si>
  <si>
    <t>Q126</t>
  </si>
  <si>
    <t>Q226</t>
  </si>
  <si>
    <t>Q326</t>
  </si>
  <si>
    <t>Q426</t>
  </si>
  <si>
    <t>upside</t>
  </si>
  <si>
    <t xml:space="preserve">Resources to understand memory </t>
  </si>
  <si>
    <t>press releases</t>
  </si>
  <si>
    <t xml:space="preserve">contains </t>
  </si>
  <si>
    <t>fy25 earnings release</t>
  </si>
  <si>
    <t xml:space="preserve">q325 earnings </t>
  </si>
  <si>
    <t>q225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</si>
</sst>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u/>
      <sz val="12"/>
      <color theme="10"/>
      <name val="Aptos Narrow"/>
      <family val="2"/>
      <scheme val="minor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  <xf numFmtId="9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3" fontId="1" fillId="0" borderId="0" xfId="0" applyNumberFormat="1" applyFont="1"/>
    <xf numFmtId="3" fontId="4" fillId="0" borderId="0" xfId="1" applyNumberFormat="1"/>
    <xf numFmtId="9" fontId="0" fillId="0" borderId="0" xfId="0" applyNumberFormat="1" applyAlignment="1">
      <alignment horizontal="lef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14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571500</xdr:colOff>
      <xdr:row>0</xdr:row>
      <xdr:rowOff>63500</xdr:rowOff>
    </xdr:from>
    <xdr:to>
      <xdr:col>29</xdr:col>
      <xdr:colOff>38100</xdr:colOff>
      <xdr:row>67</xdr:row>
      <xdr:rowOff>101600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97C64BB-3FE6-EA90-2452-89EEF86053C5}"/>
            </a:ext>
          </a:extLst>
        </xdr:cNvPr>
        <xdr:cNvCxnSpPr/>
      </xdr:nvCxnSpPr>
      <xdr:spPr>
        <a:xfrm>
          <a:off x="14262100" y="63500"/>
          <a:ext cx="50800" cy="13652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vestor.rambus.com/press-releases/press-release-details/2025/Rambus-Reports-Second-Quarter-2025-Financial-Results/default.aspx" TargetMode="External"/><Relationship Id="rId3" Type="http://schemas.openxmlformats.org/officeDocument/2006/relationships/hyperlink" Target="https://www.youtube.com/watch?v=OokKoNO75QE&amp;t=53s" TargetMode="External"/><Relationship Id="rId7" Type="http://schemas.openxmlformats.org/officeDocument/2006/relationships/hyperlink" Target="https://investor.rambus.com/press-releases/press-release-details/2025/Rambus-to-Announce-Third-Quarter-Fiscal-Year-2025-Results/default.aspx" TargetMode="External"/><Relationship Id="rId2" Type="http://schemas.openxmlformats.org/officeDocument/2006/relationships/hyperlink" Target="https://www.youtube.com/watch?v=3t8ndX2hqHA" TargetMode="External"/><Relationship Id="rId1" Type="http://schemas.openxmlformats.org/officeDocument/2006/relationships/hyperlink" Target="https://www.youtube.com/watch?v=cL7QsELuv_M" TargetMode="External"/><Relationship Id="rId6" Type="http://schemas.openxmlformats.org/officeDocument/2006/relationships/hyperlink" Target="https://investor.rambus.com/press-releases/press-release-details/2026/Rambus-Reports-Fourth-Quarter-and-Fiscal-Year-2025-Financial-Results/default.aspx" TargetMode="External"/><Relationship Id="rId5" Type="http://schemas.openxmlformats.org/officeDocument/2006/relationships/hyperlink" Target="mailto:dlynch@rambus.com" TargetMode="External"/><Relationship Id="rId4" Type="http://schemas.openxmlformats.org/officeDocument/2006/relationships/hyperlink" Target="https://www.youtube.com/watch?v=tZiKRfH2yZ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FA34-265B-C645-B409-B1828406BEE2}">
  <dimension ref="B1:M32"/>
  <sheetViews>
    <sheetView zoomScale="140" zoomScaleNormal="140" workbookViewId="0">
      <selection activeCell="B3" sqref="B3"/>
    </sheetView>
  </sheetViews>
  <sheetFormatPr baseColWidth="10" defaultRowHeight="16" x14ac:dyDescent="0.2"/>
  <cols>
    <col min="1" max="1" width="2.33203125" style="1" customWidth="1"/>
    <col min="2" max="2" width="17.6640625" style="1" customWidth="1"/>
    <col min="3" max="7" width="10.83203125" style="1"/>
    <col min="8" max="8" width="4" style="1" bestFit="1" customWidth="1"/>
    <col min="9" max="11" width="10.83203125" style="1"/>
    <col min="12" max="12" width="12.83203125" style="1" bestFit="1" customWidth="1"/>
    <col min="13" max="16384" width="10.83203125" style="1"/>
  </cols>
  <sheetData>
    <row r="1" spans="2:13" x14ac:dyDescent="0.2">
      <c r="B1" s="1" t="s">
        <v>91</v>
      </c>
    </row>
    <row r="2" spans="2:13" x14ac:dyDescent="0.2">
      <c r="B2" s="1" t="s">
        <v>6</v>
      </c>
    </row>
    <row r="3" spans="2:13" x14ac:dyDescent="0.2">
      <c r="B3" s="1" t="s">
        <v>82</v>
      </c>
      <c r="C3" s="1" t="s">
        <v>83</v>
      </c>
      <c r="H3" s="1" t="s">
        <v>0</v>
      </c>
      <c r="I3" s="1">
        <v>107</v>
      </c>
    </row>
    <row r="4" spans="2:13" x14ac:dyDescent="0.2">
      <c r="B4" s="1" t="s">
        <v>84</v>
      </c>
      <c r="C4" s="14" t="s">
        <v>85</v>
      </c>
      <c r="H4" s="1" t="s">
        <v>1</v>
      </c>
      <c r="I4" s="1">
        <v>109710</v>
      </c>
    </row>
    <row r="5" spans="2:13" x14ac:dyDescent="0.2">
      <c r="H5" s="1" t="s">
        <v>2</v>
      </c>
      <c r="I5" s="1">
        <f>+I3*I4</f>
        <v>11738970</v>
      </c>
      <c r="L5" s="1" t="s">
        <v>106</v>
      </c>
      <c r="M5" s="1" t="s">
        <v>107</v>
      </c>
    </row>
    <row r="6" spans="2:13" x14ac:dyDescent="0.2">
      <c r="H6" s="1" t="s">
        <v>3</v>
      </c>
      <c r="I6" s="1">
        <f>SUM(Model!J38:J39)</f>
        <v>944657</v>
      </c>
      <c r="L6" s="18">
        <v>46055</v>
      </c>
      <c r="M6" s="1" t="s">
        <v>108</v>
      </c>
    </row>
    <row r="7" spans="2:13" x14ac:dyDescent="0.2">
      <c r="H7" s="1" t="s">
        <v>4</v>
      </c>
      <c r="I7" s="1">
        <v>0</v>
      </c>
      <c r="L7" s="18">
        <v>45936</v>
      </c>
      <c r="M7" s="1" t="s">
        <v>109</v>
      </c>
    </row>
    <row r="8" spans="2:13" x14ac:dyDescent="0.2">
      <c r="H8" s="13" t="s">
        <v>5</v>
      </c>
      <c r="I8" s="13">
        <f>+I5-I6+I7</f>
        <v>10794313</v>
      </c>
      <c r="L8" s="18">
        <v>45866</v>
      </c>
      <c r="M8" s="1" t="s">
        <v>110</v>
      </c>
    </row>
    <row r="9" spans="2:13" x14ac:dyDescent="0.2">
      <c r="B9" s="1" t="s">
        <v>98</v>
      </c>
      <c r="L9" s="18"/>
    </row>
    <row r="10" spans="2:13" x14ac:dyDescent="0.2">
      <c r="B10" s="1" t="s">
        <v>99</v>
      </c>
      <c r="L10" s="18"/>
    </row>
    <row r="11" spans="2:13" x14ac:dyDescent="0.2">
      <c r="L11" s="18"/>
    </row>
    <row r="12" spans="2:13" x14ac:dyDescent="0.2">
      <c r="B12" s="13" t="s">
        <v>35</v>
      </c>
      <c r="L12" s="18"/>
    </row>
    <row r="13" spans="2:13" x14ac:dyDescent="0.2">
      <c r="B13" s="1" t="s">
        <v>36</v>
      </c>
      <c r="L13" s="18"/>
    </row>
    <row r="14" spans="2:13" x14ac:dyDescent="0.2">
      <c r="B14" s="1" t="s">
        <v>37</v>
      </c>
      <c r="L14" s="18"/>
    </row>
    <row r="15" spans="2:13" x14ac:dyDescent="0.2">
      <c r="B15" s="1" t="s">
        <v>38</v>
      </c>
      <c r="L15" s="18"/>
    </row>
    <row r="16" spans="2:13" x14ac:dyDescent="0.2">
      <c r="B16" s="1" t="s">
        <v>39</v>
      </c>
      <c r="L16" s="18"/>
    </row>
    <row r="17" spans="2:12" x14ac:dyDescent="0.2">
      <c r="L17" s="18"/>
    </row>
    <row r="18" spans="2:12" x14ac:dyDescent="0.2">
      <c r="L18" s="18"/>
    </row>
    <row r="19" spans="2:12" x14ac:dyDescent="0.2">
      <c r="L19" s="18"/>
    </row>
    <row r="20" spans="2:12" x14ac:dyDescent="0.2">
      <c r="B20" s="13" t="s">
        <v>40</v>
      </c>
      <c r="L20" s="18"/>
    </row>
    <row r="21" spans="2:12" x14ac:dyDescent="0.2">
      <c r="B21" s="1" t="s">
        <v>41</v>
      </c>
      <c r="L21" s="18"/>
    </row>
    <row r="22" spans="2:12" x14ac:dyDescent="0.2">
      <c r="B22" s="1" t="s">
        <v>42</v>
      </c>
      <c r="L22" s="18"/>
    </row>
    <row r="23" spans="2:12" x14ac:dyDescent="0.2">
      <c r="B23" s="1" t="s">
        <v>43</v>
      </c>
      <c r="L23" s="18"/>
    </row>
    <row r="24" spans="2:12" x14ac:dyDescent="0.2">
      <c r="B24" s="1" t="s">
        <v>44</v>
      </c>
    </row>
    <row r="28" spans="2:12" x14ac:dyDescent="0.2">
      <c r="B28" s="13" t="s">
        <v>105</v>
      </c>
    </row>
    <row r="29" spans="2:12" x14ac:dyDescent="0.2">
      <c r="B29" s="14" t="s">
        <v>45</v>
      </c>
    </row>
    <row r="30" spans="2:12" x14ac:dyDescent="0.2">
      <c r="B30" s="14" t="s">
        <v>46</v>
      </c>
    </row>
    <row r="31" spans="2:12" x14ac:dyDescent="0.2">
      <c r="B31" s="14" t="s">
        <v>47</v>
      </c>
    </row>
    <row r="32" spans="2:12" x14ac:dyDescent="0.2">
      <c r="B32" s="14" t="s">
        <v>48</v>
      </c>
    </row>
  </sheetData>
  <hyperlinks>
    <hyperlink ref="B29" r:id="rId1" xr:uid="{0FE209A8-0BE2-4B45-8C17-AAB615004FA6}"/>
    <hyperlink ref="B30" r:id="rId2" xr:uid="{CA185362-7A33-4548-B118-7571E8160F46}"/>
    <hyperlink ref="B31" r:id="rId3" xr:uid="{2B0608A3-6321-4742-93C8-36623E9ED968}"/>
    <hyperlink ref="B32" r:id="rId4" xr:uid="{E2F4AC1F-C4B0-E04A-B1CB-D21C6162ADD8}"/>
    <hyperlink ref="C4" r:id="rId5" xr:uid="{33575AFF-E1B0-954B-B818-99893DB7EA44}"/>
    <hyperlink ref="L6" r:id="rId6" display="q126" xr:uid="{B3CDB698-6B25-474C-B65F-C373D0165692}"/>
    <hyperlink ref="L7" r:id="rId7" display="https://investor.rambus.com/press-releases/press-release-details/2025/Rambus-to-Announce-Third-Quarter-Fiscal-Year-2025-Results/default.aspx" xr:uid="{1E76FED2-D363-8246-B181-3BF321EE12DC}"/>
    <hyperlink ref="L8" r:id="rId8" display="https://investor.rambus.com/press-releases/press-release-details/2025/Rambus-Reports-Second-Quarter-2025-Financial-Results/default.aspx" xr:uid="{C3256E79-580A-4B4D-B2FF-2229F734C71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4B4F-E472-BF4C-B44B-0E95CF9F8722}">
  <dimension ref="B2:IE74"/>
  <sheetViews>
    <sheetView tabSelected="1" zoomScale="150" zoomScaleNormal="100" workbookViewId="0">
      <pane xSplit="2" ySplit="3" topLeftCell="W7" activePane="bottomRight" state="frozen"/>
      <selection pane="topRight" activeCell="C1" sqref="C1"/>
      <selection pane="bottomLeft" activeCell="A3" sqref="A3"/>
      <selection pane="bottomRight" activeCell="AA10" sqref="AA10"/>
    </sheetView>
  </sheetViews>
  <sheetFormatPr baseColWidth="10" defaultRowHeight="16" x14ac:dyDescent="0.2"/>
  <cols>
    <col min="1" max="1" width="2" style="2" customWidth="1"/>
    <col min="2" max="2" width="24" style="8" bestFit="1" customWidth="1"/>
    <col min="3" max="5" width="7.6640625" style="2" bestFit="1" customWidth="1"/>
    <col min="6" max="10" width="9.1640625" style="2" bestFit="1" customWidth="1"/>
    <col min="11" max="15" width="9.1640625" style="2" customWidth="1"/>
    <col min="16" max="18" width="3.33203125" style="2" customWidth="1"/>
    <col min="19" max="19" width="5.1640625" style="2" bestFit="1" customWidth="1"/>
    <col min="20" max="26" width="7.6640625" style="2" bestFit="1" customWidth="1"/>
    <col min="27" max="27" width="8.33203125" style="2" bestFit="1" customWidth="1"/>
    <col min="28" max="32" width="7.6640625" style="2" bestFit="1" customWidth="1"/>
    <col min="33" max="39" width="9.1640625" style="2" bestFit="1" customWidth="1"/>
    <col min="40" max="40" width="7.6640625" style="2" bestFit="1" customWidth="1"/>
    <col min="41" max="41" width="8.33203125" style="2" bestFit="1" customWidth="1"/>
    <col min="42" max="42" width="10.1640625" style="2" bestFit="1" customWidth="1"/>
    <col min="43" max="73" width="7.6640625" style="2" bestFit="1" customWidth="1"/>
    <col min="74" max="239" width="9.1640625" style="2" bestFit="1" customWidth="1"/>
    <col min="240" max="16384" width="10.83203125" style="2"/>
  </cols>
  <sheetData>
    <row r="2" spans="2:239" s="12" customFormat="1" x14ac:dyDescent="0.2">
      <c r="B2" s="11" t="s">
        <v>34</v>
      </c>
      <c r="C2" s="12">
        <v>45382</v>
      </c>
      <c r="D2" s="12">
        <v>45473</v>
      </c>
      <c r="E2" s="12">
        <v>45565</v>
      </c>
      <c r="F2" s="12">
        <f>+J2-365</f>
        <v>45657</v>
      </c>
      <c r="G2" s="12">
        <v>45747</v>
      </c>
      <c r="H2" s="12">
        <v>45838</v>
      </c>
      <c r="I2" s="12">
        <v>45930</v>
      </c>
      <c r="J2" s="12">
        <v>46022</v>
      </c>
    </row>
    <row r="3" spans="2:239" x14ac:dyDescent="0.2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100</v>
      </c>
      <c r="L3" s="2" t="s">
        <v>101</v>
      </c>
      <c r="M3" s="2" t="s">
        <v>102</v>
      </c>
      <c r="N3" s="2" t="s">
        <v>103</v>
      </c>
      <c r="S3" s="2">
        <v>2015</v>
      </c>
      <c r="T3" s="2">
        <f>+S3+1</f>
        <v>2016</v>
      </c>
      <c r="U3" s="2">
        <f t="shared" ref="U3:AN3" si="0">+T3+1</f>
        <v>2017</v>
      </c>
      <c r="V3" s="2">
        <f t="shared" si="0"/>
        <v>2018</v>
      </c>
      <c r="W3" s="2">
        <f t="shared" si="0"/>
        <v>2019</v>
      </c>
      <c r="X3" s="2">
        <f t="shared" si="0"/>
        <v>2020</v>
      </c>
      <c r="Y3" s="2">
        <f t="shared" si="0"/>
        <v>2021</v>
      </c>
      <c r="Z3" s="2">
        <f t="shared" si="0"/>
        <v>2022</v>
      </c>
      <c r="AA3" s="2">
        <f t="shared" si="0"/>
        <v>2023</v>
      </c>
      <c r="AB3" s="2">
        <f t="shared" si="0"/>
        <v>2024</v>
      </c>
      <c r="AC3" s="2">
        <f t="shared" si="0"/>
        <v>2025</v>
      </c>
      <c r="AD3" s="2">
        <f t="shared" si="0"/>
        <v>2026</v>
      </c>
      <c r="AE3" s="2">
        <f t="shared" si="0"/>
        <v>2027</v>
      </c>
      <c r="AF3" s="2">
        <f t="shared" si="0"/>
        <v>2028</v>
      </c>
      <c r="AG3" s="2">
        <f t="shared" si="0"/>
        <v>2029</v>
      </c>
      <c r="AH3" s="2">
        <f t="shared" si="0"/>
        <v>2030</v>
      </c>
      <c r="AI3" s="2">
        <f t="shared" si="0"/>
        <v>2031</v>
      </c>
      <c r="AJ3" s="2">
        <f t="shared" si="0"/>
        <v>2032</v>
      </c>
      <c r="AK3" s="2">
        <f t="shared" si="0"/>
        <v>2033</v>
      </c>
      <c r="AL3" s="2">
        <f t="shared" si="0"/>
        <v>2034</v>
      </c>
      <c r="AM3" s="2">
        <f t="shared" si="0"/>
        <v>2035</v>
      </c>
      <c r="AN3" s="2">
        <f t="shared" si="0"/>
        <v>2036</v>
      </c>
      <c r="AO3" s="2">
        <f t="shared" ref="AO3:CZ3" si="1">+AN3+1</f>
        <v>2037</v>
      </c>
      <c r="AP3" s="2">
        <f t="shared" si="1"/>
        <v>2038</v>
      </c>
      <c r="AQ3" s="2">
        <f t="shared" si="1"/>
        <v>2039</v>
      </c>
      <c r="AR3" s="2">
        <f t="shared" si="1"/>
        <v>2040</v>
      </c>
      <c r="AS3" s="2">
        <f t="shared" si="1"/>
        <v>2041</v>
      </c>
      <c r="AT3" s="2">
        <f t="shared" si="1"/>
        <v>2042</v>
      </c>
      <c r="AU3" s="2">
        <f t="shared" si="1"/>
        <v>2043</v>
      </c>
      <c r="AV3" s="2">
        <f t="shared" si="1"/>
        <v>2044</v>
      </c>
      <c r="AW3" s="2">
        <f t="shared" si="1"/>
        <v>2045</v>
      </c>
      <c r="AX3" s="2">
        <f t="shared" si="1"/>
        <v>2046</v>
      </c>
      <c r="AY3" s="2">
        <f t="shared" si="1"/>
        <v>2047</v>
      </c>
      <c r="AZ3" s="2">
        <f t="shared" si="1"/>
        <v>2048</v>
      </c>
      <c r="BA3" s="2">
        <f t="shared" si="1"/>
        <v>2049</v>
      </c>
      <c r="BB3" s="2">
        <f t="shared" si="1"/>
        <v>2050</v>
      </c>
      <c r="BC3" s="2">
        <f t="shared" si="1"/>
        <v>2051</v>
      </c>
      <c r="BD3" s="2">
        <f t="shared" si="1"/>
        <v>2052</v>
      </c>
      <c r="BE3" s="2">
        <f t="shared" si="1"/>
        <v>2053</v>
      </c>
      <c r="BF3" s="2">
        <f t="shared" si="1"/>
        <v>2054</v>
      </c>
      <c r="BG3" s="2">
        <f t="shared" si="1"/>
        <v>2055</v>
      </c>
      <c r="BH3" s="2">
        <f t="shared" si="1"/>
        <v>2056</v>
      </c>
      <c r="BI3" s="2">
        <f t="shared" si="1"/>
        <v>2057</v>
      </c>
      <c r="BJ3" s="2">
        <f t="shared" si="1"/>
        <v>2058</v>
      </c>
      <c r="BK3" s="2">
        <f t="shared" si="1"/>
        <v>2059</v>
      </c>
      <c r="BL3" s="2">
        <f t="shared" si="1"/>
        <v>2060</v>
      </c>
      <c r="BM3" s="2">
        <f t="shared" si="1"/>
        <v>2061</v>
      </c>
      <c r="BN3" s="2">
        <f t="shared" si="1"/>
        <v>2062</v>
      </c>
      <c r="BO3" s="2">
        <f t="shared" si="1"/>
        <v>2063</v>
      </c>
      <c r="BP3" s="2">
        <f t="shared" si="1"/>
        <v>2064</v>
      </c>
      <c r="BQ3" s="2">
        <f t="shared" si="1"/>
        <v>2065</v>
      </c>
      <c r="BR3" s="2">
        <f t="shared" si="1"/>
        <v>2066</v>
      </c>
      <c r="BS3" s="2">
        <f t="shared" si="1"/>
        <v>2067</v>
      </c>
      <c r="BT3" s="2">
        <f t="shared" si="1"/>
        <v>2068</v>
      </c>
      <c r="BU3" s="2">
        <f t="shared" si="1"/>
        <v>2069</v>
      </c>
      <c r="BV3" s="2">
        <f t="shared" si="1"/>
        <v>2070</v>
      </c>
      <c r="BW3" s="2">
        <f t="shared" si="1"/>
        <v>2071</v>
      </c>
      <c r="BX3" s="2">
        <f t="shared" si="1"/>
        <v>2072</v>
      </c>
      <c r="BY3" s="2">
        <f t="shared" si="1"/>
        <v>2073</v>
      </c>
      <c r="BZ3" s="2">
        <f t="shared" si="1"/>
        <v>2074</v>
      </c>
      <c r="CA3" s="2">
        <f t="shared" si="1"/>
        <v>2075</v>
      </c>
      <c r="CB3" s="2">
        <f t="shared" si="1"/>
        <v>2076</v>
      </c>
      <c r="CC3" s="2">
        <f t="shared" si="1"/>
        <v>2077</v>
      </c>
      <c r="CD3" s="2">
        <f t="shared" si="1"/>
        <v>2078</v>
      </c>
      <c r="CE3" s="2">
        <f t="shared" si="1"/>
        <v>2079</v>
      </c>
      <c r="CF3" s="2">
        <f t="shared" si="1"/>
        <v>2080</v>
      </c>
      <c r="CG3" s="2">
        <f t="shared" si="1"/>
        <v>2081</v>
      </c>
      <c r="CH3" s="2">
        <f t="shared" si="1"/>
        <v>2082</v>
      </c>
      <c r="CI3" s="2">
        <f t="shared" si="1"/>
        <v>2083</v>
      </c>
      <c r="CJ3" s="2">
        <f t="shared" si="1"/>
        <v>2084</v>
      </c>
      <c r="CK3" s="2">
        <f t="shared" si="1"/>
        <v>2085</v>
      </c>
      <c r="CL3" s="2">
        <f t="shared" si="1"/>
        <v>2086</v>
      </c>
      <c r="CM3" s="2">
        <f t="shared" si="1"/>
        <v>2087</v>
      </c>
      <c r="CN3" s="2">
        <f t="shared" si="1"/>
        <v>2088</v>
      </c>
      <c r="CO3" s="2">
        <f t="shared" si="1"/>
        <v>2089</v>
      </c>
      <c r="CP3" s="2">
        <f t="shared" si="1"/>
        <v>2090</v>
      </c>
      <c r="CQ3" s="2">
        <f t="shared" si="1"/>
        <v>2091</v>
      </c>
      <c r="CR3" s="2">
        <f t="shared" si="1"/>
        <v>2092</v>
      </c>
      <c r="CS3" s="2">
        <f t="shared" si="1"/>
        <v>2093</v>
      </c>
      <c r="CT3" s="2">
        <f t="shared" si="1"/>
        <v>2094</v>
      </c>
      <c r="CU3" s="2">
        <f t="shared" si="1"/>
        <v>2095</v>
      </c>
      <c r="CV3" s="2">
        <f t="shared" si="1"/>
        <v>2096</v>
      </c>
      <c r="CW3" s="2">
        <f t="shared" si="1"/>
        <v>2097</v>
      </c>
      <c r="CX3" s="2">
        <f t="shared" si="1"/>
        <v>2098</v>
      </c>
      <c r="CY3" s="2">
        <f t="shared" si="1"/>
        <v>2099</v>
      </c>
      <c r="CZ3" s="2">
        <f t="shared" si="1"/>
        <v>2100</v>
      </c>
      <c r="DA3" s="2">
        <f t="shared" ref="DA3:FL3" si="2">+CZ3+1</f>
        <v>2101</v>
      </c>
      <c r="DB3" s="2">
        <f t="shared" si="2"/>
        <v>2102</v>
      </c>
      <c r="DC3" s="2">
        <f t="shared" si="2"/>
        <v>2103</v>
      </c>
      <c r="DD3" s="2">
        <f t="shared" si="2"/>
        <v>2104</v>
      </c>
      <c r="DE3" s="2">
        <f t="shared" si="2"/>
        <v>2105</v>
      </c>
      <c r="DF3" s="2">
        <f t="shared" si="2"/>
        <v>2106</v>
      </c>
      <c r="DG3" s="2">
        <f t="shared" si="2"/>
        <v>2107</v>
      </c>
      <c r="DH3" s="2">
        <f t="shared" si="2"/>
        <v>2108</v>
      </c>
      <c r="DI3" s="2">
        <f t="shared" si="2"/>
        <v>2109</v>
      </c>
      <c r="DJ3" s="2">
        <f t="shared" si="2"/>
        <v>2110</v>
      </c>
      <c r="DK3" s="2">
        <f t="shared" si="2"/>
        <v>2111</v>
      </c>
      <c r="DL3" s="2">
        <f t="shared" si="2"/>
        <v>2112</v>
      </c>
      <c r="DM3" s="2">
        <f t="shared" si="2"/>
        <v>2113</v>
      </c>
      <c r="DN3" s="2">
        <f t="shared" si="2"/>
        <v>2114</v>
      </c>
      <c r="DO3" s="2">
        <f t="shared" si="2"/>
        <v>2115</v>
      </c>
      <c r="DP3" s="2">
        <f t="shared" si="2"/>
        <v>2116</v>
      </c>
      <c r="DQ3" s="2">
        <f t="shared" si="2"/>
        <v>2117</v>
      </c>
      <c r="DR3" s="2">
        <f t="shared" si="2"/>
        <v>2118</v>
      </c>
      <c r="DS3" s="2">
        <f t="shared" si="2"/>
        <v>2119</v>
      </c>
      <c r="DT3" s="2">
        <f t="shared" si="2"/>
        <v>2120</v>
      </c>
      <c r="DU3" s="2">
        <f t="shared" si="2"/>
        <v>2121</v>
      </c>
      <c r="DV3" s="2">
        <f t="shared" si="2"/>
        <v>2122</v>
      </c>
      <c r="DW3" s="2">
        <f t="shared" si="2"/>
        <v>2123</v>
      </c>
      <c r="DX3" s="2">
        <f t="shared" si="2"/>
        <v>2124</v>
      </c>
      <c r="DY3" s="2">
        <f t="shared" si="2"/>
        <v>2125</v>
      </c>
      <c r="DZ3" s="2">
        <f t="shared" si="2"/>
        <v>2126</v>
      </c>
      <c r="EA3" s="2">
        <f t="shared" si="2"/>
        <v>2127</v>
      </c>
      <c r="EB3" s="2">
        <f t="shared" si="2"/>
        <v>2128</v>
      </c>
      <c r="EC3" s="2">
        <f t="shared" si="2"/>
        <v>2129</v>
      </c>
      <c r="ED3" s="2">
        <f t="shared" si="2"/>
        <v>2130</v>
      </c>
      <c r="EE3" s="2">
        <f t="shared" si="2"/>
        <v>2131</v>
      </c>
      <c r="EF3" s="2">
        <f t="shared" si="2"/>
        <v>2132</v>
      </c>
      <c r="EG3" s="2">
        <f t="shared" si="2"/>
        <v>2133</v>
      </c>
      <c r="EH3" s="2">
        <f t="shared" si="2"/>
        <v>2134</v>
      </c>
      <c r="EI3" s="2">
        <f t="shared" si="2"/>
        <v>2135</v>
      </c>
      <c r="EJ3" s="2">
        <f t="shared" si="2"/>
        <v>2136</v>
      </c>
      <c r="EK3" s="2">
        <f t="shared" si="2"/>
        <v>2137</v>
      </c>
      <c r="EL3" s="2">
        <f t="shared" si="2"/>
        <v>2138</v>
      </c>
      <c r="EM3" s="2">
        <f t="shared" si="2"/>
        <v>2139</v>
      </c>
      <c r="EN3" s="2">
        <f t="shared" si="2"/>
        <v>2140</v>
      </c>
      <c r="EO3" s="2">
        <f t="shared" si="2"/>
        <v>2141</v>
      </c>
      <c r="EP3" s="2">
        <f t="shared" si="2"/>
        <v>2142</v>
      </c>
      <c r="EQ3" s="2">
        <f t="shared" si="2"/>
        <v>2143</v>
      </c>
      <c r="ER3" s="2">
        <f t="shared" si="2"/>
        <v>2144</v>
      </c>
      <c r="ES3" s="2">
        <f t="shared" si="2"/>
        <v>2145</v>
      </c>
      <c r="ET3" s="2">
        <f t="shared" si="2"/>
        <v>2146</v>
      </c>
      <c r="EU3" s="2">
        <f t="shared" si="2"/>
        <v>2147</v>
      </c>
      <c r="EV3" s="2">
        <f t="shared" si="2"/>
        <v>2148</v>
      </c>
      <c r="EW3" s="2">
        <f t="shared" si="2"/>
        <v>2149</v>
      </c>
      <c r="EX3" s="2">
        <f t="shared" si="2"/>
        <v>2150</v>
      </c>
      <c r="EY3" s="2">
        <f t="shared" si="2"/>
        <v>2151</v>
      </c>
      <c r="EZ3" s="2">
        <f t="shared" si="2"/>
        <v>2152</v>
      </c>
      <c r="FA3" s="2">
        <f t="shared" si="2"/>
        <v>2153</v>
      </c>
      <c r="FB3" s="2">
        <f t="shared" si="2"/>
        <v>2154</v>
      </c>
      <c r="FC3" s="2">
        <f t="shared" si="2"/>
        <v>2155</v>
      </c>
      <c r="FD3" s="2">
        <f t="shared" si="2"/>
        <v>2156</v>
      </c>
      <c r="FE3" s="2">
        <f t="shared" si="2"/>
        <v>2157</v>
      </c>
      <c r="FF3" s="2">
        <f t="shared" si="2"/>
        <v>2158</v>
      </c>
      <c r="FG3" s="2">
        <f t="shared" si="2"/>
        <v>2159</v>
      </c>
      <c r="FH3" s="2">
        <f t="shared" si="2"/>
        <v>2160</v>
      </c>
      <c r="FI3" s="2">
        <f t="shared" si="2"/>
        <v>2161</v>
      </c>
      <c r="FJ3" s="2">
        <f t="shared" si="2"/>
        <v>2162</v>
      </c>
      <c r="FK3" s="2">
        <f t="shared" si="2"/>
        <v>2163</v>
      </c>
      <c r="FL3" s="2">
        <f t="shared" si="2"/>
        <v>2164</v>
      </c>
      <c r="FM3" s="2">
        <f t="shared" ref="FM3:GE3" si="3">+FL3+1</f>
        <v>2165</v>
      </c>
      <c r="FN3" s="2">
        <f t="shared" si="3"/>
        <v>2166</v>
      </c>
      <c r="FO3" s="2">
        <f t="shared" si="3"/>
        <v>2167</v>
      </c>
      <c r="FP3" s="2">
        <f t="shared" si="3"/>
        <v>2168</v>
      </c>
      <c r="FQ3" s="2">
        <f t="shared" si="3"/>
        <v>2169</v>
      </c>
      <c r="FR3" s="2">
        <f t="shared" si="3"/>
        <v>2170</v>
      </c>
      <c r="FS3" s="2">
        <f t="shared" si="3"/>
        <v>2171</v>
      </c>
      <c r="FT3" s="2">
        <f t="shared" si="3"/>
        <v>2172</v>
      </c>
      <c r="FU3" s="2">
        <f t="shared" si="3"/>
        <v>2173</v>
      </c>
      <c r="FV3" s="2">
        <f t="shared" si="3"/>
        <v>2174</v>
      </c>
      <c r="FW3" s="2">
        <f t="shared" si="3"/>
        <v>2175</v>
      </c>
      <c r="FX3" s="2">
        <f t="shared" si="3"/>
        <v>2176</v>
      </c>
      <c r="FY3" s="2">
        <f t="shared" si="3"/>
        <v>2177</v>
      </c>
      <c r="FZ3" s="2">
        <f t="shared" si="3"/>
        <v>2178</v>
      </c>
      <c r="GA3" s="2">
        <f t="shared" si="3"/>
        <v>2179</v>
      </c>
      <c r="GB3" s="2">
        <f t="shared" si="3"/>
        <v>2180</v>
      </c>
      <c r="GC3" s="2">
        <f t="shared" si="3"/>
        <v>2181</v>
      </c>
      <c r="GD3" s="2">
        <f t="shared" si="3"/>
        <v>2182</v>
      </c>
      <c r="GE3" s="2">
        <f t="shared" si="3"/>
        <v>2183</v>
      </c>
      <c r="GF3" s="2">
        <f t="shared" ref="GF3:GW3" si="4">+GE3+1</f>
        <v>2184</v>
      </c>
      <c r="GG3" s="2">
        <f t="shared" si="4"/>
        <v>2185</v>
      </c>
      <c r="GH3" s="2">
        <f t="shared" si="4"/>
        <v>2186</v>
      </c>
      <c r="GI3" s="2">
        <f t="shared" si="4"/>
        <v>2187</v>
      </c>
      <c r="GJ3" s="2">
        <f t="shared" si="4"/>
        <v>2188</v>
      </c>
      <c r="GK3" s="2">
        <f t="shared" si="4"/>
        <v>2189</v>
      </c>
      <c r="GL3" s="2">
        <f t="shared" si="4"/>
        <v>2190</v>
      </c>
      <c r="GM3" s="2">
        <f t="shared" si="4"/>
        <v>2191</v>
      </c>
      <c r="GN3" s="2">
        <f t="shared" si="4"/>
        <v>2192</v>
      </c>
      <c r="GO3" s="2">
        <f t="shared" si="4"/>
        <v>2193</v>
      </c>
      <c r="GP3" s="2">
        <f t="shared" si="4"/>
        <v>2194</v>
      </c>
      <c r="GQ3" s="2">
        <f t="shared" si="4"/>
        <v>2195</v>
      </c>
      <c r="GR3" s="2">
        <f t="shared" si="4"/>
        <v>2196</v>
      </c>
      <c r="GS3" s="2">
        <f t="shared" si="4"/>
        <v>2197</v>
      </c>
      <c r="GT3" s="2">
        <f t="shared" si="4"/>
        <v>2198</v>
      </c>
      <c r="GU3" s="2">
        <f t="shared" si="4"/>
        <v>2199</v>
      </c>
      <c r="GV3" s="2">
        <f t="shared" si="4"/>
        <v>2200</v>
      </c>
      <c r="GW3" s="2">
        <f t="shared" si="4"/>
        <v>2201</v>
      </c>
      <c r="GX3" s="2">
        <f t="shared" ref="GX3:HJ3" si="5">+GW3+1</f>
        <v>2202</v>
      </c>
      <c r="GY3" s="2">
        <f t="shared" si="5"/>
        <v>2203</v>
      </c>
      <c r="GZ3" s="2">
        <f t="shared" si="5"/>
        <v>2204</v>
      </c>
      <c r="HA3" s="2">
        <f t="shared" si="5"/>
        <v>2205</v>
      </c>
      <c r="HB3" s="2">
        <f t="shared" si="5"/>
        <v>2206</v>
      </c>
      <c r="HC3" s="2">
        <f t="shared" si="5"/>
        <v>2207</v>
      </c>
      <c r="HD3" s="2">
        <f t="shared" si="5"/>
        <v>2208</v>
      </c>
      <c r="HE3" s="2">
        <f t="shared" si="5"/>
        <v>2209</v>
      </c>
      <c r="HF3" s="2">
        <f t="shared" si="5"/>
        <v>2210</v>
      </c>
      <c r="HG3" s="2">
        <f t="shared" si="5"/>
        <v>2211</v>
      </c>
      <c r="HH3" s="2">
        <f t="shared" si="5"/>
        <v>2212</v>
      </c>
      <c r="HI3" s="2">
        <f t="shared" si="5"/>
        <v>2213</v>
      </c>
      <c r="HJ3" s="2">
        <f t="shared" si="5"/>
        <v>2214</v>
      </c>
      <c r="HK3" s="2">
        <f t="shared" ref="HK3:HU3" si="6">+HJ3+1</f>
        <v>2215</v>
      </c>
      <c r="HL3" s="2">
        <f t="shared" si="6"/>
        <v>2216</v>
      </c>
      <c r="HM3" s="2">
        <f t="shared" si="6"/>
        <v>2217</v>
      </c>
      <c r="HN3" s="2">
        <f t="shared" si="6"/>
        <v>2218</v>
      </c>
      <c r="HO3" s="2">
        <f t="shared" si="6"/>
        <v>2219</v>
      </c>
      <c r="HP3" s="2">
        <f t="shared" si="6"/>
        <v>2220</v>
      </c>
      <c r="HQ3" s="2">
        <f t="shared" si="6"/>
        <v>2221</v>
      </c>
      <c r="HR3" s="2">
        <f t="shared" si="6"/>
        <v>2222</v>
      </c>
      <c r="HS3" s="2">
        <f t="shared" si="6"/>
        <v>2223</v>
      </c>
      <c r="HT3" s="2">
        <f t="shared" si="6"/>
        <v>2224</v>
      </c>
      <c r="HU3" s="2">
        <f t="shared" si="6"/>
        <v>2225</v>
      </c>
      <c r="HV3" s="2">
        <f t="shared" ref="HV3:IE3" si="7">+HU3+1</f>
        <v>2226</v>
      </c>
      <c r="HW3" s="2">
        <f t="shared" si="7"/>
        <v>2227</v>
      </c>
      <c r="HX3" s="2">
        <f t="shared" si="7"/>
        <v>2228</v>
      </c>
      <c r="HY3" s="2">
        <f t="shared" si="7"/>
        <v>2229</v>
      </c>
      <c r="HZ3" s="2">
        <f t="shared" si="7"/>
        <v>2230</v>
      </c>
      <c r="IA3" s="2">
        <f t="shared" si="7"/>
        <v>2231</v>
      </c>
      <c r="IB3" s="2">
        <f t="shared" si="7"/>
        <v>2232</v>
      </c>
      <c r="IC3" s="2">
        <f t="shared" si="7"/>
        <v>2233</v>
      </c>
      <c r="ID3" s="2">
        <f t="shared" si="7"/>
        <v>2234</v>
      </c>
      <c r="IE3" s="2">
        <f t="shared" si="7"/>
        <v>2235</v>
      </c>
    </row>
    <row r="4" spans="2:239" x14ac:dyDescent="0.2">
      <c r="B4" s="8" t="s">
        <v>90</v>
      </c>
    </row>
    <row r="5" spans="2:239" s="5" customFormat="1" x14ac:dyDescent="0.2">
      <c r="B5" s="15" t="s">
        <v>86</v>
      </c>
      <c r="AA5" s="5">
        <v>0.27</v>
      </c>
      <c r="AB5" s="5">
        <v>0.23</v>
      </c>
    </row>
    <row r="6" spans="2:239" s="5" customFormat="1" x14ac:dyDescent="0.2">
      <c r="B6" s="15" t="s">
        <v>87</v>
      </c>
      <c r="Z6" s="5">
        <v>0.19</v>
      </c>
      <c r="AA6" s="5">
        <v>0.18</v>
      </c>
      <c r="AB6" s="5">
        <v>0.17</v>
      </c>
    </row>
    <row r="7" spans="2:239" s="5" customFormat="1" x14ac:dyDescent="0.2">
      <c r="B7" s="15" t="s">
        <v>88</v>
      </c>
      <c r="Z7" s="5">
        <v>0.17</v>
      </c>
      <c r="AB7" s="5">
        <v>0.12</v>
      </c>
    </row>
    <row r="8" spans="2:239" s="5" customFormat="1" x14ac:dyDescent="0.2">
      <c r="B8" s="15" t="s">
        <v>89</v>
      </c>
      <c r="Z8" s="5">
        <v>0.14000000000000001</v>
      </c>
    </row>
    <row r="11" spans="2:239" s="3" customFormat="1" x14ac:dyDescent="0.2">
      <c r="B11" s="4" t="s">
        <v>15</v>
      </c>
      <c r="C11" s="3">
        <v>50360</v>
      </c>
      <c r="D11" s="3">
        <v>56692</v>
      </c>
      <c r="E11" s="3">
        <v>66394</v>
      </c>
      <c r="F11" s="3">
        <v>73369</v>
      </c>
      <c r="G11" s="3">
        <v>76309</v>
      </c>
      <c r="H11" s="3">
        <v>81325</v>
      </c>
      <c r="I11" s="3">
        <v>93342</v>
      </c>
      <c r="J11" s="3">
        <v>96778</v>
      </c>
      <c r="K11" s="3">
        <f>AVERAGE(84,90) * 10^3</f>
        <v>87000</v>
      </c>
      <c r="X11" s="3">
        <v>113996</v>
      </c>
      <c r="Y11" s="3">
        <v>143935</v>
      </c>
      <c r="Z11" s="3">
        <v>227068</v>
      </c>
      <c r="AA11" s="3">
        <v>224632</v>
      </c>
      <c r="AB11" s="3">
        <v>246815</v>
      </c>
      <c r="AC11" s="3">
        <f>SUM(G11:J11)</f>
        <v>347754</v>
      </c>
      <c r="AD11" s="3">
        <f>+AC11*1.2</f>
        <v>417304.8</v>
      </c>
      <c r="AE11" s="3">
        <f t="shared" ref="AE11:AM11" si="8">+AD11*1.16</f>
        <v>484073.56799999997</v>
      </c>
      <c r="AF11" s="3">
        <f t="shared" si="8"/>
        <v>561525.33887999994</v>
      </c>
      <c r="AG11" s="3">
        <f t="shared" si="8"/>
        <v>651369.39310079988</v>
      </c>
      <c r="AH11" s="3">
        <f t="shared" si="8"/>
        <v>755588.49599692784</v>
      </c>
      <c r="AI11" s="3">
        <f t="shared" si="8"/>
        <v>876482.65535643627</v>
      </c>
      <c r="AJ11" s="3">
        <f t="shared" si="8"/>
        <v>1016719.880213466</v>
      </c>
      <c r="AK11" s="3">
        <f t="shared" si="8"/>
        <v>1179395.0610476204</v>
      </c>
      <c r="AL11" s="3">
        <f t="shared" si="8"/>
        <v>1368098.2708152395</v>
      </c>
      <c r="AM11" s="3">
        <f t="shared" si="8"/>
        <v>1586993.9941456777</v>
      </c>
    </row>
    <row r="12" spans="2:239" s="3" customFormat="1" x14ac:dyDescent="0.2">
      <c r="B12" s="4" t="s">
        <v>16</v>
      </c>
      <c r="C12" s="3">
        <v>47476</v>
      </c>
      <c r="D12" s="3">
        <v>56380</v>
      </c>
      <c r="E12" s="3">
        <v>64105</v>
      </c>
      <c r="F12" s="3">
        <v>58211</v>
      </c>
      <c r="G12" s="3">
        <v>73975</v>
      </c>
      <c r="H12" s="3">
        <v>68607</v>
      </c>
      <c r="I12" s="3">
        <v>65120</v>
      </c>
      <c r="J12" s="3">
        <v>71676</v>
      </c>
      <c r="K12" s="3">
        <f>+G12</f>
        <v>73975</v>
      </c>
      <c r="X12" s="3">
        <v>84560</v>
      </c>
      <c r="Y12" s="3">
        <v>136706</v>
      </c>
      <c r="Z12" s="3">
        <v>139816</v>
      </c>
      <c r="AA12" s="3">
        <v>150110</v>
      </c>
      <c r="AB12" s="3">
        <v>226172</v>
      </c>
      <c r="AC12" s="3">
        <f>SUM(G12:J12)</f>
        <v>279378</v>
      </c>
      <c r="AD12" s="3">
        <f>+AC12*1.01</f>
        <v>282171.78000000003</v>
      </c>
      <c r="AE12" s="3">
        <f t="shared" ref="AE12:AM12" si="9">+AD12*1.01</f>
        <v>284993.49780000001</v>
      </c>
      <c r="AF12" s="3">
        <f t="shared" si="9"/>
        <v>287843.43277800002</v>
      </c>
      <c r="AG12" s="3">
        <f t="shared" si="9"/>
        <v>290721.86710577999</v>
      </c>
      <c r="AH12" s="3">
        <f t="shared" si="9"/>
        <v>293629.08577683778</v>
      </c>
      <c r="AI12" s="3">
        <f t="shared" si="9"/>
        <v>296565.37663460616</v>
      </c>
      <c r="AJ12" s="3">
        <f t="shared" si="9"/>
        <v>299531.03040095221</v>
      </c>
      <c r="AK12" s="3">
        <f t="shared" si="9"/>
        <v>302526.34070496174</v>
      </c>
      <c r="AL12" s="3">
        <f t="shared" si="9"/>
        <v>305551.60411201138</v>
      </c>
      <c r="AM12" s="3">
        <f t="shared" si="9"/>
        <v>308607.12015313149</v>
      </c>
    </row>
    <row r="13" spans="2:239" s="3" customFormat="1" x14ac:dyDescent="0.2">
      <c r="B13" s="4" t="s">
        <v>17</v>
      </c>
      <c r="C13" s="3">
        <v>20035</v>
      </c>
      <c r="D13" s="3">
        <v>19066</v>
      </c>
      <c r="E13" s="3">
        <v>15014</v>
      </c>
      <c r="F13" s="3">
        <v>29522</v>
      </c>
      <c r="G13" s="3">
        <v>16380</v>
      </c>
      <c r="H13" s="3">
        <v>22277</v>
      </c>
      <c r="I13" s="3">
        <v>20051</v>
      </c>
      <c r="J13" s="3">
        <v>21790</v>
      </c>
      <c r="K13" s="3">
        <f>AVERAGE(21,27) * 10^3</f>
        <v>24000</v>
      </c>
      <c r="X13" s="3">
        <v>47766</v>
      </c>
      <c r="Y13" s="3">
        <v>47663</v>
      </c>
      <c r="Z13" s="3">
        <v>87909</v>
      </c>
      <c r="AA13" s="3">
        <v>86375</v>
      </c>
      <c r="AB13" s="3">
        <v>83637</v>
      </c>
      <c r="AC13" s="3">
        <f>SUM(G13:J13)</f>
        <v>80498</v>
      </c>
      <c r="AD13" s="3">
        <f>+AC13*1.08</f>
        <v>86937.840000000011</v>
      </c>
      <c r="AE13" s="3">
        <f t="shared" ref="AE13:AM13" si="10">+AD13*1.08</f>
        <v>93892.867200000022</v>
      </c>
      <c r="AF13" s="3">
        <f t="shared" si="10"/>
        <v>101404.29657600004</v>
      </c>
      <c r="AG13" s="3">
        <f t="shared" si="10"/>
        <v>109516.64030208005</v>
      </c>
      <c r="AH13" s="3">
        <f t="shared" si="10"/>
        <v>118277.97152624646</v>
      </c>
      <c r="AI13" s="3">
        <f t="shared" si="10"/>
        <v>127740.20924834619</v>
      </c>
      <c r="AJ13" s="3">
        <f t="shared" si="10"/>
        <v>137959.42598821389</v>
      </c>
      <c r="AK13" s="3">
        <f t="shared" si="10"/>
        <v>148996.18006727099</v>
      </c>
      <c r="AL13" s="3">
        <f t="shared" si="10"/>
        <v>160915.87447265268</v>
      </c>
      <c r="AM13" s="3">
        <f t="shared" si="10"/>
        <v>173789.14443046489</v>
      </c>
    </row>
    <row r="14" spans="2:239" s="7" customFormat="1" x14ac:dyDescent="0.2">
      <c r="B14" s="9" t="s">
        <v>18</v>
      </c>
      <c r="C14" s="10">
        <f t="shared" ref="C14:K14" si="11">+SUM(C11:C13)</f>
        <v>117871</v>
      </c>
      <c r="D14" s="10">
        <f t="shared" si="11"/>
        <v>132138</v>
      </c>
      <c r="E14" s="10">
        <f t="shared" si="11"/>
        <v>145513</v>
      </c>
      <c r="F14" s="10">
        <f t="shared" si="11"/>
        <v>161102</v>
      </c>
      <c r="G14" s="10">
        <f t="shared" si="11"/>
        <v>166664</v>
      </c>
      <c r="H14" s="10">
        <f t="shared" si="11"/>
        <v>172209</v>
      </c>
      <c r="I14" s="10">
        <f t="shared" si="11"/>
        <v>178513</v>
      </c>
      <c r="J14" s="10">
        <f t="shared" si="11"/>
        <v>190244</v>
      </c>
      <c r="K14" s="10">
        <f t="shared" si="11"/>
        <v>184975</v>
      </c>
      <c r="T14" s="10">
        <f>336.6*1000</f>
        <v>336600</v>
      </c>
      <c r="U14" s="10">
        <v>393100</v>
      </c>
      <c r="V14" s="10">
        <v>231200</v>
      </c>
      <c r="W14" s="10">
        <v>227600</v>
      </c>
      <c r="X14" s="10">
        <f t="shared" ref="X14:AD14" si="12">+SUM(X11:X13)</f>
        <v>246322</v>
      </c>
      <c r="Y14" s="10">
        <f t="shared" si="12"/>
        <v>328304</v>
      </c>
      <c r="Z14" s="10">
        <f t="shared" si="12"/>
        <v>454793</v>
      </c>
      <c r="AA14" s="10">
        <f t="shared" si="12"/>
        <v>461117</v>
      </c>
      <c r="AB14" s="10">
        <f t="shared" si="12"/>
        <v>556624</v>
      </c>
      <c r="AC14" s="10">
        <f t="shared" si="12"/>
        <v>707630</v>
      </c>
      <c r="AD14" s="10">
        <f t="shared" si="12"/>
        <v>786414.42</v>
      </c>
      <c r="AE14" s="10">
        <f t="shared" ref="AE14:AM14" si="13">+SUM(AE11:AE13)</f>
        <v>862959.93299999996</v>
      </c>
      <c r="AF14" s="10">
        <f t="shared" si="13"/>
        <v>950773.06823400001</v>
      </c>
      <c r="AG14" s="10">
        <f t="shared" si="13"/>
        <v>1051607.9005086599</v>
      </c>
      <c r="AH14" s="10">
        <f t="shared" si="13"/>
        <v>1167495.5533000121</v>
      </c>
      <c r="AI14" s="10">
        <f t="shared" si="13"/>
        <v>1300788.2412393887</v>
      </c>
      <c r="AJ14" s="10">
        <f t="shared" si="13"/>
        <v>1454210.3366026322</v>
      </c>
      <c r="AK14" s="10">
        <f t="shared" si="13"/>
        <v>1630917.581819853</v>
      </c>
      <c r="AL14" s="10">
        <f t="shared" si="13"/>
        <v>1834565.7493999037</v>
      </c>
      <c r="AM14" s="10">
        <f t="shared" si="13"/>
        <v>2069390.2587292739</v>
      </c>
    </row>
    <row r="15" spans="2:239" s="3" customFormat="1" x14ac:dyDescent="0.2">
      <c r="B15" s="4" t="s">
        <v>19</v>
      </c>
      <c r="C15" s="3">
        <v>20048</v>
      </c>
      <c r="D15" s="3">
        <v>22779</v>
      </c>
      <c r="E15" s="3">
        <v>24554</v>
      </c>
      <c r="F15" s="3">
        <v>28494</v>
      </c>
      <c r="G15" s="3">
        <v>30583</v>
      </c>
      <c r="H15" s="3">
        <v>32418</v>
      </c>
      <c r="I15" s="3">
        <v>34337</v>
      </c>
      <c r="J15" s="3">
        <v>37342</v>
      </c>
      <c r="X15" s="3">
        <v>37749</v>
      </c>
      <c r="Y15" s="3">
        <v>49397</v>
      </c>
      <c r="Z15" s="3">
        <v>88976</v>
      </c>
      <c r="AA15" s="3">
        <v>84495</v>
      </c>
      <c r="AB15" s="3">
        <v>95875</v>
      </c>
      <c r="AC15" s="3">
        <f>SUM(G15:J15)</f>
        <v>134680</v>
      </c>
      <c r="AD15" s="3">
        <f>+AD$14*(AC15/AC$14)</f>
        <v>149674.68039173016</v>
      </c>
      <c r="AE15" s="3">
        <f t="shared" ref="AE15:AM16" si="14">+AE$14*(AD15/AD$14)</f>
        <v>164243.23979542981</v>
      </c>
      <c r="AF15" s="3">
        <f t="shared" si="14"/>
        <v>180956.31450016977</v>
      </c>
      <c r="AG15" s="3">
        <f t="shared" si="14"/>
        <v>200147.74958736394</v>
      </c>
      <c r="AH15" s="3">
        <f t="shared" si="14"/>
        <v>222204.11955180767</v>
      </c>
      <c r="AI15" s="3">
        <f t="shared" si="14"/>
        <v>247573.11070774402</v>
      </c>
      <c r="AJ15" s="3">
        <f t="shared" si="14"/>
        <v>276773.24044153374</v>
      </c>
      <c r="AK15" s="3">
        <f t="shared" si="14"/>
        <v>310405.1268593726</v>
      </c>
      <c r="AL15" s="3">
        <f t="shared" si="14"/>
        <v>349164.55651849002</v>
      </c>
      <c r="AM15" s="3">
        <f t="shared" si="14"/>
        <v>393857.63753043074</v>
      </c>
    </row>
    <row r="16" spans="2:239" s="3" customFormat="1" x14ac:dyDescent="0.2">
      <c r="B16" s="4" t="s">
        <v>20</v>
      </c>
      <c r="C16" s="3">
        <v>555</v>
      </c>
      <c r="D16" s="3">
        <v>1000</v>
      </c>
      <c r="E16" s="3">
        <v>752</v>
      </c>
      <c r="F16" s="3">
        <v>721</v>
      </c>
      <c r="G16" s="3">
        <v>546</v>
      </c>
      <c r="H16" s="3">
        <v>631</v>
      </c>
      <c r="I16" s="3">
        <v>531</v>
      </c>
      <c r="J16" s="3">
        <v>1148</v>
      </c>
      <c r="X16" s="3">
        <v>5647</v>
      </c>
      <c r="Y16" s="3">
        <v>4756</v>
      </c>
      <c r="Z16" s="3">
        <v>4668</v>
      </c>
      <c r="AA16" s="3">
        <v>5403</v>
      </c>
      <c r="AB16" s="3">
        <v>3028</v>
      </c>
      <c r="AC16" s="3">
        <f>SUM(G16:J16)</f>
        <v>2856</v>
      </c>
      <c r="AD16" s="3">
        <f>+AD$14*(AC16/AC$14)</f>
        <v>3173.9745114254624</v>
      </c>
      <c r="AE16" s="3">
        <f t="shared" si="14"/>
        <v>3482.9127773667024</v>
      </c>
      <c r="AF16" s="3">
        <f t="shared" si="14"/>
        <v>3837.3272513549509</v>
      </c>
      <c r="AG16" s="3">
        <f t="shared" si="14"/>
        <v>4244.2973924971138</v>
      </c>
      <c r="AH16" s="3">
        <f t="shared" si="14"/>
        <v>4712.0208304125526</v>
      </c>
      <c r="AI16" s="3">
        <f t="shared" si="14"/>
        <v>5249.9911210373975</v>
      </c>
      <c r="AJ16" s="3">
        <f t="shared" si="14"/>
        <v>5869.2038513589268</v>
      </c>
      <c r="AK16" s="3">
        <f t="shared" si="14"/>
        <v>6582.3956215501039</v>
      </c>
      <c r="AL16" s="3">
        <f t="shared" si="14"/>
        <v>7404.3211569409505</v>
      </c>
      <c r="AM16" s="3">
        <f t="shared" si="14"/>
        <v>8352.0746420174473</v>
      </c>
    </row>
    <row r="17" spans="2:239" s="3" customFormat="1" x14ac:dyDescent="0.2">
      <c r="B17" s="4" t="s">
        <v>21</v>
      </c>
      <c r="C17" s="3">
        <f t="shared" ref="C17:J17" si="15">+C14-SUM(C15:C16)</f>
        <v>97268</v>
      </c>
      <c r="D17" s="3">
        <f t="shared" si="15"/>
        <v>108359</v>
      </c>
      <c r="E17" s="3">
        <f t="shared" si="15"/>
        <v>120207</v>
      </c>
      <c r="F17" s="3">
        <f t="shared" si="15"/>
        <v>131887</v>
      </c>
      <c r="G17" s="3">
        <f t="shared" si="15"/>
        <v>135535</v>
      </c>
      <c r="H17" s="3">
        <f t="shared" si="15"/>
        <v>139160</v>
      </c>
      <c r="I17" s="3">
        <f t="shared" si="15"/>
        <v>143645</v>
      </c>
      <c r="J17" s="3">
        <f t="shared" si="15"/>
        <v>151754</v>
      </c>
      <c r="X17" s="3">
        <f t="shared" ref="X17:AD17" si="16">+X14-SUM(X15:X16)</f>
        <v>202926</v>
      </c>
      <c r="Y17" s="3">
        <f t="shared" si="16"/>
        <v>274151</v>
      </c>
      <c r="Z17" s="3">
        <f t="shared" si="16"/>
        <v>361149</v>
      </c>
      <c r="AA17" s="3">
        <f t="shared" si="16"/>
        <v>371219</v>
      </c>
      <c r="AB17" s="3">
        <f t="shared" si="16"/>
        <v>457721</v>
      </c>
      <c r="AC17" s="3">
        <f t="shared" si="16"/>
        <v>570094</v>
      </c>
      <c r="AD17" s="3">
        <f t="shared" si="16"/>
        <v>633565.76509684441</v>
      </c>
      <c r="AE17" s="3">
        <f t="shared" ref="AE17:AM17" si="17">+AE14-SUM(AE15:AE16)</f>
        <v>695233.78042720351</v>
      </c>
      <c r="AF17" s="3">
        <f t="shared" si="17"/>
        <v>765979.42648247525</v>
      </c>
      <c r="AG17" s="3">
        <f t="shared" si="17"/>
        <v>847215.85352879879</v>
      </c>
      <c r="AH17" s="3">
        <f t="shared" si="17"/>
        <v>940579.41291779187</v>
      </c>
      <c r="AI17" s="3">
        <f t="shared" si="17"/>
        <v>1047965.1394106073</v>
      </c>
      <c r="AJ17" s="3">
        <f t="shared" si="17"/>
        <v>1171567.8923097395</v>
      </c>
      <c r="AK17" s="3">
        <f t="shared" si="17"/>
        <v>1313930.0593389303</v>
      </c>
      <c r="AL17" s="3">
        <f t="shared" si="17"/>
        <v>1477996.8717244728</v>
      </c>
      <c r="AM17" s="3">
        <f t="shared" si="17"/>
        <v>1667180.5465568257</v>
      </c>
    </row>
    <row r="18" spans="2:239" s="3" customFormat="1" x14ac:dyDescent="0.2">
      <c r="B18" s="4" t="s">
        <v>22</v>
      </c>
      <c r="C18" s="3">
        <v>37359</v>
      </c>
      <c r="D18" s="3">
        <v>40525</v>
      </c>
      <c r="E18" s="3">
        <v>41299</v>
      </c>
      <c r="F18" s="3">
        <v>43698</v>
      </c>
      <c r="G18" s="3">
        <v>42620</v>
      </c>
      <c r="H18" s="3">
        <v>40525</v>
      </c>
      <c r="I18" s="3">
        <v>49511</v>
      </c>
      <c r="J18" s="3">
        <v>49246</v>
      </c>
      <c r="X18" s="3">
        <v>139837</v>
      </c>
      <c r="Y18" s="3">
        <v>135678</v>
      </c>
      <c r="Z18" s="3">
        <v>158769</v>
      </c>
      <c r="AA18" s="3">
        <v>156827</v>
      </c>
      <c r="AB18" s="3">
        <v>162881</v>
      </c>
      <c r="AC18" s="3">
        <f>SUM(G18:J18)</f>
        <v>181902</v>
      </c>
      <c r="AD18" s="3">
        <f>+AD$14*(AC18/AC$14)</f>
        <v>202154.17072034822</v>
      </c>
      <c r="AE18" s="3">
        <f t="shared" ref="AE18:AM18" si="18">+AE$14*(AD18/AD$14)</f>
        <v>221830.81233492927</v>
      </c>
      <c r="AF18" s="3">
        <f t="shared" si="18"/>
        <v>244403.88714144548</v>
      </c>
      <c r="AG18" s="3">
        <f t="shared" si="18"/>
        <v>270324.29421919119</v>
      </c>
      <c r="AH18" s="3">
        <f t="shared" si="18"/>
        <v>300114.15024289361</v>
      </c>
      <c r="AI18" s="3">
        <f t="shared" si="18"/>
        <v>334378.11095901427</v>
      </c>
      <c r="AJ18" s="3">
        <f t="shared" si="18"/>
        <v>373816.49823875754</v>
      </c>
      <c r="AK18" s="3">
        <f t="shared" si="18"/>
        <v>419240.52113137505</v>
      </c>
      <c r="AL18" s="3">
        <f t="shared" si="18"/>
        <v>471589.92545163614</v>
      </c>
      <c r="AM18" s="3">
        <f t="shared" si="18"/>
        <v>531953.45992025826</v>
      </c>
    </row>
    <row r="19" spans="2:239" s="3" customFormat="1" x14ac:dyDescent="0.2">
      <c r="B19" s="4" t="s">
        <v>23</v>
      </c>
      <c r="C19" s="3">
        <v>25827</v>
      </c>
      <c r="D19" s="3">
        <v>24402</v>
      </c>
      <c r="E19" s="3">
        <v>25867</v>
      </c>
      <c r="F19" s="3">
        <v>27998</v>
      </c>
      <c r="G19" s="3">
        <v>28058</v>
      </c>
      <c r="H19" s="3">
        <v>24402</v>
      </c>
      <c r="I19" s="3">
        <v>29155</v>
      </c>
      <c r="J19" s="3">
        <v>29961</v>
      </c>
      <c r="X19" s="3">
        <v>86441</v>
      </c>
      <c r="Y19" s="3">
        <v>91057</v>
      </c>
      <c r="Z19" s="3">
        <v>106718</v>
      </c>
      <c r="AA19" s="3">
        <v>108149</v>
      </c>
      <c r="AB19" s="3">
        <v>104094</v>
      </c>
      <c r="AC19" s="3">
        <f>SUM(G19:J19)</f>
        <v>111576</v>
      </c>
      <c r="AD19" s="3">
        <f>+AD$14*(AC19/AC$14)</f>
        <v>123998.38238333593</v>
      </c>
      <c r="AE19" s="3">
        <f t="shared" ref="AE19:AM19" si="19">+AE$14*(AD19/AD$14)</f>
        <v>136067.74371409917</v>
      </c>
      <c r="AF19" s="3">
        <f t="shared" si="19"/>
        <v>149913.73438276612</v>
      </c>
      <c r="AG19" s="3">
        <f t="shared" si="19"/>
        <v>165812.92922453012</v>
      </c>
      <c r="AH19" s="3">
        <f t="shared" si="19"/>
        <v>184085.58689569714</v>
      </c>
      <c r="AI19" s="3">
        <f t="shared" si="19"/>
        <v>205102.59430002409</v>
      </c>
      <c r="AJ19" s="3">
        <f t="shared" si="19"/>
        <v>229293.51852913995</v>
      </c>
      <c r="AK19" s="3">
        <f t="shared" si="19"/>
        <v>257155.94323181879</v>
      </c>
      <c r="AL19" s="3">
        <f t="shared" si="19"/>
        <v>289266.29461023933</v>
      </c>
      <c r="AM19" s="3">
        <f t="shared" si="19"/>
        <v>326292.39504822786</v>
      </c>
    </row>
    <row r="20" spans="2:239" s="3" customFormat="1" x14ac:dyDescent="0.2">
      <c r="B20" s="4" t="s">
        <v>24</v>
      </c>
      <c r="C20" s="3">
        <f t="shared" ref="C20:J20" si="20">+C17-SUM(C18:C19)</f>
        <v>34082</v>
      </c>
      <c r="D20" s="3">
        <f t="shared" si="20"/>
        <v>43432</v>
      </c>
      <c r="E20" s="3">
        <f t="shared" si="20"/>
        <v>53041</v>
      </c>
      <c r="F20" s="3">
        <f t="shared" si="20"/>
        <v>60191</v>
      </c>
      <c r="G20" s="3">
        <f t="shared" si="20"/>
        <v>64857</v>
      </c>
      <c r="H20" s="3">
        <f t="shared" si="20"/>
        <v>74233</v>
      </c>
      <c r="I20" s="3">
        <f t="shared" si="20"/>
        <v>64979</v>
      </c>
      <c r="J20" s="3">
        <f t="shared" si="20"/>
        <v>72547</v>
      </c>
      <c r="X20" s="3">
        <f t="shared" ref="X20:AD20" si="21">+X17-SUM(X18:X19)</f>
        <v>-23352</v>
      </c>
      <c r="Y20" s="3">
        <f t="shared" si="21"/>
        <v>47416</v>
      </c>
      <c r="Z20" s="3">
        <f t="shared" si="21"/>
        <v>95662</v>
      </c>
      <c r="AA20" s="3">
        <f t="shared" si="21"/>
        <v>106243</v>
      </c>
      <c r="AB20" s="3">
        <f t="shared" si="21"/>
        <v>190746</v>
      </c>
      <c r="AC20" s="3">
        <f t="shared" si="21"/>
        <v>276616</v>
      </c>
      <c r="AD20" s="3">
        <f t="shared" si="21"/>
        <v>307413.21199316025</v>
      </c>
      <c r="AE20" s="3">
        <f t="shared" ref="AE20:AM20" si="22">+AE17-SUM(AE18:AE19)</f>
        <v>337335.2243781751</v>
      </c>
      <c r="AF20" s="3">
        <f t="shared" si="22"/>
        <v>371661.80495826364</v>
      </c>
      <c r="AG20" s="3">
        <f t="shared" si="22"/>
        <v>411078.63008507749</v>
      </c>
      <c r="AH20" s="3">
        <f t="shared" si="22"/>
        <v>456379.67577920109</v>
      </c>
      <c r="AI20" s="3">
        <f t="shared" si="22"/>
        <v>508484.43415156892</v>
      </c>
      <c r="AJ20" s="3">
        <f t="shared" si="22"/>
        <v>568457.87554184196</v>
      </c>
      <c r="AK20" s="3">
        <f t="shared" si="22"/>
        <v>637533.59497573646</v>
      </c>
      <c r="AL20" s="3">
        <f t="shared" si="22"/>
        <v>717140.65166259743</v>
      </c>
      <c r="AM20" s="3">
        <f t="shared" si="22"/>
        <v>808934.69158833963</v>
      </c>
    </row>
    <row r="21" spans="2:239" s="3" customFormat="1" x14ac:dyDescent="0.2">
      <c r="B21" s="4" t="s">
        <v>25</v>
      </c>
      <c r="C21" s="3">
        <f>4587-366</f>
        <v>4221</v>
      </c>
      <c r="D21" s="3">
        <f>4400-371</f>
        <v>4029</v>
      </c>
      <c r="E21" s="3">
        <f>4667-327</f>
        <v>4340</v>
      </c>
      <c r="F21" s="3">
        <f>4796-352</f>
        <v>4444</v>
      </c>
      <c r="G21" s="3">
        <f>4856-377</f>
        <v>4479</v>
      </c>
      <c r="H21" s="3">
        <f>4400-371</f>
        <v>4029</v>
      </c>
      <c r="I21" s="3">
        <f>6327-294</f>
        <v>6033</v>
      </c>
      <c r="J21" s="3">
        <f>6700-320</f>
        <v>6380</v>
      </c>
      <c r="X21" s="3">
        <f>17855-10340</f>
        <v>7515</v>
      </c>
      <c r="Y21" s="3">
        <f>9711-10706</f>
        <v>-995</v>
      </c>
      <c r="Z21" s="3">
        <f>7771-1874</f>
        <v>5897</v>
      </c>
      <c r="AA21" s="3">
        <f>11327-1490</f>
        <v>9837</v>
      </c>
      <c r="AB21" s="3">
        <f>18450-1416</f>
        <v>17034</v>
      </c>
      <c r="AC21" s="3">
        <f>SUM(G21:J21)</f>
        <v>20921</v>
      </c>
      <c r="AD21" s="3">
        <f>+AC21</f>
        <v>20921</v>
      </c>
      <c r="AE21" s="3">
        <f t="shared" ref="AE21:AM21" si="23">+AD21</f>
        <v>20921</v>
      </c>
      <c r="AF21" s="3">
        <f t="shared" si="23"/>
        <v>20921</v>
      </c>
      <c r="AG21" s="3">
        <f t="shared" si="23"/>
        <v>20921</v>
      </c>
      <c r="AH21" s="3">
        <f t="shared" si="23"/>
        <v>20921</v>
      </c>
      <c r="AI21" s="3">
        <f t="shared" si="23"/>
        <v>20921</v>
      </c>
      <c r="AJ21" s="3">
        <f t="shared" si="23"/>
        <v>20921</v>
      </c>
      <c r="AK21" s="3">
        <f t="shared" si="23"/>
        <v>20921</v>
      </c>
      <c r="AL21" s="3">
        <f t="shared" si="23"/>
        <v>20921</v>
      </c>
      <c r="AM21" s="3">
        <f t="shared" si="23"/>
        <v>20921</v>
      </c>
    </row>
    <row r="22" spans="2:239" s="3" customFormat="1" x14ac:dyDescent="0.2">
      <c r="B22" s="4" t="s">
        <v>26</v>
      </c>
      <c r="C22" s="3">
        <f t="shared" ref="C22:J22" si="24">+C20+C21</f>
        <v>38303</v>
      </c>
      <c r="D22" s="3">
        <f t="shared" si="24"/>
        <v>47461</v>
      </c>
      <c r="E22" s="3">
        <f t="shared" si="24"/>
        <v>57381</v>
      </c>
      <c r="F22" s="3">
        <f t="shared" si="24"/>
        <v>64635</v>
      </c>
      <c r="G22" s="3">
        <f t="shared" si="24"/>
        <v>69336</v>
      </c>
      <c r="H22" s="3">
        <f t="shared" si="24"/>
        <v>78262</v>
      </c>
      <c r="I22" s="3">
        <f t="shared" si="24"/>
        <v>71012</v>
      </c>
      <c r="J22" s="3">
        <f t="shared" si="24"/>
        <v>78927</v>
      </c>
      <c r="X22" s="3">
        <f t="shared" ref="X22:AD22" si="25">+X20+X21</f>
        <v>-15837</v>
      </c>
      <c r="Y22" s="3">
        <f t="shared" si="25"/>
        <v>46421</v>
      </c>
      <c r="Z22" s="3">
        <f t="shared" si="25"/>
        <v>101559</v>
      </c>
      <c r="AA22" s="3">
        <f t="shared" si="25"/>
        <v>116080</v>
      </c>
      <c r="AB22" s="3">
        <f t="shared" si="25"/>
        <v>207780</v>
      </c>
      <c r="AC22" s="3">
        <f t="shared" si="25"/>
        <v>297537</v>
      </c>
      <c r="AD22" s="3">
        <f t="shared" si="25"/>
        <v>328334.21199316025</v>
      </c>
      <c r="AE22" s="3">
        <f t="shared" ref="AE22:AM22" si="26">+AE20+AE21</f>
        <v>358256.2243781751</v>
      </c>
      <c r="AF22" s="3">
        <f t="shared" si="26"/>
        <v>392582.80495826364</v>
      </c>
      <c r="AG22" s="3">
        <f t="shared" si="26"/>
        <v>431999.63008507749</v>
      </c>
      <c r="AH22" s="3">
        <f t="shared" si="26"/>
        <v>477300.67577920109</v>
      </c>
      <c r="AI22" s="3">
        <f t="shared" si="26"/>
        <v>529405.43415156892</v>
      </c>
      <c r="AJ22" s="3">
        <f t="shared" si="26"/>
        <v>589378.87554184196</v>
      </c>
      <c r="AK22" s="3">
        <f t="shared" si="26"/>
        <v>658454.59497573646</v>
      </c>
      <c r="AL22" s="3">
        <f t="shared" si="26"/>
        <v>738061.65166259743</v>
      </c>
      <c r="AM22" s="3">
        <f t="shared" si="26"/>
        <v>829855.69158833963</v>
      </c>
    </row>
    <row r="23" spans="2:239" s="3" customFormat="1" x14ac:dyDescent="0.2">
      <c r="B23" s="4" t="s">
        <v>27</v>
      </c>
      <c r="C23" s="3">
        <v>1454</v>
      </c>
      <c r="D23" s="3">
        <v>8295</v>
      </c>
      <c r="E23" s="3">
        <v>10370</v>
      </c>
      <c r="F23" s="3">
        <v>103</v>
      </c>
      <c r="G23" s="3">
        <v>7320</v>
      </c>
      <c r="H23" s="3">
        <v>8295</v>
      </c>
      <c r="I23" s="3">
        <v>20911</v>
      </c>
      <c r="J23" s="3">
        <v>13367</v>
      </c>
      <c r="X23" s="3">
        <v>3932</v>
      </c>
      <c r="Y23" s="3">
        <v>4952</v>
      </c>
      <c r="Z23" s="3">
        <v>6485</v>
      </c>
      <c r="AA23" s="3">
        <v>-146744</v>
      </c>
      <c r="AB23" s="3">
        <v>20222</v>
      </c>
      <c r="AC23" s="3">
        <v>13367</v>
      </c>
      <c r="AD23" s="3">
        <f>+AD$22*(AC23/AC$22)</f>
        <v>14750.580303332268</v>
      </c>
      <c r="AE23" s="3">
        <f t="shared" ref="AE23:AM23" si="27">+AE$22*(AD23/AD$22)</f>
        <v>16094.841822237457</v>
      </c>
      <c r="AF23" s="3">
        <f t="shared" si="27"/>
        <v>17636.980791891798</v>
      </c>
      <c r="AG23" s="3">
        <f t="shared" si="27"/>
        <v>19407.801568703155</v>
      </c>
      <c r="AH23" s="3">
        <f t="shared" si="27"/>
        <v>21442.973926404382</v>
      </c>
      <c r="AI23" s="3">
        <f t="shared" si="27"/>
        <v>23783.806512480871</v>
      </c>
      <c r="AJ23" s="3">
        <f t="shared" si="27"/>
        <v>26478.143657319262</v>
      </c>
      <c r="AK23" s="3">
        <f t="shared" si="27"/>
        <v>29581.405240493346</v>
      </c>
      <c r="AL23" s="3">
        <f t="shared" si="27"/>
        <v>33157.792468748223</v>
      </c>
      <c r="AM23" s="3">
        <f t="shared" si="27"/>
        <v>37281.686074207028</v>
      </c>
    </row>
    <row r="24" spans="2:239" s="7" customFormat="1" x14ac:dyDescent="0.2">
      <c r="B24" s="9" t="s">
        <v>28</v>
      </c>
      <c r="C24" s="10">
        <f t="shared" ref="C24:J24" si="28">+C22-C23</f>
        <v>36849</v>
      </c>
      <c r="D24" s="10">
        <f t="shared" si="28"/>
        <v>39166</v>
      </c>
      <c r="E24" s="10">
        <f t="shared" si="28"/>
        <v>47011</v>
      </c>
      <c r="F24" s="10">
        <f t="shared" si="28"/>
        <v>64532</v>
      </c>
      <c r="G24" s="10">
        <f t="shared" si="28"/>
        <v>62016</v>
      </c>
      <c r="H24" s="10">
        <f t="shared" si="28"/>
        <v>69967</v>
      </c>
      <c r="I24" s="10">
        <f t="shared" si="28"/>
        <v>50101</v>
      </c>
      <c r="J24" s="10">
        <f t="shared" si="28"/>
        <v>65560</v>
      </c>
      <c r="T24" s="10"/>
      <c r="U24" s="10"/>
      <c r="V24" s="10"/>
      <c r="W24" s="10"/>
      <c r="X24" s="10">
        <f t="shared" ref="X24:AD24" si="29">+X22-X23</f>
        <v>-19769</v>
      </c>
      <c r="Y24" s="10">
        <f t="shared" si="29"/>
        <v>41469</v>
      </c>
      <c r="Z24" s="10">
        <f t="shared" si="29"/>
        <v>95074</v>
      </c>
      <c r="AA24" s="10">
        <f t="shared" si="29"/>
        <v>262824</v>
      </c>
      <c r="AB24" s="10">
        <f t="shared" si="29"/>
        <v>187558</v>
      </c>
      <c r="AC24" s="10">
        <f t="shared" si="29"/>
        <v>284170</v>
      </c>
      <c r="AD24" s="10">
        <f t="shared" si="29"/>
        <v>313583.63168982801</v>
      </c>
      <c r="AE24" s="10">
        <f t="shared" ref="AE24:AM24" si="30">+AE22-AE23</f>
        <v>342161.38255593763</v>
      </c>
      <c r="AF24" s="10">
        <f t="shared" si="30"/>
        <v>374945.82416637184</v>
      </c>
      <c r="AG24" s="10">
        <f t="shared" si="30"/>
        <v>412591.82851637434</v>
      </c>
      <c r="AH24" s="10">
        <f t="shared" si="30"/>
        <v>455857.70185279672</v>
      </c>
      <c r="AI24" s="10">
        <f t="shared" si="30"/>
        <v>505621.62763908802</v>
      </c>
      <c r="AJ24" s="10">
        <f t="shared" si="30"/>
        <v>562900.73188452271</v>
      </c>
      <c r="AK24" s="10">
        <f t="shared" si="30"/>
        <v>628873.1897352431</v>
      </c>
      <c r="AL24" s="10">
        <f t="shared" si="30"/>
        <v>704903.85919384926</v>
      </c>
      <c r="AM24" s="10">
        <f t="shared" si="30"/>
        <v>792574.00551413256</v>
      </c>
      <c r="AN24" s="7">
        <f>+AM24*(1+$AP$32)</f>
        <v>800499.74556927395</v>
      </c>
      <c r="AO24" s="7">
        <f t="shared" ref="AO24:CZ24" si="31">+AN24*(1+$AP$32)</f>
        <v>808504.74302496668</v>
      </c>
      <c r="AP24" s="7">
        <f t="shared" si="31"/>
        <v>816589.79045521631</v>
      </c>
      <c r="AQ24" s="7">
        <f t="shared" si="31"/>
        <v>824755.68835976848</v>
      </c>
      <c r="AR24" s="7">
        <f t="shared" si="31"/>
        <v>833003.24524336623</v>
      </c>
      <c r="AS24" s="7">
        <f t="shared" si="31"/>
        <v>841333.27769579994</v>
      </c>
      <c r="AT24" s="7">
        <f t="shared" si="31"/>
        <v>849746.61047275795</v>
      </c>
      <c r="AU24" s="7">
        <f t="shared" si="31"/>
        <v>858244.07657748554</v>
      </c>
      <c r="AV24" s="7">
        <f t="shared" si="31"/>
        <v>866826.51734326035</v>
      </c>
      <c r="AW24" s="7">
        <f t="shared" si="31"/>
        <v>875494.782516693</v>
      </c>
      <c r="AX24" s="7">
        <f t="shared" si="31"/>
        <v>884249.73034185998</v>
      </c>
      <c r="AY24" s="7">
        <f t="shared" si="31"/>
        <v>893092.22764527856</v>
      </c>
      <c r="AZ24" s="7">
        <f t="shared" si="31"/>
        <v>902023.14992173132</v>
      </c>
      <c r="BA24" s="7">
        <f t="shared" si="31"/>
        <v>911043.38142094866</v>
      </c>
      <c r="BB24" s="7">
        <f t="shared" si="31"/>
        <v>920153.8152351582</v>
      </c>
      <c r="BC24" s="7">
        <f t="shared" si="31"/>
        <v>929355.35338750982</v>
      </c>
      <c r="BD24" s="7">
        <f t="shared" si="31"/>
        <v>938648.90692138497</v>
      </c>
      <c r="BE24" s="7">
        <f t="shared" si="31"/>
        <v>948035.39599059883</v>
      </c>
      <c r="BF24" s="7">
        <f t="shared" si="31"/>
        <v>957515.74995050486</v>
      </c>
      <c r="BG24" s="7">
        <f t="shared" si="31"/>
        <v>967090.90745000995</v>
      </c>
      <c r="BH24" s="7">
        <f t="shared" si="31"/>
        <v>976761.81652451004</v>
      </c>
      <c r="BI24" s="7">
        <f t="shared" si="31"/>
        <v>986529.4346897552</v>
      </c>
      <c r="BJ24" s="7">
        <f t="shared" si="31"/>
        <v>996394.72903665272</v>
      </c>
      <c r="BK24" s="7">
        <f t="shared" si="31"/>
        <v>1006358.6763270192</v>
      </c>
      <c r="BL24" s="7">
        <f t="shared" si="31"/>
        <v>1016422.2630902894</v>
      </c>
      <c r="BM24" s="7">
        <f t="shared" si="31"/>
        <v>1026586.4857211923</v>
      </c>
      <c r="BN24" s="7">
        <f t="shared" si="31"/>
        <v>1036852.3505784043</v>
      </c>
      <c r="BO24" s="7">
        <f t="shared" si="31"/>
        <v>1047220.8740841884</v>
      </c>
      <c r="BP24" s="7">
        <f t="shared" si="31"/>
        <v>1057693.0828250302</v>
      </c>
      <c r="BQ24" s="7">
        <f t="shared" si="31"/>
        <v>1068270.0136532804</v>
      </c>
      <c r="BR24" s="7">
        <f t="shared" si="31"/>
        <v>1078952.7137898132</v>
      </c>
      <c r="BS24" s="7">
        <f t="shared" si="31"/>
        <v>1089742.2409277114</v>
      </c>
      <c r="BT24" s="7">
        <f t="shared" si="31"/>
        <v>1100639.6633369885</v>
      </c>
      <c r="BU24" s="7">
        <f t="shared" si="31"/>
        <v>1111646.0599703584</v>
      </c>
      <c r="BV24" s="7">
        <f t="shared" si="31"/>
        <v>1122762.5205700619</v>
      </c>
      <c r="BW24" s="7">
        <f t="shared" si="31"/>
        <v>1133990.1457757624</v>
      </c>
      <c r="BX24" s="7">
        <f t="shared" si="31"/>
        <v>1145330.0472335201</v>
      </c>
      <c r="BY24" s="7">
        <f t="shared" si="31"/>
        <v>1156783.3477058553</v>
      </c>
      <c r="BZ24" s="7">
        <f t="shared" si="31"/>
        <v>1168351.1811829137</v>
      </c>
      <c r="CA24" s="7">
        <f t="shared" si="31"/>
        <v>1180034.6929947429</v>
      </c>
      <c r="CB24" s="7">
        <f t="shared" si="31"/>
        <v>1191835.0399246903</v>
      </c>
      <c r="CC24" s="7">
        <f t="shared" si="31"/>
        <v>1203753.3903239372</v>
      </c>
      <c r="CD24" s="7">
        <f t="shared" si="31"/>
        <v>1215790.9242271765</v>
      </c>
      <c r="CE24" s="7">
        <f t="shared" si="31"/>
        <v>1227948.8334694481</v>
      </c>
      <c r="CF24" s="7">
        <f t="shared" si="31"/>
        <v>1240228.3218041426</v>
      </c>
      <c r="CG24" s="7">
        <f t="shared" si="31"/>
        <v>1252630.6050221841</v>
      </c>
      <c r="CH24" s="7">
        <f t="shared" si="31"/>
        <v>1265156.911072406</v>
      </c>
      <c r="CI24" s="7">
        <f t="shared" si="31"/>
        <v>1277808.4801831301</v>
      </c>
      <c r="CJ24" s="7">
        <f t="shared" si="31"/>
        <v>1290586.5649849614</v>
      </c>
      <c r="CK24" s="7">
        <f t="shared" si="31"/>
        <v>1303492.4306348111</v>
      </c>
      <c r="CL24" s="7">
        <f t="shared" si="31"/>
        <v>1316527.3549411593</v>
      </c>
      <c r="CM24" s="7">
        <f t="shared" si="31"/>
        <v>1329692.6284905709</v>
      </c>
      <c r="CN24" s="7">
        <f t="shared" si="31"/>
        <v>1342989.5547754767</v>
      </c>
      <c r="CO24" s="7">
        <f t="shared" si="31"/>
        <v>1356419.4503232315</v>
      </c>
      <c r="CP24" s="7">
        <f t="shared" si="31"/>
        <v>1369983.6448264639</v>
      </c>
      <c r="CQ24" s="7">
        <f t="shared" si="31"/>
        <v>1383683.4812747284</v>
      </c>
      <c r="CR24" s="7">
        <f t="shared" si="31"/>
        <v>1397520.3160874757</v>
      </c>
      <c r="CS24" s="7">
        <f t="shared" si="31"/>
        <v>1411495.5192483505</v>
      </c>
      <c r="CT24" s="7">
        <f t="shared" si="31"/>
        <v>1425610.474440834</v>
      </c>
      <c r="CU24" s="7">
        <f t="shared" si="31"/>
        <v>1439866.5791852423</v>
      </c>
      <c r="CV24" s="7">
        <f t="shared" si="31"/>
        <v>1454265.2449770947</v>
      </c>
      <c r="CW24" s="7">
        <f t="shared" si="31"/>
        <v>1468807.8974268658</v>
      </c>
      <c r="CX24" s="7">
        <f t="shared" si="31"/>
        <v>1483495.9764011344</v>
      </c>
      <c r="CY24" s="7">
        <f t="shared" si="31"/>
        <v>1498330.9361651458</v>
      </c>
      <c r="CZ24" s="7">
        <f t="shared" si="31"/>
        <v>1513314.2455267974</v>
      </c>
      <c r="DA24" s="7">
        <f t="shared" ref="DA24:FL24" si="32">+CZ24*(1+$AP$32)</f>
        <v>1528447.3879820653</v>
      </c>
      <c r="DB24" s="7">
        <f t="shared" si="32"/>
        <v>1543731.861861886</v>
      </c>
      <c r="DC24" s="7">
        <f t="shared" si="32"/>
        <v>1559169.1804805049</v>
      </c>
      <c r="DD24" s="7">
        <f t="shared" si="32"/>
        <v>1574760.8722853099</v>
      </c>
      <c r="DE24" s="7">
        <f t="shared" si="32"/>
        <v>1590508.481008163</v>
      </c>
      <c r="DF24" s="7">
        <f t="shared" si="32"/>
        <v>1606413.5658182446</v>
      </c>
      <c r="DG24" s="7">
        <f t="shared" si="32"/>
        <v>1622477.701476427</v>
      </c>
      <c r="DH24" s="7">
        <f t="shared" si="32"/>
        <v>1638702.4784911913</v>
      </c>
      <c r="DI24" s="7">
        <f t="shared" si="32"/>
        <v>1655089.5032761032</v>
      </c>
      <c r="DJ24" s="7">
        <f t="shared" si="32"/>
        <v>1671640.3983088643</v>
      </c>
      <c r="DK24" s="7">
        <f t="shared" si="32"/>
        <v>1688356.802291953</v>
      </c>
      <c r="DL24" s="7">
        <f t="shared" si="32"/>
        <v>1705240.3703148726</v>
      </c>
      <c r="DM24" s="7">
        <f t="shared" si="32"/>
        <v>1722292.7740180213</v>
      </c>
      <c r="DN24" s="7">
        <f t="shared" si="32"/>
        <v>1739515.7017582015</v>
      </c>
      <c r="DO24" s="7">
        <f t="shared" si="32"/>
        <v>1756910.8587757836</v>
      </c>
      <c r="DP24" s="7">
        <f t="shared" si="32"/>
        <v>1774479.9673635415</v>
      </c>
      <c r="DQ24" s="7">
        <f t="shared" si="32"/>
        <v>1792224.767037177</v>
      </c>
      <c r="DR24" s="7">
        <f t="shared" si="32"/>
        <v>1810147.0147075488</v>
      </c>
      <c r="DS24" s="7">
        <f t="shared" si="32"/>
        <v>1828248.4848546244</v>
      </c>
      <c r="DT24" s="7">
        <f t="shared" si="32"/>
        <v>1846530.9697031707</v>
      </c>
      <c r="DU24" s="7">
        <f t="shared" si="32"/>
        <v>1864996.2794002024</v>
      </c>
      <c r="DV24" s="7">
        <f t="shared" si="32"/>
        <v>1883646.2421942046</v>
      </c>
      <c r="DW24" s="7">
        <f t="shared" si="32"/>
        <v>1902482.7046161466</v>
      </c>
      <c r="DX24" s="7">
        <f t="shared" si="32"/>
        <v>1921507.5316623081</v>
      </c>
      <c r="DY24" s="7">
        <f t="shared" si="32"/>
        <v>1940722.6069789312</v>
      </c>
      <c r="DZ24" s="7">
        <f t="shared" si="32"/>
        <v>1960129.8330487206</v>
      </c>
      <c r="EA24" s="7">
        <f t="shared" si="32"/>
        <v>1979731.1313792078</v>
      </c>
      <c r="EB24" s="7">
        <f t="shared" si="32"/>
        <v>1999528.442693</v>
      </c>
      <c r="EC24" s="7">
        <f t="shared" si="32"/>
        <v>2019523.7271199301</v>
      </c>
      <c r="ED24" s="7">
        <f t="shared" si="32"/>
        <v>2039718.9643911293</v>
      </c>
      <c r="EE24" s="7">
        <f t="shared" si="32"/>
        <v>2060116.1540350406</v>
      </c>
      <c r="EF24" s="7">
        <f t="shared" si="32"/>
        <v>2080717.3155753911</v>
      </c>
      <c r="EG24" s="7">
        <f t="shared" si="32"/>
        <v>2101524.4887311449</v>
      </c>
      <c r="EH24" s="7">
        <f t="shared" si="32"/>
        <v>2122539.7336184564</v>
      </c>
      <c r="EI24" s="7">
        <f t="shared" si="32"/>
        <v>2143765.1309546409</v>
      </c>
      <c r="EJ24" s="7">
        <f t="shared" si="32"/>
        <v>2165202.7822641875</v>
      </c>
      <c r="EK24" s="7">
        <f t="shared" si="32"/>
        <v>2186854.8100868296</v>
      </c>
      <c r="EL24" s="7">
        <f t="shared" si="32"/>
        <v>2208723.3581876978</v>
      </c>
      <c r="EM24" s="7">
        <f t="shared" si="32"/>
        <v>2230810.5917695747</v>
      </c>
      <c r="EN24" s="7">
        <f t="shared" si="32"/>
        <v>2253118.6976872706</v>
      </c>
      <c r="EO24" s="7">
        <f t="shared" si="32"/>
        <v>2275649.8846641434</v>
      </c>
      <c r="EP24" s="7">
        <f t="shared" si="32"/>
        <v>2298406.3835107847</v>
      </c>
      <c r="EQ24" s="7">
        <f t="shared" si="32"/>
        <v>2321390.4473458924</v>
      </c>
      <c r="ER24" s="7">
        <f t="shared" si="32"/>
        <v>2344604.3518193513</v>
      </c>
      <c r="ES24" s="7">
        <f t="shared" si="32"/>
        <v>2368050.3953375448</v>
      </c>
      <c r="ET24" s="7">
        <f t="shared" si="32"/>
        <v>2391730.8992909202</v>
      </c>
      <c r="EU24" s="7">
        <f t="shared" si="32"/>
        <v>2415648.2082838295</v>
      </c>
      <c r="EV24" s="7">
        <f t="shared" si="32"/>
        <v>2439804.6903666677</v>
      </c>
      <c r="EW24" s="7">
        <f t="shared" si="32"/>
        <v>2464202.7372703343</v>
      </c>
      <c r="EX24" s="7">
        <f t="shared" si="32"/>
        <v>2488844.7646430377</v>
      </c>
      <c r="EY24" s="7">
        <f t="shared" si="32"/>
        <v>2513733.2122894679</v>
      </c>
      <c r="EZ24" s="7">
        <f t="shared" si="32"/>
        <v>2538870.5444123624</v>
      </c>
      <c r="FA24" s="7">
        <f t="shared" si="32"/>
        <v>2564259.249856486</v>
      </c>
      <c r="FB24" s="7">
        <f t="shared" si="32"/>
        <v>2589901.8423550511</v>
      </c>
      <c r="FC24" s="7">
        <f t="shared" si="32"/>
        <v>2615800.8607786018</v>
      </c>
      <c r="FD24" s="7">
        <f t="shared" si="32"/>
        <v>2641958.869386388</v>
      </c>
      <c r="FE24" s="7">
        <f t="shared" si="32"/>
        <v>2668378.4580802517</v>
      </c>
      <c r="FF24" s="7">
        <f t="shared" si="32"/>
        <v>2695062.2426610542</v>
      </c>
      <c r="FG24" s="7">
        <f t="shared" si="32"/>
        <v>2722012.8650876647</v>
      </c>
      <c r="FH24" s="7">
        <f t="shared" si="32"/>
        <v>2749232.9937385414</v>
      </c>
      <c r="FI24" s="7">
        <f t="shared" si="32"/>
        <v>2776725.3236759268</v>
      </c>
      <c r="FJ24" s="7">
        <f t="shared" si="32"/>
        <v>2804492.5769126862</v>
      </c>
      <c r="FK24" s="7">
        <f t="shared" si="32"/>
        <v>2832537.5026818132</v>
      </c>
      <c r="FL24" s="7">
        <f t="shared" si="32"/>
        <v>2860862.8777086316</v>
      </c>
      <c r="FM24" s="7">
        <f t="shared" ref="FM24:GE24" si="33">+FL24*(1+$AP$32)</f>
        <v>2889471.5064857178</v>
      </c>
      <c r="FN24" s="7">
        <f t="shared" si="33"/>
        <v>2918366.221550575</v>
      </c>
      <c r="FO24" s="7">
        <f t="shared" si="33"/>
        <v>2947549.8837660807</v>
      </c>
      <c r="FP24" s="7">
        <f t="shared" si="33"/>
        <v>2977025.3826037417</v>
      </c>
      <c r="FQ24" s="7">
        <f t="shared" si="33"/>
        <v>3006795.6364297792</v>
      </c>
      <c r="FR24" s="7">
        <f t="shared" si="33"/>
        <v>3036863.592794077</v>
      </c>
      <c r="FS24" s="7">
        <f t="shared" si="33"/>
        <v>3067232.2287220177</v>
      </c>
      <c r="FT24" s="7">
        <f t="shared" si="33"/>
        <v>3097904.5510092378</v>
      </c>
      <c r="FU24" s="7">
        <f t="shared" si="33"/>
        <v>3128883.5965193301</v>
      </c>
      <c r="FV24" s="7">
        <f t="shared" si="33"/>
        <v>3160172.4324845234</v>
      </c>
      <c r="FW24" s="7">
        <f t="shared" si="33"/>
        <v>3191774.1568093686</v>
      </c>
      <c r="FX24" s="7">
        <f t="shared" si="33"/>
        <v>3223691.8983774623</v>
      </c>
      <c r="FY24" s="7">
        <f t="shared" si="33"/>
        <v>3255928.817361237</v>
      </c>
      <c r="FZ24" s="7">
        <f t="shared" si="33"/>
        <v>3288488.1055348492</v>
      </c>
      <c r="GA24" s="7">
        <f t="shared" si="33"/>
        <v>3321372.9865901978</v>
      </c>
      <c r="GB24" s="7">
        <f t="shared" si="33"/>
        <v>3354586.7164560999</v>
      </c>
      <c r="GC24" s="7">
        <f t="shared" si="33"/>
        <v>3388132.5836206609</v>
      </c>
      <c r="GD24" s="7">
        <f t="shared" si="33"/>
        <v>3422013.9094568677</v>
      </c>
      <c r="GE24" s="7">
        <f t="shared" si="33"/>
        <v>3456234.0485514365</v>
      </c>
      <c r="GF24" s="7">
        <f t="shared" ref="GF24:GW24" si="34">+GE24*(1+$AP$32)</f>
        <v>3490796.3890369511</v>
      </c>
      <c r="GG24" s="7">
        <f t="shared" si="34"/>
        <v>3525704.3529273206</v>
      </c>
      <c r="GH24" s="7">
        <f t="shared" si="34"/>
        <v>3560961.3964565936</v>
      </c>
      <c r="GI24" s="7">
        <f t="shared" si="34"/>
        <v>3596571.0104211597</v>
      </c>
      <c r="GJ24" s="7">
        <f t="shared" si="34"/>
        <v>3632536.7205253714</v>
      </c>
      <c r="GK24" s="7">
        <f t="shared" si="34"/>
        <v>3668862.0877306252</v>
      </c>
      <c r="GL24" s="7">
        <f t="shared" si="34"/>
        <v>3705550.7086079316</v>
      </c>
      <c r="GM24" s="7">
        <f t="shared" si="34"/>
        <v>3742606.2156940112</v>
      </c>
      <c r="GN24" s="7">
        <f t="shared" si="34"/>
        <v>3780032.2778509515</v>
      </c>
      <c r="GO24" s="7">
        <f t="shared" si="34"/>
        <v>3817832.600629461</v>
      </c>
      <c r="GP24" s="7">
        <f t="shared" si="34"/>
        <v>3856010.9266357557</v>
      </c>
      <c r="GQ24" s="7">
        <f t="shared" si="34"/>
        <v>3894571.0359021132</v>
      </c>
      <c r="GR24" s="7">
        <f t="shared" si="34"/>
        <v>3933516.7462611343</v>
      </c>
      <c r="GS24" s="7">
        <f t="shared" si="34"/>
        <v>3972851.9137237458</v>
      </c>
      <c r="GT24" s="7">
        <f t="shared" si="34"/>
        <v>4012580.4328609835</v>
      </c>
      <c r="GU24" s="7">
        <f t="shared" si="34"/>
        <v>4052706.2371895933</v>
      </c>
      <c r="GV24" s="7">
        <f t="shared" si="34"/>
        <v>4093233.2995614894</v>
      </c>
      <c r="GW24" s="7">
        <f t="shared" si="34"/>
        <v>4134165.6325571043</v>
      </c>
      <c r="GX24" s="7">
        <f t="shared" ref="GX24:HJ24" si="35">+GW24*(1+$AP$32)</f>
        <v>4175507.2888826756</v>
      </c>
      <c r="GY24" s="7">
        <f t="shared" si="35"/>
        <v>4217262.3617715025</v>
      </c>
      <c r="GZ24" s="7">
        <f t="shared" si="35"/>
        <v>4259434.9853892177</v>
      </c>
      <c r="HA24" s="7">
        <f t="shared" si="35"/>
        <v>4302029.3352431096</v>
      </c>
      <c r="HB24" s="7">
        <f t="shared" si="35"/>
        <v>4345049.6285955403</v>
      </c>
      <c r="HC24" s="7">
        <f t="shared" si="35"/>
        <v>4388500.1248814957</v>
      </c>
      <c r="HD24" s="7">
        <f t="shared" si="35"/>
        <v>4432385.1261303108</v>
      </c>
      <c r="HE24" s="7">
        <f t="shared" si="35"/>
        <v>4476708.9773916136</v>
      </c>
      <c r="HF24" s="7">
        <f t="shared" si="35"/>
        <v>4521476.0671655303</v>
      </c>
      <c r="HG24" s="7">
        <f t="shared" si="35"/>
        <v>4566690.8278371859</v>
      </c>
      <c r="HH24" s="7">
        <f t="shared" si="35"/>
        <v>4612357.7361155581</v>
      </c>
      <c r="HI24" s="7">
        <f t="shared" si="35"/>
        <v>4658481.3134767134</v>
      </c>
      <c r="HJ24" s="7">
        <f t="shared" si="35"/>
        <v>4705066.1266114805</v>
      </c>
      <c r="HK24" s="7">
        <f t="shared" ref="HK24:HU24" si="36">+HJ24*(1+$AP$32)</f>
        <v>4752116.7878775951</v>
      </c>
      <c r="HL24" s="7">
        <f t="shared" si="36"/>
        <v>4799637.9557563709</v>
      </c>
      <c r="HM24" s="7">
        <f t="shared" si="36"/>
        <v>4847634.3353139348</v>
      </c>
      <c r="HN24" s="7">
        <f t="shared" si="36"/>
        <v>4896110.6786670741</v>
      </c>
      <c r="HO24" s="7">
        <f t="shared" si="36"/>
        <v>4945071.7854537452</v>
      </c>
      <c r="HP24" s="7">
        <f t="shared" si="36"/>
        <v>4994522.5033082822</v>
      </c>
      <c r="HQ24" s="7">
        <f t="shared" si="36"/>
        <v>5044467.7283413652</v>
      </c>
      <c r="HR24" s="7">
        <f t="shared" si="36"/>
        <v>5094912.4056247789</v>
      </c>
      <c r="HS24" s="7">
        <f t="shared" si="36"/>
        <v>5145861.5296810269</v>
      </c>
      <c r="HT24" s="7">
        <f t="shared" si="36"/>
        <v>5197320.1449778369</v>
      </c>
      <c r="HU24" s="7">
        <f t="shared" si="36"/>
        <v>5249293.3464276157</v>
      </c>
      <c r="HV24" s="7">
        <f t="shared" ref="HV24:IE24" si="37">+HU24*(1+$AP$32)</f>
        <v>5301786.2798918923</v>
      </c>
      <c r="HW24" s="7">
        <f t="shared" si="37"/>
        <v>5354804.1426908113</v>
      </c>
      <c r="HX24" s="7">
        <f t="shared" si="37"/>
        <v>5408352.1841177195</v>
      </c>
      <c r="HY24" s="7">
        <f t="shared" si="37"/>
        <v>5462435.7059588963</v>
      </c>
      <c r="HZ24" s="7">
        <f t="shared" si="37"/>
        <v>5517060.063018485</v>
      </c>
      <c r="IA24" s="7">
        <f t="shared" si="37"/>
        <v>5572230.6636486696</v>
      </c>
      <c r="IB24" s="7">
        <f t="shared" si="37"/>
        <v>5627952.9702851567</v>
      </c>
      <c r="IC24" s="7">
        <f t="shared" si="37"/>
        <v>5684232.4999880083</v>
      </c>
      <c r="ID24" s="7">
        <f t="shared" si="37"/>
        <v>5741074.8249878883</v>
      </c>
      <c r="IE24" s="7">
        <f t="shared" si="37"/>
        <v>5798485.5732377674</v>
      </c>
    </row>
    <row r="25" spans="2:239" s="3" customFormat="1" x14ac:dyDescent="0.2">
      <c r="B25" s="4"/>
      <c r="Y25" s="5">
        <f t="shared" ref="Y25:AB25" si="38">+Y21/Y20</f>
        <v>-2.098447781339632E-2</v>
      </c>
      <c r="Z25" s="5">
        <f t="shared" si="38"/>
        <v>6.1644122012920494E-2</v>
      </c>
      <c r="AA25" s="5">
        <f t="shared" si="38"/>
        <v>9.2589629434409793E-2</v>
      </c>
      <c r="AB25" s="5">
        <f t="shared" si="38"/>
        <v>8.9302003711742323E-2</v>
      </c>
      <c r="AC25" s="5">
        <f>+AC21/AC20</f>
        <v>7.5631922954565167E-2</v>
      </c>
    </row>
    <row r="26" spans="2:239" s="3" customFormat="1" x14ac:dyDescent="0.2">
      <c r="B26" s="4"/>
    </row>
    <row r="27" spans="2:239" s="3" customFormat="1" x14ac:dyDescent="0.2">
      <c r="B27" s="4" t="s">
        <v>29</v>
      </c>
    </row>
    <row r="28" spans="2:239" s="5" customFormat="1" x14ac:dyDescent="0.2">
      <c r="B28" s="4" t="s">
        <v>15</v>
      </c>
      <c r="G28" s="5">
        <f t="shared" ref="G28:K31" si="39">+G11/C11-1</f>
        <v>0.51527005559968231</v>
      </c>
      <c r="H28" s="5">
        <f t="shared" si="39"/>
        <v>0.43450575037042261</v>
      </c>
      <c r="I28" s="5">
        <f t="shared" si="39"/>
        <v>0.40588004940205447</v>
      </c>
      <c r="J28" s="5">
        <f t="shared" si="39"/>
        <v>0.31905845793182408</v>
      </c>
      <c r="K28" s="5">
        <f t="shared" si="39"/>
        <v>0.140101429713402</v>
      </c>
      <c r="Y28" s="5">
        <f t="shared" ref="Y28:AC30" si="40">+Y11/X11-1</f>
        <v>0.26263202217621662</v>
      </c>
      <c r="Z28" s="5">
        <f t="shared" si="40"/>
        <v>0.5775732101295723</v>
      </c>
      <c r="AA28" s="5">
        <f t="shared" si="40"/>
        <v>-1.0728063839906987E-2</v>
      </c>
      <c r="AB28" s="5">
        <f t="shared" si="40"/>
        <v>9.8752626518038289E-2</v>
      </c>
      <c r="AC28" s="5">
        <f t="shared" si="40"/>
        <v>0.40896622976723451</v>
      </c>
      <c r="AD28" s="5">
        <f t="shared" ref="AD28:AM28" si="41">+AD11/AC11-1</f>
        <v>0.19999999999999996</v>
      </c>
      <c r="AE28" s="5">
        <f t="shared" si="41"/>
        <v>0.15999999999999992</v>
      </c>
      <c r="AF28" s="5">
        <f t="shared" si="41"/>
        <v>0.15999999999999992</v>
      </c>
      <c r="AG28" s="5">
        <f t="shared" si="41"/>
        <v>0.15999999999999992</v>
      </c>
      <c r="AH28" s="5">
        <f t="shared" si="41"/>
        <v>0.15999999999999992</v>
      </c>
      <c r="AI28" s="5">
        <f t="shared" si="41"/>
        <v>0.15999999999999992</v>
      </c>
      <c r="AJ28" s="5">
        <f t="shared" si="41"/>
        <v>0.15999999999999992</v>
      </c>
      <c r="AK28" s="5">
        <f t="shared" si="41"/>
        <v>0.1599999999999997</v>
      </c>
      <c r="AL28" s="5">
        <f t="shared" si="41"/>
        <v>0.15999999999999992</v>
      </c>
      <c r="AM28" s="5">
        <f t="shared" si="41"/>
        <v>0.15999999999999992</v>
      </c>
    </row>
    <row r="29" spans="2:239" s="5" customFormat="1" x14ac:dyDescent="0.2">
      <c r="B29" s="4" t="s">
        <v>16</v>
      </c>
      <c r="G29" s="5">
        <f t="shared" si="39"/>
        <v>0.55815569972196477</v>
      </c>
      <c r="H29" s="5">
        <f t="shared" si="39"/>
        <v>0.21686768357573616</v>
      </c>
      <c r="I29" s="5">
        <f t="shared" si="39"/>
        <v>1.5833398330863391E-2</v>
      </c>
      <c r="J29" s="5">
        <f t="shared" si="39"/>
        <v>0.23131366923777286</v>
      </c>
      <c r="K29" s="5">
        <f t="shared" si="39"/>
        <v>0</v>
      </c>
      <c r="Y29" s="5">
        <f t="shared" si="40"/>
        <v>0.61667455061494802</v>
      </c>
      <c r="Z29" s="5">
        <f t="shared" si="40"/>
        <v>2.2749550129474994E-2</v>
      </c>
      <c r="AA29" s="5">
        <f t="shared" si="40"/>
        <v>7.3625336156090793E-2</v>
      </c>
      <c r="AB29" s="5">
        <f t="shared" si="40"/>
        <v>0.5067084138298581</v>
      </c>
      <c r="AC29" s="5">
        <f t="shared" si="40"/>
        <v>0.23524574217851901</v>
      </c>
      <c r="AD29" s="5">
        <f t="shared" ref="AD29:AM29" si="42">+AD12/AC12-1</f>
        <v>1.0000000000000009E-2</v>
      </c>
      <c r="AE29" s="5">
        <f t="shared" si="42"/>
        <v>1.0000000000000009E-2</v>
      </c>
      <c r="AF29" s="5">
        <f t="shared" si="42"/>
        <v>1.0000000000000009E-2</v>
      </c>
      <c r="AG29" s="5">
        <f t="shared" si="42"/>
        <v>1.0000000000000009E-2</v>
      </c>
      <c r="AH29" s="5">
        <f t="shared" si="42"/>
        <v>1.0000000000000009E-2</v>
      </c>
      <c r="AI29" s="5">
        <f t="shared" si="42"/>
        <v>1.0000000000000009E-2</v>
      </c>
      <c r="AJ29" s="5">
        <f t="shared" si="42"/>
        <v>1.0000000000000009E-2</v>
      </c>
      <c r="AK29" s="5">
        <f t="shared" si="42"/>
        <v>1.0000000000000009E-2</v>
      </c>
      <c r="AL29" s="5">
        <f t="shared" si="42"/>
        <v>1.0000000000000009E-2</v>
      </c>
      <c r="AM29" s="5">
        <f t="shared" si="42"/>
        <v>1.0000000000000009E-2</v>
      </c>
    </row>
    <row r="30" spans="2:239" s="5" customFormat="1" x14ac:dyDescent="0.2">
      <c r="B30" s="4" t="s">
        <v>17</v>
      </c>
      <c r="G30" s="5">
        <f t="shared" si="39"/>
        <v>-0.18243074619416022</v>
      </c>
      <c r="H30" s="5">
        <f t="shared" si="39"/>
        <v>0.16841497954473938</v>
      </c>
      <c r="I30" s="5">
        <f t="shared" si="39"/>
        <v>0.33548687891301454</v>
      </c>
      <c r="J30" s="5">
        <f t="shared" si="39"/>
        <v>-0.26190637490684909</v>
      </c>
      <c r="K30" s="5">
        <f t="shared" si="39"/>
        <v>0.4652014652014651</v>
      </c>
      <c r="Y30" s="5">
        <f t="shared" si="40"/>
        <v>-2.1563455177322499E-3</v>
      </c>
      <c r="Z30" s="5">
        <f t="shared" si="40"/>
        <v>0.84438663113945833</v>
      </c>
      <c r="AA30" s="5">
        <f t="shared" si="40"/>
        <v>-1.7449862926435245E-2</v>
      </c>
      <c r="AB30" s="5">
        <f t="shared" si="40"/>
        <v>-3.1698986975397969E-2</v>
      </c>
      <c r="AC30" s="5">
        <f t="shared" si="40"/>
        <v>-3.7531236175376903E-2</v>
      </c>
      <c r="AD30" s="5">
        <f t="shared" ref="AD30:AM30" si="43">+AD13/AC13-1</f>
        <v>8.0000000000000071E-2</v>
      </c>
      <c r="AE30" s="5">
        <f t="shared" si="43"/>
        <v>8.0000000000000071E-2</v>
      </c>
      <c r="AF30" s="5">
        <f t="shared" si="43"/>
        <v>8.0000000000000071E-2</v>
      </c>
      <c r="AG30" s="5">
        <f t="shared" si="43"/>
        <v>8.0000000000000071E-2</v>
      </c>
      <c r="AH30" s="5">
        <f t="shared" si="43"/>
        <v>8.0000000000000071E-2</v>
      </c>
      <c r="AI30" s="5">
        <f t="shared" si="43"/>
        <v>8.0000000000000071E-2</v>
      </c>
      <c r="AJ30" s="5">
        <f t="shared" si="43"/>
        <v>8.0000000000000071E-2</v>
      </c>
      <c r="AK30" s="5">
        <f t="shared" si="43"/>
        <v>8.0000000000000071E-2</v>
      </c>
      <c r="AL30" s="5">
        <f t="shared" si="43"/>
        <v>8.0000000000000071E-2</v>
      </c>
      <c r="AM30" s="5">
        <f t="shared" si="43"/>
        <v>8.0000000000000071E-2</v>
      </c>
    </row>
    <row r="31" spans="2:239" s="5" customFormat="1" x14ac:dyDescent="0.2">
      <c r="B31" s="4" t="s">
        <v>18</v>
      </c>
      <c r="G31" s="5">
        <f t="shared" si="39"/>
        <v>0.41395254133756398</v>
      </c>
      <c r="H31" s="5">
        <f t="shared" si="39"/>
        <v>0.30325114652862917</v>
      </c>
      <c r="I31" s="5">
        <f t="shared" si="39"/>
        <v>0.22678386123576577</v>
      </c>
      <c r="J31" s="5">
        <f t="shared" si="39"/>
        <v>0.18089160904271817</v>
      </c>
      <c r="K31" s="5">
        <f t="shared" si="39"/>
        <v>0.10986775788412606</v>
      </c>
      <c r="U31" s="5">
        <f t="shared" ref="U31:AA31" si="44">+U14/T14-1</f>
        <v>0.1678550207961973</v>
      </c>
      <c r="V31" s="5">
        <f t="shared" si="44"/>
        <v>-0.41185448995166629</v>
      </c>
      <c r="W31" s="5">
        <f t="shared" si="44"/>
        <v>-1.557093425605538E-2</v>
      </c>
      <c r="X31" s="5">
        <f t="shared" si="44"/>
        <v>8.2258347978910296E-2</v>
      </c>
      <c r="Y31" s="5">
        <f t="shared" si="44"/>
        <v>0.33282451425370052</v>
      </c>
      <c r="Z31" s="5">
        <f t="shared" si="44"/>
        <v>0.38528010624299425</v>
      </c>
      <c r="AA31" s="5">
        <f t="shared" si="44"/>
        <v>1.3905227213259597E-2</v>
      </c>
      <c r="AB31" s="5">
        <f>+AB14/AA14-1</f>
        <v>0.20712096929846435</v>
      </c>
      <c r="AC31" s="5">
        <f>+AC14/AB14-1</f>
        <v>0.2712890568857973</v>
      </c>
      <c r="AD31" s="5">
        <f t="shared" ref="AD31:AM31" si="45">+AD14/AC14-1</f>
        <v>0.1113356132442096</v>
      </c>
      <c r="AE31" s="5">
        <f t="shared" si="45"/>
        <v>9.733482888068079E-2</v>
      </c>
      <c r="AF31" s="5">
        <f t="shared" si="45"/>
        <v>0.10175806764136297</v>
      </c>
      <c r="AG31" s="5">
        <f t="shared" si="45"/>
        <v>0.10605562530494694</v>
      </c>
      <c r="AH31" s="5">
        <f t="shared" si="45"/>
        <v>0.11020043947492009</v>
      </c>
      <c r="AI31" s="5">
        <f t="shared" si="45"/>
        <v>0.1141697607006853</v>
      </c>
      <c r="AJ31" s="5">
        <f t="shared" si="45"/>
        <v>0.11794548143905659</v>
      </c>
      <c r="AK31" s="5">
        <f t="shared" si="45"/>
        <v>0.12151422718535287</v>
      </c>
      <c r="AL31" s="5">
        <f t="shared" si="45"/>
        <v>0.12486723415711221</v>
      </c>
      <c r="AM31" s="5">
        <f t="shared" si="45"/>
        <v>0.12800005091460065</v>
      </c>
    </row>
    <row r="32" spans="2:239" s="3" customFormat="1" x14ac:dyDescent="0.2">
      <c r="B32" s="4"/>
      <c r="AO32" s="3" t="s">
        <v>93</v>
      </c>
      <c r="AP32" s="5">
        <v>0.01</v>
      </c>
    </row>
    <row r="33" spans="2:42" s="3" customFormat="1" x14ac:dyDescent="0.2">
      <c r="B33" s="4" t="s">
        <v>31</v>
      </c>
      <c r="AO33" s="3" t="s">
        <v>92</v>
      </c>
      <c r="AP33" s="5">
        <v>0.08</v>
      </c>
    </row>
    <row r="34" spans="2:42" s="3" customFormat="1" x14ac:dyDescent="0.2">
      <c r="B34" s="4" t="s">
        <v>30</v>
      </c>
      <c r="C34" s="5">
        <f t="shared" ref="C34:J34" si="46">(C11-C15)/C11</f>
        <v>0.60190627482128678</v>
      </c>
      <c r="D34" s="5">
        <f t="shared" si="46"/>
        <v>0.59819727651167709</v>
      </c>
      <c r="E34" s="5">
        <f t="shared" si="46"/>
        <v>0.63017742567099433</v>
      </c>
      <c r="F34" s="5">
        <f t="shared" si="46"/>
        <v>0.61163434147937135</v>
      </c>
      <c r="G34" s="5">
        <f t="shared" si="46"/>
        <v>0.59922158592040253</v>
      </c>
      <c r="H34" s="5">
        <f t="shared" si="46"/>
        <v>0.60137719028588998</v>
      </c>
      <c r="I34" s="5">
        <f t="shared" si="46"/>
        <v>0.63213773006792229</v>
      </c>
      <c r="J34" s="5">
        <f t="shared" si="46"/>
        <v>0.61414784351815499</v>
      </c>
      <c r="K34" s="5"/>
      <c r="L34" s="5"/>
      <c r="M34" s="5"/>
      <c r="N34" s="5"/>
      <c r="O34" s="5"/>
      <c r="X34" s="5">
        <f t="shared" ref="X34:Z34" si="47">(X11-X15)/X11</f>
        <v>0.66885680199305242</v>
      </c>
      <c r="Y34" s="5">
        <f t="shared" si="47"/>
        <v>0.65681036579011365</v>
      </c>
      <c r="Z34" s="5">
        <f t="shared" si="47"/>
        <v>0.60815262388359437</v>
      </c>
      <c r="AA34" s="5">
        <f>(AA11-AA15)/AA11</f>
        <v>0.62385145482388971</v>
      </c>
      <c r="AB34" s="5">
        <f>(AB11-AB15)/AB11</f>
        <v>0.61155116180134916</v>
      </c>
      <c r="AC34" s="5">
        <f>(AC11-AC15)/AC11</f>
        <v>0.61271473512885544</v>
      </c>
      <c r="AO34" s="3" t="s">
        <v>94</v>
      </c>
      <c r="AP34" s="3">
        <f>NPV(AP33,AD24:IE24)</f>
        <v>8498380.3596068583</v>
      </c>
    </row>
    <row r="35" spans="2:42" s="3" customFormat="1" x14ac:dyDescent="0.2">
      <c r="B35" s="4" t="s">
        <v>32</v>
      </c>
      <c r="C35" s="5">
        <f t="shared" ref="C35:J35" si="48">+C17/C14</f>
        <v>0.82520721806042197</v>
      </c>
      <c r="D35" s="5">
        <f t="shared" si="48"/>
        <v>0.82004419621910429</v>
      </c>
      <c r="E35" s="5">
        <f t="shared" si="48"/>
        <v>0.82609113962326386</v>
      </c>
      <c r="F35" s="5">
        <f t="shared" si="48"/>
        <v>0.81865526188377546</v>
      </c>
      <c r="G35" s="5">
        <f t="shared" si="48"/>
        <v>0.81322301156818511</v>
      </c>
      <c r="H35" s="5">
        <f t="shared" si="48"/>
        <v>0.80808784674436296</v>
      </c>
      <c r="I35" s="5">
        <f t="shared" si="48"/>
        <v>0.80467528975480773</v>
      </c>
      <c r="J35" s="5">
        <f t="shared" si="48"/>
        <v>0.79768087298416768</v>
      </c>
      <c r="K35" s="5"/>
      <c r="L35" s="5"/>
      <c r="M35" s="5"/>
      <c r="N35" s="5"/>
      <c r="O35" s="5"/>
      <c r="X35" s="5">
        <f t="shared" ref="X35:Z35" si="49">+X17/X14</f>
        <v>0.82382410016157714</v>
      </c>
      <c r="Y35" s="5">
        <f t="shared" si="49"/>
        <v>0.83505226862907544</v>
      </c>
      <c r="Z35" s="5">
        <f t="shared" si="49"/>
        <v>0.79409533568018853</v>
      </c>
      <c r="AA35" s="5">
        <f>+AA17/AA14</f>
        <v>0.80504297174036088</v>
      </c>
      <c r="AB35" s="5">
        <f>+AB17/AB14</f>
        <v>0.82231632125097009</v>
      </c>
      <c r="AC35" s="5">
        <f>+AC17/AC14</f>
        <v>0.80563853991492729</v>
      </c>
      <c r="AO35" s="3" t="s">
        <v>95</v>
      </c>
      <c r="AP35" s="3">
        <f>+Main!I4</f>
        <v>109710</v>
      </c>
    </row>
    <row r="36" spans="2:42" s="3" customFormat="1" x14ac:dyDescent="0.2">
      <c r="B36" s="4" t="s">
        <v>33</v>
      </c>
      <c r="C36" s="5">
        <f t="shared" ref="C36:J36" si="50">+C20/C14</f>
        <v>0.28914660942895198</v>
      </c>
      <c r="D36" s="5">
        <f t="shared" si="50"/>
        <v>0.32868667605079538</v>
      </c>
      <c r="E36" s="5">
        <f t="shared" si="50"/>
        <v>0.3645103873880684</v>
      </c>
      <c r="F36" s="5">
        <f t="shared" si="50"/>
        <v>0.3736204392248389</v>
      </c>
      <c r="G36" s="5">
        <f t="shared" si="50"/>
        <v>0.38914822637162194</v>
      </c>
      <c r="H36" s="5">
        <f t="shared" si="50"/>
        <v>0.4310634171268633</v>
      </c>
      <c r="I36" s="5">
        <f t="shared" si="50"/>
        <v>0.3640015012912225</v>
      </c>
      <c r="J36" s="5">
        <f t="shared" si="50"/>
        <v>0.38133659931456443</v>
      </c>
      <c r="K36" s="5"/>
      <c r="L36" s="5"/>
      <c r="M36" s="5"/>
      <c r="N36" s="5"/>
      <c r="O36" s="5"/>
      <c r="X36" s="5">
        <f t="shared" ref="X36:Z36" si="51">+X20/X14</f>
        <v>-9.4802737879685933E-2</v>
      </c>
      <c r="Y36" s="5">
        <f t="shared" si="51"/>
        <v>0.14442711633120522</v>
      </c>
      <c r="Z36" s="5">
        <f t="shared" si="51"/>
        <v>0.21034184782967197</v>
      </c>
      <c r="AA36" s="5">
        <f>+AA20/AA14</f>
        <v>0.23040356352075503</v>
      </c>
      <c r="AB36" s="5">
        <f>+AB20/AB14</f>
        <v>0.34268375061082529</v>
      </c>
      <c r="AC36" s="5">
        <f>+AC20/AC14</f>
        <v>0.39090485140539549</v>
      </c>
      <c r="AO36" s="3" t="s">
        <v>96</v>
      </c>
      <c r="AP36" s="3">
        <f>+AP34/AP35</f>
        <v>77.462221854041189</v>
      </c>
    </row>
    <row r="37" spans="2:42" x14ac:dyDescent="0.2">
      <c r="AO37" s="2" t="s">
        <v>97</v>
      </c>
      <c r="AP37" s="3">
        <f>+Main!I3</f>
        <v>107</v>
      </c>
    </row>
    <row r="38" spans="2:42" x14ac:dyDescent="0.2">
      <c r="F38" s="3">
        <f>+SUM(F39:F40)</f>
        <v>481798</v>
      </c>
      <c r="G38" s="3">
        <f>+SUM(G39:G40)</f>
        <v>514389</v>
      </c>
      <c r="H38" s="3">
        <f>+SUM(H39:H40)</f>
        <v>594825</v>
      </c>
      <c r="I38" s="3">
        <f>+SUM(I39:I40)</f>
        <v>673303</v>
      </c>
      <c r="J38" s="3">
        <f>+SUM(J39:J40)</f>
        <v>761831</v>
      </c>
      <c r="K38" s="3"/>
      <c r="L38" s="3"/>
      <c r="M38" s="3"/>
      <c r="N38" s="3"/>
      <c r="O38" s="3"/>
      <c r="AO38" s="16" t="s">
        <v>104</v>
      </c>
      <c r="AP38" s="17">
        <f>+AP36/AP37-1</f>
        <v>-0.27605400136410108</v>
      </c>
    </row>
    <row r="39" spans="2:42" s="3" customFormat="1" x14ac:dyDescent="0.2">
      <c r="B39" s="4" t="s">
        <v>49</v>
      </c>
      <c r="F39" s="3">
        <v>99775</v>
      </c>
      <c r="G39" s="3">
        <v>132185</v>
      </c>
      <c r="H39" s="3">
        <v>87759</v>
      </c>
      <c r="I39" s="3">
        <v>79200</v>
      </c>
      <c r="J39" s="3">
        <v>182826</v>
      </c>
    </row>
    <row r="40" spans="2:42" s="3" customFormat="1" x14ac:dyDescent="0.2">
      <c r="B40" s="4" t="s">
        <v>50</v>
      </c>
      <c r="F40" s="3">
        <v>382023</v>
      </c>
      <c r="G40" s="3">
        <v>382204</v>
      </c>
      <c r="H40" s="3">
        <v>507066</v>
      </c>
      <c r="I40" s="3">
        <v>594103</v>
      </c>
      <c r="J40" s="3">
        <v>579005</v>
      </c>
    </row>
    <row r="41" spans="2:42" s="3" customFormat="1" x14ac:dyDescent="0.2">
      <c r="B41" s="4" t="s">
        <v>51</v>
      </c>
      <c r="F41" s="3">
        <v>122813</v>
      </c>
      <c r="G41" s="3">
        <v>119142</v>
      </c>
      <c r="H41" s="3">
        <v>107077</v>
      </c>
      <c r="I41" s="3">
        <v>105377</v>
      </c>
      <c r="J41" s="3">
        <v>137476</v>
      </c>
    </row>
    <row r="42" spans="2:42" s="3" customFormat="1" x14ac:dyDescent="0.2">
      <c r="B42" s="4" t="s">
        <v>52</v>
      </c>
      <c r="F42" s="3">
        <v>25070</v>
      </c>
      <c r="G42" s="3">
        <v>23624</v>
      </c>
      <c r="H42" s="3">
        <v>26061</v>
      </c>
      <c r="I42" s="3">
        <v>25882</v>
      </c>
      <c r="J42" s="3">
        <v>25209</v>
      </c>
    </row>
    <row r="43" spans="2:42" s="3" customFormat="1" x14ac:dyDescent="0.2">
      <c r="B43" s="4" t="s">
        <v>53</v>
      </c>
      <c r="F43" s="3">
        <v>44634</v>
      </c>
      <c r="G43" s="3">
        <v>44701</v>
      </c>
      <c r="H43" s="3">
        <v>38603</v>
      </c>
      <c r="I43" s="3">
        <v>44606</v>
      </c>
      <c r="J43" s="3">
        <v>44098</v>
      </c>
    </row>
    <row r="44" spans="2:42" s="3" customFormat="1" x14ac:dyDescent="0.2">
      <c r="B44" s="4" t="s">
        <v>54</v>
      </c>
      <c r="F44" s="3">
        <v>15942</v>
      </c>
      <c r="G44" s="3">
        <v>17600</v>
      </c>
      <c r="H44" s="3">
        <v>17191</v>
      </c>
      <c r="I44" s="3">
        <v>19563</v>
      </c>
      <c r="J44" s="3">
        <v>20202</v>
      </c>
    </row>
    <row r="45" spans="2:42" s="3" customFormat="1" x14ac:dyDescent="0.2">
      <c r="B45" s="4" t="s">
        <v>55</v>
      </c>
      <c r="F45" s="3">
        <v>17059</v>
      </c>
      <c r="G45" s="3">
        <v>15347</v>
      </c>
      <c r="H45" s="3">
        <v>13615</v>
      </c>
      <c r="I45" s="3">
        <v>11891</v>
      </c>
      <c r="J45" s="3">
        <v>10171</v>
      </c>
    </row>
    <row r="46" spans="2:42" s="3" customFormat="1" x14ac:dyDescent="0.2">
      <c r="B46" s="4" t="s">
        <v>56</v>
      </c>
      <c r="F46" s="3">
        <v>286812</v>
      </c>
      <c r="G46" s="3">
        <v>286812</v>
      </c>
      <c r="H46" s="3">
        <v>286812</v>
      </c>
      <c r="I46" s="3">
        <v>286812</v>
      </c>
      <c r="J46" s="3">
        <v>286812</v>
      </c>
    </row>
    <row r="47" spans="2:42" s="3" customFormat="1" x14ac:dyDescent="0.2">
      <c r="B47" s="4" t="s">
        <v>57</v>
      </c>
      <c r="F47" s="3">
        <v>75509</v>
      </c>
      <c r="G47" s="3">
        <v>81988</v>
      </c>
      <c r="H47" s="3">
        <v>106155</v>
      </c>
      <c r="I47" s="3">
        <v>100424</v>
      </c>
      <c r="J47" s="3">
        <v>113051</v>
      </c>
    </row>
    <row r="48" spans="2:42" s="3" customFormat="1" x14ac:dyDescent="0.2">
      <c r="B48" s="4" t="s">
        <v>58</v>
      </c>
      <c r="F48" s="3">
        <v>21454</v>
      </c>
      <c r="G48" s="3">
        <v>20369</v>
      </c>
      <c r="H48" s="3">
        <v>19302</v>
      </c>
      <c r="I48" s="3">
        <v>18215</v>
      </c>
      <c r="J48" s="3">
        <v>17112</v>
      </c>
    </row>
    <row r="49" spans="2:10" s="3" customFormat="1" x14ac:dyDescent="0.2">
      <c r="B49" s="4" t="s">
        <v>59</v>
      </c>
      <c r="F49" s="3">
        <v>136466</v>
      </c>
      <c r="G49" s="3">
        <v>134230</v>
      </c>
      <c r="H49" s="3">
        <v>131224</v>
      </c>
      <c r="I49" s="3">
        <v>112643</v>
      </c>
      <c r="J49" s="3">
        <v>105542</v>
      </c>
    </row>
    <row r="50" spans="2:10" s="3" customFormat="1" x14ac:dyDescent="0.2">
      <c r="B50" s="4" t="s">
        <v>60</v>
      </c>
      <c r="F50" s="3">
        <v>109947</v>
      </c>
      <c r="G50" s="3">
        <v>115898</v>
      </c>
      <c r="H50" s="3">
        <v>121297</v>
      </c>
      <c r="I50" s="3">
        <v>2946</v>
      </c>
      <c r="J50" s="3">
        <v>3282</v>
      </c>
    </row>
    <row r="51" spans="2:10" s="3" customFormat="1" x14ac:dyDescent="0.2">
      <c r="B51" s="4" t="s">
        <v>61</v>
      </c>
      <c r="F51" s="3">
        <v>5632</v>
      </c>
      <c r="G51" s="3">
        <v>5265</v>
      </c>
      <c r="H51" s="3">
        <v>5649</v>
      </c>
      <c r="I51" s="3">
        <v>4710</v>
      </c>
      <c r="J51" s="3">
        <v>4759</v>
      </c>
    </row>
    <row r="52" spans="2:10" s="7" customFormat="1" x14ac:dyDescent="0.2">
      <c r="B52" s="6" t="s">
        <v>62</v>
      </c>
      <c r="F52" s="7">
        <f>+SUM(F39:F51)</f>
        <v>1343136</v>
      </c>
      <c r="G52" s="7">
        <f>+SUM(G39:G51)</f>
        <v>1379365</v>
      </c>
      <c r="H52" s="7">
        <f>+SUM(H39:H51)</f>
        <v>1467811</v>
      </c>
      <c r="I52" s="7">
        <f>+SUM(I39:I51)</f>
        <v>1406372</v>
      </c>
      <c r="J52" s="7">
        <f>+SUM(J39:J51)</f>
        <v>1529545</v>
      </c>
    </row>
    <row r="53" spans="2:10" s="3" customFormat="1" x14ac:dyDescent="0.2">
      <c r="B53" s="4"/>
    </row>
    <row r="54" spans="2:10" s="3" customFormat="1" x14ac:dyDescent="0.2">
      <c r="B54" s="4" t="s">
        <v>74</v>
      </c>
      <c r="F54" s="3">
        <v>18522</v>
      </c>
      <c r="G54" s="3">
        <v>16356</v>
      </c>
      <c r="H54" s="3">
        <v>11157</v>
      </c>
      <c r="I54" s="3">
        <v>12776</v>
      </c>
      <c r="J54" s="3">
        <v>35915</v>
      </c>
    </row>
    <row r="55" spans="2:10" s="3" customFormat="1" x14ac:dyDescent="0.2">
      <c r="B55" s="4" t="s">
        <v>66</v>
      </c>
      <c r="F55" s="3">
        <v>19193</v>
      </c>
      <c r="G55" s="3">
        <v>14157</v>
      </c>
      <c r="H55" s="3">
        <v>18438</v>
      </c>
      <c r="I55" s="3">
        <v>16372</v>
      </c>
      <c r="J55" s="3">
        <v>22044</v>
      </c>
    </row>
    <row r="56" spans="2:10" s="3" customFormat="1" x14ac:dyDescent="0.2">
      <c r="B56" s="4" t="s">
        <v>67</v>
      </c>
      <c r="F56" s="3">
        <v>19903</v>
      </c>
      <c r="G56" s="3">
        <v>20336</v>
      </c>
      <c r="H56" s="3">
        <v>18845</v>
      </c>
      <c r="I56" s="3">
        <v>23809</v>
      </c>
      <c r="J56" s="3">
        <v>29980</v>
      </c>
    </row>
    <row r="57" spans="2:10" s="3" customFormat="1" x14ac:dyDescent="0.2">
      <c r="B57" s="4" t="s">
        <v>68</v>
      </c>
      <c r="F57" s="3">
        <v>1264</v>
      </c>
      <c r="G57" s="3">
        <v>8086</v>
      </c>
      <c r="H57" s="3">
        <v>12608</v>
      </c>
      <c r="I57" s="3">
        <v>11883</v>
      </c>
      <c r="J57" s="3">
        <v>14884</v>
      </c>
    </row>
    <row r="58" spans="2:10" s="3" customFormat="1" x14ac:dyDescent="0.2">
      <c r="B58" s="4" t="s">
        <v>69</v>
      </c>
      <c r="F58" s="3">
        <v>5617</v>
      </c>
      <c r="G58" s="3">
        <v>5727</v>
      </c>
      <c r="H58" s="3">
        <v>5975</v>
      </c>
      <c r="I58" s="3">
        <v>6135</v>
      </c>
      <c r="J58" s="3">
        <v>6310</v>
      </c>
    </row>
    <row r="59" spans="2:10" s="3" customFormat="1" x14ac:dyDescent="0.2">
      <c r="B59" s="4" t="s">
        <v>70</v>
      </c>
      <c r="F59" s="3">
        <v>17313</v>
      </c>
      <c r="G59" s="3">
        <v>6200</v>
      </c>
      <c r="H59" s="3">
        <v>5205</v>
      </c>
      <c r="I59" s="3">
        <v>3855</v>
      </c>
      <c r="J59" s="3">
        <v>11441</v>
      </c>
    </row>
    <row r="60" spans="2:10" s="3" customFormat="1" x14ac:dyDescent="0.2">
      <c r="B60" s="4" t="s">
        <v>71</v>
      </c>
      <c r="F60" s="3">
        <v>24534</v>
      </c>
      <c r="G60" s="3">
        <v>23467</v>
      </c>
      <c r="H60" s="3">
        <v>21961</v>
      </c>
      <c r="I60" s="3">
        <v>20301</v>
      </c>
      <c r="J60" s="3">
        <v>18671</v>
      </c>
    </row>
    <row r="61" spans="2:10" s="3" customFormat="1" x14ac:dyDescent="0.2">
      <c r="B61" s="4" t="s">
        <v>72</v>
      </c>
      <c r="F61" s="3">
        <v>109383</v>
      </c>
      <c r="G61" s="3">
        <v>115124</v>
      </c>
      <c r="H61" s="3">
        <v>120224</v>
      </c>
      <c r="I61" s="3">
        <v>1329</v>
      </c>
      <c r="J61" s="3">
        <v>1393</v>
      </c>
    </row>
    <row r="62" spans="2:10" s="3" customFormat="1" x14ac:dyDescent="0.2">
      <c r="B62" s="4" t="s">
        <v>75</v>
      </c>
      <c r="F62" s="3">
        <v>0</v>
      </c>
      <c r="G62" s="3">
        <v>0</v>
      </c>
      <c r="H62" s="3">
        <v>21106</v>
      </c>
      <c r="I62" s="3">
        <v>17522</v>
      </c>
      <c r="J62" s="3">
        <v>20908</v>
      </c>
    </row>
    <row r="63" spans="2:10" s="3" customFormat="1" x14ac:dyDescent="0.2">
      <c r="B63" s="4" t="s">
        <v>73</v>
      </c>
      <c r="F63" s="3">
        <v>6715</v>
      </c>
      <c r="G63" s="3">
        <v>10075</v>
      </c>
      <c r="H63" s="3">
        <v>4312</v>
      </c>
      <c r="I63" s="3">
        <v>3892</v>
      </c>
      <c r="J63" s="3">
        <v>3574</v>
      </c>
    </row>
    <row r="64" spans="2:10" s="3" customFormat="1" x14ac:dyDescent="0.2">
      <c r="B64" s="4" t="s">
        <v>65</v>
      </c>
      <c r="F64" s="3">
        <f>SUM(F54:F63)</f>
        <v>222444</v>
      </c>
      <c r="G64" s="3">
        <f>SUM(G54:G63)</f>
        <v>219528</v>
      </c>
      <c r="H64" s="3">
        <f>SUM(H54:H63)</f>
        <v>239831</v>
      </c>
      <c r="I64" s="3">
        <f>SUM(I54:I63)</f>
        <v>117874</v>
      </c>
      <c r="J64" s="3">
        <f>SUM(J54:J63)</f>
        <v>165120</v>
      </c>
    </row>
    <row r="65" spans="2:15" s="3" customFormat="1" x14ac:dyDescent="0.2">
      <c r="B65" s="4" t="s">
        <v>63</v>
      </c>
      <c r="F65" s="3">
        <v>1120692</v>
      </c>
      <c r="G65" s="3">
        <v>1159837</v>
      </c>
      <c r="H65" s="3">
        <v>1227980</v>
      </c>
      <c r="I65" s="3">
        <v>1288498</v>
      </c>
      <c r="J65" s="3">
        <v>1364425</v>
      </c>
    </row>
    <row r="66" spans="2:15" s="7" customFormat="1" x14ac:dyDescent="0.2">
      <c r="B66" s="6" t="s">
        <v>64</v>
      </c>
      <c r="F66" s="7">
        <f>SUM(F64:F65)</f>
        <v>1343136</v>
      </c>
      <c r="G66" s="7">
        <f>SUM(G64:G65)</f>
        <v>1379365</v>
      </c>
      <c r="H66" s="7">
        <f>SUM(H64:H65)</f>
        <v>1467811</v>
      </c>
      <c r="I66" s="7">
        <f>SUM(I64:I65)</f>
        <v>1406372</v>
      </c>
      <c r="J66" s="7">
        <f>SUM(J64:J65)</f>
        <v>1529545</v>
      </c>
    </row>
    <row r="68" spans="2:15" x14ac:dyDescent="0.2">
      <c r="B68" s="8" t="s">
        <v>76</v>
      </c>
      <c r="F68" s="3">
        <f>+F65</f>
        <v>1120692</v>
      </c>
      <c r="G68" s="3">
        <f t="shared" ref="G68:J68" si="52">+G65</f>
        <v>1159837</v>
      </c>
      <c r="H68" s="3">
        <f t="shared" si="52"/>
        <v>1227980</v>
      </c>
      <c r="I68" s="3">
        <f t="shared" si="52"/>
        <v>1288498</v>
      </c>
      <c r="J68" s="3">
        <f t="shared" si="52"/>
        <v>1364425</v>
      </c>
      <c r="K68" s="3"/>
      <c r="L68" s="3"/>
      <c r="M68" s="3"/>
      <c r="N68" s="3"/>
      <c r="O68" s="3"/>
    </row>
    <row r="69" spans="2:15" x14ac:dyDescent="0.2">
      <c r="B69" s="8" t="s">
        <v>77</v>
      </c>
      <c r="F69" s="3">
        <f>+F68-F46-F45</f>
        <v>816821</v>
      </c>
      <c r="G69" s="3">
        <f>+G68-G46-G45</f>
        <v>857678</v>
      </c>
      <c r="H69" s="3">
        <f>+H68-H46-H45</f>
        <v>927553</v>
      </c>
      <c r="I69" s="3">
        <f>+I68-I46-I45</f>
        <v>989795</v>
      </c>
      <c r="J69" s="3">
        <f>+J68-J46-J45</f>
        <v>1067442</v>
      </c>
      <c r="K69" s="3"/>
      <c r="L69" s="3"/>
      <c r="M69" s="3"/>
      <c r="N69" s="3"/>
      <c r="O69" s="3"/>
    </row>
    <row r="70" spans="2:15" x14ac:dyDescent="0.2">
      <c r="B70" s="8" t="s">
        <v>78</v>
      </c>
    </row>
    <row r="72" spans="2:15" s="3" customFormat="1" x14ac:dyDescent="0.2">
      <c r="B72" s="4" t="s">
        <v>79</v>
      </c>
      <c r="C72" s="3">
        <v>39119</v>
      </c>
      <c r="D72" s="3">
        <f>109541-C72</f>
        <v>70422</v>
      </c>
      <c r="E72" s="3">
        <f>171615-SUM(C72:D72)</f>
        <v>62074</v>
      </c>
      <c r="F72" s="3">
        <f>230599-SUM(C72:E72)</f>
        <v>58984</v>
      </c>
      <c r="G72" s="3">
        <v>77414</v>
      </c>
      <c r="H72" s="3">
        <f>171773-G72</f>
        <v>94359</v>
      </c>
      <c r="I72" s="3">
        <f>260202-SUM(G72:H72)</f>
        <v>88429</v>
      </c>
    </row>
    <row r="73" spans="2:15" s="3" customFormat="1" x14ac:dyDescent="0.2">
      <c r="B73" s="4" t="s">
        <v>80</v>
      </c>
      <c r="C73" s="3">
        <v>-3008</v>
      </c>
      <c r="D73" s="3">
        <f>+-14338-C73</f>
        <v>-11330</v>
      </c>
      <c r="E73" s="3">
        <f>+-24208-SUM(C73:D73)</f>
        <v>-9870</v>
      </c>
      <c r="F73" s="3">
        <f>+-30697-SUM(C73:E73)</f>
        <v>-6489</v>
      </c>
      <c r="G73" s="3">
        <v>-7872</v>
      </c>
      <c r="H73" s="3">
        <f>+-14379-G73</f>
        <v>-6507</v>
      </c>
      <c r="I73" s="3">
        <f>+-20325-SUM(G73:H73)</f>
        <v>-5946</v>
      </c>
    </row>
    <row r="74" spans="2:15" s="7" customFormat="1" x14ac:dyDescent="0.2">
      <c r="B74" s="6" t="s">
        <v>81</v>
      </c>
      <c r="C74" s="7">
        <f t="shared" ref="C74:I74" si="53">+SUM(C72:C73)</f>
        <v>36111</v>
      </c>
      <c r="D74" s="7">
        <f t="shared" si="53"/>
        <v>59092</v>
      </c>
      <c r="E74" s="7">
        <f t="shared" si="53"/>
        <v>52204</v>
      </c>
      <c r="F74" s="7">
        <f t="shared" si="53"/>
        <v>52495</v>
      </c>
      <c r="G74" s="7">
        <f t="shared" si="53"/>
        <v>69542</v>
      </c>
      <c r="H74" s="7">
        <f t="shared" si="53"/>
        <v>87852</v>
      </c>
      <c r="I74" s="7">
        <f t="shared" si="53"/>
        <v>82483</v>
      </c>
    </row>
  </sheetData>
  <pageMargins left="0.7" right="0.7" top="0.75" bottom="0.75" header="0.3" footer="0.3"/>
  <ignoredErrors>
    <ignoredError sqref="R26:AC27 R25:X25 R11:W13 AC11:AC13 R31:S31 R28:X30 R14:S14 R17:W24 P38 F38:J38" formulaRange="1"/>
    <ignoredError sqref="AC14:AC24" formula="1" formulaRange="1"/>
    <ignoredError sqref="AD17:AM18" formula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2026-02-06T03:33:01Z</dcterms:created>
  <dcterms:modified xsi:type="dcterms:W3CDTF">2026-02-08T05:00:12Z</dcterms:modified>
</cp:coreProperties>
</file>