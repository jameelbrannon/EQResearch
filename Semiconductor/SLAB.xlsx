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E2555952-E484-8E45-98BA-AD5942B4D497}" xr6:coauthVersionLast="47" xr6:coauthVersionMax="47" xr10:uidLastSave="{00000000-0000-0000-0000-000000000000}"/>
  <bookViews>
    <workbookView xWindow="27340" yWindow="2180" windowWidth="23320" windowHeight="26620" activeTab="1" xr2:uid="{89553DB2-BBF0-864A-B367-0A57A45392C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7" i="2" l="1"/>
  <c r="AM25" i="2"/>
  <c r="AM24" i="2"/>
  <c r="AM26" i="2" s="1"/>
  <c r="AM28" i="2" s="1"/>
  <c r="AN15" i="2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EE15" i="2" s="1"/>
  <c r="EF15" i="2" s="1"/>
  <c r="EG15" i="2" s="1"/>
  <c r="EH15" i="2" s="1"/>
  <c r="EI15" i="2" s="1"/>
  <c r="EJ15" i="2" s="1"/>
  <c r="EK15" i="2" s="1"/>
  <c r="EL15" i="2" s="1"/>
  <c r="EM15" i="2" s="1"/>
  <c r="EN15" i="2" s="1"/>
  <c r="EO15" i="2" s="1"/>
  <c r="EP15" i="2" s="1"/>
  <c r="EQ15" i="2" s="1"/>
  <c r="ER15" i="2" s="1"/>
  <c r="ES15" i="2" s="1"/>
  <c r="ET15" i="2" s="1"/>
  <c r="EU15" i="2" s="1"/>
  <c r="EV15" i="2" s="1"/>
  <c r="EW15" i="2" s="1"/>
  <c r="EX15" i="2" s="1"/>
  <c r="EY15" i="2" s="1"/>
  <c r="EZ15" i="2" s="1"/>
  <c r="FA15" i="2" s="1"/>
  <c r="FB15" i="2" s="1"/>
  <c r="FC15" i="2" s="1"/>
  <c r="FD15" i="2" s="1"/>
  <c r="FE15" i="2" s="1"/>
  <c r="FF15" i="2" s="1"/>
  <c r="FG15" i="2" s="1"/>
  <c r="FH15" i="2" s="1"/>
  <c r="FI15" i="2" s="1"/>
  <c r="FJ15" i="2" s="1"/>
  <c r="FK15" i="2" s="1"/>
  <c r="FL15" i="2" s="1"/>
  <c r="FM15" i="2" s="1"/>
  <c r="FN15" i="2" s="1"/>
  <c r="FO15" i="2" s="1"/>
  <c r="FP15" i="2" s="1"/>
  <c r="FQ15" i="2" s="1"/>
  <c r="FR15" i="2" s="1"/>
  <c r="FS15" i="2" s="1"/>
  <c r="FT15" i="2" s="1"/>
  <c r="FU15" i="2" s="1"/>
  <c r="FV15" i="2" s="1"/>
  <c r="FW15" i="2" s="1"/>
  <c r="FX15" i="2" s="1"/>
  <c r="FY15" i="2" s="1"/>
  <c r="FZ15" i="2" s="1"/>
  <c r="GA15" i="2" s="1"/>
  <c r="GB15" i="2" s="1"/>
  <c r="GC15" i="2" s="1"/>
  <c r="GD15" i="2" s="1"/>
  <c r="GE15" i="2" s="1"/>
  <c r="GF15" i="2" s="1"/>
  <c r="GG15" i="2" s="1"/>
  <c r="GH15" i="2" s="1"/>
  <c r="GI15" i="2" s="1"/>
  <c r="GJ15" i="2" s="1"/>
  <c r="GK15" i="2" s="1"/>
  <c r="GL15" i="2" s="1"/>
  <c r="GM15" i="2" s="1"/>
  <c r="GN15" i="2" s="1"/>
  <c r="GO15" i="2" s="1"/>
  <c r="GP15" i="2" s="1"/>
  <c r="GQ15" i="2" s="1"/>
  <c r="GR15" i="2" s="1"/>
  <c r="GS15" i="2" s="1"/>
  <c r="GT15" i="2" s="1"/>
  <c r="GU15" i="2" s="1"/>
  <c r="GV15" i="2" s="1"/>
  <c r="GW15" i="2" s="1"/>
  <c r="GX15" i="2" s="1"/>
  <c r="GY15" i="2" s="1"/>
  <c r="GZ15" i="2" s="1"/>
  <c r="HA15" i="2" s="1"/>
  <c r="HB15" i="2" s="1"/>
  <c r="HC15" i="2" s="1"/>
  <c r="HD15" i="2" s="1"/>
  <c r="HE15" i="2" s="1"/>
  <c r="HF15" i="2" s="1"/>
  <c r="HG15" i="2" s="1"/>
  <c r="HH15" i="2" s="1"/>
  <c r="HI15" i="2" s="1"/>
  <c r="HJ15" i="2" s="1"/>
  <c r="HK15" i="2" s="1"/>
  <c r="HL15" i="2" s="1"/>
  <c r="HM15" i="2" s="1"/>
  <c r="HN15" i="2" s="1"/>
  <c r="HO15" i="2" s="1"/>
  <c r="HP15" i="2" s="1"/>
  <c r="HQ15" i="2" s="1"/>
  <c r="HR15" i="2" s="1"/>
  <c r="HS15" i="2" s="1"/>
  <c r="HT15" i="2" s="1"/>
  <c r="HU15" i="2" s="1"/>
  <c r="HV15" i="2" s="1"/>
  <c r="HW15" i="2" s="1"/>
  <c r="HX15" i="2" s="1"/>
  <c r="HY15" i="2" s="1"/>
  <c r="HZ15" i="2" s="1"/>
  <c r="IA15" i="2" s="1"/>
  <c r="IB15" i="2" s="1"/>
  <c r="IC15" i="2" s="1"/>
  <c r="AN3" i="2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HR3" i="2" s="1"/>
  <c r="HS3" i="2" s="1"/>
  <c r="HT3" i="2" s="1"/>
  <c r="HU3" i="2" s="1"/>
  <c r="HV3" i="2" s="1"/>
  <c r="HW3" i="2" s="1"/>
  <c r="HX3" i="2" s="1"/>
  <c r="HY3" i="2" s="1"/>
  <c r="HZ3" i="2" s="1"/>
  <c r="IA3" i="2" s="1"/>
  <c r="IB3" i="2" s="1"/>
  <c r="IC3" i="2" s="1"/>
  <c r="AN2" i="2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HN2" i="2" s="1"/>
  <c r="HO2" i="2" s="1"/>
  <c r="HP2" i="2" s="1"/>
  <c r="HQ2" i="2" s="1"/>
  <c r="HR2" i="2" s="1"/>
  <c r="HS2" i="2" s="1"/>
  <c r="HT2" i="2" s="1"/>
  <c r="HU2" i="2" s="1"/>
  <c r="HV2" i="2" s="1"/>
  <c r="HW2" i="2" s="1"/>
  <c r="HX2" i="2" s="1"/>
  <c r="HY2" i="2" s="1"/>
  <c r="HZ2" i="2" s="1"/>
  <c r="IA2" i="2" s="1"/>
  <c r="IB2" i="2" s="1"/>
  <c r="IC2" i="2" s="1"/>
  <c r="AM15" i="2"/>
  <c r="AL15" i="2"/>
  <c r="AM2" i="2"/>
  <c r="AK19" i="2"/>
  <c r="AK18" i="2"/>
  <c r="AK17" i="2"/>
  <c r="AK7" i="2"/>
  <c r="AJ7" i="2"/>
  <c r="AI7" i="2"/>
  <c r="AH7" i="2"/>
  <c r="AG7" i="2"/>
  <c r="AF7" i="2"/>
  <c r="AE7" i="2"/>
  <c r="AD7" i="2"/>
  <c r="AC7" i="2"/>
  <c r="AK8" i="2"/>
  <c r="AJ8" i="2"/>
  <c r="AI8" i="2"/>
  <c r="AH8" i="2"/>
  <c r="AG8" i="2"/>
  <c r="AF8" i="2"/>
  <c r="AE8" i="2"/>
  <c r="AD8" i="2"/>
  <c r="AC8" i="2"/>
  <c r="AK9" i="2"/>
  <c r="AJ9" i="2"/>
  <c r="AI9" i="2"/>
  <c r="AH9" i="2"/>
  <c r="AG9" i="2"/>
  <c r="AF9" i="2"/>
  <c r="AE9" i="2"/>
  <c r="AD9" i="2"/>
  <c r="AC9" i="2"/>
  <c r="AK10" i="2"/>
  <c r="AC12" i="2"/>
  <c r="AD12" i="2" s="1"/>
  <c r="AE12" i="2" s="1"/>
  <c r="AF12" i="2" s="1"/>
  <c r="AG12" i="2" s="1"/>
  <c r="AH12" i="2" s="1"/>
  <c r="AI12" i="2" s="1"/>
  <c r="AJ12" i="2" s="1"/>
  <c r="AK12" i="2" s="1"/>
  <c r="AC11" i="2"/>
  <c r="AD11" i="2" s="1"/>
  <c r="AB7" i="2"/>
  <c r="AB18" i="2" s="1"/>
  <c r="AB9" i="2"/>
  <c r="AB20" i="2" s="1"/>
  <c r="AB12" i="2"/>
  <c r="AB11" i="2"/>
  <c r="AB8" i="2"/>
  <c r="O20" i="2"/>
  <c r="L20" i="2"/>
  <c r="M20" i="2"/>
  <c r="N20" i="2"/>
  <c r="Y20" i="2"/>
  <c r="Z20" i="2"/>
  <c r="AA20" i="2"/>
  <c r="AC6" i="2"/>
  <c r="AD6" i="2" s="1"/>
  <c r="AE6" i="2" s="1"/>
  <c r="AF6" i="2" s="1"/>
  <c r="AG6" i="2" s="1"/>
  <c r="AH6" i="2" s="1"/>
  <c r="AI6" i="2" s="1"/>
  <c r="AJ6" i="2" s="1"/>
  <c r="AK6" i="2" s="1"/>
  <c r="AB6" i="2"/>
  <c r="AA15" i="2"/>
  <c r="AA14" i="2"/>
  <c r="AA13" i="2"/>
  <c r="AA12" i="2"/>
  <c r="AA11" i="2"/>
  <c r="AA10" i="2"/>
  <c r="AA9" i="2"/>
  <c r="AA8" i="2"/>
  <c r="AA7" i="2"/>
  <c r="AA6" i="2"/>
  <c r="M44" i="2"/>
  <c r="L44" i="2"/>
  <c r="K44" i="2"/>
  <c r="J44" i="2"/>
  <c r="N44" i="2"/>
  <c r="N41" i="2"/>
  <c r="M41" i="2"/>
  <c r="L41" i="2"/>
  <c r="K41" i="2"/>
  <c r="J41" i="2"/>
  <c r="N42" i="2"/>
  <c r="M42" i="2"/>
  <c r="L42" i="2"/>
  <c r="K42" i="2"/>
  <c r="J42" i="2"/>
  <c r="N43" i="2"/>
  <c r="M43" i="2"/>
  <c r="L43" i="2"/>
  <c r="K43" i="2"/>
  <c r="J43" i="2"/>
  <c r="G50" i="2"/>
  <c r="K50" i="2"/>
  <c r="K37" i="2"/>
  <c r="K39" i="2" s="1"/>
  <c r="K31" i="2"/>
  <c r="L37" i="2"/>
  <c r="L39" i="2" s="1"/>
  <c r="L31" i="2"/>
  <c r="L49" i="2"/>
  <c r="M49" i="2" s="1"/>
  <c r="N49" i="2" s="1"/>
  <c r="H49" i="2"/>
  <c r="I49" i="2" s="1"/>
  <c r="J49" i="2" s="1"/>
  <c r="H48" i="2"/>
  <c r="L48" i="2"/>
  <c r="M37" i="2"/>
  <c r="M39" i="2" s="1"/>
  <c r="M31" i="2"/>
  <c r="J37" i="2"/>
  <c r="J39" i="2" s="1"/>
  <c r="J31" i="2"/>
  <c r="N37" i="2"/>
  <c r="N39" i="2" s="1"/>
  <c r="N31" i="2"/>
  <c r="N19" i="2"/>
  <c r="N18" i="2"/>
  <c r="N10" i="2"/>
  <c r="N13" i="2" s="1"/>
  <c r="N15" i="2" s="1"/>
  <c r="G7" i="1"/>
  <c r="G5" i="1"/>
  <c r="M19" i="2"/>
  <c r="M10" i="2"/>
  <c r="M13" i="2" s="1"/>
  <c r="M15" i="2" s="1"/>
  <c r="M18" i="2"/>
  <c r="M17" i="2"/>
  <c r="J14" i="2"/>
  <c r="J12" i="2"/>
  <c r="J11" i="2"/>
  <c r="J9" i="2"/>
  <c r="J8" i="2"/>
  <c r="J7" i="2"/>
  <c r="J6" i="2"/>
  <c r="N17" i="2" s="1"/>
  <c r="Z19" i="2"/>
  <c r="Z18" i="2"/>
  <c r="Z17" i="2"/>
  <c r="Z10" i="2"/>
  <c r="Z13" i="2" s="1"/>
  <c r="Z15" i="2" s="1"/>
  <c r="K19" i="2"/>
  <c r="K18" i="2"/>
  <c r="K17" i="2"/>
  <c r="K10" i="2"/>
  <c r="K13" i="2" s="1"/>
  <c r="K15" i="2" s="1"/>
  <c r="L19" i="2"/>
  <c r="L18" i="2"/>
  <c r="L17" i="2"/>
  <c r="L10" i="2"/>
  <c r="L13" i="2" s="1"/>
  <c r="L15" i="2" s="1"/>
  <c r="Y19" i="2"/>
  <c r="X19" i="2"/>
  <c r="W19" i="2"/>
  <c r="E19" i="2"/>
  <c r="D19" i="2"/>
  <c r="C19" i="2"/>
  <c r="I19" i="2"/>
  <c r="H19" i="2"/>
  <c r="G19" i="2"/>
  <c r="Y18" i="2"/>
  <c r="X18" i="2"/>
  <c r="W18" i="2"/>
  <c r="I18" i="2"/>
  <c r="H18" i="2"/>
  <c r="G18" i="2"/>
  <c r="E18" i="2"/>
  <c r="D18" i="2"/>
  <c r="C18" i="2"/>
  <c r="F14" i="2"/>
  <c r="F12" i="2"/>
  <c r="F11" i="2"/>
  <c r="F9" i="2"/>
  <c r="F8" i="2"/>
  <c r="F7" i="2"/>
  <c r="F6" i="2"/>
  <c r="X17" i="2"/>
  <c r="Y17" i="2"/>
  <c r="W10" i="2"/>
  <c r="W13" i="2" s="1"/>
  <c r="W15" i="2" s="1"/>
  <c r="X10" i="2"/>
  <c r="X13" i="2" s="1"/>
  <c r="X15" i="2" s="1"/>
  <c r="Y10" i="2"/>
  <c r="Y13" i="2" s="1"/>
  <c r="Y15" i="2" s="1"/>
  <c r="G17" i="2"/>
  <c r="C10" i="2"/>
  <c r="C13" i="2" s="1"/>
  <c r="C15" i="2" s="1"/>
  <c r="G10" i="2"/>
  <c r="G13" i="2" s="1"/>
  <c r="G15" i="2" s="1"/>
  <c r="D10" i="2"/>
  <c r="D13" i="2" s="1"/>
  <c r="D15" i="2" s="1"/>
  <c r="H17" i="2"/>
  <c r="H10" i="2"/>
  <c r="H13" i="2" s="1"/>
  <c r="H15" i="2" s="1"/>
  <c r="I17" i="2"/>
  <c r="E10" i="2"/>
  <c r="E13" i="2" s="1"/>
  <c r="E15" i="2" s="1"/>
  <c r="I10" i="2"/>
  <c r="I13" i="2" s="1"/>
  <c r="I15" i="2" s="1"/>
  <c r="R3" i="2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H7" i="1"/>
  <c r="H8" i="1" s="1"/>
  <c r="G6" i="1"/>
  <c r="G9" i="1" s="1"/>
  <c r="AD22" i="2" s="1"/>
  <c r="AE11" i="2" l="1"/>
  <c r="L50" i="2"/>
  <c r="M48" i="2"/>
  <c r="H50" i="2"/>
  <c r="I48" i="2"/>
  <c r="AA18" i="2"/>
  <c r="AA17" i="2"/>
  <c r="AD23" i="2"/>
  <c r="F18" i="2"/>
  <c r="J15" i="2"/>
  <c r="AA19" i="2"/>
  <c r="J13" i="2"/>
  <c r="J10" i="2"/>
  <c r="F19" i="2"/>
  <c r="F15" i="2"/>
  <c r="J17" i="2"/>
  <c r="J19" i="2"/>
  <c r="F10" i="2"/>
  <c r="F13" i="2"/>
  <c r="AF11" i="2" l="1"/>
  <c r="M50" i="2"/>
  <c r="N48" i="2"/>
  <c r="N50" i="2" s="1"/>
  <c r="I50" i="2"/>
  <c r="J48" i="2"/>
  <c r="J50" i="2" s="1"/>
  <c r="AB19" i="2"/>
  <c r="AB17" i="2"/>
  <c r="AC17" i="2"/>
  <c r="J18" i="2"/>
  <c r="AG11" i="2" l="1"/>
  <c r="AB10" i="2"/>
  <c r="AB13" i="2" s="1"/>
  <c r="AC20" i="2"/>
  <c r="AD17" i="2"/>
  <c r="AH11" i="2" l="1"/>
  <c r="AB14" i="2"/>
  <c r="AB15" i="2" s="1"/>
  <c r="AC19" i="2"/>
  <c r="AE17" i="2"/>
  <c r="AC18" i="2"/>
  <c r="AC10" i="2"/>
  <c r="AC13" i="2" s="1"/>
  <c r="AC14" i="2" s="1"/>
  <c r="AC15" i="2" s="1"/>
  <c r="AI11" i="2" l="1"/>
  <c r="AD10" i="2"/>
  <c r="AD13" i="2" s="1"/>
  <c r="AD14" i="2" s="1"/>
  <c r="AD15" i="2" s="1"/>
  <c r="AD19" i="2"/>
  <c r="AD18" i="2"/>
  <c r="AJ11" i="2" l="1"/>
  <c r="AE10" i="2"/>
  <c r="AE13" i="2" s="1"/>
  <c r="AE19" i="2"/>
  <c r="AE18" i="2"/>
  <c r="AG17" i="2"/>
  <c r="AF17" i="2"/>
  <c r="AE14" i="2" l="1"/>
  <c r="AE15" i="2" s="1"/>
  <c r="AK11" i="2"/>
  <c r="AK13" i="2" s="1"/>
  <c r="AF10" i="2"/>
  <c r="AF13" i="2" s="1"/>
  <c r="AF14" i="2" s="1"/>
  <c r="AF15" i="2" s="1"/>
  <c r="AF19" i="2"/>
  <c r="AF18" i="2"/>
  <c r="AK14" i="2" l="1"/>
  <c r="AK15" i="2" s="1"/>
  <c r="AG18" i="2"/>
  <c r="AG10" i="2"/>
  <c r="AG13" i="2" s="1"/>
  <c r="AG19" i="2"/>
  <c r="AH18" i="2"/>
  <c r="AH17" i="2"/>
  <c r="AG14" i="2" l="1"/>
  <c r="AG15" i="2" s="1"/>
  <c r="AH10" i="2"/>
  <c r="AH13" i="2" s="1"/>
  <c r="AH19" i="2"/>
  <c r="AI18" i="2"/>
  <c r="AI17" i="2"/>
  <c r="AH14" i="2" l="1"/>
  <c r="AH15" i="2" s="1"/>
  <c r="AI19" i="2"/>
  <c r="AJ19" i="2"/>
  <c r="AJ17" i="2"/>
  <c r="AI10" i="2"/>
  <c r="AI13" i="2" s="1"/>
  <c r="AI14" i="2" s="1"/>
  <c r="AI15" i="2" s="1"/>
  <c r="AJ10" i="2" l="1"/>
  <c r="AJ13" i="2" s="1"/>
  <c r="AJ18" i="2"/>
  <c r="AJ14" i="2" l="1"/>
  <c r="AJ15" i="2" s="1"/>
</calcChain>
</file>

<file path=xl/sharedStrings.xml><?xml version="1.0" encoding="utf-8"?>
<sst xmlns="http://schemas.openxmlformats.org/spreadsheetml/2006/main" count="74" uniqueCount="71">
  <si>
    <t>P</t>
  </si>
  <si>
    <t>S</t>
  </si>
  <si>
    <t>MC</t>
  </si>
  <si>
    <t>C</t>
  </si>
  <si>
    <t>D</t>
  </si>
  <si>
    <t>EV</t>
  </si>
  <si>
    <t>Q324</t>
  </si>
  <si>
    <t xml:space="preserve">CEO </t>
  </si>
  <si>
    <t xml:space="preserve">CFO </t>
  </si>
  <si>
    <t xml:space="preserve">sells wireless and mixed signal integrated circuits designed for IoT applications </t>
  </si>
  <si>
    <t xml:space="preserve">Products </t>
  </si>
  <si>
    <t>EFR32MG24 (MG24)</t>
  </si>
  <si>
    <t xml:space="preserve">supports multiple wireless protocols, including Matter, a unifying standard for smart home devices </t>
  </si>
  <si>
    <t>Q123</t>
  </si>
  <si>
    <t>Q223</t>
  </si>
  <si>
    <t>Q323</t>
  </si>
  <si>
    <t>Q423</t>
  </si>
  <si>
    <t>Q124</t>
  </si>
  <si>
    <t>Q224</t>
  </si>
  <si>
    <t>Q424</t>
  </si>
  <si>
    <t>R</t>
  </si>
  <si>
    <t>R&amp;D</t>
  </si>
  <si>
    <t>SGA</t>
  </si>
  <si>
    <t xml:space="preserve">Operating Income </t>
  </si>
  <si>
    <t>Interest income/other</t>
  </si>
  <si>
    <t>Interest expense</t>
  </si>
  <si>
    <t>EBT</t>
  </si>
  <si>
    <t>T</t>
  </si>
  <si>
    <t xml:space="preserve">Net Income </t>
  </si>
  <si>
    <t>R Y/Y</t>
  </si>
  <si>
    <t>GM %</t>
  </si>
  <si>
    <t>% R&amp;D</t>
  </si>
  <si>
    <t>Q225</t>
  </si>
  <si>
    <t>`</t>
  </si>
  <si>
    <t>Q125</t>
  </si>
  <si>
    <t>Q325</t>
  </si>
  <si>
    <t xml:space="preserve">Industrial &amp; Commercial </t>
  </si>
  <si>
    <t xml:space="preserve">Home &amp; Life </t>
  </si>
  <si>
    <t>Matt Johnson</t>
  </si>
  <si>
    <t>Q425</t>
  </si>
  <si>
    <t xml:space="preserve">SILICON LABS </t>
  </si>
  <si>
    <t>E</t>
  </si>
  <si>
    <t xml:space="preserve">TL </t>
  </si>
  <si>
    <t>TL + E</t>
  </si>
  <si>
    <t>A/P</t>
  </si>
  <si>
    <t>Deferred rev</t>
  </si>
  <si>
    <t>OCL</t>
  </si>
  <si>
    <t>ONCL</t>
  </si>
  <si>
    <t>TA</t>
  </si>
  <si>
    <t xml:space="preserve">Cash </t>
  </si>
  <si>
    <t>Investments</t>
  </si>
  <si>
    <t>A/R</t>
  </si>
  <si>
    <t>Inventories</t>
  </si>
  <si>
    <t>Prepaid Exp</t>
  </si>
  <si>
    <t>PPE</t>
  </si>
  <si>
    <t>Goodwill</t>
  </si>
  <si>
    <t>Other Intangibles</t>
  </si>
  <si>
    <t>OA</t>
  </si>
  <si>
    <t>CFFO</t>
  </si>
  <si>
    <t>Capex</t>
  </si>
  <si>
    <t xml:space="preserve">FCF </t>
  </si>
  <si>
    <t>DIO</t>
  </si>
  <si>
    <t>DPO</t>
  </si>
  <si>
    <t>CC</t>
  </si>
  <si>
    <t>DSO</t>
  </si>
  <si>
    <t>Shares</t>
  </si>
  <si>
    <t>Npv</t>
  </si>
  <si>
    <t>Discount</t>
  </si>
  <si>
    <t>Term</t>
  </si>
  <si>
    <t>Estimate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</si>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</sst>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\x"/>
  </numFmts>
  <fonts count="3">
    <font>
      <sz val="10"/>
      <color theme="1"/>
      <name val="ArialMT"/>
      <family val="2"/>
    </font>
    <font>
      <u/>
      <sz val="10"/>
      <color theme="1"/>
      <name val="ArialMT"/>
      <family val="2"/>
    </font>
    <font>
      <b/>
      <sz val="10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4" fontId="0" fillId="0" borderId="0" xfId="0" applyNumberFormat="1"/>
    <xf numFmtId="9" fontId="0" fillId="0" borderId="0" xfId="0" applyNumberFormat="1"/>
    <xf numFmtId="9" fontId="2" fillId="0" borderId="0" xfId="0" applyNumberFormat="1" applyFont="1"/>
    <xf numFmtId="1" fontId="0" fillId="0" borderId="0" xfId="0" applyNumberFormat="1"/>
    <xf numFmtId="165" fontId="0" fillId="0" borderId="0" xfId="0" applyNumberFormat="1"/>
    <xf numFmtId="3" fontId="2" fillId="0" borderId="0" xfId="0" applyNumberFormat="1" applyFon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2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15875</xdr:colOff>
      <xdr:row>0</xdr:row>
      <xdr:rowOff>0</xdr:rowOff>
    </xdr:from>
    <xdr:to>
      <xdr:col>14</xdr:col>
      <xdr:colOff>39688</xdr:colOff>
      <xdr:row>77</xdr:row>
      <xdr:rowOff>111125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C148D8B-AB69-29D4-8AA0-4012F4088E76}"/>
            </a:ext>
          </a:extLst>
        </xdr:cNvPr>
        <xdr:cNvCxnSpPr/>
      </xdr:nvCxnSpPr>
      <xdr:spPr>
        <a:xfrm>
          <a:off x="9191625" y="0"/>
          <a:ext cx="23813" cy="121126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579437</xdr:colOff>
      <xdr:row>0</xdr:row>
      <xdr:rowOff>0</xdr:rowOff>
    </xdr:from>
    <xdr:to>
      <xdr:col>26</xdr:col>
      <xdr:colOff>587374</xdr:colOff>
      <xdr:row>47</xdr:row>
      <xdr:rowOff>15875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FE8DB5D-38CE-CD43-8686-5756290B88B7}"/>
            </a:ext>
          </a:extLst>
        </xdr:cNvPr>
        <xdr:cNvCxnSpPr/>
      </xdr:nvCxnSpPr>
      <xdr:spPr>
        <a:xfrm flipH="1">
          <a:off x="15581312" y="0"/>
          <a:ext cx="7937" cy="785018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3386-5652-7544-B6FC-721D2DBA4038}">
  <dimension ref="B2:H17"/>
  <sheetViews>
    <sheetView zoomScale="140" workbookViewId="0">
      <selection activeCell="B3" sqref="B3"/>
    </sheetView>
  </sheetViews>
  <sheetFormatPr baseColWidth="10" defaultRowHeight="13"/>
  <cols>
    <col min="1" max="5" width="10.83203125" style="1"/>
    <col min="6" max="6" width="3.6640625" style="1" bestFit="1" customWidth="1"/>
    <col min="7" max="7" width="6.6640625" style="1" bestFit="1" customWidth="1"/>
    <col min="8" max="8" width="5.5" style="1" bestFit="1" customWidth="1"/>
    <col min="9" max="16384" width="10.83203125" style="1"/>
  </cols>
  <sheetData>
    <row r="2" spans="2:8">
      <c r="B2" s="1" t="s">
        <v>40</v>
      </c>
    </row>
    <row r="3" spans="2:8">
      <c r="B3" s="1" t="s">
        <v>7</v>
      </c>
      <c r="C3" s="1" t="s">
        <v>38</v>
      </c>
    </row>
    <row r="4" spans="2:8">
      <c r="B4" s="1" t="s">
        <v>8</v>
      </c>
      <c r="F4" s="1" t="s">
        <v>0</v>
      </c>
      <c r="G4" s="1">
        <v>128</v>
      </c>
    </row>
    <row r="5" spans="2:8">
      <c r="F5" s="1" t="s">
        <v>1</v>
      </c>
      <c r="G5" s="1">
        <f>314.459+101.081</f>
        <v>415.54</v>
      </c>
      <c r="H5" s="1" t="s">
        <v>39</v>
      </c>
    </row>
    <row r="6" spans="2:8">
      <c r="F6" s="1" t="s">
        <v>2</v>
      </c>
      <c r="G6" s="1">
        <f>+G4*G5</f>
        <v>53189.120000000003</v>
      </c>
    </row>
    <row r="7" spans="2:8">
      <c r="F7" s="1" t="s">
        <v>3</v>
      </c>
      <c r="G7" s="1">
        <f>314.459+101.081</f>
        <v>415.54</v>
      </c>
      <c r="H7" s="1" t="str">
        <f>+H5</f>
        <v>Q425</v>
      </c>
    </row>
    <row r="8" spans="2:8">
      <c r="F8" s="1" t="s">
        <v>4</v>
      </c>
      <c r="G8" s="1">
        <v>0</v>
      </c>
      <c r="H8" s="1" t="str">
        <f>+H7</f>
        <v>Q425</v>
      </c>
    </row>
    <row r="9" spans="2:8">
      <c r="F9" s="1" t="s">
        <v>5</v>
      </c>
      <c r="G9" s="1">
        <f>+G6-G7+G8</f>
        <v>52773.58</v>
      </c>
    </row>
    <row r="14" spans="2:8">
      <c r="B14" s="1" t="s">
        <v>9</v>
      </c>
    </row>
    <row r="16" spans="2:8">
      <c r="B16" s="2" t="s">
        <v>10</v>
      </c>
    </row>
    <row r="17" spans="2:3">
      <c r="B17" s="1" t="s">
        <v>11</v>
      </c>
      <c r="C17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CBA7-0117-3441-8DFF-B4F4F7E11A59}">
  <dimension ref="B1:IC50"/>
  <sheetViews>
    <sheetView tabSelected="1" zoomScale="160" workbookViewId="0">
      <pane xSplit="2" ySplit="3" topLeftCell="AE4" activePane="bottomRight" state="frozen"/>
      <selection pane="topRight" activeCell="C1" sqref="C1"/>
      <selection pane="bottomLeft" activeCell="A3" sqref="A3"/>
      <selection pane="bottomRight" activeCell="AM24" sqref="AM24"/>
    </sheetView>
  </sheetViews>
  <sheetFormatPr baseColWidth="10" defaultRowHeight="13"/>
  <cols>
    <col min="1" max="1" width="1.33203125" style="1" customWidth="1"/>
    <col min="2" max="2" width="19.83203125" style="1" bestFit="1" customWidth="1"/>
    <col min="3" max="5" width="7.6640625" style="11" bestFit="1" customWidth="1"/>
    <col min="6" max="6" width="7.1640625" style="11" bestFit="1" customWidth="1"/>
    <col min="7" max="9" width="7.6640625" style="11" bestFit="1" customWidth="1"/>
    <col min="10" max="14" width="9.1640625" style="11" bestFit="1" customWidth="1"/>
    <col min="15" max="15" width="7" style="11" bestFit="1" customWidth="1"/>
    <col min="16" max="16" width="10.83203125" style="11"/>
    <col min="17" max="22" width="5.1640625" style="1" bestFit="1" customWidth="1"/>
    <col min="23" max="23" width="7.6640625" style="1" bestFit="1" customWidth="1"/>
    <col min="24" max="24" width="9.1640625" style="1" bestFit="1" customWidth="1"/>
    <col min="25" max="25" width="7.6640625" style="1" bestFit="1" customWidth="1"/>
    <col min="26" max="26" width="8.1640625" style="1" bestFit="1" customWidth="1"/>
    <col min="27" max="37" width="7.6640625" style="1" bestFit="1" customWidth="1"/>
    <col min="38" max="38" width="5.6640625" style="1" bestFit="1" customWidth="1"/>
    <col min="39" max="39" width="6.6640625" style="1" bestFit="1" customWidth="1"/>
    <col min="40" max="153" width="5.6640625" style="1" bestFit="1" customWidth="1"/>
    <col min="154" max="237" width="6.6640625" style="1" bestFit="1" customWidth="1"/>
    <col min="238" max="16384" width="10.83203125" style="1"/>
  </cols>
  <sheetData>
    <row r="1" spans="2:237" customFormat="1"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2:237" s="6" customFormat="1"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>
        <v>46025</v>
      </c>
      <c r="O2" s="10"/>
      <c r="P2" s="10"/>
      <c r="AL2" s="6">
        <v>1</v>
      </c>
      <c r="AM2" s="6">
        <f>+AL2+1</f>
        <v>2</v>
      </c>
      <c r="AN2" s="6">
        <f t="shared" ref="AN2:CY3" si="0">+AM2+1</f>
        <v>3</v>
      </c>
      <c r="AO2" s="6">
        <f t="shared" si="0"/>
        <v>4</v>
      </c>
      <c r="AP2" s="6">
        <f t="shared" si="0"/>
        <v>5</v>
      </c>
      <c r="AQ2" s="6">
        <f t="shared" si="0"/>
        <v>6</v>
      </c>
      <c r="AR2" s="6">
        <f t="shared" si="0"/>
        <v>7</v>
      </c>
      <c r="AS2" s="6">
        <f t="shared" si="0"/>
        <v>8</v>
      </c>
      <c r="AT2" s="6">
        <f t="shared" si="0"/>
        <v>9</v>
      </c>
      <c r="AU2" s="6">
        <f t="shared" si="0"/>
        <v>10</v>
      </c>
      <c r="AV2" s="6">
        <f t="shared" si="0"/>
        <v>11</v>
      </c>
      <c r="AW2" s="6">
        <f t="shared" si="0"/>
        <v>12</v>
      </c>
      <c r="AX2" s="6">
        <f t="shared" si="0"/>
        <v>13</v>
      </c>
      <c r="AY2" s="6">
        <f t="shared" si="0"/>
        <v>14</v>
      </c>
      <c r="AZ2" s="6">
        <f t="shared" si="0"/>
        <v>15</v>
      </c>
      <c r="BA2" s="6">
        <f t="shared" si="0"/>
        <v>16</v>
      </c>
      <c r="BB2" s="6">
        <f t="shared" si="0"/>
        <v>17</v>
      </c>
      <c r="BC2" s="6">
        <f t="shared" si="0"/>
        <v>18</v>
      </c>
      <c r="BD2" s="6">
        <f t="shared" si="0"/>
        <v>19</v>
      </c>
      <c r="BE2" s="6">
        <f t="shared" si="0"/>
        <v>20</v>
      </c>
      <c r="BF2" s="6">
        <f t="shared" si="0"/>
        <v>21</v>
      </c>
      <c r="BG2" s="6">
        <f t="shared" si="0"/>
        <v>22</v>
      </c>
      <c r="BH2" s="6">
        <f t="shared" si="0"/>
        <v>23</v>
      </c>
      <c r="BI2" s="6">
        <f t="shared" si="0"/>
        <v>24</v>
      </c>
      <c r="BJ2" s="6">
        <f t="shared" si="0"/>
        <v>25</v>
      </c>
      <c r="BK2" s="6">
        <f t="shared" si="0"/>
        <v>26</v>
      </c>
      <c r="BL2" s="6">
        <f t="shared" si="0"/>
        <v>27</v>
      </c>
      <c r="BM2" s="6">
        <f t="shared" si="0"/>
        <v>28</v>
      </c>
      <c r="BN2" s="6">
        <f t="shared" si="0"/>
        <v>29</v>
      </c>
      <c r="BO2" s="6">
        <f t="shared" si="0"/>
        <v>30</v>
      </c>
      <c r="BP2" s="6">
        <f t="shared" si="0"/>
        <v>31</v>
      </c>
      <c r="BQ2" s="6">
        <f t="shared" si="0"/>
        <v>32</v>
      </c>
      <c r="BR2" s="6">
        <f t="shared" si="0"/>
        <v>33</v>
      </c>
      <c r="BS2" s="6">
        <f t="shared" si="0"/>
        <v>34</v>
      </c>
      <c r="BT2" s="6">
        <f t="shared" si="0"/>
        <v>35</v>
      </c>
      <c r="BU2" s="6">
        <f t="shared" si="0"/>
        <v>36</v>
      </c>
      <c r="BV2" s="6">
        <f t="shared" si="0"/>
        <v>37</v>
      </c>
      <c r="BW2" s="6">
        <f t="shared" si="0"/>
        <v>38</v>
      </c>
      <c r="BX2" s="6">
        <f t="shared" si="0"/>
        <v>39</v>
      </c>
      <c r="BY2" s="6">
        <f t="shared" si="0"/>
        <v>40</v>
      </c>
      <c r="BZ2" s="6">
        <f t="shared" si="0"/>
        <v>41</v>
      </c>
      <c r="CA2" s="6">
        <f t="shared" si="0"/>
        <v>42</v>
      </c>
      <c r="CB2" s="6">
        <f t="shared" si="0"/>
        <v>43</v>
      </c>
      <c r="CC2" s="6">
        <f t="shared" si="0"/>
        <v>44</v>
      </c>
      <c r="CD2" s="6">
        <f t="shared" si="0"/>
        <v>45</v>
      </c>
      <c r="CE2" s="6">
        <f t="shared" si="0"/>
        <v>46</v>
      </c>
      <c r="CF2" s="6">
        <f t="shared" si="0"/>
        <v>47</v>
      </c>
      <c r="CG2" s="6">
        <f t="shared" si="0"/>
        <v>48</v>
      </c>
      <c r="CH2" s="6">
        <f t="shared" si="0"/>
        <v>49</v>
      </c>
      <c r="CI2" s="6">
        <f t="shared" si="0"/>
        <v>50</v>
      </c>
      <c r="CJ2" s="6">
        <f t="shared" si="0"/>
        <v>51</v>
      </c>
      <c r="CK2" s="6">
        <f t="shared" si="0"/>
        <v>52</v>
      </c>
      <c r="CL2" s="6">
        <f t="shared" si="0"/>
        <v>53</v>
      </c>
      <c r="CM2" s="6">
        <f t="shared" si="0"/>
        <v>54</v>
      </c>
      <c r="CN2" s="6">
        <f t="shared" si="0"/>
        <v>55</v>
      </c>
      <c r="CO2" s="6">
        <f t="shared" si="0"/>
        <v>56</v>
      </c>
      <c r="CP2" s="6">
        <f t="shared" si="0"/>
        <v>57</v>
      </c>
      <c r="CQ2" s="6">
        <f t="shared" si="0"/>
        <v>58</v>
      </c>
      <c r="CR2" s="6">
        <f t="shared" si="0"/>
        <v>59</v>
      </c>
      <c r="CS2" s="6">
        <f t="shared" si="0"/>
        <v>60</v>
      </c>
      <c r="CT2" s="6">
        <f t="shared" si="0"/>
        <v>61</v>
      </c>
      <c r="CU2" s="6">
        <f t="shared" si="0"/>
        <v>62</v>
      </c>
      <c r="CV2" s="6">
        <f t="shared" si="0"/>
        <v>63</v>
      </c>
      <c r="CW2" s="6">
        <f t="shared" si="0"/>
        <v>64</v>
      </c>
      <c r="CX2" s="6">
        <f t="shared" si="0"/>
        <v>65</v>
      </c>
      <c r="CY2" s="6">
        <f t="shared" si="0"/>
        <v>66</v>
      </c>
      <c r="CZ2" s="6">
        <f t="shared" ref="CZ2:FK3" si="1">+CY2+1</f>
        <v>67</v>
      </c>
      <c r="DA2" s="6">
        <f t="shared" si="1"/>
        <v>68</v>
      </c>
      <c r="DB2" s="6">
        <f t="shared" si="1"/>
        <v>69</v>
      </c>
      <c r="DC2" s="6">
        <f t="shared" si="1"/>
        <v>70</v>
      </c>
      <c r="DD2" s="6">
        <f t="shared" si="1"/>
        <v>71</v>
      </c>
      <c r="DE2" s="6">
        <f t="shared" si="1"/>
        <v>72</v>
      </c>
      <c r="DF2" s="6">
        <f t="shared" si="1"/>
        <v>73</v>
      </c>
      <c r="DG2" s="6">
        <f t="shared" si="1"/>
        <v>74</v>
      </c>
      <c r="DH2" s="6">
        <f t="shared" si="1"/>
        <v>75</v>
      </c>
      <c r="DI2" s="6">
        <f t="shared" si="1"/>
        <v>76</v>
      </c>
      <c r="DJ2" s="6">
        <f t="shared" si="1"/>
        <v>77</v>
      </c>
      <c r="DK2" s="6">
        <f t="shared" si="1"/>
        <v>78</v>
      </c>
      <c r="DL2" s="6">
        <f t="shared" si="1"/>
        <v>79</v>
      </c>
      <c r="DM2" s="6">
        <f t="shared" si="1"/>
        <v>80</v>
      </c>
      <c r="DN2" s="6">
        <f t="shared" si="1"/>
        <v>81</v>
      </c>
      <c r="DO2" s="6">
        <f t="shared" si="1"/>
        <v>82</v>
      </c>
      <c r="DP2" s="6">
        <f t="shared" si="1"/>
        <v>83</v>
      </c>
      <c r="DQ2" s="6">
        <f t="shared" si="1"/>
        <v>84</v>
      </c>
      <c r="DR2" s="6">
        <f t="shared" si="1"/>
        <v>85</v>
      </c>
      <c r="DS2" s="6">
        <f t="shared" si="1"/>
        <v>86</v>
      </c>
      <c r="DT2" s="6">
        <f t="shared" si="1"/>
        <v>87</v>
      </c>
      <c r="DU2" s="6">
        <f t="shared" si="1"/>
        <v>88</v>
      </c>
      <c r="DV2" s="6">
        <f t="shared" si="1"/>
        <v>89</v>
      </c>
      <c r="DW2" s="6">
        <f t="shared" si="1"/>
        <v>90</v>
      </c>
      <c r="DX2" s="6">
        <f t="shared" si="1"/>
        <v>91</v>
      </c>
      <c r="DY2" s="6">
        <f t="shared" si="1"/>
        <v>92</v>
      </c>
      <c r="DZ2" s="6">
        <f t="shared" si="1"/>
        <v>93</v>
      </c>
      <c r="EA2" s="6">
        <f t="shared" si="1"/>
        <v>94</v>
      </c>
      <c r="EB2" s="6">
        <f t="shared" si="1"/>
        <v>95</v>
      </c>
      <c r="EC2" s="6">
        <f t="shared" si="1"/>
        <v>96</v>
      </c>
      <c r="ED2" s="6">
        <f t="shared" si="1"/>
        <v>97</v>
      </c>
      <c r="EE2" s="6">
        <f t="shared" si="1"/>
        <v>98</v>
      </c>
      <c r="EF2" s="6">
        <f t="shared" si="1"/>
        <v>99</v>
      </c>
      <c r="EG2" s="6">
        <f t="shared" si="1"/>
        <v>100</v>
      </c>
      <c r="EH2" s="6">
        <f t="shared" si="1"/>
        <v>101</v>
      </c>
      <c r="EI2" s="6">
        <f t="shared" si="1"/>
        <v>102</v>
      </c>
      <c r="EJ2" s="6">
        <f t="shared" si="1"/>
        <v>103</v>
      </c>
      <c r="EK2" s="6">
        <f t="shared" si="1"/>
        <v>104</v>
      </c>
      <c r="EL2" s="6">
        <f t="shared" si="1"/>
        <v>105</v>
      </c>
      <c r="EM2" s="6">
        <f t="shared" si="1"/>
        <v>106</v>
      </c>
      <c r="EN2" s="6">
        <f t="shared" si="1"/>
        <v>107</v>
      </c>
      <c r="EO2" s="6">
        <f t="shared" si="1"/>
        <v>108</v>
      </c>
      <c r="EP2" s="6">
        <f t="shared" si="1"/>
        <v>109</v>
      </c>
      <c r="EQ2" s="6">
        <f t="shared" si="1"/>
        <v>110</v>
      </c>
      <c r="ER2" s="6">
        <f t="shared" si="1"/>
        <v>111</v>
      </c>
      <c r="ES2" s="6">
        <f t="shared" si="1"/>
        <v>112</v>
      </c>
      <c r="ET2" s="6">
        <f t="shared" si="1"/>
        <v>113</v>
      </c>
      <c r="EU2" s="6">
        <f t="shared" si="1"/>
        <v>114</v>
      </c>
      <c r="EV2" s="6">
        <f t="shared" si="1"/>
        <v>115</v>
      </c>
      <c r="EW2" s="6">
        <f t="shared" si="1"/>
        <v>116</v>
      </c>
      <c r="EX2" s="6">
        <f t="shared" si="1"/>
        <v>117</v>
      </c>
      <c r="EY2" s="6">
        <f t="shared" si="1"/>
        <v>118</v>
      </c>
      <c r="EZ2" s="6">
        <f t="shared" si="1"/>
        <v>119</v>
      </c>
      <c r="FA2" s="6">
        <f t="shared" si="1"/>
        <v>120</v>
      </c>
      <c r="FB2" s="6">
        <f t="shared" si="1"/>
        <v>121</v>
      </c>
      <c r="FC2" s="6">
        <f t="shared" si="1"/>
        <v>122</v>
      </c>
      <c r="FD2" s="6">
        <f t="shared" si="1"/>
        <v>123</v>
      </c>
      <c r="FE2" s="6">
        <f t="shared" si="1"/>
        <v>124</v>
      </c>
      <c r="FF2" s="6">
        <f t="shared" si="1"/>
        <v>125</v>
      </c>
      <c r="FG2" s="6">
        <f t="shared" si="1"/>
        <v>126</v>
      </c>
      <c r="FH2" s="6">
        <f t="shared" si="1"/>
        <v>127</v>
      </c>
      <c r="FI2" s="6">
        <f t="shared" si="1"/>
        <v>128</v>
      </c>
      <c r="FJ2" s="6">
        <f t="shared" si="1"/>
        <v>129</v>
      </c>
      <c r="FK2" s="6">
        <f t="shared" si="1"/>
        <v>130</v>
      </c>
      <c r="FL2" s="6">
        <f t="shared" ref="FL2:HW3" si="2">+FK2+1</f>
        <v>131</v>
      </c>
      <c r="FM2" s="6">
        <f t="shared" si="2"/>
        <v>132</v>
      </c>
      <c r="FN2" s="6">
        <f t="shared" si="2"/>
        <v>133</v>
      </c>
      <c r="FO2" s="6">
        <f t="shared" si="2"/>
        <v>134</v>
      </c>
      <c r="FP2" s="6">
        <f t="shared" si="2"/>
        <v>135</v>
      </c>
      <c r="FQ2" s="6">
        <f t="shared" si="2"/>
        <v>136</v>
      </c>
      <c r="FR2" s="6">
        <f t="shared" si="2"/>
        <v>137</v>
      </c>
      <c r="FS2" s="6">
        <f t="shared" si="2"/>
        <v>138</v>
      </c>
      <c r="FT2" s="6">
        <f t="shared" si="2"/>
        <v>139</v>
      </c>
      <c r="FU2" s="6">
        <f t="shared" si="2"/>
        <v>140</v>
      </c>
      <c r="FV2" s="6">
        <f t="shared" si="2"/>
        <v>141</v>
      </c>
      <c r="FW2" s="6">
        <f t="shared" si="2"/>
        <v>142</v>
      </c>
      <c r="FX2" s="6">
        <f t="shared" si="2"/>
        <v>143</v>
      </c>
      <c r="FY2" s="6">
        <f t="shared" si="2"/>
        <v>144</v>
      </c>
      <c r="FZ2" s="6">
        <f t="shared" si="2"/>
        <v>145</v>
      </c>
      <c r="GA2" s="6">
        <f t="shared" si="2"/>
        <v>146</v>
      </c>
      <c r="GB2" s="6">
        <f t="shared" si="2"/>
        <v>147</v>
      </c>
      <c r="GC2" s="6">
        <f t="shared" si="2"/>
        <v>148</v>
      </c>
      <c r="GD2" s="6">
        <f t="shared" si="2"/>
        <v>149</v>
      </c>
      <c r="GE2" s="6">
        <f t="shared" si="2"/>
        <v>150</v>
      </c>
      <c r="GF2" s="6">
        <f t="shared" si="2"/>
        <v>151</v>
      </c>
      <c r="GG2" s="6">
        <f t="shared" si="2"/>
        <v>152</v>
      </c>
      <c r="GH2" s="6">
        <f t="shared" si="2"/>
        <v>153</v>
      </c>
      <c r="GI2" s="6">
        <f t="shared" si="2"/>
        <v>154</v>
      </c>
      <c r="GJ2" s="6">
        <f t="shared" si="2"/>
        <v>155</v>
      </c>
      <c r="GK2" s="6">
        <f t="shared" si="2"/>
        <v>156</v>
      </c>
      <c r="GL2" s="6">
        <f t="shared" si="2"/>
        <v>157</v>
      </c>
      <c r="GM2" s="6">
        <f t="shared" si="2"/>
        <v>158</v>
      </c>
      <c r="GN2" s="6">
        <f t="shared" si="2"/>
        <v>159</v>
      </c>
      <c r="GO2" s="6">
        <f t="shared" si="2"/>
        <v>160</v>
      </c>
      <c r="GP2" s="6">
        <f t="shared" si="2"/>
        <v>161</v>
      </c>
      <c r="GQ2" s="6">
        <f t="shared" si="2"/>
        <v>162</v>
      </c>
      <c r="GR2" s="6">
        <f t="shared" si="2"/>
        <v>163</v>
      </c>
      <c r="GS2" s="6">
        <f t="shared" si="2"/>
        <v>164</v>
      </c>
      <c r="GT2" s="6">
        <f t="shared" si="2"/>
        <v>165</v>
      </c>
      <c r="GU2" s="6">
        <f t="shared" si="2"/>
        <v>166</v>
      </c>
      <c r="GV2" s="6">
        <f t="shared" si="2"/>
        <v>167</v>
      </c>
      <c r="GW2" s="6">
        <f t="shared" si="2"/>
        <v>168</v>
      </c>
      <c r="GX2" s="6">
        <f t="shared" si="2"/>
        <v>169</v>
      </c>
      <c r="GY2" s="6">
        <f t="shared" si="2"/>
        <v>170</v>
      </c>
      <c r="GZ2" s="6">
        <f t="shared" si="2"/>
        <v>171</v>
      </c>
      <c r="HA2" s="6">
        <f t="shared" si="2"/>
        <v>172</v>
      </c>
      <c r="HB2" s="6">
        <f t="shared" si="2"/>
        <v>173</v>
      </c>
      <c r="HC2" s="6">
        <f t="shared" si="2"/>
        <v>174</v>
      </c>
      <c r="HD2" s="6">
        <f t="shared" si="2"/>
        <v>175</v>
      </c>
      <c r="HE2" s="6">
        <f t="shared" si="2"/>
        <v>176</v>
      </c>
      <c r="HF2" s="6">
        <f t="shared" si="2"/>
        <v>177</v>
      </c>
      <c r="HG2" s="6">
        <f t="shared" si="2"/>
        <v>178</v>
      </c>
      <c r="HH2" s="6">
        <f t="shared" si="2"/>
        <v>179</v>
      </c>
      <c r="HI2" s="6">
        <f t="shared" si="2"/>
        <v>180</v>
      </c>
      <c r="HJ2" s="6">
        <f t="shared" si="2"/>
        <v>181</v>
      </c>
      <c r="HK2" s="6">
        <f t="shared" si="2"/>
        <v>182</v>
      </c>
      <c r="HL2" s="6">
        <f t="shared" si="2"/>
        <v>183</v>
      </c>
      <c r="HM2" s="6">
        <f t="shared" si="2"/>
        <v>184</v>
      </c>
      <c r="HN2" s="6">
        <f t="shared" si="2"/>
        <v>185</v>
      </c>
      <c r="HO2" s="6">
        <f t="shared" si="2"/>
        <v>186</v>
      </c>
      <c r="HP2" s="6">
        <f t="shared" si="2"/>
        <v>187</v>
      </c>
      <c r="HQ2" s="6">
        <f t="shared" si="2"/>
        <v>188</v>
      </c>
      <c r="HR2" s="6">
        <f t="shared" si="2"/>
        <v>189</v>
      </c>
      <c r="HS2" s="6">
        <f t="shared" si="2"/>
        <v>190</v>
      </c>
      <c r="HT2" s="6">
        <f t="shared" si="2"/>
        <v>191</v>
      </c>
      <c r="HU2" s="6">
        <f t="shared" si="2"/>
        <v>192</v>
      </c>
      <c r="HV2" s="6">
        <f t="shared" si="2"/>
        <v>193</v>
      </c>
      <c r="HW2" s="6">
        <f t="shared" si="2"/>
        <v>194</v>
      </c>
      <c r="HX2" s="6">
        <f t="shared" ref="HX2:KI3" si="3">+HW2+1</f>
        <v>195</v>
      </c>
      <c r="HY2" s="6">
        <f t="shared" si="3"/>
        <v>196</v>
      </c>
      <c r="HZ2" s="6">
        <f t="shared" si="3"/>
        <v>197</v>
      </c>
      <c r="IA2" s="6">
        <f t="shared" si="3"/>
        <v>198</v>
      </c>
      <c r="IB2" s="6">
        <f t="shared" si="3"/>
        <v>199</v>
      </c>
      <c r="IC2" s="6">
        <f t="shared" si="3"/>
        <v>200</v>
      </c>
    </row>
    <row r="3" spans="2:237" s="6" customFormat="1">
      <c r="C3" s="10" t="s">
        <v>13</v>
      </c>
      <c r="D3" s="10" t="s">
        <v>14</v>
      </c>
      <c r="E3" s="10" t="s">
        <v>15</v>
      </c>
      <c r="F3" s="10" t="s">
        <v>16</v>
      </c>
      <c r="G3" s="10" t="s">
        <v>17</v>
      </c>
      <c r="H3" s="10" t="s">
        <v>18</v>
      </c>
      <c r="I3" s="10" t="s">
        <v>6</v>
      </c>
      <c r="J3" s="10" t="s">
        <v>19</v>
      </c>
      <c r="K3" s="10" t="s">
        <v>34</v>
      </c>
      <c r="L3" s="10" t="s">
        <v>32</v>
      </c>
      <c r="M3" s="10" t="s">
        <v>35</v>
      </c>
      <c r="N3" s="10" t="s">
        <v>39</v>
      </c>
      <c r="O3" s="10"/>
      <c r="P3" s="10"/>
      <c r="Q3" s="6">
        <v>2015</v>
      </c>
      <c r="R3" s="6">
        <f>+Q3+1</f>
        <v>2016</v>
      </c>
      <c r="S3" s="6">
        <f t="shared" ref="S3:AV3" si="4">+R3+1</f>
        <v>2017</v>
      </c>
      <c r="T3" s="6">
        <f t="shared" si="4"/>
        <v>2018</v>
      </c>
      <c r="U3" s="6">
        <f t="shared" si="4"/>
        <v>2019</v>
      </c>
      <c r="V3" s="6">
        <f t="shared" si="4"/>
        <v>2020</v>
      </c>
      <c r="W3" s="6">
        <f t="shared" si="4"/>
        <v>2021</v>
      </c>
      <c r="X3" s="6">
        <f t="shared" si="4"/>
        <v>2022</v>
      </c>
      <c r="Y3" s="6">
        <f t="shared" si="4"/>
        <v>2023</v>
      </c>
      <c r="Z3" s="6">
        <f t="shared" si="4"/>
        <v>2024</v>
      </c>
      <c r="AA3" s="6">
        <f t="shared" si="4"/>
        <v>2025</v>
      </c>
      <c r="AB3" s="6">
        <f t="shared" si="4"/>
        <v>2026</v>
      </c>
      <c r="AC3" s="6">
        <f t="shared" si="4"/>
        <v>2027</v>
      </c>
      <c r="AD3" s="6">
        <f t="shared" si="4"/>
        <v>2028</v>
      </c>
      <c r="AE3" s="6">
        <f t="shared" si="4"/>
        <v>2029</v>
      </c>
      <c r="AF3" s="6">
        <f t="shared" si="4"/>
        <v>2030</v>
      </c>
      <c r="AG3" s="6">
        <f t="shared" si="4"/>
        <v>2031</v>
      </c>
      <c r="AH3" s="6">
        <f t="shared" si="4"/>
        <v>2032</v>
      </c>
      <c r="AI3" s="6">
        <f t="shared" si="4"/>
        <v>2033</v>
      </c>
      <c r="AJ3" s="6">
        <f t="shared" si="4"/>
        <v>2034</v>
      </c>
      <c r="AK3" s="6">
        <f t="shared" si="4"/>
        <v>2035</v>
      </c>
      <c r="AL3" s="6">
        <f t="shared" si="4"/>
        <v>2036</v>
      </c>
      <c r="AM3" s="6">
        <f t="shared" si="4"/>
        <v>2037</v>
      </c>
      <c r="AN3" s="6">
        <f t="shared" si="0"/>
        <v>2038</v>
      </c>
      <c r="AO3" s="6">
        <f t="shared" si="0"/>
        <v>2039</v>
      </c>
      <c r="AP3" s="6">
        <f t="shared" si="0"/>
        <v>2040</v>
      </c>
      <c r="AQ3" s="6">
        <f t="shared" si="0"/>
        <v>2041</v>
      </c>
      <c r="AR3" s="6">
        <f t="shared" si="0"/>
        <v>2042</v>
      </c>
      <c r="AS3" s="6">
        <f t="shared" si="0"/>
        <v>2043</v>
      </c>
      <c r="AT3" s="6">
        <f t="shared" si="0"/>
        <v>2044</v>
      </c>
      <c r="AU3" s="6">
        <f t="shared" si="0"/>
        <v>2045</v>
      </c>
      <c r="AV3" s="6">
        <f t="shared" si="0"/>
        <v>2046</v>
      </c>
      <c r="AW3" s="6">
        <f t="shared" si="0"/>
        <v>2047</v>
      </c>
      <c r="AX3" s="6">
        <f t="shared" si="0"/>
        <v>2048</v>
      </c>
      <c r="AY3" s="6">
        <f t="shared" si="0"/>
        <v>2049</v>
      </c>
      <c r="AZ3" s="6">
        <f t="shared" si="0"/>
        <v>2050</v>
      </c>
      <c r="BA3" s="6">
        <f t="shared" si="0"/>
        <v>2051</v>
      </c>
      <c r="BB3" s="6">
        <f t="shared" si="0"/>
        <v>2052</v>
      </c>
      <c r="BC3" s="6">
        <f t="shared" si="0"/>
        <v>2053</v>
      </c>
      <c r="BD3" s="6">
        <f t="shared" si="0"/>
        <v>2054</v>
      </c>
      <c r="BE3" s="6">
        <f t="shared" si="0"/>
        <v>2055</v>
      </c>
      <c r="BF3" s="6">
        <f t="shared" si="0"/>
        <v>2056</v>
      </c>
      <c r="BG3" s="6">
        <f t="shared" si="0"/>
        <v>2057</v>
      </c>
      <c r="BH3" s="6">
        <f t="shared" si="0"/>
        <v>2058</v>
      </c>
      <c r="BI3" s="6">
        <f t="shared" si="0"/>
        <v>2059</v>
      </c>
      <c r="BJ3" s="6">
        <f t="shared" si="0"/>
        <v>2060</v>
      </c>
      <c r="BK3" s="6">
        <f t="shared" si="0"/>
        <v>2061</v>
      </c>
      <c r="BL3" s="6">
        <f t="shared" si="0"/>
        <v>2062</v>
      </c>
      <c r="BM3" s="6">
        <f t="shared" si="0"/>
        <v>2063</v>
      </c>
      <c r="BN3" s="6">
        <f t="shared" si="0"/>
        <v>2064</v>
      </c>
      <c r="BO3" s="6">
        <f t="shared" si="0"/>
        <v>2065</v>
      </c>
      <c r="BP3" s="6">
        <f t="shared" si="0"/>
        <v>2066</v>
      </c>
      <c r="BQ3" s="6">
        <f t="shared" si="0"/>
        <v>2067</v>
      </c>
      <c r="BR3" s="6">
        <f t="shared" si="0"/>
        <v>2068</v>
      </c>
      <c r="BS3" s="6">
        <f t="shared" si="0"/>
        <v>2069</v>
      </c>
      <c r="BT3" s="6">
        <f t="shared" si="0"/>
        <v>2070</v>
      </c>
      <c r="BU3" s="6">
        <f t="shared" si="0"/>
        <v>2071</v>
      </c>
      <c r="BV3" s="6">
        <f t="shared" si="0"/>
        <v>2072</v>
      </c>
      <c r="BW3" s="6">
        <f t="shared" si="0"/>
        <v>2073</v>
      </c>
      <c r="BX3" s="6">
        <f t="shared" si="0"/>
        <v>2074</v>
      </c>
      <c r="BY3" s="6">
        <f t="shared" si="0"/>
        <v>2075</v>
      </c>
      <c r="BZ3" s="6">
        <f t="shared" si="0"/>
        <v>2076</v>
      </c>
      <c r="CA3" s="6">
        <f t="shared" si="0"/>
        <v>2077</v>
      </c>
      <c r="CB3" s="6">
        <f t="shared" si="0"/>
        <v>2078</v>
      </c>
      <c r="CC3" s="6">
        <f t="shared" si="0"/>
        <v>2079</v>
      </c>
      <c r="CD3" s="6">
        <f t="shared" si="0"/>
        <v>2080</v>
      </c>
      <c r="CE3" s="6">
        <f t="shared" si="0"/>
        <v>2081</v>
      </c>
      <c r="CF3" s="6">
        <f t="shared" si="0"/>
        <v>2082</v>
      </c>
      <c r="CG3" s="6">
        <f t="shared" si="0"/>
        <v>2083</v>
      </c>
      <c r="CH3" s="6">
        <f t="shared" si="0"/>
        <v>2084</v>
      </c>
      <c r="CI3" s="6">
        <f t="shared" si="0"/>
        <v>2085</v>
      </c>
      <c r="CJ3" s="6">
        <f t="shared" si="0"/>
        <v>2086</v>
      </c>
      <c r="CK3" s="6">
        <f t="shared" si="0"/>
        <v>2087</v>
      </c>
      <c r="CL3" s="6">
        <f t="shared" si="0"/>
        <v>2088</v>
      </c>
      <c r="CM3" s="6">
        <f t="shared" si="0"/>
        <v>2089</v>
      </c>
      <c r="CN3" s="6">
        <f t="shared" si="0"/>
        <v>2090</v>
      </c>
      <c r="CO3" s="6">
        <f t="shared" si="0"/>
        <v>2091</v>
      </c>
      <c r="CP3" s="6">
        <f t="shared" si="0"/>
        <v>2092</v>
      </c>
      <c r="CQ3" s="6">
        <f t="shared" si="0"/>
        <v>2093</v>
      </c>
      <c r="CR3" s="6">
        <f t="shared" si="0"/>
        <v>2094</v>
      </c>
      <c r="CS3" s="6">
        <f t="shared" si="0"/>
        <v>2095</v>
      </c>
      <c r="CT3" s="6">
        <f t="shared" si="0"/>
        <v>2096</v>
      </c>
      <c r="CU3" s="6">
        <f t="shared" si="0"/>
        <v>2097</v>
      </c>
      <c r="CV3" s="6">
        <f t="shared" si="0"/>
        <v>2098</v>
      </c>
      <c r="CW3" s="6">
        <f t="shared" si="0"/>
        <v>2099</v>
      </c>
      <c r="CX3" s="6">
        <f t="shared" si="0"/>
        <v>2100</v>
      </c>
      <c r="CY3" s="6">
        <f t="shared" si="0"/>
        <v>2101</v>
      </c>
      <c r="CZ3" s="6">
        <f t="shared" si="1"/>
        <v>2102</v>
      </c>
      <c r="DA3" s="6">
        <f t="shared" si="1"/>
        <v>2103</v>
      </c>
      <c r="DB3" s="6">
        <f t="shared" si="1"/>
        <v>2104</v>
      </c>
      <c r="DC3" s="6">
        <f t="shared" si="1"/>
        <v>2105</v>
      </c>
      <c r="DD3" s="6">
        <f t="shared" si="1"/>
        <v>2106</v>
      </c>
      <c r="DE3" s="6">
        <f t="shared" si="1"/>
        <v>2107</v>
      </c>
      <c r="DF3" s="6">
        <f t="shared" si="1"/>
        <v>2108</v>
      </c>
      <c r="DG3" s="6">
        <f t="shared" si="1"/>
        <v>2109</v>
      </c>
      <c r="DH3" s="6">
        <f t="shared" si="1"/>
        <v>2110</v>
      </c>
      <c r="DI3" s="6">
        <f t="shared" si="1"/>
        <v>2111</v>
      </c>
      <c r="DJ3" s="6">
        <f t="shared" si="1"/>
        <v>2112</v>
      </c>
      <c r="DK3" s="6">
        <f t="shared" si="1"/>
        <v>2113</v>
      </c>
      <c r="DL3" s="6">
        <f t="shared" si="1"/>
        <v>2114</v>
      </c>
      <c r="DM3" s="6">
        <f t="shared" si="1"/>
        <v>2115</v>
      </c>
      <c r="DN3" s="6">
        <f t="shared" si="1"/>
        <v>2116</v>
      </c>
      <c r="DO3" s="6">
        <f t="shared" si="1"/>
        <v>2117</v>
      </c>
      <c r="DP3" s="6">
        <f t="shared" si="1"/>
        <v>2118</v>
      </c>
      <c r="DQ3" s="6">
        <f t="shared" si="1"/>
        <v>2119</v>
      </c>
      <c r="DR3" s="6">
        <f t="shared" si="1"/>
        <v>2120</v>
      </c>
      <c r="DS3" s="6">
        <f t="shared" si="1"/>
        <v>2121</v>
      </c>
      <c r="DT3" s="6">
        <f t="shared" si="1"/>
        <v>2122</v>
      </c>
      <c r="DU3" s="6">
        <f t="shared" si="1"/>
        <v>2123</v>
      </c>
      <c r="DV3" s="6">
        <f t="shared" si="1"/>
        <v>2124</v>
      </c>
      <c r="DW3" s="6">
        <f t="shared" si="1"/>
        <v>2125</v>
      </c>
      <c r="DX3" s="6">
        <f t="shared" si="1"/>
        <v>2126</v>
      </c>
      <c r="DY3" s="6">
        <f t="shared" si="1"/>
        <v>2127</v>
      </c>
      <c r="DZ3" s="6">
        <f t="shared" si="1"/>
        <v>2128</v>
      </c>
      <c r="EA3" s="6">
        <f t="shared" si="1"/>
        <v>2129</v>
      </c>
      <c r="EB3" s="6">
        <f t="shared" si="1"/>
        <v>2130</v>
      </c>
      <c r="EC3" s="6">
        <f t="shared" si="1"/>
        <v>2131</v>
      </c>
      <c r="ED3" s="6">
        <f t="shared" si="1"/>
        <v>2132</v>
      </c>
      <c r="EE3" s="6">
        <f t="shared" si="1"/>
        <v>2133</v>
      </c>
      <c r="EF3" s="6">
        <f t="shared" si="1"/>
        <v>2134</v>
      </c>
      <c r="EG3" s="6">
        <f t="shared" si="1"/>
        <v>2135</v>
      </c>
      <c r="EH3" s="6">
        <f t="shared" si="1"/>
        <v>2136</v>
      </c>
      <c r="EI3" s="6">
        <f t="shared" si="1"/>
        <v>2137</v>
      </c>
      <c r="EJ3" s="6">
        <f t="shared" si="1"/>
        <v>2138</v>
      </c>
      <c r="EK3" s="6">
        <f t="shared" si="1"/>
        <v>2139</v>
      </c>
      <c r="EL3" s="6">
        <f t="shared" si="1"/>
        <v>2140</v>
      </c>
      <c r="EM3" s="6">
        <f t="shared" si="1"/>
        <v>2141</v>
      </c>
      <c r="EN3" s="6">
        <f t="shared" si="1"/>
        <v>2142</v>
      </c>
      <c r="EO3" s="6">
        <f t="shared" si="1"/>
        <v>2143</v>
      </c>
      <c r="EP3" s="6">
        <f t="shared" si="1"/>
        <v>2144</v>
      </c>
      <c r="EQ3" s="6">
        <f t="shared" si="1"/>
        <v>2145</v>
      </c>
      <c r="ER3" s="6">
        <f t="shared" si="1"/>
        <v>2146</v>
      </c>
      <c r="ES3" s="6">
        <f t="shared" si="1"/>
        <v>2147</v>
      </c>
      <c r="ET3" s="6">
        <f t="shared" si="1"/>
        <v>2148</v>
      </c>
      <c r="EU3" s="6">
        <f t="shared" si="1"/>
        <v>2149</v>
      </c>
      <c r="EV3" s="6">
        <f t="shared" si="1"/>
        <v>2150</v>
      </c>
      <c r="EW3" s="6">
        <f t="shared" si="1"/>
        <v>2151</v>
      </c>
      <c r="EX3" s="6">
        <f t="shared" si="1"/>
        <v>2152</v>
      </c>
      <c r="EY3" s="6">
        <f t="shared" si="1"/>
        <v>2153</v>
      </c>
      <c r="EZ3" s="6">
        <f t="shared" si="1"/>
        <v>2154</v>
      </c>
      <c r="FA3" s="6">
        <f t="shared" si="1"/>
        <v>2155</v>
      </c>
      <c r="FB3" s="6">
        <f t="shared" si="1"/>
        <v>2156</v>
      </c>
      <c r="FC3" s="6">
        <f t="shared" si="1"/>
        <v>2157</v>
      </c>
      <c r="FD3" s="6">
        <f t="shared" si="1"/>
        <v>2158</v>
      </c>
      <c r="FE3" s="6">
        <f t="shared" si="1"/>
        <v>2159</v>
      </c>
      <c r="FF3" s="6">
        <f t="shared" si="1"/>
        <v>2160</v>
      </c>
      <c r="FG3" s="6">
        <f t="shared" si="1"/>
        <v>2161</v>
      </c>
      <c r="FH3" s="6">
        <f t="shared" si="1"/>
        <v>2162</v>
      </c>
      <c r="FI3" s="6">
        <f t="shared" si="1"/>
        <v>2163</v>
      </c>
      <c r="FJ3" s="6">
        <f t="shared" si="1"/>
        <v>2164</v>
      </c>
      <c r="FK3" s="6">
        <f t="shared" si="1"/>
        <v>2165</v>
      </c>
      <c r="FL3" s="6">
        <f t="shared" si="2"/>
        <v>2166</v>
      </c>
      <c r="FM3" s="6">
        <f t="shared" si="2"/>
        <v>2167</v>
      </c>
      <c r="FN3" s="6">
        <f t="shared" si="2"/>
        <v>2168</v>
      </c>
      <c r="FO3" s="6">
        <f t="shared" si="2"/>
        <v>2169</v>
      </c>
      <c r="FP3" s="6">
        <f t="shared" si="2"/>
        <v>2170</v>
      </c>
      <c r="FQ3" s="6">
        <f t="shared" si="2"/>
        <v>2171</v>
      </c>
      <c r="FR3" s="6">
        <f t="shared" si="2"/>
        <v>2172</v>
      </c>
      <c r="FS3" s="6">
        <f t="shared" si="2"/>
        <v>2173</v>
      </c>
      <c r="FT3" s="6">
        <f t="shared" si="2"/>
        <v>2174</v>
      </c>
      <c r="FU3" s="6">
        <f t="shared" si="2"/>
        <v>2175</v>
      </c>
      <c r="FV3" s="6">
        <f t="shared" si="2"/>
        <v>2176</v>
      </c>
      <c r="FW3" s="6">
        <f t="shared" si="2"/>
        <v>2177</v>
      </c>
      <c r="FX3" s="6">
        <f t="shared" si="2"/>
        <v>2178</v>
      </c>
      <c r="FY3" s="6">
        <f t="shared" si="2"/>
        <v>2179</v>
      </c>
      <c r="FZ3" s="6">
        <f t="shared" si="2"/>
        <v>2180</v>
      </c>
      <c r="GA3" s="6">
        <f t="shared" si="2"/>
        <v>2181</v>
      </c>
      <c r="GB3" s="6">
        <f t="shared" si="2"/>
        <v>2182</v>
      </c>
      <c r="GC3" s="6">
        <f t="shared" si="2"/>
        <v>2183</v>
      </c>
      <c r="GD3" s="6">
        <f t="shared" si="2"/>
        <v>2184</v>
      </c>
      <c r="GE3" s="6">
        <f t="shared" si="2"/>
        <v>2185</v>
      </c>
      <c r="GF3" s="6">
        <f t="shared" si="2"/>
        <v>2186</v>
      </c>
      <c r="GG3" s="6">
        <f t="shared" si="2"/>
        <v>2187</v>
      </c>
      <c r="GH3" s="6">
        <f t="shared" si="2"/>
        <v>2188</v>
      </c>
      <c r="GI3" s="6">
        <f t="shared" si="2"/>
        <v>2189</v>
      </c>
      <c r="GJ3" s="6">
        <f t="shared" si="2"/>
        <v>2190</v>
      </c>
      <c r="GK3" s="6">
        <f t="shared" si="2"/>
        <v>2191</v>
      </c>
      <c r="GL3" s="6">
        <f t="shared" si="2"/>
        <v>2192</v>
      </c>
      <c r="GM3" s="6">
        <f t="shared" si="2"/>
        <v>2193</v>
      </c>
      <c r="GN3" s="6">
        <f t="shared" si="2"/>
        <v>2194</v>
      </c>
      <c r="GO3" s="6">
        <f t="shared" si="2"/>
        <v>2195</v>
      </c>
      <c r="GP3" s="6">
        <f t="shared" si="2"/>
        <v>2196</v>
      </c>
      <c r="GQ3" s="6">
        <f t="shared" si="2"/>
        <v>2197</v>
      </c>
      <c r="GR3" s="6">
        <f t="shared" si="2"/>
        <v>2198</v>
      </c>
      <c r="GS3" s="6">
        <f t="shared" si="2"/>
        <v>2199</v>
      </c>
      <c r="GT3" s="6">
        <f t="shared" si="2"/>
        <v>2200</v>
      </c>
      <c r="GU3" s="6">
        <f t="shared" si="2"/>
        <v>2201</v>
      </c>
      <c r="GV3" s="6">
        <f t="shared" si="2"/>
        <v>2202</v>
      </c>
      <c r="GW3" s="6">
        <f t="shared" si="2"/>
        <v>2203</v>
      </c>
      <c r="GX3" s="6">
        <f t="shared" si="2"/>
        <v>2204</v>
      </c>
      <c r="GY3" s="6">
        <f t="shared" si="2"/>
        <v>2205</v>
      </c>
      <c r="GZ3" s="6">
        <f t="shared" si="2"/>
        <v>2206</v>
      </c>
      <c r="HA3" s="6">
        <f t="shared" si="2"/>
        <v>2207</v>
      </c>
      <c r="HB3" s="6">
        <f t="shared" si="2"/>
        <v>2208</v>
      </c>
      <c r="HC3" s="6">
        <f t="shared" si="2"/>
        <v>2209</v>
      </c>
      <c r="HD3" s="6">
        <f t="shared" si="2"/>
        <v>2210</v>
      </c>
      <c r="HE3" s="6">
        <f t="shared" si="2"/>
        <v>2211</v>
      </c>
      <c r="HF3" s="6">
        <f t="shared" si="2"/>
        <v>2212</v>
      </c>
      <c r="HG3" s="6">
        <f t="shared" si="2"/>
        <v>2213</v>
      </c>
      <c r="HH3" s="6">
        <f t="shared" si="2"/>
        <v>2214</v>
      </c>
      <c r="HI3" s="6">
        <f t="shared" si="2"/>
        <v>2215</v>
      </c>
      <c r="HJ3" s="6">
        <f t="shared" si="2"/>
        <v>2216</v>
      </c>
      <c r="HK3" s="6">
        <f t="shared" si="2"/>
        <v>2217</v>
      </c>
      <c r="HL3" s="6">
        <f t="shared" si="2"/>
        <v>2218</v>
      </c>
      <c r="HM3" s="6">
        <f t="shared" si="2"/>
        <v>2219</v>
      </c>
      <c r="HN3" s="6">
        <f t="shared" si="2"/>
        <v>2220</v>
      </c>
      <c r="HO3" s="6">
        <f t="shared" si="2"/>
        <v>2221</v>
      </c>
      <c r="HP3" s="6">
        <f t="shared" si="2"/>
        <v>2222</v>
      </c>
      <c r="HQ3" s="6">
        <f t="shared" si="2"/>
        <v>2223</v>
      </c>
      <c r="HR3" s="6">
        <f t="shared" si="2"/>
        <v>2224</v>
      </c>
      <c r="HS3" s="6">
        <f t="shared" si="2"/>
        <v>2225</v>
      </c>
      <c r="HT3" s="6">
        <f t="shared" si="2"/>
        <v>2226</v>
      </c>
      <c r="HU3" s="6">
        <f t="shared" si="2"/>
        <v>2227</v>
      </c>
      <c r="HV3" s="6">
        <f t="shared" si="2"/>
        <v>2228</v>
      </c>
      <c r="HW3" s="6">
        <f t="shared" si="2"/>
        <v>2229</v>
      </c>
      <c r="HX3" s="6">
        <f t="shared" si="3"/>
        <v>2230</v>
      </c>
      <c r="HY3" s="6">
        <f t="shared" si="3"/>
        <v>2231</v>
      </c>
      <c r="HZ3" s="6">
        <f t="shared" si="3"/>
        <v>2232</v>
      </c>
      <c r="IA3" s="6">
        <f t="shared" si="3"/>
        <v>2233</v>
      </c>
      <c r="IB3" s="6">
        <f t="shared" si="3"/>
        <v>2234</v>
      </c>
      <c r="IC3" s="6">
        <f t="shared" si="3"/>
        <v>2235</v>
      </c>
    </row>
    <row r="4" spans="2:237" s="6" customFormat="1">
      <c r="B4" s="6" t="s">
        <v>36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2:237" s="6" customFormat="1">
      <c r="B5" s="6" t="s">
        <v>37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2:237">
      <c r="B6" s="1" t="s">
        <v>20</v>
      </c>
      <c r="C6" s="11">
        <v>246787</v>
      </c>
      <c r="D6" s="11">
        <v>244866</v>
      </c>
      <c r="E6" s="11">
        <v>203760</v>
      </c>
      <c r="F6" s="11">
        <f>+Y6-SUM(C6:E6)</f>
        <v>86845</v>
      </c>
      <c r="G6" s="11">
        <v>106375</v>
      </c>
      <c r="H6" s="11">
        <v>145367</v>
      </c>
      <c r="I6" s="11">
        <v>166395</v>
      </c>
      <c r="J6" s="11">
        <f>+Z6-SUM(G6:I6)</f>
        <v>166249</v>
      </c>
      <c r="K6" s="11">
        <v>177714</v>
      </c>
      <c r="L6" s="11">
        <v>192845</v>
      </c>
      <c r="M6" s="11">
        <v>205999</v>
      </c>
      <c r="N6" s="11">
        <v>208206</v>
      </c>
      <c r="W6" s="1">
        <v>720860</v>
      </c>
      <c r="X6" s="1">
        <v>1024106</v>
      </c>
      <c r="Y6" s="1">
        <v>782258</v>
      </c>
      <c r="Z6" s="1">
        <v>584386</v>
      </c>
      <c r="AA6" s="1">
        <f>SUM(K6:N6)</f>
        <v>784764</v>
      </c>
      <c r="AB6" s="1">
        <f>+AA6*1.01</f>
        <v>792611.64</v>
      </c>
      <c r="AC6" s="1">
        <f t="shared" ref="AC6:AK6" si="5">+AB6*1.01</f>
        <v>800537.75640000007</v>
      </c>
      <c r="AD6" s="1">
        <f t="shared" si="5"/>
        <v>808543.13396400004</v>
      </c>
      <c r="AE6" s="1">
        <f t="shared" si="5"/>
        <v>816628.56530364009</v>
      </c>
      <c r="AF6" s="1">
        <f t="shared" si="5"/>
        <v>824794.85095667653</v>
      </c>
      <c r="AG6" s="1">
        <f t="shared" si="5"/>
        <v>833042.79946624325</v>
      </c>
      <c r="AH6" s="1">
        <f t="shared" si="5"/>
        <v>841373.22746090568</v>
      </c>
      <c r="AI6" s="1">
        <f t="shared" si="5"/>
        <v>849786.95973551471</v>
      </c>
      <c r="AJ6" s="1">
        <f t="shared" si="5"/>
        <v>858284.82933286985</v>
      </c>
      <c r="AK6" s="1">
        <f t="shared" si="5"/>
        <v>866867.67762619851</v>
      </c>
    </row>
    <row r="7" spans="2:237">
      <c r="B7" s="1" t="s">
        <v>3</v>
      </c>
      <c r="C7" s="11">
        <v>92927</v>
      </c>
      <c r="D7" s="11">
        <v>101091</v>
      </c>
      <c r="E7" s="11">
        <v>84735</v>
      </c>
      <c r="F7" s="11">
        <f t="shared" ref="F7:F15" si="6">+Y7-SUM(C7:E7)</f>
        <v>42919</v>
      </c>
      <c r="G7" s="11">
        <v>51306</v>
      </c>
      <c r="H7" s="11">
        <v>68784</v>
      </c>
      <c r="I7" s="11">
        <v>76082</v>
      </c>
      <c r="J7" s="11">
        <f t="shared" ref="J7:J15" si="7">+Z7-SUM(G7:I7)</f>
        <v>76026</v>
      </c>
      <c r="K7" s="11">
        <v>79937</v>
      </c>
      <c r="L7" s="11">
        <v>84736</v>
      </c>
      <c r="M7" s="11">
        <v>86980</v>
      </c>
      <c r="N7" s="11">
        <v>76128</v>
      </c>
      <c r="O7" s="11" t="s">
        <v>33</v>
      </c>
      <c r="W7" s="1">
        <v>295468</v>
      </c>
      <c r="X7" s="1">
        <v>381549</v>
      </c>
      <c r="Y7" s="1">
        <v>321672</v>
      </c>
      <c r="Z7" s="1">
        <v>272198</v>
      </c>
      <c r="AA7" s="1">
        <f t="shared" ref="AA7:AB15" si="8">SUM(K7:N7)</f>
        <v>327781</v>
      </c>
      <c r="AB7" s="1">
        <f>+AB6*0.39</f>
        <v>309118.53960000002</v>
      </c>
      <c r="AC7" s="1">
        <f t="shared" ref="AC7:AK7" si="9">+AC6*0.39</f>
        <v>312209.72499600006</v>
      </c>
      <c r="AD7" s="1">
        <f t="shared" si="9"/>
        <v>315331.82224596001</v>
      </c>
      <c r="AE7" s="1">
        <f t="shared" si="9"/>
        <v>318485.14046841965</v>
      </c>
      <c r="AF7" s="1">
        <f t="shared" si="9"/>
        <v>321669.99187310383</v>
      </c>
      <c r="AG7" s="1">
        <f t="shared" si="9"/>
        <v>324886.69179183489</v>
      </c>
      <c r="AH7" s="1">
        <f t="shared" si="9"/>
        <v>328135.55870975321</v>
      </c>
      <c r="AI7" s="1">
        <f t="shared" si="9"/>
        <v>331416.91429685074</v>
      </c>
      <c r="AJ7" s="1">
        <f t="shared" si="9"/>
        <v>334731.08343981922</v>
      </c>
      <c r="AK7" s="1">
        <f t="shared" si="9"/>
        <v>338078.39427421743</v>
      </c>
    </row>
    <row r="8" spans="2:237">
      <c r="B8" s="1" t="s">
        <v>21</v>
      </c>
      <c r="C8" s="11">
        <v>89396</v>
      </c>
      <c r="D8" s="11">
        <v>85902</v>
      </c>
      <c r="E8" s="11">
        <v>79042</v>
      </c>
      <c r="F8" s="11">
        <f t="shared" si="6"/>
        <v>83404</v>
      </c>
      <c r="G8" s="11">
        <v>80650</v>
      </c>
      <c r="H8" s="11">
        <v>85909</v>
      </c>
      <c r="I8" s="11">
        <v>83228</v>
      </c>
      <c r="J8" s="11">
        <f t="shared" si="7"/>
        <v>82438</v>
      </c>
      <c r="K8" s="11">
        <v>88219</v>
      </c>
      <c r="L8" s="11">
        <v>87821</v>
      </c>
      <c r="M8" s="11">
        <v>87685</v>
      </c>
      <c r="N8" s="11">
        <v>89521</v>
      </c>
      <c r="W8" s="1">
        <v>273208</v>
      </c>
      <c r="X8" s="1">
        <v>332326</v>
      </c>
      <c r="Y8" s="1">
        <v>337744</v>
      </c>
      <c r="Z8" s="1">
        <v>332225</v>
      </c>
      <c r="AA8" s="1">
        <f t="shared" si="8"/>
        <v>353246</v>
      </c>
      <c r="AB8" s="1">
        <f>+AB6*0.4</f>
        <v>317044.65600000002</v>
      </c>
      <c r="AC8" s="1">
        <f t="shared" ref="AC8:AK8" si="10">+AC6*0.4</f>
        <v>320215.10256000003</v>
      </c>
      <c r="AD8" s="1">
        <f t="shared" si="10"/>
        <v>323417.25358560006</v>
      </c>
      <c r="AE8" s="1">
        <f t="shared" si="10"/>
        <v>326651.42612145608</v>
      </c>
      <c r="AF8" s="1">
        <f t="shared" si="10"/>
        <v>329917.94038267061</v>
      </c>
      <c r="AG8" s="1">
        <f t="shared" si="10"/>
        <v>333217.11978649732</v>
      </c>
      <c r="AH8" s="1">
        <f t="shared" si="10"/>
        <v>336549.29098436231</v>
      </c>
      <c r="AI8" s="1">
        <f t="shared" si="10"/>
        <v>339914.78389420593</v>
      </c>
      <c r="AJ8" s="1">
        <f t="shared" si="10"/>
        <v>343313.93173314794</v>
      </c>
      <c r="AK8" s="1">
        <f t="shared" si="10"/>
        <v>346747.07105047943</v>
      </c>
    </row>
    <row r="9" spans="2:237">
      <c r="B9" s="1" t="s">
        <v>22</v>
      </c>
      <c r="C9" s="11">
        <v>44891</v>
      </c>
      <c r="D9" s="11">
        <v>40706</v>
      </c>
      <c r="E9" s="11">
        <v>27766</v>
      </c>
      <c r="F9" s="11">
        <f t="shared" si="6"/>
        <v>33633</v>
      </c>
      <c r="G9" s="11">
        <v>33553</v>
      </c>
      <c r="H9" s="11">
        <v>38695</v>
      </c>
      <c r="I9" s="11">
        <v>36793</v>
      </c>
      <c r="J9" s="11">
        <f t="shared" si="7"/>
        <v>36412</v>
      </c>
      <c r="K9" s="11">
        <v>41638</v>
      </c>
      <c r="L9" s="11">
        <v>43155</v>
      </c>
      <c r="M9" s="11">
        <v>43676</v>
      </c>
      <c r="N9" s="11">
        <v>45809</v>
      </c>
      <c r="W9" s="1">
        <v>185022</v>
      </c>
      <c r="X9" s="1">
        <v>190971</v>
      </c>
      <c r="Y9" s="1">
        <v>146996</v>
      </c>
      <c r="Z9" s="1">
        <v>145453</v>
      </c>
      <c r="AA9" s="1">
        <f t="shared" si="8"/>
        <v>174278</v>
      </c>
      <c r="AB9" s="1">
        <f>+AB6*0.22</f>
        <v>174374.56080000001</v>
      </c>
      <c r="AC9" s="1">
        <f t="shared" ref="AC9:AK9" si="11">+AC6*0.22</f>
        <v>176118.306408</v>
      </c>
      <c r="AD9" s="1">
        <f t="shared" si="11"/>
        <v>177879.48947208002</v>
      </c>
      <c r="AE9" s="1">
        <f t="shared" si="11"/>
        <v>179658.28436680083</v>
      </c>
      <c r="AF9" s="1">
        <f t="shared" si="11"/>
        <v>181454.86721046883</v>
      </c>
      <c r="AG9" s="1">
        <f t="shared" si="11"/>
        <v>183269.41588257352</v>
      </c>
      <c r="AH9" s="1">
        <f t="shared" si="11"/>
        <v>185102.11004139925</v>
      </c>
      <c r="AI9" s="1">
        <f t="shared" si="11"/>
        <v>186953.13114181324</v>
      </c>
      <c r="AJ9" s="1">
        <f t="shared" si="11"/>
        <v>188822.66245323137</v>
      </c>
      <c r="AK9" s="1">
        <f t="shared" si="11"/>
        <v>190710.88907776368</v>
      </c>
    </row>
    <row r="10" spans="2:237">
      <c r="B10" s="1" t="s">
        <v>23</v>
      </c>
      <c r="C10" s="11">
        <f>+C6-SUM(C7:C9)</f>
        <v>19573</v>
      </c>
      <c r="D10" s="11">
        <f>+D6-SUM(D7:D9)</f>
        <v>17167</v>
      </c>
      <c r="E10" s="11">
        <f>+E6-SUM(E7:E9)</f>
        <v>12217</v>
      </c>
      <c r="F10" s="11">
        <f t="shared" si="6"/>
        <v>-73111</v>
      </c>
      <c r="G10" s="11">
        <f>+G6-SUM(G7:G9)</f>
        <v>-59134</v>
      </c>
      <c r="H10" s="11">
        <f>+H6-SUM(H7:H9)</f>
        <v>-48021</v>
      </c>
      <c r="I10" s="11">
        <f>+I6-SUM(I7:I9)</f>
        <v>-29708</v>
      </c>
      <c r="J10" s="11">
        <f t="shared" si="7"/>
        <v>-28627</v>
      </c>
      <c r="K10" s="11">
        <f>+K6-SUM(K7:K9)</f>
        <v>-32080</v>
      </c>
      <c r="L10" s="11">
        <f>+L6-SUM(L7:L9)</f>
        <v>-22867</v>
      </c>
      <c r="M10" s="11">
        <f t="shared" ref="M10" si="12">+M6-SUM(M7:M9)</f>
        <v>-12342</v>
      </c>
      <c r="N10" s="11">
        <f>+N6-SUM(N7:N9)</f>
        <v>-3252</v>
      </c>
      <c r="W10" s="1">
        <f>+W6-SUM(W7:W9)</f>
        <v>-32838</v>
      </c>
      <c r="X10" s="1">
        <f>+X6-SUM(X7:X9)</f>
        <v>119260</v>
      </c>
      <c r="Y10" s="1">
        <f>+Y6-SUM(Y7:Y9)</f>
        <v>-24154</v>
      </c>
      <c r="Z10" s="1">
        <f>+Z6-SUM(Z7:Z9)</f>
        <v>-165490</v>
      </c>
      <c r="AA10" s="1">
        <f t="shared" si="8"/>
        <v>-70541</v>
      </c>
      <c r="AB10" s="1">
        <f>+AB6-SUM(AB7:AB9)</f>
        <v>-7926.1163999999408</v>
      </c>
      <c r="AC10" s="1">
        <f t="shared" ref="AC10:AJ10" si="13">+AC6-SUM(AC7:AC9)</f>
        <v>-8005.3775639999658</v>
      </c>
      <c r="AD10" s="1">
        <f t="shared" si="13"/>
        <v>-8085.4313396400539</v>
      </c>
      <c r="AE10" s="1">
        <f t="shared" si="13"/>
        <v>-8166.285653036437</v>
      </c>
      <c r="AF10" s="1">
        <f t="shared" si="13"/>
        <v>-8247.9485095668351</v>
      </c>
      <c r="AG10" s="1">
        <f t="shared" si="13"/>
        <v>-8330.4279946624301</v>
      </c>
      <c r="AH10" s="1">
        <f t="shared" si="13"/>
        <v>-8413.7322746091522</v>
      </c>
      <c r="AI10" s="1">
        <f t="shared" si="13"/>
        <v>-8497.8695973552531</v>
      </c>
      <c r="AJ10" s="1">
        <f t="shared" si="13"/>
        <v>-8582.8482933287742</v>
      </c>
      <c r="AK10" s="1">
        <f t="shared" ref="AK10" si="14">+AK6-SUM(AK7:AK9)</f>
        <v>-8668.6767762620002</v>
      </c>
    </row>
    <row r="11" spans="2:237">
      <c r="B11" s="1" t="s">
        <v>24</v>
      </c>
      <c r="C11" s="11">
        <v>4836</v>
      </c>
      <c r="D11" s="11">
        <v>7780</v>
      </c>
      <c r="E11" s="11">
        <v>2938</v>
      </c>
      <c r="F11" s="11">
        <f t="shared" si="6"/>
        <v>3611</v>
      </c>
      <c r="G11" s="11">
        <v>2732</v>
      </c>
      <c r="H11" s="11">
        <v>2790</v>
      </c>
      <c r="I11" s="11">
        <v>3487</v>
      </c>
      <c r="J11" s="11">
        <f t="shared" si="7"/>
        <v>2978</v>
      </c>
      <c r="K11" s="11">
        <v>3793</v>
      </c>
      <c r="L11" s="11">
        <v>3833</v>
      </c>
      <c r="M11" s="11">
        <v>3046</v>
      </c>
      <c r="N11" s="11">
        <v>2932</v>
      </c>
      <c r="W11" s="1">
        <v>5696</v>
      </c>
      <c r="X11" s="1">
        <v>13915</v>
      </c>
      <c r="Y11" s="1">
        <v>19165</v>
      </c>
      <c r="Z11" s="1">
        <v>11987</v>
      </c>
      <c r="AA11" s="1">
        <f t="shared" si="8"/>
        <v>13604</v>
      </c>
      <c r="AB11" s="1">
        <f>+AA11</f>
        <v>13604</v>
      </c>
      <c r="AC11" s="1">
        <f t="shared" ref="AC11:AK11" si="15">+AB11</f>
        <v>13604</v>
      </c>
      <c r="AD11" s="1">
        <f t="shared" si="15"/>
        <v>13604</v>
      </c>
      <c r="AE11" s="1">
        <f t="shared" si="15"/>
        <v>13604</v>
      </c>
      <c r="AF11" s="1">
        <f t="shared" si="15"/>
        <v>13604</v>
      </c>
      <c r="AG11" s="1">
        <f t="shared" si="15"/>
        <v>13604</v>
      </c>
      <c r="AH11" s="1">
        <f t="shared" si="15"/>
        <v>13604</v>
      </c>
      <c r="AI11" s="1">
        <f t="shared" si="15"/>
        <v>13604</v>
      </c>
      <c r="AJ11" s="1">
        <f t="shared" si="15"/>
        <v>13604</v>
      </c>
      <c r="AK11" s="1">
        <f t="shared" si="15"/>
        <v>13604</v>
      </c>
    </row>
    <row r="12" spans="2:237">
      <c r="B12" s="1" t="s">
        <v>25</v>
      </c>
      <c r="C12" s="11">
        <v>-1656</v>
      </c>
      <c r="D12" s="11">
        <v>-1596</v>
      </c>
      <c r="E12" s="11">
        <v>-1359</v>
      </c>
      <c r="F12" s="11">
        <f t="shared" si="6"/>
        <v>-943</v>
      </c>
      <c r="G12" s="11">
        <v>-509</v>
      </c>
      <c r="H12" s="11">
        <v>-263</v>
      </c>
      <c r="I12" s="11">
        <v>-278</v>
      </c>
      <c r="J12" s="11">
        <f t="shared" si="7"/>
        <v>-260</v>
      </c>
      <c r="K12" s="11">
        <v>-284</v>
      </c>
      <c r="L12" s="11">
        <v>-251</v>
      </c>
      <c r="M12" s="11">
        <v>-226</v>
      </c>
      <c r="N12" s="11">
        <v>-214</v>
      </c>
      <c r="W12" s="1">
        <v>-31033</v>
      </c>
      <c r="X12" s="1">
        <v>-6723</v>
      </c>
      <c r="Y12" s="1">
        <v>-5554</v>
      </c>
      <c r="Z12" s="1">
        <v>-1310</v>
      </c>
      <c r="AA12" s="1">
        <f t="shared" si="8"/>
        <v>-975</v>
      </c>
      <c r="AB12" s="1">
        <f>+AA12</f>
        <v>-975</v>
      </c>
      <c r="AC12" s="1">
        <f t="shared" ref="AC12:AK12" si="16">+AB12</f>
        <v>-975</v>
      </c>
      <c r="AD12" s="1">
        <f t="shared" si="16"/>
        <v>-975</v>
      </c>
      <c r="AE12" s="1">
        <f t="shared" si="16"/>
        <v>-975</v>
      </c>
      <c r="AF12" s="1">
        <f t="shared" si="16"/>
        <v>-975</v>
      </c>
      <c r="AG12" s="1">
        <f t="shared" si="16"/>
        <v>-975</v>
      </c>
      <c r="AH12" s="1">
        <f t="shared" si="16"/>
        <v>-975</v>
      </c>
      <c r="AI12" s="1">
        <f t="shared" si="16"/>
        <v>-975</v>
      </c>
      <c r="AJ12" s="1">
        <f t="shared" si="16"/>
        <v>-975</v>
      </c>
      <c r="AK12" s="1">
        <f t="shared" si="16"/>
        <v>-975</v>
      </c>
    </row>
    <row r="13" spans="2:237">
      <c r="B13" s="1" t="s">
        <v>26</v>
      </c>
      <c r="C13" s="11">
        <f>+C10+SUM(C11:C12)</f>
        <v>22753</v>
      </c>
      <c r="D13" s="11">
        <f>+D10+SUM(D11:D12)</f>
        <v>23351</v>
      </c>
      <c r="E13" s="11">
        <f>+E10+SUM(E11:E12)</f>
        <v>13796</v>
      </c>
      <c r="F13" s="11">
        <f t="shared" si="6"/>
        <v>-70443</v>
      </c>
      <c r="G13" s="11">
        <f>+G10+SUM(G11:G12)</f>
        <v>-56911</v>
      </c>
      <c r="H13" s="11">
        <f>+H10+SUM(H11:H12)</f>
        <v>-45494</v>
      </c>
      <c r="I13" s="11">
        <f>+I10+SUM(I11:I12)</f>
        <v>-26499</v>
      </c>
      <c r="J13" s="11">
        <f t="shared" si="7"/>
        <v>-25909</v>
      </c>
      <c r="K13" s="11">
        <f>+K10+SUM(K11:K12)</f>
        <v>-28571</v>
      </c>
      <c r="L13" s="11">
        <f>+L10+SUM(L11:L12)</f>
        <v>-19285</v>
      </c>
      <c r="M13" s="11">
        <f>+M10+SUM(M11:M12)</f>
        <v>-9522</v>
      </c>
      <c r="N13" s="11">
        <f>+N10+SUM(N11:N12)</f>
        <v>-534</v>
      </c>
      <c r="W13" s="1">
        <f>+W10+SUM(W11:W12)</f>
        <v>-58175</v>
      </c>
      <c r="X13" s="1">
        <f>+X10+SUM(X11:X12)</f>
        <v>126452</v>
      </c>
      <c r="Y13" s="1">
        <f>+Y10+SUM(Y11:Y12)</f>
        <v>-10543</v>
      </c>
      <c r="Z13" s="1">
        <f>+Z10+SUM(Z11:Z12)</f>
        <v>-154813</v>
      </c>
      <c r="AA13" s="1">
        <f t="shared" si="8"/>
        <v>-57912</v>
      </c>
      <c r="AB13" s="1">
        <f>+AB10+SUM(AB11:AB12)</f>
        <v>4702.8836000000592</v>
      </c>
      <c r="AC13" s="1">
        <f t="shared" ref="AC13:AK13" si="17">+AC10+SUM(AC11:AC12)</f>
        <v>4623.6224360000342</v>
      </c>
      <c r="AD13" s="1">
        <f t="shared" si="17"/>
        <v>4543.5686603599461</v>
      </c>
      <c r="AE13" s="1">
        <f t="shared" si="17"/>
        <v>4462.714346963563</v>
      </c>
      <c r="AF13" s="1">
        <f t="shared" si="17"/>
        <v>4381.0514904331649</v>
      </c>
      <c r="AG13" s="1">
        <f t="shared" si="17"/>
        <v>4298.5720053375699</v>
      </c>
      <c r="AH13" s="1">
        <f t="shared" si="17"/>
        <v>4215.2677253908478</v>
      </c>
      <c r="AI13" s="1">
        <f t="shared" si="17"/>
        <v>4131.1304026447469</v>
      </c>
      <c r="AJ13" s="1">
        <f t="shared" si="17"/>
        <v>4046.1517066712258</v>
      </c>
      <c r="AK13" s="1">
        <f t="shared" si="17"/>
        <v>3960.3232237379998</v>
      </c>
    </row>
    <row r="14" spans="2:237">
      <c r="B14" s="1" t="s">
        <v>27</v>
      </c>
      <c r="C14" s="11">
        <v>7753</v>
      </c>
      <c r="D14" s="11">
        <v>12338</v>
      </c>
      <c r="E14" s="11">
        <v>338</v>
      </c>
      <c r="F14" s="11">
        <f t="shared" si="6"/>
        <v>-12486</v>
      </c>
      <c r="G14" s="11">
        <v>-385</v>
      </c>
      <c r="H14" s="11">
        <v>36663</v>
      </c>
      <c r="I14" s="11">
        <v>2005</v>
      </c>
      <c r="J14" s="11">
        <f t="shared" si="7"/>
        <v>-2086</v>
      </c>
      <c r="K14" s="11">
        <v>1899</v>
      </c>
      <c r="L14" s="11">
        <v>2532</v>
      </c>
      <c r="M14" s="11">
        <v>414</v>
      </c>
      <c r="N14" s="11">
        <v>2150</v>
      </c>
      <c r="W14" s="1">
        <v>13427</v>
      </c>
      <c r="X14" s="1">
        <v>38450</v>
      </c>
      <c r="Y14" s="1">
        <v>7943</v>
      </c>
      <c r="Z14" s="1">
        <v>36197</v>
      </c>
      <c r="AA14" s="1">
        <f t="shared" si="8"/>
        <v>6995</v>
      </c>
      <c r="AB14" s="1">
        <f>+AB13*0.21</f>
        <v>987.60555600001237</v>
      </c>
      <c r="AC14" s="1">
        <f t="shared" ref="AC14:AK14" si="18">+AC13*0.21</f>
        <v>970.9607115600071</v>
      </c>
      <c r="AD14" s="1">
        <f t="shared" si="18"/>
        <v>954.14941867558866</v>
      </c>
      <c r="AE14" s="1">
        <f t="shared" si="18"/>
        <v>937.17001286234824</v>
      </c>
      <c r="AF14" s="1">
        <f t="shared" si="18"/>
        <v>920.0208129909646</v>
      </c>
      <c r="AG14" s="1">
        <f t="shared" si="18"/>
        <v>902.70012112088966</v>
      </c>
      <c r="AH14" s="1">
        <f t="shared" si="18"/>
        <v>885.20622233207803</v>
      </c>
      <c r="AI14" s="1">
        <f t="shared" si="18"/>
        <v>867.53738455539678</v>
      </c>
      <c r="AJ14" s="1">
        <f t="shared" si="18"/>
        <v>849.69185840095736</v>
      </c>
      <c r="AK14" s="1">
        <f t="shared" si="18"/>
        <v>831.6678769849799</v>
      </c>
    </row>
    <row r="15" spans="2:237">
      <c r="B15" s="1" t="s">
        <v>28</v>
      </c>
      <c r="C15" s="11">
        <f>+C13-C14</f>
        <v>15000</v>
      </c>
      <c r="D15" s="11">
        <f>+D13-D14</f>
        <v>11013</v>
      </c>
      <c r="E15" s="11">
        <f>+E13-E14</f>
        <v>13458</v>
      </c>
      <c r="F15" s="11">
        <f t="shared" si="6"/>
        <v>-57957</v>
      </c>
      <c r="G15" s="11">
        <f>+G13-G14</f>
        <v>-56526</v>
      </c>
      <c r="H15" s="11">
        <f>+H13-H14</f>
        <v>-82157</v>
      </c>
      <c r="I15" s="11">
        <f>+I13-I14</f>
        <v>-28504</v>
      </c>
      <c r="J15" s="11">
        <f t="shared" si="7"/>
        <v>-23823</v>
      </c>
      <c r="K15" s="11">
        <f>+K13-K14</f>
        <v>-30470</v>
      </c>
      <c r="L15" s="11">
        <f>+L13-L14</f>
        <v>-21817</v>
      </c>
      <c r="M15" s="11">
        <f>+M13-M14</f>
        <v>-9936</v>
      </c>
      <c r="N15" s="11">
        <f>+N13-N14</f>
        <v>-2684</v>
      </c>
      <c r="W15" s="1">
        <f>+W13-W14</f>
        <v>-71602</v>
      </c>
      <c r="X15" s="1">
        <f>+X13-X14</f>
        <v>88002</v>
      </c>
      <c r="Y15" s="1">
        <f>+Y13-Y14</f>
        <v>-18486</v>
      </c>
      <c r="Z15" s="1">
        <f>+Z13-Z14</f>
        <v>-191010</v>
      </c>
      <c r="AA15" s="1">
        <f t="shared" si="8"/>
        <v>-64907</v>
      </c>
      <c r="AB15" s="1">
        <f>+AB13-AB14</f>
        <v>3715.278044000047</v>
      </c>
      <c r="AC15" s="1">
        <f t="shared" ref="AC15:AK15" si="19">+AC13-AC14</f>
        <v>3652.6617244400272</v>
      </c>
      <c r="AD15" s="1">
        <f t="shared" si="19"/>
        <v>3589.4192416843575</v>
      </c>
      <c r="AE15" s="1">
        <f t="shared" si="19"/>
        <v>3525.5443341012146</v>
      </c>
      <c r="AF15" s="1">
        <f t="shared" si="19"/>
        <v>3461.0306774422002</v>
      </c>
      <c r="AG15" s="1">
        <f t="shared" si="19"/>
        <v>3395.87188421668</v>
      </c>
      <c r="AH15" s="1">
        <f t="shared" si="19"/>
        <v>3330.0615030587696</v>
      </c>
      <c r="AI15" s="1">
        <f t="shared" si="19"/>
        <v>3263.5930180893502</v>
      </c>
      <c r="AJ15" s="1">
        <f t="shared" si="19"/>
        <v>3196.4598482702686</v>
      </c>
      <c r="AK15" s="1">
        <f t="shared" si="19"/>
        <v>3128.6553467530198</v>
      </c>
      <c r="AL15" s="1">
        <f>+AK15*(1+$AM$22)</f>
        <v>3159.94190022055</v>
      </c>
      <c r="AM15" s="1">
        <f>+AL15*(1+$AM$22)</f>
        <v>3191.5413192227556</v>
      </c>
      <c r="AN15" s="1">
        <f t="shared" ref="AN15:CY15" si="20">+AM15*(1+$AM$22)</f>
        <v>3223.4567324149834</v>
      </c>
      <c r="AO15" s="1">
        <f t="shared" si="20"/>
        <v>3255.6912997391332</v>
      </c>
      <c r="AP15" s="1">
        <f t="shared" si="20"/>
        <v>3288.2482127365247</v>
      </c>
      <c r="AQ15" s="1">
        <f t="shared" si="20"/>
        <v>3321.1306948638899</v>
      </c>
      <c r="AR15" s="1">
        <f t="shared" si="20"/>
        <v>3354.3420018125289</v>
      </c>
      <c r="AS15" s="1">
        <f t="shared" si="20"/>
        <v>3387.8854218306542</v>
      </c>
      <c r="AT15" s="1">
        <f t="shared" si="20"/>
        <v>3421.7642760489607</v>
      </c>
      <c r="AU15" s="1">
        <f t="shared" si="20"/>
        <v>3455.9819188094502</v>
      </c>
      <c r="AV15" s="1">
        <f t="shared" si="20"/>
        <v>3490.5417379975447</v>
      </c>
      <c r="AW15" s="1">
        <f t="shared" si="20"/>
        <v>3525.4471553775202</v>
      </c>
      <c r="AX15" s="1">
        <f t="shared" si="20"/>
        <v>3560.7016269312953</v>
      </c>
      <c r="AY15" s="1">
        <f t="shared" si="20"/>
        <v>3596.3086432006085</v>
      </c>
      <c r="AZ15" s="1">
        <f t="shared" si="20"/>
        <v>3632.2717296326146</v>
      </c>
      <c r="BA15" s="1">
        <f t="shared" si="20"/>
        <v>3668.5944469289407</v>
      </c>
      <c r="BB15" s="1">
        <f t="shared" si="20"/>
        <v>3705.2803913982302</v>
      </c>
      <c r="BC15" s="1">
        <f t="shared" si="20"/>
        <v>3742.3331953122124</v>
      </c>
      <c r="BD15" s="1">
        <f t="shared" si="20"/>
        <v>3779.7565272653346</v>
      </c>
      <c r="BE15" s="1">
        <f t="shared" si="20"/>
        <v>3817.5540925379878</v>
      </c>
      <c r="BF15" s="1">
        <f t="shared" si="20"/>
        <v>3855.7296334633679</v>
      </c>
      <c r="BG15" s="1">
        <f t="shared" si="20"/>
        <v>3894.2869297980014</v>
      </c>
      <c r="BH15" s="1">
        <f t="shared" si="20"/>
        <v>3933.2297990959814</v>
      </c>
      <c r="BI15" s="1">
        <f t="shared" si="20"/>
        <v>3972.5620970869413</v>
      </c>
      <c r="BJ15" s="1">
        <f t="shared" si="20"/>
        <v>4012.2877180578107</v>
      </c>
      <c r="BK15" s="1">
        <f t="shared" si="20"/>
        <v>4052.4105952383889</v>
      </c>
      <c r="BL15" s="1">
        <f t="shared" si="20"/>
        <v>4092.9347011907726</v>
      </c>
      <c r="BM15" s="1">
        <f t="shared" si="20"/>
        <v>4133.8640482026804</v>
      </c>
      <c r="BN15" s="1">
        <f t="shared" si="20"/>
        <v>4175.202688684707</v>
      </c>
      <c r="BO15" s="1">
        <f t="shared" si="20"/>
        <v>4216.9547155715545</v>
      </c>
      <c r="BP15" s="1">
        <f t="shared" si="20"/>
        <v>4259.1242627272704</v>
      </c>
      <c r="BQ15" s="1">
        <f t="shared" si="20"/>
        <v>4301.715505354543</v>
      </c>
      <c r="BR15" s="1">
        <f t="shared" si="20"/>
        <v>4344.7326604080881</v>
      </c>
      <c r="BS15" s="1">
        <f t="shared" si="20"/>
        <v>4388.1799870121695</v>
      </c>
      <c r="BT15" s="1">
        <f t="shared" si="20"/>
        <v>4432.061786882291</v>
      </c>
      <c r="BU15" s="1">
        <f t="shared" si="20"/>
        <v>4476.3824047511143</v>
      </c>
      <c r="BV15" s="1">
        <f t="shared" si="20"/>
        <v>4521.1462287986251</v>
      </c>
      <c r="BW15" s="1">
        <f t="shared" si="20"/>
        <v>4566.3576910866113</v>
      </c>
      <c r="BX15" s="1">
        <f t="shared" si="20"/>
        <v>4612.0212679974775</v>
      </c>
      <c r="BY15" s="1">
        <f t="shared" si="20"/>
        <v>4658.1414806774519</v>
      </c>
      <c r="BZ15" s="1">
        <f t="shared" si="20"/>
        <v>4704.7228954842267</v>
      </c>
      <c r="CA15" s="1">
        <f t="shared" si="20"/>
        <v>4751.7701244390691</v>
      </c>
      <c r="CB15" s="1">
        <f t="shared" si="20"/>
        <v>4799.2878256834601</v>
      </c>
      <c r="CC15" s="1">
        <f t="shared" si="20"/>
        <v>4847.2807039402951</v>
      </c>
      <c r="CD15" s="1">
        <f t="shared" si="20"/>
        <v>4895.7535109796981</v>
      </c>
      <c r="CE15" s="1">
        <f t="shared" si="20"/>
        <v>4944.7110460894955</v>
      </c>
      <c r="CF15" s="1">
        <f t="shared" si="20"/>
        <v>4994.1581565503902</v>
      </c>
      <c r="CG15" s="1">
        <f t="shared" si="20"/>
        <v>5044.0997381158941</v>
      </c>
      <c r="CH15" s="1">
        <f t="shared" si="20"/>
        <v>5094.540735497053</v>
      </c>
      <c r="CI15" s="1">
        <f t="shared" si="20"/>
        <v>5145.4861428520235</v>
      </c>
      <c r="CJ15" s="1">
        <f t="shared" si="20"/>
        <v>5196.9410042805439</v>
      </c>
      <c r="CK15" s="1">
        <f t="shared" si="20"/>
        <v>5248.910414323349</v>
      </c>
      <c r="CL15" s="1">
        <f t="shared" si="20"/>
        <v>5301.3995184665828</v>
      </c>
      <c r="CM15" s="1">
        <f t="shared" si="20"/>
        <v>5354.4135136512486</v>
      </c>
      <c r="CN15" s="1">
        <f t="shared" si="20"/>
        <v>5407.9576487877612</v>
      </c>
      <c r="CO15" s="1">
        <f t="shared" si="20"/>
        <v>5462.0372252756388</v>
      </c>
      <c r="CP15" s="1">
        <f t="shared" si="20"/>
        <v>5516.6575975283949</v>
      </c>
      <c r="CQ15" s="1">
        <f t="shared" si="20"/>
        <v>5571.824173503679</v>
      </c>
      <c r="CR15" s="1">
        <f t="shared" si="20"/>
        <v>5627.5424152387159</v>
      </c>
      <c r="CS15" s="1">
        <f t="shared" si="20"/>
        <v>5683.817839391103</v>
      </c>
      <c r="CT15" s="1">
        <f t="shared" si="20"/>
        <v>5740.6560177850142</v>
      </c>
      <c r="CU15" s="1">
        <f t="shared" si="20"/>
        <v>5798.0625779628645</v>
      </c>
      <c r="CV15" s="1">
        <f t="shared" si="20"/>
        <v>5856.0432037424935</v>
      </c>
      <c r="CW15" s="1">
        <f t="shared" si="20"/>
        <v>5914.6036357799185</v>
      </c>
      <c r="CX15" s="1">
        <f t="shared" si="20"/>
        <v>5973.7496721377174</v>
      </c>
      <c r="CY15" s="1">
        <f t="shared" si="20"/>
        <v>6033.4871688590947</v>
      </c>
      <c r="CZ15" s="1">
        <f t="shared" ref="CZ15:FK15" si="21">+CY15*(1+$AM$22)</f>
        <v>6093.8220405476859</v>
      </c>
      <c r="DA15" s="1">
        <f t="shared" si="21"/>
        <v>6154.7602609531632</v>
      </c>
      <c r="DB15" s="1">
        <f t="shared" si="21"/>
        <v>6216.3078635626953</v>
      </c>
      <c r="DC15" s="1">
        <f t="shared" si="21"/>
        <v>6278.4709421983225</v>
      </c>
      <c r="DD15" s="1">
        <f t="shared" si="21"/>
        <v>6341.2556516203058</v>
      </c>
      <c r="DE15" s="1">
        <f t="shared" si="21"/>
        <v>6404.6682081365088</v>
      </c>
      <c r="DF15" s="1">
        <f t="shared" si="21"/>
        <v>6468.7148902178742</v>
      </c>
      <c r="DG15" s="1">
        <f t="shared" si="21"/>
        <v>6533.4020391200529</v>
      </c>
      <c r="DH15" s="1">
        <f t="shared" si="21"/>
        <v>6598.7360595112532</v>
      </c>
      <c r="DI15" s="1">
        <f t="shared" si="21"/>
        <v>6664.7234201063657</v>
      </c>
      <c r="DJ15" s="1">
        <f t="shared" si="21"/>
        <v>6731.3706543074295</v>
      </c>
      <c r="DK15" s="1">
        <f t="shared" si="21"/>
        <v>6798.6843608505042</v>
      </c>
      <c r="DL15" s="1">
        <f t="shared" si="21"/>
        <v>6866.6712044590095</v>
      </c>
      <c r="DM15" s="1">
        <f t="shared" si="21"/>
        <v>6935.3379165035994</v>
      </c>
      <c r="DN15" s="1">
        <f t="shared" si="21"/>
        <v>7004.6912956686356</v>
      </c>
      <c r="DO15" s="1">
        <f t="shared" si="21"/>
        <v>7074.7382086253219</v>
      </c>
      <c r="DP15" s="1">
        <f t="shared" si="21"/>
        <v>7145.4855907115752</v>
      </c>
      <c r="DQ15" s="1">
        <f t="shared" si="21"/>
        <v>7216.9404466186907</v>
      </c>
      <c r="DR15" s="1">
        <f t="shared" si="21"/>
        <v>7289.1098510848778</v>
      </c>
      <c r="DS15" s="1">
        <f t="shared" si="21"/>
        <v>7362.0009495957265</v>
      </c>
      <c r="DT15" s="1">
        <f t="shared" si="21"/>
        <v>7435.6209590916842</v>
      </c>
      <c r="DU15" s="1">
        <f t="shared" si="21"/>
        <v>7509.9771686826007</v>
      </c>
      <c r="DV15" s="1">
        <f t="shared" si="21"/>
        <v>7585.0769403694267</v>
      </c>
      <c r="DW15" s="1">
        <f t="shared" si="21"/>
        <v>7660.927709773121</v>
      </c>
      <c r="DX15" s="1">
        <f t="shared" si="21"/>
        <v>7737.5369868708522</v>
      </c>
      <c r="DY15" s="1">
        <f t="shared" si="21"/>
        <v>7814.9123567395609</v>
      </c>
      <c r="DZ15" s="1">
        <f t="shared" si="21"/>
        <v>7893.0614803069566</v>
      </c>
      <c r="EA15" s="1">
        <f t="shared" si="21"/>
        <v>7971.9920951100266</v>
      </c>
      <c r="EB15" s="1">
        <f t="shared" si="21"/>
        <v>8051.7120160611266</v>
      </c>
      <c r="EC15" s="1">
        <f t="shared" si="21"/>
        <v>8132.2291362217384</v>
      </c>
      <c r="ED15" s="1">
        <f t="shared" si="21"/>
        <v>8213.551427583956</v>
      </c>
      <c r="EE15" s="1">
        <f t="shared" si="21"/>
        <v>8295.6869418597962</v>
      </c>
      <c r="EF15" s="1">
        <f t="shared" si="21"/>
        <v>8378.6438112783944</v>
      </c>
      <c r="EG15" s="1">
        <f t="shared" si="21"/>
        <v>8462.4302493911782</v>
      </c>
      <c r="EH15" s="1">
        <f t="shared" si="21"/>
        <v>8547.0545518850904</v>
      </c>
      <c r="EI15" s="1">
        <f t="shared" si="21"/>
        <v>8632.5250974039409</v>
      </c>
      <c r="EJ15" s="1">
        <f t="shared" si="21"/>
        <v>8718.8503483779805</v>
      </c>
      <c r="EK15" s="1">
        <f t="shared" si="21"/>
        <v>8806.0388518617601</v>
      </c>
      <c r="EL15" s="1">
        <f t="shared" si="21"/>
        <v>8894.0992403803775</v>
      </c>
      <c r="EM15" s="1">
        <f t="shared" si="21"/>
        <v>8983.0402327841821</v>
      </c>
      <c r="EN15" s="1">
        <f t="shared" si="21"/>
        <v>9072.8706351120236</v>
      </c>
      <c r="EO15" s="1">
        <f t="shared" si="21"/>
        <v>9163.5993414631448</v>
      </c>
      <c r="EP15" s="1">
        <f t="shared" si="21"/>
        <v>9255.235334877776</v>
      </c>
      <c r="EQ15" s="1">
        <f t="shared" si="21"/>
        <v>9347.7876882265537</v>
      </c>
      <c r="ER15" s="1">
        <f t="shared" si="21"/>
        <v>9441.2655651088189</v>
      </c>
      <c r="ES15" s="1">
        <f t="shared" si="21"/>
        <v>9535.6782207599081</v>
      </c>
      <c r="ET15" s="1">
        <f t="shared" si="21"/>
        <v>9631.0350029675064</v>
      </c>
      <c r="EU15" s="1">
        <f t="shared" si="21"/>
        <v>9727.3453529971812</v>
      </c>
      <c r="EV15" s="1">
        <f t="shared" si="21"/>
        <v>9824.6188065271526</v>
      </c>
      <c r="EW15" s="1">
        <f t="shared" si="21"/>
        <v>9922.8649945924244</v>
      </c>
      <c r="EX15" s="1">
        <f t="shared" si="21"/>
        <v>10022.093644538349</v>
      </c>
      <c r="EY15" s="1">
        <f t="shared" si="21"/>
        <v>10122.314580983732</v>
      </c>
      <c r="EZ15" s="1">
        <f t="shared" si="21"/>
        <v>10223.537726793569</v>
      </c>
      <c r="FA15" s="1">
        <f t="shared" si="21"/>
        <v>10325.773104061505</v>
      </c>
      <c r="FB15" s="1">
        <f t="shared" si="21"/>
        <v>10429.030835102121</v>
      </c>
      <c r="FC15" s="1">
        <f t="shared" si="21"/>
        <v>10533.321143453142</v>
      </c>
      <c r="FD15" s="1">
        <f t="shared" si="21"/>
        <v>10638.654354887674</v>
      </c>
      <c r="FE15" s="1">
        <f t="shared" si="21"/>
        <v>10745.040898436551</v>
      </c>
      <c r="FF15" s="1">
        <f t="shared" si="21"/>
        <v>10852.491307420916</v>
      </c>
      <c r="FG15" s="1">
        <f t="shared" si="21"/>
        <v>10961.016220495125</v>
      </c>
      <c r="FH15" s="1">
        <f t="shared" si="21"/>
        <v>11070.626382700077</v>
      </c>
      <c r="FI15" s="1">
        <f t="shared" si="21"/>
        <v>11181.332646527078</v>
      </c>
      <c r="FJ15" s="1">
        <f t="shared" si="21"/>
        <v>11293.14597299235</v>
      </c>
      <c r="FK15" s="1">
        <f t="shared" si="21"/>
        <v>11406.077432722273</v>
      </c>
      <c r="FL15" s="1">
        <f t="shared" ref="FL15:HW15" si="22">+FK15*(1+$AM$22)</f>
        <v>11520.138207049496</v>
      </c>
      <c r="FM15" s="1">
        <f t="shared" si="22"/>
        <v>11635.339589119991</v>
      </c>
      <c r="FN15" s="1">
        <f t="shared" si="22"/>
        <v>11751.69298501119</v>
      </c>
      <c r="FO15" s="1">
        <f t="shared" si="22"/>
        <v>11869.209914861302</v>
      </c>
      <c r="FP15" s="1">
        <f t="shared" si="22"/>
        <v>11987.902014009915</v>
      </c>
      <c r="FQ15" s="1">
        <f t="shared" si="22"/>
        <v>12107.781034150014</v>
      </c>
      <c r="FR15" s="1">
        <f t="shared" si="22"/>
        <v>12228.858844491513</v>
      </c>
      <c r="FS15" s="1">
        <f t="shared" si="22"/>
        <v>12351.147432936428</v>
      </c>
      <c r="FT15" s="1">
        <f t="shared" si="22"/>
        <v>12474.658907265793</v>
      </c>
      <c r="FU15" s="1">
        <f t="shared" si="22"/>
        <v>12599.405496338451</v>
      </c>
      <c r="FV15" s="1">
        <f t="shared" si="22"/>
        <v>12725.399551301836</v>
      </c>
      <c r="FW15" s="1">
        <f t="shared" si="22"/>
        <v>12852.653546814854</v>
      </c>
      <c r="FX15" s="1">
        <f t="shared" si="22"/>
        <v>12981.180082283003</v>
      </c>
      <c r="FY15" s="1">
        <f t="shared" si="22"/>
        <v>13110.991883105833</v>
      </c>
      <c r="FZ15" s="1">
        <f t="shared" si="22"/>
        <v>13242.101801936891</v>
      </c>
      <c r="GA15" s="1">
        <f t="shared" si="22"/>
        <v>13374.522819956261</v>
      </c>
      <c r="GB15" s="1">
        <f t="shared" si="22"/>
        <v>13508.268048155824</v>
      </c>
      <c r="GC15" s="1">
        <f t="shared" si="22"/>
        <v>13643.350728637382</v>
      </c>
      <c r="GD15" s="1">
        <f t="shared" si="22"/>
        <v>13779.784235923757</v>
      </c>
      <c r="GE15" s="1">
        <f t="shared" si="22"/>
        <v>13917.582078282994</v>
      </c>
      <c r="GF15" s="1">
        <f t="shared" si="22"/>
        <v>14056.757899065824</v>
      </c>
      <c r="GG15" s="1">
        <f t="shared" si="22"/>
        <v>14197.325478056482</v>
      </c>
      <c r="GH15" s="1">
        <f t="shared" si="22"/>
        <v>14339.298732837047</v>
      </c>
      <c r="GI15" s="1">
        <f t="shared" si="22"/>
        <v>14482.691720165418</v>
      </c>
      <c r="GJ15" s="1">
        <f t="shared" si="22"/>
        <v>14627.518637367071</v>
      </c>
      <c r="GK15" s="1">
        <f t="shared" si="22"/>
        <v>14773.793823740742</v>
      </c>
      <c r="GL15" s="1">
        <f t="shared" si="22"/>
        <v>14921.531761978149</v>
      </c>
      <c r="GM15" s="1">
        <f t="shared" si="22"/>
        <v>15070.74707959793</v>
      </c>
      <c r="GN15" s="1">
        <f t="shared" si="22"/>
        <v>15221.45455039391</v>
      </c>
      <c r="GO15" s="1">
        <f t="shared" si="22"/>
        <v>15373.669095897849</v>
      </c>
      <c r="GP15" s="1">
        <f t="shared" si="22"/>
        <v>15527.405786856827</v>
      </c>
      <c r="GQ15" s="1">
        <f t="shared" si="22"/>
        <v>15682.679844725395</v>
      </c>
      <c r="GR15" s="1">
        <f t="shared" si="22"/>
        <v>15839.50664317265</v>
      </c>
      <c r="GS15" s="1">
        <f t="shared" si="22"/>
        <v>15997.901709604377</v>
      </c>
      <c r="GT15" s="1">
        <f t="shared" si="22"/>
        <v>16157.880726700421</v>
      </c>
      <c r="GU15" s="1">
        <f t="shared" si="22"/>
        <v>16319.459533967425</v>
      </c>
      <c r="GV15" s="1">
        <f t="shared" si="22"/>
        <v>16482.654129307099</v>
      </c>
      <c r="GW15" s="1">
        <f t="shared" si="22"/>
        <v>16647.480670600169</v>
      </c>
      <c r="GX15" s="1">
        <f t="shared" si="22"/>
        <v>16813.955477306172</v>
      </c>
      <c r="GY15" s="1">
        <f t="shared" si="22"/>
        <v>16982.095032079233</v>
      </c>
      <c r="GZ15" s="1">
        <f t="shared" si="22"/>
        <v>17151.915982400023</v>
      </c>
      <c r="HA15" s="1">
        <f t="shared" si="22"/>
        <v>17323.435142224025</v>
      </c>
      <c r="HB15" s="1">
        <f t="shared" si="22"/>
        <v>17496.669493646266</v>
      </c>
      <c r="HC15" s="1">
        <f t="shared" si="22"/>
        <v>17671.636188582728</v>
      </c>
      <c r="HD15" s="1">
        <f t="shared" si="22"/>
        <v>17848.352550468557</v>
      </c>
      <c r="HE15" s="1">
        <f t="shared" si="22"/>
        <v>18026.836075973242</v>
      </c>
      <c r="HF15" s="1">
        <f t="shared" si="22"/>
        <v>18207.104436732974</v>
      </c>
      <c r="HG15" s="1">
        <f t="shared" si="22"/>
        <v>18389.175481100305</v>
      </c>
      <c r="HH15" s="1">
        <f t="shared" si="22"/>
        <v>18573.067235911309</v>
      </c>
      <c r="HI15" s="1">
        <f t="shared" si="22"/>
        <v>18758.797908270422</v>
      </c>
      <c r="HJ15" s="1">
        <f t="shared" si="22"/>
        <v>18946.385887353128</v>
      </c>
      <c r="HK15" s="1">
        <f t="shared" si="22"/>
        <v>19135.84974622666</v>
      </c>
      <c r="HL15" s="1">
        <f t="shared" si="22"/>
        <v>19327.208243688929</v>
      </c>
      <c r="HM15" s="1">
        <f t="shared" si="22"/>
        <v>19520.480326125817</v>
      </c>
      <c r="HN15" s="1">
        <f t="shared" si="22"/>
        <v>19715.685129387075</v>
      </c>
      <c r="HO15" s="1">
        <f t="shared" si="22"/>
        <v>19912.841980680947</v>
      </c>
      <c r="HP15" s="1">
        <f t="shared" si="22"/>
        <v>20111.970400487757</v>
      </c>
      <c r="HQ15" s="1">
        <f t="shared" si="22"/>
        <v>20313.090104492636</v>
      </c>
      <c r="HR15" s="1">
        <f t="shared" si="22"/>
        <v>20516.221005537562</v>
      </c>
      <c r="HS15" s="1">
        <f t="shared" si="22"/>
        <v>20721.383215592938</v>
      </c>
      <c r="HT15" s="1">
        <f t="shared" si="22"/>
        <v>20928.597047748866</v>
      </c>
      <c r="HU15" s="1">
        <f t="shared" si="22"/>
        <v>21137.883018226355</v>
      </c>
      <c r="HV15" s="1">
        <f t="shared" si="22"/>
        <v>21349.26184840862</v>
      </c>
      <c r="HW15" s="1">
        <f t="shared" si="22"/>
        <v>21562.754466892708</v>
      </c>
      <c r="HX15" s="1">
        <f t="shared" ref="HX15:KI15" si="23">+HW15*(1+$AM$22)</f>
        <v>21778.382011561636</v>
      </c>
      <c r="HY15" s="1">
        <f t="shared" si="23"/>
        <v>21996.165831677252</v>
      </c>
      <c r="HZ15" s="1">
        <f t="shared" si="23"/>
        <v>22216.127489994025</v>
      </c>
      <c r="IA15" s="1">
        <f t="shared" si="23"/>
        <v>22438.288764893965</v>
      </c>
      <c r="IB15" s="1">
        <f t="shared" si="23"/>
        <v>22662.671652542904</v>
      </c>
      <c r="IC15" s="1">
        <f t="shared" si="23"/>
        <v>22889.298369068332</v>
      </c>
    </row>
    <row r="16" spans="2:237" s="3" customFormat="1">
      <c r="C16" s="12"/>
      <c r="D16" s="12"/>
      <c r="E16" s="12"/>
      <c r="F16" s="11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2:39" s="5" customFormat="1">
      <c r="B17" s="5" t="s">
        <v>29</v>
      </c>
      <c r="C17" s="13"/>
      <c r="D17" s="13"/>
      <c r="E17" s="13"/>
      <c r="F17" s="13"/>
      <c r="G17" s="13">
        <f t="shared" ref="G17:N17" si="24">+G6/C6-1</f>
        <v>-0.56896027748625333</v>
      </c>
      <c r="H17" s="13">
        <f t="shared" si="24"/>
        <v>-0.40634061078304051</v>
      </c>
      <c r="I17" s="13">
        <f t="shared" si="24"/>
        <v>-0.18337750294464072</v>
      </c>
      <c r="J17" s="13">
        <f t="shared" si="24"/>
        <v>0.91431861362197009</v>
      </c>
      <c r="K17" s="13">
        <f t="shared" si="24"/>
        <v>0.67063689776733248</v>
      </c>
      <c r="L17" s="13">
        <f t="shared" si="24"/>
        <v>0.32660782708592739</v>
      </c>
      <c r="M17" s="13">
        <f t="shared" si="24"/>
        <v>0.23801195949397513</v>
      </c>
      <c r="N17" s="13">
        <f t="shared" si="24"/>
        <v>0.25237445037263373</v>
      </c>
      <c r="O17" s="13"/>
      <c r="P17" s="13"/>
      <c r="X17" s="5">
        <f>+X6/W6-1</f>
        <v>0.42067253003357097</v>
      </c>
      <c r="Y17" s="5">
        <f>+Y6/X6-1</f>
        <v>-0.23615524174255398</v>
      </c>
      <c r="Z17" s="5">
        <f>+Z6/Y6-1</f>
        <v>-0.25294979405771501</v>
      </c>
      <c r="AA17" s="5">
        <f>+AA6/Z6-1</f>
        <v>0.34288637989274218</v>
      </c>
      <c r="AB17" s="5">
        <f t="shared" ref="AB17:AK17" si="25">+AB6/AA6-1</f>
        <v>1.0000000000000009E-2</v>
      </c>
      <c r="AC17" s="5">
        <f t="shared" si="25"/>
        <v>1.0000000000000009E-2</v>
      </c>
      <c r="AD17" s="5">
        <f t="shared" si="25"/>
        <v>1.0000000000000009E-2</v>
      </c>
      <c r="AE17" s="5">
        <f t="shared" si="25"/>
        <v>1.0000000000000009E-2</v>
      </c>
      <c r="AF17" s="5">
        <f t="shared" si="25"/>
        <v>1.0000000000000009E-2</v>
      </c>
      <c r="AG17" s="5">
        <f t="shared" si="25"/>
        <v>1.0000000000000009E-2</v>
      </c>
      <c r="AH17" s="5">
        <f t="shared" si="25"/>
        <v>1.0000000000000009E-2</v>
      </c>
      <c r="AI17" s="5">
        <f t="shared" si="25"/>
        <v>1.0000000000000009E-2</v>
      </c>
      <c r="AJ17" s="5">
        <f t="shared" si="25"/>
        <v>1.0000000000000009E-2</v>
      </c>
      <c r="AK17" s="5">
        <f t="shared" si="25"/>
        <v>1.0000000000000009E-2</v>
      </c>
    </row>
    <row r="18" spans="2:39" s="4" customFormat="1">
      <c r="B18" s="4" t="s">
        <v>30</v>
      </c>
      <c r="C18" s="14">
        <f>(C6-C7) / C6</f>
        <v>0.62345261298204524</v>
      </c>
      <c r="D18" s="14">
        <f t="shared" ref="D18:I18" si="26">(D6-D7) / D6</f>
        <v>0.58715787410257037</v>
      </c>
      <c r="E18" s="14">
        <f t="shared" si="26"/>
        <v>0.58414310954063609</v>
      </c>
      <c r="F18" s="14">
        <f t="shared" si="26"/>
        <v>0.50579768553169435</v>
      </c>
      <c r="G18" s="14">
        <f t="shared" si="26"/>
        <v>0.51768742655699174</v>
      </c>
      <c r="H18" s="14">
        <f t="shared" si="26"/>
        <v>0.52682520792201804</v>
      </c>
      <c r="I18" s="14">
        <f t="shared" si="26"/>
        <v>0.5427627032062261</v>
      </c>
      <c r="J18" s="14">
        <f t="shared" ref="J18:L18" si="27">(J6-J7) / J6</f>
        <v>0.54269800119098466</v>
      </c>
      <c r="K18" s="14">
        <f t="shared" ref="K18" si="28">(K6-K7) / K6</f>
        <v>0.55019300674116844</v>
      </c>
      <c r="L18" s="14">
        <f t="shared" si="27"/>
        <v>0.5606004822525863</v>
      </c>
      <c r="M18" s="15">
        <f t="shared" ref="M18:N18" si="29">(M6-M7) / M6</f>
        <v>0.57776494060650785</v>
      </c>
      <c r="N18" s="15">
        <f t="shared" si="29"/>
        <v>0.6343621221290453</v>
      </c>
      <c r="O18" s="14"/>
      <c r="P18" s="14"/>
      <c r="W18" s="4">
        <f t="shared" ref="W18:Y18" si="30">(W6-W7) / W6</f>
        <v>0.59011735982021474</v>
      </c>
      <c r="X18" s="4">
        <f t="shared" si="30"/>
        <v>0.62743212128432013</v>
      </c>
      <c r="Y18" s="4">
        <f t="shared" si="30"/>
        <v>0.5887903990754968</v>
      </c>
      <c r="Z18" s="4">
        <f t="shared" ref="Z18:AB18" si="31">(Z6-Z7) / Z6</f>
        <v>0.5342153987261844</v>
      </c>
      <c r="AA18" s="4">
        <f t="shared" si="31"/>
        <v>0.5823190156531135</v>
      </c>
      <c r="AB18" s="4">
        <f t="shared" si="31"/>
        <v>0.61</v>
      </c>
      <c r="AC18" s="4">
        <f t="shared" ref="AB18:AJ18" si="32">(AC6-AC7) / AC6</f>
        <v>0.61</v>
      </c>
      <c r="AD18" s="4">
        <f t="shared" si="32"/>
        <v>0.61</v>
      </c>
      <c r="AE18" s="4">
        <f t="shared" si="32"/>
        <v>0.61</v>
      </c>
      <c r="AF18" s="4">
        <f t="shared" si="32"/>
        <v>0.61</v>
      </c>
      <c r="AG18" s="4">
        <f t="shared" si="32"/>
        <v>0.61</v>
      </c>
      <c r="AH18" s="4">
        <f t="shared" si="32"/>
        <v>0.61</v>
      </c>
      <c r="AI18" s="4">
        <f t="shared" si="32"/>
        <v>0.61</v>
      </c>
      <c r="AJ18" s="4">
        <f t="shared" si="32"/>
        <v>0.61</v>
      </c>
      <c r="AK18" s="4">
        <f t="shared" ref="AK18" si="33">(AK6-AK7) / AK6</f>
        <v>0.61</v>
      </c>
    </row>
    <row r="19" spans="2:39" s="4" customFormat="1">
      <c r="B19" s="4" t="s">
        <v>31</v>
      </c>
      <c r="C19" s="14">
        <f>+C8/C$6</f>
        <v>0.36223950208074168</v>
      </c>
      <c r="D19" s="14">
        <f>+D8/D$6</f>
        <v>0.35081228100267087</v>
      </c>
      <c r="E19" s="14">
        <f>+E8/E$6</f>
        <v>0.38791715744012562</v>
      </c>
      <c r="F19" s="14">
        <f>+F8/F$6</f>
        <v>0.96037768438021764</v>
      </c>
      <c r="G19" s="14">
        <f t="shared" ref="G19:I19" si="34">+G8/G$6</f>
        <v>0.75816686251468857</v>
      </c>
      <c r="H19" s="14">
        <f t="shared" si="34"/>
        <v>0.59098007113031159</v>
      </c>
      <c r="I19" s="14">
        <f t="shared" si="34"/>
        <v>0.50018329877700651</v>
      </c>
      <c r="J19" s="14">
        <f t="shared" ref="J19:L19" si="35">+J8/J$6</f>
        <v>0.49587065185354501</v>
      </c>
      <c r="K19" s="14">
        <f t="shared" ref="K19" si="36">+K8/K$6</f>
        <v>0.49640996207389398</v>
      </c>
      <c r="L19" s="14">
        <f t="shared" si="35"/>
        <v>0.45539682128133996</v>
      </c>
      <c r="M19" s="14">
        <f t="shared" ref="M19:N19" si="37">+M8/M$6</f>
        <v>0.42565740610391312</v>
      </c>
      <c r="N19" s="14">
        <f t="shared" si="37"/>
        <v>0.42996359374849907</v>
      </c>
      <c r="O19" s="14"/>
      <c r="P19" s="14"/>
      <c r="W19" s="4">
        <f t="shared" ref="W19:Y19" si="38">+W8/W$6</f>
        <v>0.37900285769774988</v>
      </c>
      <c r="X19" s="4">
        <f t="shared" si="38"/>
        <v>0.32450351819049983</v>
      </c>
      <c r="Y19" s="4">
        <f t="shared" si="38"/>
        <v>0.43175525210352594</v>
      </c>
      <c r="Z19" s="4">
        <f t="shared" ref="Z19:AA19" si="39">+Z8/Z$6</f>
        <v>0.56850266775726999</v>
      </c>
      <c r="AA19" s="4">
        <f t="shared" si="39"/>
        <v>0.45013023023482218</v>
      </c>
      <c r="AB19" s="4">
        <f t="shared" ref="AB19:AJ19" si="40">+AB8/AB$6</f>
        <v>0.4</v>
      </c>
      <c r="AC19" s="4">
        <f t="shared" si="40"/>
        <v>0.4</v>
      </c>
      <c r="AD19" s="4">
        <f t="shared" si="40"/>
        <v>0.40000000000000008</v>
      </c>
      <c r="AE19" s="4">
        <f t="shared" si="40"/>
        <v>0.40000000000000008</v>
      </c>
      <c r="AF19" s="4">
        <f t="shared" si="40"/>
        <v>0.4</v>
      </c>
      <c r="AG19" s="4">
        <f t="shared" si="40"/>
        <v>0.4</v>
      </c>
      <c r="AH19" s="4">
        <f t="shared" si="40"/>
        <v>0.4</v>
      </c>
      <c r="AI19" s="4">
        <f t="shared" si="40"/>
        <v>0.40000000000000008</v>
      </c>
      <c r="AJ19" s="4">
        <f t="shared" si="40"/>
        <v>0.4</v>
      </c>
      <c r="AK19" s="4">
        <f t="shared" ref="AK19" si="41">+AK8/AK$6</f>
        <v>0.4</v>
      </c>
    </row>
    <row r="20" spans="2:39">
      <c r="L20" s="4">
        <f>+L9/L6</f>
        <v>0.22378075656615418</v>
      </c>
      <c r="M20" s="4">
        <f>+M9/M6</f>
        <v>0.21202044670119757</v>
      </c>
      <c r="N20" s="4">
        <f>+N9/N6</f>
        <v>0.22001767480283949</v>
      </c>
      <c r="O20" s="4" t="e">
        <f>+O9/O6</f>
        <v>#DIV/0!</v>
      </c>
      <c r="Y20" s="4">
        <f>+Y9/Y6</f>
        <v>0.18791242786906623</v>
      </c>
      <c r="Z20" s="4">
        <f>+Z9/Z6</f>
        <v>0.24889884425704928</v>
      </c>
      <c r="AA20" s="4">
        <f>+AA9/AA6</f>
        <v>0.22207695561977869</v>
      </c>
      <c r="AB20" s="4">
        <f>+AB9/AB6</f>
        <v>0.22</v>
      </c>
      <c r="AC20" s="4">
        <f>+AC9/AC6</f>
        <v>0.21999999999999997</v>
      </c>
    </row>
    <row r="22" spans="2:39">
      <c r="B22" s="1" t="s">
        <v>49</v>
      </c>
      <c r="J22" s="11">
        <v>281607</v>
      </c>
      <c r="K22" s="11">
        <v>324877</v>
      </c>
      <c r="L22" s="11">
        <v>314459</v>
      </c>
      <c r="M22" s="11">
        <v>341403</v>
      </c>
      <c r="N22" s="11">
        <v>364222</v>
      </c>
      <c r="AC22" s="1" t="s">
        <v>5</v>
      </c>
      <c r="AD22" s="1">
        <f>+Main!G9</f>
        <v>52773.58</v>
      </c>
      <c r="AL22" s="1" t="s">
        <v>68</v>
      </c>
      <c r="AM22" s="4">
        <v>0.01</v>
      </c>
    </row>
    <row r="23" spans="2:39">
      <c r="B23" s="1" t="s">
        <v>50</v>
      </c>
      <c r="J23" s="11">
        <v>100554</v>
      </c>
      <c r="K23" s="11">
        <v>99928</v>
      </c>
      <c r="L23" s="11">
        <v>101081</v>
      </c>
      <c r="M23" s="11">
        <v>97622</v>
      </c>
      <c r="N23" s="11">
        <v>79400</v>
      </c>
      <c r="AD23" s="7">
        <f>+AD22/(AA6/1000)</f>
        <v>67.247707591071972</v>
      </c>
      <c r="AL23" s="1" t="s">
        <v>67</v>
      </c>
      <c r="AM23" s="4">
        <v>0.08</v>
      </c>
    </row>
    <row r="24" spans="2:39">
      <c r="B24" s="1" t="s">
        <v>51</v>
      </c>
      <c r="J24" s="11">
        <v>54479</v>
      </c>
      <c r="K24" s="11">
        <v>52066</v>
      </c>
      <c r="L24" s="11">
        <v>56496</v>
      </c>
      <c r="M24" s="11">
        <v>67308</v>
      </c>
      <c r="N24" s="11">
        <v>64513</v>
      </c>
      <c r="AL24" s="1" t="s">
        <v>66</v>
      </c>
      <c r="AM24" s="1">
        <f>NPV(AM23,AB15:IC15)</f>
        <v>44171.849234507543</v>
      </c>
    </row>
    <row r="25" spans="2:39">
      <c r="B25" s="1" t="s">
        <v>52</v>
      </c>
      <c r="J25" s="11">
        <v>105639</v>
      </c>
      <c r="K25" s="11">
        <v>83397</v>
      </c>
      <c r="L25" s="11">
        <v>80871</v>
      </c>
      <c r="M25" s="11">
        <v>82190</v>
      </c>
      <c r="N25" s="11">
        <v>95566</v>
      </c>
      <c r="AL25" s="1" t="s">
        <v>65</v>
      </c>
      <c r="AM25" s="1">
        <f>+Main!G5</f>
        <v>415.54</v>
      </c>
    </row>
    <row r="26" spans="2:39">
      <c r="B26" s="1" t="s">
        <v>53</v>
      </c>
      <c r="J26" s="11">
        <v>59754</v>
      </c>
      <c r="K26" s="11">
        <v>58402</v>
      </c>
      <c r="L26" s="11">
        <v>64841</v>
      </c>
      <c r="M26" s="11">
        <v>64036</v>
      </c>
      <c r="N26" s="11">
        <v>70316</v>
      </c>
      <c r="AL26" s="1" t="s">
        <v>69</v>
      </c>
      <c r="AM26" s="1">
        <f>+AM24/AM25</f>
        <v>106.29987301946272</v>
      </c>
    </row>
    <row r="27" spans="2:39">
      <c r="B27" s="1" t="s">
        <v>54</v>
      </c>
      <c r="J27" s="11">
        <v>132136</v>
      </c>
      <c r="K27" s="11">
        <v>129707</v>
      </c>
      <c r="L27" s="11">
        <v>131283</v>
      </c>
      <c r="M27" s="11">
        <v>128323</v>
      </c>
      <c r="N27" s="11">
        <v>128643</v>
      </c>
      <c r="AL27" s="1" t="s">
        <v>70</v>
      </c>
      <c r="AM27" s="1">
        <f>+Main!G4</f>
        <v>128</v>
      </c>
    </row>
    <row r="28" spans="2:39">
      <c r="B28" s="1" t="s">
        <v>55</v>
      </c>
      <c r="J28" s="11">
        <v>376389</v>
      </c>
      <c r="K28" s="11">
        <v>376389</v>
      </c>
      <c r="L28" s="11">
        <v>376389</v>
      </c>
      <c r="M28" s="11">
        <v>376389</v>
      </c>
      <c r="N28" s="11">
        <v>376389</v>
      </c>
      <c r="AM28" s="4">
        <f>+AM26/AM27-1</f>
        <v>-0.16953224203544748</v>
      </c>
    </row>
    <row r="29" spans="2:39">
      <c r="B29" s="1" t="s">
        <v>56</v>
      </c>
      <c r="J29" s="11">
        <v>36499</v>
      </c>
      <c r="K29" s="11">
        <v>31062</v>
      </c>
      <c r="L29" s="11">
        <v>27719</v>
      </c>
      <c r="M29" s="11">
        <v>25425</v>
      </c>
      <c r="N29" s="11">
        <v>23130</v>
      </c>
    </row>
    <row r="30" spans="2:39">
      <c r="B30" s="1" t="s">
        <v>57</v>
      </c>
      <c r="J30" s="11">
        <v>75617</v>
      </c>
      <c r="K30" s="11">
        <v>73668</v>
      </c>
      <c r="L30" s="11">
        <v>67926</v>
      </c>
      <c r="M30" s="11">
        <v>70371</v>
      </c>
      <c r="N30" s="11">
        <v>67138</v>
      </c>
    </row>
    <row r="31" spans="2:39" s="8" customFormat="1">
      <c r="B31" s="8" t="s">
        <v>48</v>
      </c>
      <c r="C31" s="16"/>
      <c r="D31" s="16"/>
      <c r="E31" s="16"/>
      <c r="F31" s="16"/>
      <c r="G31" s="16"/>
      <c r="H31" s="16"/>
      <c r="I31" s="16"/>
      <c r="J31" s="16">
        <f>+SUM(J22:J30)</f>
        <v>1222674</v>
      </c>
      <c r="K31" s="16">
        <f>+SUM(K22:K30)</f>
        <v>1229496</v>
      </c>
      <c r="L31" s="16">
        <f>+SUM(L22:L30)</f>
        <v>1221065</v>
      </c>
      <c r="M31" s="16">
        <f>+SUM(M22:M30)</f>
        <v>1253067</v>
      </c>
      <c r="N31" s="16">
        <f>+SUM(N22:N30)</f>
        <v>1269317</v>
      </c>
      <c r="O31" s="16"/>
      <c r="P31" s="16"/>
    </row>
    <row r="33" spans="2:16">
      <c r="B33" s="1" t="s">
        <v>44</v>
      </c>
      <c r="J33" s="11">
        <v>42448</v>
      </c>
      <c r="K33" s="11">
        <v>53819</v>
      </c>
      <c r="L33" s="11">
        <v>58161</v>
      </c>
      <c r="M33" s="11">
        <v>55647</v>
      </c>
      <c r="N33" s="11">
        <v>50717</v>
      </c>
    </row>
    <row r="34" spans="2:16">
      <c r="B34" s="1" t="s">
        <v>45</v>
      </c>
      <c r="J34" s="11">
        <v>3073</v>
      </c>
      <c r="K34" s="11">
        <v>6478</v>
      </c>
      <c r="L34" s="11">
        <v>3856</v>
      </c>
      <c r="M34" s="11">
        <v>8447</v>
      </c>
      <c r="N34" s="11">
        <v>5359</v>
      </c>
    </row>
    <row r="35" spans="2:16">
      <c r="B35" s="1" t="s">
        <v>46</v>
      </c>
      <c r="J35" s="11">
        <v>52362</v>
      </c>
      <c r="K35" s="11">
        <v>59422</v>
      </c>
      <c r="L35" s="11">
        <v>58657</v>
      </c>
      <c r="M35" s="11">
        <v>81216</v>
      </c>
      <c r="N35" s="11">
        <v>87711</v>
      </c>
    </row>
    <row r="36" spans="2:16">
      <c r="B36" s="1" t="s">
        <v>47</v>
      </c>
      <c r="J36" s="11">
        <v>44770</v>
      </c>
      <c r="K36" s="11">
        <v>41358</v>
      </c>
      <c r="L36" s="11">
        <v>39311</v>
      </c>
      <c r="M36" s="11">
        <v>37044</v>
      </c>
      <c r="N36" s="11">
        <v>31112</v>
      </c>
    </row>
    <row r="37" spans="2:16">
      <c r="B37" s="1" t="s">
        <v>42</v>
      </c>
      <c r="J37" s="11">
        <f>+SUM(J33:J36)</f>
        <v>142653</v>
      </c>
      <c r="K37" s="11">
        <f>+SUM(K33:K36)</f>
        <v>161077</v>
      </c>
      <c r="L37" s="11">
        <f>+SUM(L33:L36)</f>
        <v>159985</v>
      </c>
      <c r="M37" s="11">
        <f>+SUM(M33:M36)</f>
        <v>182354</v>
      </c>
      <c r="N37" s="11">
        <f>+SUM(N33:N36)</f>
        <v>174899</v>
      </c>
    </row>
    <row r="38" spans="2:16">
      <c r="B38" s="1" t="s">
        <v>41</v>
      </c>
      <c r="J38" s="11">
        <v>1080021</v>
      </c>
      <c r="K38" s="11">
        <v>1068419</v>
      </c>
      <c r="L38" s="11">
        <v>1061080</v>
      </c>
      <c r="M38" s="11">
        <v>1070713</v>
      </c>
      <c r="N38" s="11">
        <v>1094418</v>
      </c>
    </row>
    <row r="39" spans="2:16" s="8" customFormat="1">
      <c r="B39" s="8" t="s">
        <v>43</v>
      </c>
      <c r="C39" s="16"/>
      <c r="D39" s="16"/>
      <c r="E39" s="16"/>
      <c r="F39" s="16"/>
      <c r="G39" s="16"/>
      <c r="H39" s="16"/>
      <c r="I39" s="16"/>
      <c r="J39" s="16">
        <f>+J37+J38</f>
        <v>1222674</v>
      </c>
      <c r="K39" s="16">
        <f>+K37+K38</f>
        <v>1229496</v>
      </c>
      <c r="L39" s="16">
        <f>+L37+L38</f>
        <v>1221065</v>
      </c>
      <c r="M39" s="16">
        <f>+M37+M38</f>
        <v>1253067</v>
      </c>
      <c r="N39" s="16">
        <f>+N37+N38</f>
        <v>1269317</v>
      </c>
      <c r="O39" s="16"/>
      <c r="P39" s="16"/>
    </row>
    <row r="41" spans="2:16">
      <c r="B41" s="1" t="s">
        <v>64</v>
      </c>
      <c r="J41" s="1">
        <f>(J24/SUM(G6:J6)*365)</f>
        <v>34.026884627626259</v>
      </c>
      <c r="K41" s="1">
        <f>(K24/SUM(H6:K6)*365)</f>
        <v>28.981798772351212</v>
      </c>
      <c r="L41" s="1">
        <f>(L24/SUM(I6:L6)*365)</f>
        <v>29.324448274538078</v>
      </c>
      <c r="M41" s="1">
        <f>(M24/SUM(J6:M6)*365)</f>
        <v>33.073759401836547</v>
      </c>
      <c r="N41" s="1">
        <f>(N24/SUM(K6:N6)*365)</f>
        <v>30.005511211013758</v>
      </c>
    </row>
    <row r="42" spans="2:16">
      <c r="B42" s="1" t="s">
        <v>61</v>
      </c>
      <c r="J42" s="11">
        <f>(J25/SUM(G7:J7)*365)</f>
        <v>141.65510033137642</v>
      </c>
      <c r="K42" s="11">
        <f>(K25/SUM(H7:K7)*365)</f>
        <v>101.18673731588378</v>
      </c>
      <c r="L42" s="11">
        <f>(L25/SUM(I7:L7)*365)</f>
        <v>93.180825238887437</v>
      </c>
      <c r="M42" s="11">
        <f>(M25/SUM(J7:M7)*365)</f>
        <v>91.5510301239933</v>
      </c>
      <c r="N42" s="11">
        <f>(N25/SUM(K7:N7)*365)</f>
        <v>106.41736403269255</v>
      </c>
    </row>
    <row r="43" spans="2:16">
      <c r="B43" s="1" t="s">
        <v>62</v>
      </c>
      <c r="J43" s="11">
        <f>+(J33/SUM(G7:J7)) * 365</f>
        <v>56.920036150155404</v>
      </c>
      <c r="K43" s="11">
        <f>+(K33/SUM(H7:K7)) * 365</f>
        <v>65.299339491870796</v>
      </c>
      <c r="L43" s="11">
        <f>+(L33/SUM(I7:L7)) * 365</f>
        <v>67.014009678610776</v>
      </c>
      <c r="M43" s="11">
        <f>+(M33/SUM(J7:M7)) * 365</f>
        <v>61.984915115097401</v>
      </c>
      <c r="N43" s="11">
        <f>+(N33/SUM(K7:N7)) * 365</f>
        <v>56.475832949438804</v>
      </c>
    </row>
    <row r="44" spans="2:16">
      <c r="B44" s="1" t="s">
        <v>63</v>
      </c>
      <c r="J44" s="11">
        <f t="shared" ref="J44:M44" si="42">+SUM(J41:J42)-J43</f>
        <v>118.76194880884728</v>
      </c>
      <c r="K44" s="11">
        <f t="shared" si="42"/>
        <v>64.869196596364191</v>
      </c>
      <c r="L44" s="11">
        <f t="shared" si="42"/>
        <v>55.491263834814745</v>
      </c>
      <c r="M44" s="11">
        <f t="shared" si="42"/>
        <v>62.639874410732439</v>
      </c>
      <c r="N44" s="11">
        <f>+SUM(N41:N42)-N43</f>
        <v>79.947042294267504</v>
      </c>
    </row>
    <row r="48" spans="2:16">
      <c r="B48" s="1" t="s">
        <v>58</v>
      </c>
      <c r="G48" s="11">
        <v>-71800</v>
      </c>
      <c r="H48" s="11">
        <f>+-55666-G48</f>
        <v>16134</v>
      </c>
      <c r="I48" s="11">
        <f>+-24039-SUM(G48:H48)</f>
        <v>31627</v>
      </c>
      <c r="J48" s="11">
        <f>+-13910-SUM(G48:I48)</f>
        <v>10129</v>
      </c>
      <c r="K48" s="11">
        <v>48128</v>
      </c>
      <c r="L48" s="11">
        <f>53036-K48</f>
        <v>4908</v>
      </c>
      <c r="M48" s="11">
        <f>87358-SUM(K48:L48)</f>
        <v>34322</v>
      </c>
      <c r="N48" s="11">
        <f>95708-SUM(K48:M48)</f>
        <v>8350</v>
      </c>
    </row>
    <row r="49" spans="2:16">
      <c r="B49" s="1" t="s">
        <v>59</v>
      </c>
      <c r="G49" s="11">
        <v>-2047</v>
      </c>
      <c r="H49" s="11">
        <f>+-5577-G49</f>
        <v>-3530</v>
      </c>
      <c r="I49" s="11">
        <f>+-7785-H49</f>
        <v>-4255</v>
      </c>
      <c r="J49" s="11">
        <f>+-73602-SUM(G49:I49)</f>
        <v>-63770</v>
      </c>
      <c r="K49" s="11">
        <v>-4852</v>
      </c>
      <c r="L49" s="11">
        <f>+-13549-K49</f>
        <v>-8697</v>
      </c>
      <c r="M49" s="11">
        <f>+-19942-L49</f>
        <v>-11245</v>
      </c>
      <c r="N49" s="11">
        <f>+-29922-SUM(K49:M49)</f>
        <v>-5128</v>
      </c>
    </row>
    <row r="50" spans="2:16" s="8" customFormat="1">
      <c r="B50" s="8" t="s">
        <v>60</v>
      </c>
      <c r="C50" s="16"/>
      <c r="D50" s="16"/>
      <c r="E50" s="16"/>
      <c r="F50" s="16"/>
      <c r="G50" s="16">
        <f>+SUM(G48:G49)</f>
        <v>-73847</v>
      </c>
      <c r="H50" s="16">
        <f>+SUM(H48:H49)</f>
        <v>12604</v>
      </c>
      <c r="I50" s="16">
        <f>+SUM(I48:I49)</f>
        <v>27372</v>
      </c>
      <c r="J50" s="16">
        <f>+SUM(J48:J49)</f>
        <v>-53641</v>
      </c>
      <c r="K50" s="16">
        <f>+SUM(K48:K49)</f>
        <v>43276</v>
      </c>
      <c r="L50" s="16">
        <f>+SUM(L48:L49)</f>
        <v>-3789</v>
      </c>
      <c r="M50" s="16">
        <f>+SUM(M48:M49)</f>
        <v>23077</v>
      </c>
      <c r="N50" s="16">
        <f>+SUM(N48:N49)</f>
        <v>3222</v>
      </c>
      <c r="O50" s="16"/>
      <c r="P50" s="16"/>
    </row>
  </sheetData>
  <pageMargins left="0.7" right="0.7" top="0.75" bottom="0.75" header="0.3" footer="0.3"/>
  <ignoredErrors>
    <ignoredError sqref="F9:F15 H10:J17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</dc:creator>
  <cp:lastModifiedBy>Jameel Brannon</cp:lastModifiedBy>
  <dcterms:created xsi:type="dcterms:W3CDTF">2025-02-03T15:12:21Z</dcterms:created>
  <dcterms:modified xsi:type="dcterms:W3CDTF">2026-02-11T06:04:20Z</dcterms:modified>
</cp:coreProperties>
</file>